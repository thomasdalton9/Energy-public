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Data" sheetId="3" state="visible" r:id="rId3"/>
    <sheet name="System" sheetId="4" state="visible" r:id="rId4"/>
    <sheet name="Weekly EAF" sheetId="5" state="visible" r:id="rId5"/>
    <sheet name="Pumped storage" sheetId="6" state="visible" r:id="rId6"/>
    <sheet name="Load shedding" sheetId="7" state="visible" r:id="rId7"/>
  </sheets>
  <definedNames/>
  <calcPr calcId="124519" fullCalcOnLoad="1"/>
</workbook>
</file>

<file path=xl/styles.xml><?xml version="1.0" encoding="utf-8"?>
<styleSheet xmlns="http://schemas.openxmlformats.org/spreadsheetml/2006/main">
  <numFmts count="4">
    <numFmt numFmtId="164" formatCode="YYYY-MM-DD"/>
    <numFmt numFmtId="165" formatCode="dd-mmm-yyyy"/>
    <numFmt numFmtId="166" formatCode="yyyy-mm-dd h:mm:ss"/>
    <numFmt numFmtId="167"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7"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South Africa generation mix (Eskom) (to Sep/26)</a:t>
            </a:r>
          </a:p>
        </rich>
      </tx>
      <overlay val="0"/>
    </title>
    <plotArea>
      <areaChart>
        <grouping val="stacked"/>
        <ser>
          <idx val="0"/>
          <order val="0"/>
          <tx>
            <strRef>
              <f>'Chart'!B1</f>
            </strRef>
          </tx>
          <spPr>
            <a:solidFill>
              <a:srgbClr val="2A78D6"/>
            </a:solidFill>
            <a:ln>
              <a:noFill/>
              <a:prstDash val="solid"/>
            </a:ln>
          </spPr>
          <cat>
            <numRef>
              <f>'Chart'!$A$2:$A$14</f>
            </numRef>
          </cat>
          <val>
            <numRef>
              <f>'Chart'!$B$2:$B$14</f>
            </numRef>
          </val>
        </ser>
        <ser>
          <idx val="1"/>
          <order val="1"/>
          <tx>
            <strRef>
              <f>'Chart'!C1</f>
            </strRef>
          </tx>
          <spPr>
            <a:solidFill>
              <a:srgbClr val="EB6834"/>
            </a:solidFill>
            <a:ln>
              <a:noFill/>
              <a:prstDash val="solid"/>
            </a:ln>
          </spPr>
          <cat>
            <numRef>
              <f>'Chart'!$A$2:$A$14</f>
            </numRef>
          </cat>
          <val>
            <numRef>
              <f>'Chart'!$C$2:$C$14</f>
            </numRef>
          </val>
        </ser>
        <ser>
          <idx val="2"/>
          <order val="2"/>
          <tx>
            <strRef>
              <f>'Chart'!D1</f>
            </strRef>
          </tx>
          <spPr>
            <a:solidFill>
              <a:srgbClr val="1BAF7A"/>
            </a:solidFill>
            <a:ln>
              <a:noFill/>
              <a:prstDash val="solid"/>
            </a:ln>
          </spPr>
          <cat>
            <numRef>
              <f>'Chart'!$A$2:$A$14</f>
            </numRef>
          </cat>
          <val>
            <numRef>
              <f>'Chart'!$D$2:$D$14</f>
            </numRef>
          </val>
        </ser>
        <ser>
          <idx val="3"/>
          <order val="3"/>
          <tx>
            <strRef>
              <f>'Chart'!E1</f>
            </strRef>
          </tx>
          <spPr>
            <a:solidFill>
              <a:srgbClr val="EDA100"/>
            </a:solidFill>
            <a:ln>
              <a:noFill/>
              <a:prstDash val="solid"/>
            </a:ln>
          </spPr>
          <cat>
            <numRef>
              <f>'Chart'!$A$2:$A$14</f>
            </numRef>
          </cat>
          <val>
            <numRef>
              <f>'Chart'!$E$2:$E$14</f>
            </numRef>
          </val>
        </ser>
        <ser>
          <idx val="4"/>
          <order val="4"/>
          <tx>
            <strRef>
              <f>'Chart'!F1</f>
            </strRef>
          </tx>
          <spPr>
            <a:solidFill>
              <a:srgbClr val="E87BA4"/>
            </a:solidFill>
            <a:ln>
              <a:noFill/>
              <a:prstDash val="solid"/>
            </a:ln>
          </spPr>
          <cat>
            <numRef>
              <f>'Chart'!$A$2:$A$14</f>
            </numRef>
          </cat>
          <val>
            <numRef>
              <f>'Chart'!$F$2:$F$14</f>
            </numRef>
          </val>
        </ser>
        <ser>
          <idx val="5"/>
          <order val="5"/>
          <tx>
            <strRef>
              <f>'Chart'!G1</f>
            </strRef>
          </tx>
          <spPr>
            <a:solidFill>
              <a:srgbClr val="008300"/>
            </a:solidFill>
            <a:ln>
              <a:noFill/>
              <a:prstDash val="solid"/>
            </a:ln>
          </spPr>
          <cat>
            <numRef>
              <f>'Chart'!$A$2:$A$14</f>
            </numRef>
          </cat>
          <val>
            <numRef>
              <f>'Chart'!$G$2:$G$14</f>
            </numRef>
          </val>
        </ser>
        <ser>
          <idx val="6"/>
          <order val="6"/>
          <tx>
            <strRef>
              <f>'Chart'!H1</f>
            </strRef>
          </tx>
          <spPr>
            <a:solidFill>
              <a:srgbClr val="4A3AA7"/>
            </a:solidFill>
            <a:ln>
              <a:noFill/>
              <a:prstDash val="solid"/>
            </a:ln>
          </spPr>
          <cat>
            <numRef>
              <f>'Chart'!$A$2:$A$14</f>
            </numRef>
          </cat>
          <val>
            <numRef>
              <f>'Chart'!$H$2:$H$14</f>
            </numRef>
          </val>
        </ser>
        <ser>
          <idx val="7"/>
          <order val="7"/>
          <tx>
            <strRef>
              <f>'Chart'!I1</f>
            </strRef>
          </tx>
          <spPr>
            <a:solidFill>
              <a:srgbClr val="9A9A9A"/>
            </a:solidFill>
            <a:ln>
              <a:noFill/>
              <a:prstDash val="solid"/>
            </a:ln>
          </spPr>
          <cat>
            <numRef>
              <f>'Chart'!$A$2:$A$14</f>
            </numRef>
          </cat>
          <val>
            <numRef>
              <f>'Chart'!$I$2:$I$14</f>
            </numRef>
          </val>
        </ser>
        <axId val="10"/>
        <axId val="100"/>
      </areaChart>
      <catAx>
        <axId val="10"/>
        <scaling>
          <orientation val="minMax"/>
        </scaling>
        <delete val="0"/>
        <axPos val="b"/>
        <numFmt formatCode="mmm/yy" sourceLinked="0"/>
        <majorTickMark val="none"/>
        <minorTickMark val="none"/>
        <tickLblPos val="low"/>
        <crossAx val="100"/>
        <lblOffset val="100"/>
        <tickLblSkip val="30"/>
        <tickMarkSkip val="30"/>
      </catAx>
      <valAx>
        <axId val="100"/>
        <scaling>
          <orientation val="minMax"/>
        </scaling>
        <delete val="0"/>
        <axPos val="l"/>
        <majorGridlines/>
        <title>
          <tx>
            <rich>
              <a:bodyPr/>
              <a:p>
                <a:pPr>
                  <a:defRPr/>
                </a:pPr>
                <a:r>
                  <a:t>MW (daily mean)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30"/>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Every category column is in MW, the daily mean of Eskom's hourly generation readings - 'average MW for that day', not total daily energy.</t>
        </is>
      </c>
    </row>
    <row r="5">
      <c r="A5" s="1" t="inlineStr">
        <is>
          <t>CATEGORIES</t>
        </is>
      </c>
    </row>
    <row r="6">
      <c r="A6" t="inlineStr">
        <is>
          <t>coal, gas, oil, nuclear, hydro, wind, solar, biomass: generation by fuel/technology type.</t>
        </is>
      </c>
    </row>
    <row r="7">
      <c r="A7" t="inlineStr">
        <is>
          <t>pumped_storage: pumped-hydro storage discharge.</t>
        </is>
      </c>
    </row>
    <row r="9">
      <c r="A9" s="1" t="inlineStr">
        <is>
          <t>COVERAGE</t>
        </is>
      </c>
    </row>
    <row r="10">
      <c r="A10" t="inlineStr">
        <is>
          <t>This is a rolling archive, not a one-shot historical pull - Eskom's source CSV is always just the last ~7 days, so this script upserts by date into the Data tab on every run, building up history from whenever you first started running it. Run it at least weekly so no day is skipped.</t>
        </is>
      </c>
    </row>
    <row r="12">
      <c r="A12" s="1" t="inlineStr">
        <is>
          <t>SYSTEM TAB (daily mean of hourly values, MW)</t>
        </is>
      </c>
    </row>
    <row r="13">
      <c r="A13" t="inlineStr">
        <is>
          <t>residual_demand_mw: demand met by Eskom-dispatched plant, i.e. excluding renewable IPPs.</t>
        </is>
      </c>
    </row>
    <row r="14">
      <c r="A14" t="inlineStr">
        <is>
          <t>rsa_contracted_demand_mw: residual demand plus renewable IPP output - total contracted demand.</t>
        </is>
      </c>
    </row>
    <row r="15">
      <c r="A15" t="inlineStr">
        <is>
          <t>unplanned_outages_mw: Eskom capacity out on unplanned (UCLF) plus other (OCLF) outages - a fleet health indicator. Eskom publishes nothing per power station, so this is whole-fleet.</t>
        </is>
      </c>
    </row>
    <row r="17">
      <c r="A17" s="1" t="inlineStr">
        <is>
          <t>WEEKLY EAF TAB (% of Eskom installed capacity, by week starting)</t>
        </is>
      </c>
    </row>
    <row r="18">
      <c r="A18" t="inlineStr">
        <is>
          <t>eaf_pct: Energy Availability Factor - share of capacity available to generate.</t>
        </is>
      </c>
    </row>
    <row r="19">
      <c r="A19" t="inlineStr">
        <is>
          <t>planned_outages_pct (PCLF), unplanned_outages_pct (UCLF), other_outages_pct (OCLF): the losses; the four add up to ~100%.</t>
        </is>
      </c>
    </row>
    <row r="21">
      <c r="A21" s="1" t="inlineStr">
        <is>
          <t>PUMPED STORAGE TAB (upper reservoir level, per station)</t>
        </is>
      </c>
    </row>
    <row r="22">
      <c r="A22" t="inlineStr">
        <is>
          <t>Eskom reports each station's stored water as 'generating unit-hours' left - how many hours of generation the upper reservoir holds, summed over units. It is a storage level, not hours run: it rises overnight while pumping and falls during the day while generating.</t>
        </is>
      </c>
    </row>
    <row r="23">
      <c r="A23" t="inlineStr">
        <is>
          <t>*_close_unit_hours: level at the last hour of the day. *_close_pct_full: that level as % of the station's full reservoir (Drakensberg 102, Ingula 67, Palmiet 58.7 unit-hours). *_low_pct_full: the lowest level in the day - how deep the peak drew it down.</t>
        </is>
      </c>
    </row>
    <row r="25">
      <c r="A25" s="1" t="inlineStr">
        <is>
          <t>LOAD SHEDDING TAB (Eskom manual load reduction, MLR)</t>
        </is>
      </c>
    </row>
    <row r="26">
      <c r="A26" t="inlineStr">
        <is>
          <t>load_shed_avg_mw: daily mean MW shed. load_shed_peak_mw: highest hour. hours_with_load_shedding: hours in the day with any MLR. All zero while there is no load shedding.</t>
        </is>
      </c>
    </row>
    <row r="27">
      <c r="A27" t="inlineStr">
        <is>
          <t>Coverage lags about a week behind the other tabs - Eskom's source file does.</t>
        </is>
      </c>
    </row>
    <row r="29">
      <c r="A29" s="1" t="inlineStr">
        <is>
          <t>SOURCE</t>
        </is>
      </c>
    </row>
    <row r="30">
      <c r="A30" t="inlineStr">
        <is>
          <t>Eskom data portal CSVs: Station_Build_Up (Data), System_hourly_actual_and_forecasted_demand and Hourly_UCLF_and_OCLF_Trend (System), Weekly_Eskom_generation_capacity_breakdown (Weekly EAF), Pumped_storage_gen_hours_gas_generation_and_manual_load_reduction (Pumped storage, Load shedding).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wind</t>
        </is>
      </c>
      <c r="D1" t="inlineStr">
        <is>
          <t>nuclear</t>
        </is>
      </c>
      <c r="E1" t="inlineStr">
        <is>
          <t>solar</t>
        </is>
      </c>
      <c r="F1" t="inlineStr">
        <is>
          <t>hydro</t>
        </is>
      </c>
      <c r="G1" t="inlineStr">
        <is>
          <t>pumped storage</t>
        </is>
      </c>
      <c r="H1" t="inlineStr">
        <is>
          <t>oil</t>
        </is>
      </c>
      <c r="I1" t="inlineStr">
        <is>
          <t>Other</t>
        </is>
      </c>
    </row>
    <row r="2">
      <c r="A2" s="4" t="n">
        <v>46280</v>
      </c>
      <c r="B2" t="n">
        <v>17693.9875</v>
      </c>
      <c r="C2" t="n">
        <v>1278.61225</v>
      </c>
      <c r="D2" t="n">
        <v>652.98425</v>
      </c>
      <c r="E2" t="n">
        <v>562.601125</v>
      </c>
      <c r="F2" t="n">
        <v>301.9749166666667</v>
      </c>
      <c r="G2" t="n">
        <v>484.1149166666667</v>
      </c>
      <c r="H2" t="n">
        <v>138.2768333333333</v>
      </c>
      <c r="I2" t="n">
        <v>45.88970833333334</v>
      </c>
    </row>
    <row r="3">
      <c r="A3" s="4" t="n">
        <v>46281</v>
      </c>
      <c r="B3" t="n">
        <v>17275.527</v>
      </c>
      <c r="C3" t="n">
        <v>1594.529416666667</v>
      </c>
      <c r="D3" t="n">
        <v>652.6445416666667</v>
      </c>
      <c r="E3" t="n">
        <v>618.0322916666667</v>
      </c>
      <c r="F3" t="n">
        <v>336.6506666666667</v>
      </c>
      <c r="G3" t="n">
        <v>507.22575</v>
      </c>
      <c r="H3" t="n">
        <v>165.5623333333333</v>
      </c>
      <c r="I3" t="n">
        <v>47.15379166666667</v>
      </c>
    </row>
    <row r="4">
      <c r="A4" s="4" t="n">
        <v>46282</v>
      </c>
      <c r="B4" t="n">
        <v>16370.0085</v>
      </c>
      <c r="C4" t="n">
        <v>2893.856708333333</v>
      </c>
      <c r="D4" t="n">
        <v>652.5475</v>
      </c>
      <c r="E4" t="n">
        <v>876.8808749999999</v>
      </c>
      <c r="F4" t="n">
        <v>359.9209583333333</v>
      </c>
      <c r="G4" t="n">
        <v>428.7385833333333</v>
      </c>
      <c r="H4" t="n">
        <v>170.00225</v>
      </c>
      <c r="I4" t="n">
        <v>46.64266666666666</v>
      </c>
    </row>
    <row r="5">
      <c r="A5" s="4" t="n">
        <v>46283</v>
      </c>
      <c r="B5" t="n">
        <v>17449.15991666667</v>
      </c>
      <c r="C5" t="n">
        <v>3069.8105</v>
      </c>
      <c r="D5" t="n">
        <v>653.47925</v>
      </c>
      <c r="E5" t="n">
        <v>367.928125</v>
      </c>
      <c r="F5" t="n">
        <v>349.8301666666667</v>
      </c>
      <c r="G5" t="n">
        <v>290.3386666666667</v>
      </c>
      <c r="H5" t="n">
        <v>153.4750833333333</v>
      </c>
      <c r="I5" t="n">
        <v>47.29916666666667</v>
      </c>
    </row>
    <row r="6">
      <c r="A6" s="4" t="n">
        <v>46284</v>
      </c>
      <c r="B6" t="n">
        <v>17407.89666666667</v>
      </c>
      <c r="C6" t="n">
        <v>1491.586875</v>
      </c>
      <c r="D6" t="n">
        <v>653.6539583333333</v>
      </c>
      <c r="E6" t="n">
        <v>338.3531666666667</v>
      </c>
      <c r="F6" t="n">
        <v>349.788375</v>
      </c>
      <c r="G6" t="n">
        <v>481.446</v>
      </c>
      <c r="H6" t="n">
        <v>112.4993333333333</v>
      </c>
      <c r="I6" t="n">
        <v>47.238375</v>
      </c>
    </row>
    <row r="7">
      <c r="A7" s="4" t="n">
        <v>46285</v>
      </c>
      <c r="B7" t="n">
        <v>18280.72470833333</v>
      </c>
      <c r="C7" t="n">
        <v>563.9242916666666</v>
      </c>
      <c r="D7" t="n">
        <v>653.3170416666667</v>
      </c>
      <c r="E7" t="n">
        <v>515.4672916666667</v>
      </c>
      <c r="F7" t="n">
        <v>380.742375</v>
      </c>
      <c r="G7" t="n">
        <v>372.3356666666667</v>
      </c>
      <c r="H7" t="n">
        <v>152.834875</v>
      </c>
      <c r="I7" t="n">
        <v>46.21933333333334</v>
      </c>
    </row>
    <row r="8">
      <c r="A8" s="4" t="n">
        <v>46286</v>
      </c>
      <c r="B8" t="n">
        <v>18009.53429166667</v>
      </c>
      <c r="C8" t="n">
        <v>687.1719583333334</v>
      </c>
      <c r="D8" t="n">
        <v>653.3082083333334</v>
      </c>
      <c r="E8" t="n">
        <v>781.8878333333333</v>
      </c>
      <c r="F8" t="n">
        <v>600.8853333333333</v>
      </c>
      <c r="G8" t="n">
        <v>422.23925</v>
      </c>
      <c r="H8" t="n">
        <v>122.4090416666667</v>
      </c>
      <c r="I8" t="n">
        <v>46.63754166666667</v>
      </c>
    </row>
    <row r="9">
      <c r="A9" s="4" t="n">
        <v>46287</v>
      </c>
      <c r="B9" t="n">
        <v>17706.49125</v>
      </c>
      <c r="C9" t="n">
        <v>1102.776291666667</v>
      </c>
      <c r="D9" t="n">
        <v>652.878875</v>
      </c>
      <c r="E9" t="n">
        <v>484.7176666666667</v>
      </c>
      <c r="F9" t="n">
        <v>599.8235000000001</v>
      </c>
      <c r="G9" t="n">
        <v>375.655375</v>
      </c>
      <c r="H9" t="n">
        <v>182.8252916666667</v>
      </c>
      <c r="I9" t="n">
        <v>47.36324999999999</v>
      </c>
    </row>
    <row r="10">
      <c r="A10" s="4" t="n">
        <v>46288</v>
      </c>
      <c r="B10" t="n">
        <v>17669.532875</v>
      </c>
      <c r="C10" t="n">
        <v>1139.28375</v>
      </c>
      <c r="D10" t="n">
        <v>651.9264583333334</v>
      </c>
      <c r="E10" t="n">
        <v>479.9018333333333</v>
      </c>
      <c r="F10" t="n">
        <v>599.5548749999999</v>
      </c>
      <c r="G10" t="n">
        <v>447.1493333333333</v>
      </c>
      <c r="H10" t="n">
        <v>173.9636666666667</v>
      </c>
      <c r="I10" t="n">
        <v>47.392125</v>
      </c>
    </row>
    <row r="11">
      <c r="A11" s="4" t="n">
        <v>46289</v>
      </c>
      <c r="B11" t="n">
        <v>16896.35883333334</v>
      </c>
      <c r="C11" t="n">
        <v>890.0252083333334</v>
      </c>
      <c r="D11" t="n">
        <v>651.2196250000001</v>
      </c>
      <c r="E11" t="n">
        <v>544.627875</v>
      </c>
      <c r="F11" t="n">
        <v>600.0968333333334</v>
      </c>
      <c r="G11" t="n">
        <v>419.5679166666666</v>
      </c>
      <c r="H11" t="n">
        <v>160.5665416666667</v>
      </c>
      <c r="I11" t="n">
        <v>47.172125</v>
      </c>
    </row>
    <row r="12">
      <c r="A12" s="4" t="n">
        <v>46290</v>
      </c>
      <c r="B12" t="n">
        <v>16906.600875</v>
      </c>
      <c r="C12" t="n">
        <v>1137.985041666667</v>
      </c>
      <c r="D12" t="n">
        <v>650.5766666666667</v>
      </c>
      <c r="E12" t="n">
        <v>597.09075</v>
      </c>
      <c r="F12" t="n">
        <v>600.951</v>
      </c>
      <c r="G12" t="n">
        <v>376.0448333333333</v>
      </c>
      <c r="H12" t="n">
        <v>122.7449583333333</v>
      </c>
      <c r="I12" t="n">
        <v>47.15108333333333</v>
      </c>
    </row>
    <row r="13">
      <c r="A13" s="4" t="n">
        <v>46291</v>
      </c>
      <c r="B13" t="n">
        <v>16634.63670833334</v>
      </c>
      <c r="C13" t="n">
        <v>999.2019583333334</v>
      </c>
      <c r="D13" t="n">
        <v>651.1357916666667</v>
      </c>
      <c r="E13" t="n">
        <v>490.8830833333333</v>
      </c>
      <c r="F13" t="n">
        <v>601.398</v>
      </c>
      <c r="G13" t="n">
        <v>409.3675</v>
      </c>
      <c r="H13" t="n">
        <v>146.1078333333333</v>
      </c>
      <c r="I13" t="n">
        <v>46.85116666666666</v>
      </c>
    </row>
    <row r="14">
      <c r="A14" s="4" t="n">
        <v>46292</v>
      </c>
      <c r="B14" t="n">
        <v>15218.227</v>
      </c>
      <c r="C14" t="n">
        <v>1558.510583333333</v>
      </c>
      <c r="D14" t="n">
        <v>651.7128333333334</v>
      </c>
      <c r="E14" t="n">
        <v>624.9517916666667</v>
      </c>
      <c r="F14" t="n">
        <v>600.1207083333334</v>
      </c>
      <c r="G14" t="n">
        <v>290.2275833333333</v>
      </c>
      <c r="H14" t="n">
        <v>169.6042916666667</v>
      </c>
      <c r="I14" t="n">
        <v>47.43254166666667</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5"/>
  <cols>
    <col width="14" customWidth="1" min="1" max="1"/>
  </cols>
  <sheetData>
    <row r="1">
      <c r="A1" t="inlineStr">
        <is>
          <t>date</t>
        </is>
      </c>
      <c r="B1" t="inlineStr">
        <is>
          <t>coal</t>
        </is>
      </c>
      <c r="C1" t="inlineStr">
        <is>
          <t>gas</t>
        </is>
      </c>
      <c r="D1" t="inlineStr">
        <is>
          <t>oil</t>
        </is>
      </c>
      <c r="E1" t="inlineStr">
        <is>
          <t>nuclear</t>
        </is>
      </c>
      <c r="F1" t="inlineStr">
        <is>
          <t>hydro</t>
        </is>
      </c>
      <c r="G1" t="inlineStr">
        <is>
          <t>pumped_storage</t>
        </is>
      </c>
      <c r="H1" t="inlineStr">
        <is>
          <t>wind</t>
        </is>
      </c>
      <c r="I1" t="inlineStr">
        <is>
          <t>solar</t>
        </is>
      </c>
      <c r="J1" t="inlineStr">
        <is>
          <t>biomass</t>
        </is>
      </c>
    </row>
    <row r="2">
      <c r="A2" s="3" t="n">
        <v>46280</v>
      </c>
      <c r="B2" t="n">
        <v>17693.9875</v>
      </c>
      <c r="C2" t="n">
        <v>0</v>
      </c>
      <c r="D2" t="n">
        <v>138.2768333333333</v>
      </c>
      <c r="E2" t="n">
        <v>652.98425</v>
      </c>
      <c r="F2" t="n">
        <v>301.9749166666667</v>
      </c>
      <c r="G2" t="n">
        <v>484.1149166666667</v>
      </c>
      <c r="H2" t="n">
        <v>1278.61225</v>
      </c>
      <c r="I2" t="n">
        <v>562.601125</v>
      </c>
      <c r="J2" t="n">
        <v>45.88970833333334</v>
      </c>
    </row>
    <row r="3">
      <c r="A3" s="3" t="n">
        <v>46281</v>
      </c>
      <c r="B3" t="n">
        <v>17275.527</v>
      </c>
      <c r="C3" t="n">
        <v>0</v>
      </c>
      <c r="D3" t="n">
        <v>165.5623333333333</v>
      </c>
      <c r="E3" t="n">
        <v>652.6445416666667</v>
      </c>
      <c r="F3" t="n">
        <v>336.6506666666667</v>
      </c>
      <c r="G3" t="n">
        <v>507.22575</v>
      </c>
      <c r="H3" t="n">
        <v>1594.529416666667</v>
      </c>
      <c r="I3" t="n">
        <v>618.0322916666667</v>
      </c>
      <c r="J3" t="n">
        <v>47.15379166666667</v>
      </c>
    </row>
    <row r="4">
      <c r="A4" s="3" t="n">
        <v>46282</v>
      </c>
      <c r="B4" t="n">
        <v>16370.0085</v>
      </c>
      <c r="C4" t="n">
        <v>0</v>
      </c>
      <c r="D4" t="n">
        <v>170.00225</v>
      </c>
      <c r="E4" t="n">
        <v>652.5475</v>
      </c>
      <c r="F4" t="n">
        <v>359.9209583333333</v>
      </c>
      <c r="G4" t="n">
        <v>428.7385833333333</v>
      </c>
      <c r="H4" t="n">
        <v>2893.856708333333</v>
      </c>
      <c r="I4" t="n">
        <v>876.8808749999999</v>
      </c>
      <c r="J4" t="n">
        <v>46.64266666666666</v>
      </c>
    </row>
    <row r="5">
      <c r="A5" s="3" t="n">
        <v>46283</v>
      </c>
      <c r="B5" t="n">
        <v>17449.15991666667</v>
      </c>
      <c r="C5" t="n">
        <v>0</v>
      </c>
      <c r="D5" t="n">
        <v>153.4750833333333</v>
      </c>
      <c r="E5" t="n">
        <v>653.47925</v>
      </c>
      <c r="F5" t="n">
        <v>349.8301666666667</v>
      </c>
      <c r="G5" t="n">
        <v>290.3386666666667</v>
      </c>
      <c r="H5" t="n">
        <v>3069.8105</v>
      </c>
      <c r="I5" t="n">
        <v>367.928125</v>
      </c>
      <c r="J5" t="n">
        <v>47.29916666666667</v>
      </c>
    </row>
    <row r="6">
      <c r="A6" s="3" t="n">
        <v>46284</v>
      </c>
      <c r="B6" t="n">
        <v>17407.89666666667</v>
      </c>
      <c r="C6" t="n">
        <v>0.0004166666666666667</v>
      </c>
      <c r="D6" t="n">
        <v>112.4993333333333</v>
      </c>
      <c r="E6" t="n">
        <v>653.6539583333333</v>
      </c>
      <c r="F6" t="n">
        <v>349.788375</v>
      </c>
      <c r="G6" t="n">
        <v>481.446</v>
      </c>
      <c r="H6" t="n">
        <v>1491.586875</v>
      </c>
      <c r="I6" t="n">
        <v>338.3531666666667</v>
      </c>
      <c r="J6" t="n">
        <v>47.23795833333333</v>
      </c>
    </row>
    <row r="7">
      <c r="A7" s="3" t="n">
        <v>46285</v>
      </c>
      <c r="B7" t="n">
        <v>18280.72470833333</v>
      </c>
      <c r="C7" t="n">
        <v>8.333333333333333e-05</v>
      </c>
      <c r="D7" t="n">
        <v>152.834875</v>
      </c>
      <c r="E7" t="n">
        <v>653.3170416666667</v>
      </c>
      <c r="F7" t="n">
        <v>380.742375</v>
      </c>
      <c r="G7" t="n">
        <v>372.3356666666667</v>
      </c>
      <c r="H7" t="n">
        <v>563.9242916666666</v>
      </c>
      <c r="I7" t="n">
        <v>515.4672916666667</v>
      </c>
      <c r="J7" t="n">
        <v>46.21925</v>
      </c>
    </row>
    <row r="8">
      <c r="A8" s="3" t="n">
        <v>46286</v>
      </c>
      <c r="B8" t="n">
        <v>18009.53429166667</v>
      </c>
      <c r="C8" t="n">
        <v>0.002625</v>
      </c>
      <c r="D8" t="n">
        <v>122.4090416666667</v>
      </c>
      <c r="E8" t="n">
        <v>653.3082083333334</v>
      </c>
      <c r="F8" t="n">
        <v>600.8853333333333</v>
      </c>
      <c r="G8" t="n">
        <v>422.23925</v>
      </c>
      <c r="H8" t="n">
        <v>687.1719583333334</v>
      </c>
      <c r="I8" t="n">
        <v>781.8878333333333</v>
      </c>
      <c r="J8" t="n">
        <v>46.63491666666667</v>
      </c>
    </row>
    <row r="9">
      <c r="A9" s="3" t="n">
        <v>46287</v>
      </c>
      <c r="B9" t="n">
        <v>17706.49125</v>
      </c>
      <c r="C9" t="n">
        <v>0.0007499999999999999</v>
      </c>
      <c r="D9" t="n">
        <v>182.8252916666667</v>
      </c>
      <c r="E9" t="n">
        <v>652.878875</v>
      </c>
      <c r="F9" t="n">
        <v>599.8235000000001</v>
      </c>
      <c r="G9" t="n">
        <v>375.655375</v>
      </c>
      <c r="H9" t="n">
        <v>1102.776291666667</v>
      </c>
      <c r="I9" t="n">
        <v>484.7176666666667</v>
      </c>
      <c r="J9" t="n">
        <v>47.3625</v>
      </c>
    </row>
    <row r="10">
      <c r="A10" s="3" t="n">
        <v>46288</v>
      </c>
      <c r="B10" t="n">
        <v>17669.532875</v>
      </c>
      <c r="C10" t="n">
        <v>0.0002916666666666667</v>
      </c>
      <c r="D10" t="n">
        <v>173.9636666666667</v>
      </c>
      <c r="E10" t="n">
        <v>651.9264583333334</v>
      </c>
      <c r="F10" t="n">
        <v>599.5548749999999</v>
      </c>
      <c r="G10" t="n">
        <v>447.1493333333333</v>
      </c>
      <c r="H10" t="n">
        <v>1139.28375</v>
      </c>
      <c r="I10" t="n">
        <v>479.9018333333333</v>
      </c>
      <c r="J10" t="n">
        <v>47.39183333333333</v>
      </c>
    </row>
    <row r="11">
      <c r="A11" s="3" t="n">
        <v>46289</v>
      </c>
      <c r="B11" t="n">
        <v>16896.35883333334</v>
      </c>
      <c r="C11" t="n">
        <v>0</v>
      </c>
      <c r="D11" t="n">
        <v>160.5665416666667</v>
      </c>
      <c r="E11" t="n">
        <v>651.2196250000001</v>
      </c>
      <c r="F11" t="n">
        <v>600.0968333333334</v>
      </c>
      <c r="G11" t="n">
        <v>419.5679166666666</v>
      </c>
      <c r="H11" t="n">
        <v>890.0252083333334</v>
      </c>
      <c r="I11" t="n">
        <v>544.627875</v>
      </c>
      <c r="J11" t="n">
        <v>47.172125</v>
      </c>
    </row>
    <row r="12">
      <c r="A12" s="3" t="n">
        <v>46290</v>
      </c>
      <c r="B12" t="n">
        <v>16906.600875</v>
      </c>
      <c r="C12" t="n">
        <v>0</v>
      </c>
      <c r="D12" t="n">
        <v>122.7449583333333</v>
      </c>
      <c r="E12" t="n">
        <v>650.5766666666667</v>
      </c>
      <c r="F12" t="n">
        <v>600.951</v>
      </c>
      <c r="G12" t="n">
        <v>376.0448333333333</v>
      </c>
      <c r="H12" t="n">
        <v>1137.985041666667</v>
      </c>
      <c r="I12" t="n">
        <v>597.09075</v>
      </c>
      <c r="J12" t="n">
        <v>47.15108333333333</v>
      </c>
    </row>
    <row r="13">
      <c r="A13" s="3" t="n">
        <v>46291</v>
      </c>
      <c r="B13" t="n">
        <v>16634.63670833334</v>
      </c>
      <c r="C13" t="n">
        <v>0</v>
      </c>
      <c r="D13" t="n">
        <v>146.1078333333333</v>
      </c>
      <c r="E13" t="n">
        <v>651.1357916666667</v>
      </c>
      <c r="F13" t="n">
        <v>601.398</v>
      </c>
      <c r="G13" t="n">
        <v>409.3675</v>
      </c>
      <c r="H13" t="n">
        <v>999.2019583333334</v>
      </c>
      <c r="I13" t="n">
        <v>490.8830833333333</v>
      </c>
      <c r="J13" t="n">
        <v>46.85116666666666</v>
      </c>
    </row>
    <row r="14">
      <c r="A14" s="3" t="n">
        <v>46292</v>
      </c>
      <c r="B14" t="n">
        <v>15218.227</v>
      </c>
      <c r="C14" t="n">
        <v>0</v>
      </c>
      <c r="D14" t="n">
        <v>169.6042916666667</v>
      </c>
      <c r="E14" t="n">
        <v>651.7128333333334</v>
      </c>
      <c r="F14" t="n">
        <v>600.1207083333334</v>
      </c>
      <c r="G14" t="n">
        <v>290.2275833333333</v>
      </c>
      <c r="H14" t="n">
        <v>1558.510583333333</v>
      </c>
      <c r="I14" t="n">
        <v>624.9517916666667</v>
      </c>
      <c r="J14" t="n">
        <v>47.43254166666667</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14" customWidth="1" min="1" max="1"/>
  </cols>
  <sheetData>
    <row r="1">
      <c r="A1" t="inlineStr">
        <is>
          <t>date</t>
        </is>
      </c>
      <c r="B1" t="inlineStr">
        <is>
          <t>residual_demand_mw</t>
        </is>
      </c>
      <c r="C1" t="inlineStr">
        <is>
          <t>rsa_contracted_demand_mw</t>
        </is>
      </c>
      <c r="D1" t="inlineStr">
        <is>
          <t>unplanned_outages_mw</t>
        </is>
      </c>
    </row>
    <row r="2">
      <c r="A2" s="3" t="n">
        <v>46278</v>
      </c>
      <c r="D2" t="n">
        <v>6519.225583333333</v>
      </c>
    </row>
    <row r="3">
      <c r="A3" s="3" t="n">
        <v>46279</v>
      </c>
      <c r="D3" t="n">
        <v>6909.73225</v>
      </c>
    </row>
    <row r="4">
      <c r="A4" s="3" t="n">
        <v>46280</v>
      </c>
      <c r="D4" t="n">
        <v>7060.312958333333</v>
      </c>
    </row>
    <row r="5">
      <c r="A5" s="3" t="n">
        <v>46281</v>
      </c>
      <c r="D5" t="n">
        <v>7275.770666666666</v>
      </c>
    </row>
    <row r="6">
      <c r="A6" s="3" t="n">
        <v>46282</v>
      </c>
      <c r="D6" t="n">
        <v>8195.647916666667</v>
      </c>
    </row>
    <row r="7">
      <c r="A7" s="3" t="n">
        <v>46283</v>
      </c>
      <c r="D7" t="n">
        <v>8078.570499999999</v>
      </c>
    </row>
    <row r="8">
      <c r="A8" s="3" t="n">
        <v>46284</v>
      </c>
      <c r="D8" t="n">
        <v>7455.722125</v>
      </c>
    </row>
    <row r="9">
      <c r="A9" s="3" t="n">
        <v>46285</v>
      </c>
      <c r="D9" t="n">
        <v>7883.662125</v>
      </c>
    </row>
    <row r="10">
      <c r="A10" s="3" t="n">
        <v>46286</v>
      </c>
      <c r="B10" t="n">
        <v>20545.09083333333</v>
      </c>
      <c r="C10" t="n">
        <v>22046.701375</v>
      </c>
      <c r="D10" t="n">
        <v>8025.694458333334</v>
      </c>
    </row>
    <row r="11">
      <c r="A11" s="3" t="n">
        <v>46287</v>
      </c>
      <c r="B11" t="n">
        <v>20375.01329166667</v>
      </c>
      <c r="C11" t="n">
        <v>22009.86975</v>
      </c>
      <c r="D11" t="n">
        <v>7956.46025</v>
      </c>
    </row>
    <row r="12">
      <c r="A12" s="3" t="n">
        <v>46288</v>
      </c>
      <c r="B12" t="n">
        <v>20349.473</v>
      </c>
      <c r="C12" t="n">
        <v>22016.05041666667</v>
      </c>
      <c r="D12" t="n">
        <v>7212.929375</v>
      </c>
    </row>
    <row r="13">
      <c r="A13" s="3" t="n">
        <v>46289</v>
      </c>
      <c r="B13" t="n">
        <v>19482.998125</v>
      </c>
      <c r="C13" t="n">
        <v>20979.59504166667</v>
      </c>
      <c r="D13" t="n">
        <v>6860.059166666667</v>
      </c>
    </row>
    <row r="14">
      <c r="A14" s="3" t="n">
        <v>46290</v>
      </c>
      <c r="B14" t="n">
        <v>19487.81275</v>
      </c>
      <c r="C14" t="n">
        <v>21272.60275</v>
      </c>
      <c r="D14" t="n">
        <v>7883.889916666666</v>
      </c>
    </row>
    <row r="15">
      <c r="A15" s="3" t="n">
        <v>46291</v>
      </c>
      <c r="B15" t="n">
        <v>19238.67066666667</v>
      </c>
      <c r="C15" t="n">
        <v>20781.39920833333</v>
      </c>
      <c r="D15" t="n">
        <v>9119.132083333332</v>
      </c>
    </row>
    <row r="16">
      <c r="A16" s="3" t="n">
        <v>46292</v>
      </c>
      <c r="B16" t="n">
        <v>17666.642625</v>
      </c>
      <c r="C16" t="n">
        <v>19897.02958333333</v>
      </c>
      <c r="D16" t="n">
        <v>8885.141250000001</v>
      </c>
    </row>
    <row r="17">
      <c r="A17" s="3" t="n">
        <v>46293</v>
      </c>
      <c r="B17" t="n">
        <v>19681.941125</v>
      </c>
      <c r="C17" t="n">
        <v>21513.714875</v>
      </c>
      <c r="D17" t="n">
        <v>6962.981958333334</v>
      </c>
    </row>
    <row r="18">
      <c r="A18" s="3" t="n">
        <v>46294</v>
      </c>
      <c r="B18" t="n">
        <v>20481.45475</v>
      </c>
      <c r="C18" t="n">
        <v>22921.01858333333</v>
      </c>
      <c r="D18" t="n">
        <v>7601.899583333333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14" customWidth="1" min="1" max="1"/>
  </cols>
  <sheetData>
    <row r="1">
      <c r="A1" t="inlineStr">
        <is>
          <t>week_start</t>
        </is>
      </c>
      <c r="B1" t="inlineStr">
        <is>
          <t>eaf_pct</t>
        </is>
      </c>
      <c r="C1" t="inlineStr">
        <is>
          <t>planned_outages_pct</t>
        </is>
      </c>
      <c r="D1" t="inlineStr">
        <is>
          <t>unplanned_outages_pct</t>
        </is>
      </c>
      <c r="E1" t="inlineStr">
        <is>
          <t>other_outages_pct</t>
        </is>
      </c>
    </row>
    <row r="2">
      <c r="A2" s="3" t="n">
        <v>46111</v>
      </c>
      <c r="B2" t="n">
        <v>63.60801759626349</v>
      </c>
      <c r="C2" t="n">
        <v>16.25439581746905</v>
      </c>
      <c r="D2" t="n">
        <v>19.96564396159935</v>
      </c>
      <c r="E2" t="n">
        <v>0.1719426246681096</v>
      </c>
    </row>
    <row r="3">
      <c r="A3" s="3" t="n">
        <v>46118</v>
      </c>
      <c r="B3" t="n">
        <v>62.2635465518596</v>
      </c>
      <c r="C3" t="n">
        <v>16.25394405043937</v>
      </c>
      <c r="D3" t="n">
        <v>21.2829849863416</v>
      </c>
      <c r="E3" t="n">
        <v>0.1995244113594334</v>
      </c>
    </row>
    <row r="4">
      <c r="A4" s="3" t="n">
        <v>46125</v>
      </c>
      <c r="B4" t="n">
        <v>58.14806178711437</v>
      </c>
      <c r="C4" t="n">
        <v>16.83605281195734</v>
      </c>
      <c r="D4" t="n">
        <v>24.93616630455804</v>
      </c>
      <c r="E4" t="n">
        <v>0.07971909637025129</v>
      </c>
    </row>
    <row r="5">
      <c r="A5" s="3" t="n">
        <v>46132</v>
      </c>
      <c r="B5" t="n">
        <v>56.49017237680246</v>
      </c>
      <c r="C5" t="n">
        <v>16.61736210157978</v>
      </c>
      <c r="D5" t="n">
        <v>26.47771084140147</v>
      </c>
      <c r="E5" t="n">
        <v>0.414754680216278</v>
      </c>
    </row>
    <row r="6">
      <c r="A6" s="3" t="n">
        <v>46139</v>
      </c>
      <c r="B6" t="n">
        <v>61.48087076801276</v>
      </c>
      <c r="C6" t="n">
        <v>12.9344304746393</v>
      </c>
      <c r="D6" t="n">
        <v>25.5846937966108</v>
      </c>
      <c r="E6" t="n">
        <v>4.96073715043171e-06</v>
      </c>
    </row>
    <row r="7">
      <c r="A7" s="3" t="n">
        <v>46146</v>
      </c>
      <c r="B7" t="n">
        <v>61.64690491551136</v>
      </c>
      <c r="C7" t="n">
        <v>13.44849295575325</v>
      </c>
      <c r="D7" t="n">
        <v>24.02505745137972</v>
      </c>
      <c r="E7" t="n">
        <v>0.8795446773556703</v>
      </c>
    </row>
    <row r="8">
      <c r="A8" s="3" t="n">
        <v>46153</v>
      </c>
      <c r="B8" t="n">
        <v>66.92968336395393</v>
      </c>
      <c r="C8" t="n">
        <v>13.23125099466557</v>
      </c>
      <c r="D8" t="n">
        <v>19.67176464248445</v>
      </c>
      <c r="E8" t="n">
        <v>0.167300998896047</v>
      </c>
    </row>
    <row r="9">
      <c r="A9" s="3" t="n">
        <v>46160</v>
      </c>
      <c r="B9" t="n">
        <v>68.09581106037895</v>
      </c>
      <c r="C9" t="n">
        <v>10.98435294108761</v>
      </c>
      <c r="D9" t="n">
        <v>20.91906950169018</v>
      </c>
      <c r="E9" t="n">
        <v>0.0007664968432588366</v>
      </c>
    </row>
    <row r="10">
      <c r="A10" s="3" t="n">
        <v>46167</v>
      </c>
      <c r="B10" t="n">
        <v>66.68931131118579</v>
      </c>
      <c r="C10" t="n">
        <v>12.70358187885527</v>
      </c>
      <c r="D10" t="n">
        <v>20.5959011972248</v>
      </c>
      <c r="E10" t="n">
        <v>0.0112056127341367</v>
      </c>
    </row>
    <row r="11">
      <c r="A11" s="3" t="n">
        <v>46174</v>
      </c>
      <c r="B11" t="n">
        <v>65.83665814779673</v>
      </c>
      <c r="C11" t="n">
        <v>12.5776900919222</v>
      </c>
      <c r="D11" t="n">
        <v>21.54857459387429</v>
      </c>
      <c r="E11" t="n">
        <v>0.03707716640679452</v>
      </c>
    </row>
    <row r="12">
      <c r="A12" s="3" t="n">
        <v>46181</v>
      </c>
      <c r="B12" t="n">
        <v>64.61325691531795</v>
      </c>
      <c r="C12" t="n">
        <v>13.05439701358587</v>
      </c>
      <c r="D12" t="n">
        <v>21.88952325049659</v>
      </c>
      <c r="E12" t="n">
        <v>0.4428228205996005</v>
      </c>
    </row>
    <row r="13">
      <c r="A13" s="3" t="n">
        <v>46188</v>
      </c>
      <c r="B13" t="n">
        <v>68.60639801630951</v>
      </c>
      <c r="C13" t="n">
        <v>9.162821755426062</v>
      </c>
      <c r="D13" t="n">
        <v>22.0301226032337</v>
      </c>
      <c r="E13" t="n">
        <v>0.2006576250307212</v>
      </c>
    </row>
    <row r="14">
      <c r="A14" s="3" t="n">
        <v>46195</v>
      </c>
      <c r="B14" t="n">
        <v>67.06835662865282</v>
      </c>
      <c r="C14" t="n">
        <v>9.838598387785607</v>
      </c>
      <c r="D14" t="n">
        <v>22.93395572957585</v>
      </c>
      <c r="E14" t="n">
        <v>0.159089253985713</v>
      </c>
    </row>
    <row r="15">
      <c r="A15" s="3" t="n">
        <v>46202</v>
      </c>
      <c r="B15" t="n">
        <v>70.1697484679632</v>
      </c>
      <c r="C15" t="n">
        <v>8.744624034041232</v>
      </c>
      <c r="D15" t="n">
        <v>20.98446727726543</v>
      </c>
      <c r="E15" t="n">
        <v>0.1011602207301399</v>
      </c>
    </row>
    <row r="16">
      <c r="A16" s="3" t="n">
        <v>46209</v>
      </c>
      <c r="B16" t="n">
        <v>73.85022238959466</v>
      </c>
      <c r="C16" t="n">
        <v>9.982809862247631</v>
      </c>
      <c r="D16" t="n">
        <v>15.86829043932489</v>
      </c>
      <c r="E16" t="n">
        <v>0.2986773088328317</v>
      </c>
    </row>
    <row r="17">
      <c r="A17" s="3" t="n">
        <v>46216</v>
      </c>
      <c r="B17" t="n">
        <v>75.77742495688942</v>
      </c>
      <c r="C17" t="n">
        <v>7.845951345996562</v>
      </c>
      <c r="D17" t="n">
        <v>16.362925729455</v>
      </c>
      <c r="E17" t="n">
        <v>0.01369796765901555</v>
      </c>
    </row>
    <row r="18">
      <c r="A18" s="3" t="n">
        <v>46223</v>
      </c>
      <c r="B18" t="n">
        <v>79.02425364828223</v>
      </c>
      <c r="C18" t="n">
        <v>7.160726322426761</v>
      </c>
      <c r="D18" t="n">
        <v>13.80986953764923</v>
      </c>
      <c r="E18" t="n">
        <v>0.005150491641787437</v>
      </c>
    </row>
    <row r="19">
      <c r="A19" s="3" t="n">
        <v>46230</v>
      </c>
      <c r="B19" t="n">
        <v>77.42775696114812</v>
      </c>
      <c r="C19" t="n">
        <v>10.19960189454833</v>
      </c>
      <c r="D19" t="n">
        <v>12.36861754579994</v>
      </c>
      <c r="E19" t="n">
        <v>0.00402359850362008</v>
      </c>
    </row>
    <row r="20">
      <c r="A20" s="3" t="n">
        <v>46237</v>
      </c>
      <c r="B20" t="n">
        <v>71.87410320196696</v>
      </c>
      <c r="C20" t="n">
        <v>11.86106039156081</v>
      </c>
      <c r="D20" t="n">
        <v>16.04586943088007</v>
      </c>
      <c r="E20" t="n">
        <v>0.2189669755921659</v>
      </c>
    </row>
    <row r="21">
      <c r="A21" s="3" t="n">
        <v>46244</v>
      </c>
      <c r="B21" t="n">
        <v>72.03760165733948</v>
      </c>
      <c r="C21" t="n">
        <v>12.96603419786139</v>
      </c>
      <c r="D21" t="n">
        <v>14.88403189074089</v>
      </c>
      <c r="E21" t="n">
        <v>0.1123322540582355</v>
      </c>
    </row>
    <row r="22">
      <c r="A22" s="3" t="n">
        <v>46251</v>
      </c>
      <c r="B22" t="n">
        <v>70.32088085064807</v>
      </c>
      <c r="C22" t="n">
        <v>15.1921513457951</v>
      </c>
      <c r="D22" t="n">
        <v>14.02235076491042</v>
      </c>
      <c r="E22" t="n">
        <v>0.4646170386464078</v>
      </c>
    </row>
    <row r="23">
      <c r="A23" s="3" t="n">
        <v>46258</v>
      </c>
      <c r="B23" t="n">
        <v>68.73381666525654</v>
      </c>
      <c r="C23" t="n">
        <v>17.20810517719649</v>
      </c>
      <c r="D23" t="n">
        <v>13.59637793161939</v>
      </c>
      <c r="E23" t="n">
        <v>0.4617002259275844</v>
      </c>
    </row>
    <row r="24">
      <c r="A24" s="3" t="n">
        <v>46265</v>
      </c>
      <c r="B24" t="n">
        <v>66.80349968826333</v>
      </c>
      <c r="C24" t="n">
        <v>15.16842524139862</v>
      </c>
      <c r="D24" t="n">
        <v>18.003398361508</v>
      </c>
      <c r="E24" t="n">
        <v>0.02467670883004037</v>
      </c>
    </row>
    <row r="25">
      <c r="A25" s="3" t="n">
        <v>46272</v>
      </c>
      <c r="B25" t="n">
        <v>69.98297832387561</v>
      </c>
      <c r="C25" t="n">
        <v>13.51588603419731</v>
      </c>
      <c r="D25" t="n">
        <v>16.41221088505596</v>
      </c>
      <c r="E25" t="n">
        <v>0.08892475687111907</v>
      </c>
    </row>
    <row r="26">
      <c r="A26" s="3" t="n">
        <v>46279</v>
      </c>
      <c r="B26" t="n">
        <v>71.61464802350869</v>
      </c>
      <c r="C26" t="n">
        <v>12.79330187552352</v>
      </c>
      <c r="D26" t="n">
        <v>15.58534164130182</v>
      </c>
      <c r="E26" t="n">
        <v>0.006708459665970608</v>
      </c>
    </row>
    <row r="27">
      <c r="A27" s="3" t="n">
        <v>46286</v>
      </c>
      <c r="B27" t="n">
        <v>69.37037239125561</v>
      </c>
      <c r="C27" t="n">
        <v>14.42082404272304</v>
      </c>
      <c r="D27" t="n">
        <v>16.19000255368892</v>
      </c>
      <c r="E27" t="n">
        <v>0.01880101233242492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2"/>
  <sheetViews>
    <sheetView workbookViewId="0">
      <selection activeCell="A1" sqref="A1"/>
    </sheetView>
  </sheetViews>
  <sheetFormatPr baseColWidth="8" defaultRowHeight="15"/>
  <cols>
    <col width="14" customWidth="1" min="1" max="1"/>
  </cols>
  <sheetData>
    <row r="1">
      <c r="A1" t="inlineStr">
        <is>
          <t>date</t>
        </is>
      </c>
      <c r="B1" t="inlineStr">
        <is>
          <t>drakensberg_close_unit_hours</t>
        </is>
      </c>
      <c r="C1" t="inlineStr">
        <is>
          <t>drakensberg_close_pct_full</t>
        </is>
      </c>
      <c r="D1" t="inlineStr">
        <is>
          <t>drakensberg_low_pct_full</t>
        </is>
      </c>
      <c r="E1" t="inlineStr">
        <is>
          <t>ingula_close_unit_hours</t>
        </is>
      </c>
      <c r="F1" t="inlineStr">
        <is>
          <t>ingula_close_pct_full</t>
        </is>
      </c>
      <c r="G1" t="inlineStr">
        <is>
          <t>ingula_low_pct_full</t>
        </is>
      </c>
      <c r="H1" t="inlineStr">
        <is>
          <t>palmiet_close_unit_hours</t>
        </is>
      </c>
      <c r="I1" t="inlineStr">
        <is>
          <t>palmiet_close_pct_full</t>
        </is>
      </c>
      <c r="J1" t="inlineStr">
        <is>
          <t>palmiet_low_pct_full</t>
        </is>
      </c>
    </row>
    <row r="2">
      <c r="A2" s="3" t="n">
        <v>46279</v>
      </c>
      <c r="B2" t="n">
        <v>90</v>
      </c>
      <c r="C2" t="n">
        <v>88.23529411764706</v>
      </c>
      <c r="D2" t="n">
        <v>87.64705882352942</v>
      </c>
      <c r="E2" t="n">
        <v>41.51</v>
      </c>
      <c r="F2" t="n">
        <v>61.95522388059701</v>
      </c>
      <c r="G2" t="n">
        <v>60.71641791044776</v>
      </c>
      <c r="H2" t="n">
        <v>48.8</v>
      </c>
      <c r="I2" t="n">
        <v>83.13458262350936</v>
      </c>
      <c r="J2" t="n">
        <v>77.68313458262351</v>
      </c>
    </row>
    <row r="3">
      <c r="A3" s="3" t="n">
        <v>46280</v>
      </c>
      <c r="B3" t="n">
        <v>90.59999999999999</v>
      </c>
      <c r="C3" t="n">
        <v>88.8235294117647</v>
      </c>
      <c r="D3" t="n">
        <v>88.52941176470588</v>
      </c>
      <c r="E3" t="n">
        <v>40.86</v>
      </c>
      <c r="F3" t="n">
        <v>60.98507462686567</v>
      </c>
      <c r="G3" t="n">
        <v>60.98507462686567</v>
      </c>
      <c r="H3" t="n">
        <v>43.3</v>
      </c>
      <c r="I3" t="n">
        <v>73.76490630323678</v>
      </c>
      <c r="J3" t="n">
        <v>73.76490630323678</v>
      </c>
    </row>
    <row r="4">
      <c r="A4" s="3" t="n">
        <v>46281</v>
      </c>
      <c r="B4" t="n">
        <v>86.2</v>
      </c>
      <c r="C4" t="n">
        <v>84.50980392156863</v>
      </c>
      <c r="D4" t="n">
        <v>84.50980392156863</v>
      </c>
      <c r="E4" t="n">
        <v>31.17</v>
      </c>
      <c r="F4" t="n">
        <v>46.5223880597015</v>
      </c>
      <c r="G4" t="n">
        <v>45.98507462686567</v>
      </c>
      <c r="H4" t="n">
        <v>38.5</v>
      </c>
      <c r="I4" t="n">
        <v>65.58773424190801</v>
      </c>
      <c r="J4" t="n">
        <v>65.58773424190801</v>
      </c>
    </row>
    <row r="5">
      <c r="A5" s="3" t="n">
        <v>46282</v>
      </c>
      <c r="B5" t="n">
        <v>84.2</v>
      </c>
      <c r="C5" t="n">
        <v>82.54901960784315</v>
      </c>
      <c r="D5" t="n">
        <v>82.15686274509802</v>
      </c>
      <c r="E5" t="n">
        <v>32.94</v>
      </c>
      <c r="F5" t="n">
        <v>49.1641791044776</v>
      </c>
      <c r="G5" t="n">
        <v>44.86567164179105</v>
      </c>
      <c r="H5" t="n">
        <v>34.9</v>
      </c>
      <c r="I5" t="n">
        <v>59.45485519591141</v>
      </c>
      <c r="J5" t="n">
        <v>56.04770017035775</v>
      </c>
    </row>
    <row r="6">
      <c r="A6" s="3" t="n">
        <v>46283</v>
      </c>
      <c r="B6" t="n">
        <v>83.79999999999998</v>
      </c>
      <c r="C6" t="n">
        <v>82.15686274509802</v>
      </c>
      <c r="D6" t="n">
        <v>81.37254901960785</v>
      </c>
      <c r="E6" t="n">
        <v>37.47</v>
      </c>
      <c r="F6" t="n">
        <v>55.92537313432836</v>
      </c>
      <c r="G6" t="n">
        <v>52.44776119402985</v>
      </c>
      <c r="H6" t="n">
        <v>38.5</v>
      </c>
      <c r="I6" t="n">
        <v>65.58773424190801</v>
      </c>
      <c r="J6" t="n">
        <v>60.81771720613288</v>
      </c>
    </row>
    <row r="7">
      <c r="A7" s="3" t="n">
        <v>46284</v>
      </c>
      <c r="B7" t="n">
        <v>84.59999999999998</v>
      </c>
      <c r="C7" t="n">
        <v>82.94117647058822</v>
      </c>
      <c r="D7" t="n">
        <v>82.15686274509802</v>
      </c>
      <c r="E7" t="n">
        <v>29.49</v>
      </c>
      <c r="F7" t="n">
        <v>44.01492537313433</v>
      </c>
      <c r="G7" t="n">
        <v>43.53731343283582</v>
      </c>
      <c r="H7" t="n">
        <v>35.7</v>
      </c>
      <c r="I7" t="n">
        <v>60.81771720613288</v>
      </c>
      <c r="J7" t="n">
        <v>60.81771720613288</v>
      </c>
    </row>
    <row r="8">
      <c r="A8" s="3" t="n">
        <v>46285</v>
      </c>
      <c r="B8" t="n">
        <v>85.40000000000001</v>
      </c>
      <c r="C8" t="n">
        <v>83.72549019607844</v>
      </c>
      <c r="D8" t="n">
        <v>83.72549019607844</v>
      </c>
      <c r="E8" t="n">
        <v>32.38</v>
      </c>
      <c r="F8" t="n">
        <v>48.32835820895523</v>
      </c>
      <c r="G8" t="n">
        <v>45.8955223880597</v>
      </c>
      <c r="H8" t="n">
        <v>39.7</v>
      </c>
      <c r="I8" t="n">
        <v>67.6320272572402</v>
      </c>
      <c r="J8" t="n">
        <v>62.86201022146507</v>
      </c>
    </row>
    <row r="9">
      <c r="A9" s="3" t="n">
        <v>46286</v>
      </c>
      <c r="B9" t="n">
        <v>89.40000000000001</v>
      </c>
      <c r="C9" t="n">
        <v>87.64705882352942</v>
      </c>
      <c r="D9" t="n">
        <v>84.11764705882351</v>
      </c>
      <c r="E9" t="n">
        <v>29.81</v>
      </c>
      <c r="F9" t="n">
        <v>44.49253731343283</v>
      </c>
      <c r="G9" t="n">
        <v>39.91044776119403</v>
      </c>
      <c r="H9" t="n">
        <v>37.7</v>
      </c>
      <c r="I9" t="n">
        <v>64.22487223168655</v>
      </c>
      <c r="J9" t="n">
        <v>62.86201022146507</v>
      </c>
    </row>
    <row r="10">
      <c r="A10" s="3" t="n">
        <v>46287</v>
      </c>
      <c r="B10" t="n">
        <v>89.40000000000001</v>
      </c>
      <c r="C10" t="n">
        <v>87.64705882352942</v>
      </c>
      <c r="D10" t="n">
        <v>86.8627450980392</v>
      </c>
      <c r="E10" t="n">
        <v>33.62</v>
      </c>
      <c r="F10" t="n">
        <v>50.17910447761194</v>
      </c>
      <c r="G10" t="n">
        <v>47.95522388059702</v>
      </c>
      <c r="H10" t="n">
        <v>43.7</v>
      </c>
      <c r="I10" t="n">
        <v>74.44633730834754</v>
      </c>
      <c r="J10" t="n">
        <v>64.90630323679727</v>
      </c>
    </row>
    <row r="11">
      <c r="A11" s="3" t="n">
        <v>46288</v>
      </c>
      <c r="B11" t="n">
        <v>90.3</v>
      </c>
      <c r="C11" t="n">
        <v>88.52941176470588</v>
      </c>
      <c r="D11" t="n">
        <v>87.94117647058823</v>
      </c>
      <c r="E11" t="n">
        <v>29.55</v>
      </c>
      <c r="F11" t="n">
        <v>44.1044776119403</v>
      </c>
      <c r="G11" t="n">
        <v>44.1044776119403</v>
      </c>
      <c r="H11" t="n">
        <v>42</v>
      </c>
      <c r="I11" t="n">
        <v>71.55025553662692</v>
      </c>
      <c r="J11" t="n">
        <v>71.55025553662692</v>
      </c>
    </row>
    <row r="12">
      <c r="A12" s="3" t="n">
        <v>46289</v>
      </c>
      <c r="B12" t="n">
        <v>89.7</v>
      </c>
      <c r="C12" t="n">
        <v>87.94117647058823</v>
      </c>
      <c r="D12" t="n">
        <v>87.94117647058823</v>
      </c>
      <c r="E12" t="n">
        <v>28.66</v>
      </c>
      <c r="F12" t="n">
        <v>42.77611940298507</v>
      </c>
      <c r="G12" t="n">
        <v>42.77611940298507</v>
      </c>
      <c r="H12" t="n">
        <v>41.7</v>
      </c>
      <c r="I12" t="n">
        <v>71.03918228279386</v>
      </c>
      <c r="J12" t="n">
        <v>66.26916524701873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14" customWidth="1" min="1" max="1"/>
  </cols>
  <sheetData>
    <row r="1">
      <c r="A1" t="inlineStr">
        <is>
          <t>date</t>
        </is>
      </c>
      <c r="B1" t="inlineStr">
        <is>
          <t>load_shed_avg_mw</t>
        </is>
      </c>
      <c r="C1" t="inlineStr">
        <is>
          <t>load_shed_peak_mw</t>
        </is>
      </c>
      <c r="D1" t="inlineStr">
        <is>
          <t>hours_with_load_shedding</t>
        </is>
      </c>
    </row>
    <row r="2">
      <c r="A2" s="3" t="n">
        <v>46279</v>
      </c>
      <c r="B2" t="n">
        <v>0</v>
      </c>
      <c r="C2" t="n">
        <v>0</v>
      </c>
      <c r="D2" t="n">
        <v>0</v>
      </c>
    </row>
    <row r="3">
      <c r="A3" s="3" t="n">
        <v>46280</v>
      </c>
      <c r="B3" t="n">
        <v>0</v>
      </c>
      <c r="C3" t="n">
        <v>0</v>
      </c>
      <c r="D3" t="n">
        <v>0</v>
      </c>
    </row>
    <row r="4">
      <c r="A4" s="3" t="n">
        <v>46281</v>
      </c>
      <c r="B4" t="n">
        <v>0</v>
      </c>
      <c r="C4" t="n">
        <v>0</v>
      </c>
      <c r="D4" t="n">
        <v>0</v>
      </c>
    </row>
    <row r="5">
      <c r="A5" s="3" t="n">
        <v>46282</v>
      </c>
      <c r="B5" t="n">
        <v>0</v>
      </c>
      <c r="C5" t="n">
        <v>0</v>
      </c>
      <c r="D5" t="n">
        <v>0</v>
      </c>
    </row>
    <row r="6">
      <c r="A6" s="3" t="n">
        <v>46283</v>
      </c>
      <c r="B6" t="n">
        <v>0</v>
      </c>
      <c r="C6" t="n">
        <v>0</v>
      </c>
      <c r="D6" t="n">
        <v>0</v>
      </c>
    </row>
    <row r="7">
      <c r="A7" s="3" t="n">
        <v>46284</v>
      </c>
      <c r="B7" t="n">
        <v>0</v>
      </c>
      <c r="C7" t="n">
        <v>0</v>
      </c>
      <c r="D7" t="n">
        <v>0</v>
      </c>
    </row>
    <row r="8">
      <c r="A8" s="3" t="n">
        <v>46285</v>
      </c>
      <c r="B8" t="n">
        <v>0</v>
      </c>
      <c r="C8" t="n">
        <v>0</v>
      </c>
      <c r="D8" t="n">
        <v>0</v>
      </c>
    </row>
    <row r="9">
      <c r="A9" s="3" t="n">
        <v>46286</v>
      </c>
      <c r="B9" t="n">
        <v>0</v>
      </c>
      <c r="C9" t="n">
        <v>0</v>
      </c>
      <c r="D9" t="n">
        <v>0</v>
      </c>
    </row>
    <row r="10">
      <c r="A10" s="3" t="n">
        <v>46287</v>
      </c>
      <c r="B10" t="n">
        <v>0</v>
      </c>
      <c r="C10" t="n">
        <v>0</v>
      </c>
      <c r="D10" t="n">
        <v>0</v>
      </c>
    </row>
    <row r="11">
      <c r="A11" s="3" t="n">
        <v>46288</v>
      </c>
      <c r="B11" t="n">
        <v>0</v>
      </c>
      <c r="C11" t="n">
        <v>0</v>
      </c>
      <c r="D11" t="n">
        <v>0</v>
      </c>
    </row>
    <row r="12">
      <c r="A12" s="3" t="n">
        <v>46289</v>
      </c>
      <c r="B12" t="n">
        <v>0</v>
      </c>
      <c r="C12" t="n">
        <v>0</v>
      </c>
      <c r="D12"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2026-10-01T06:04:10Z</dcterms:created>
  <dcterms:modified xsi:type="dcterms:W3CDTF">2026-10-01T06:04:11Z</dcterms:modified>
</cp:coreProperties>
</file>