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Chart - Supply" sheetId="3" state="visible" r:id="rId3"/>
    <sheet name="Demand by sector" sheetId="4" state="visible" r:id="rId4"/>
    <sheet name="Supply by source"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mmm/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rPr sz="1200" b="1"/>
              <a:t>Colombia gas demand by sector (to Sep/26)</a:t>
            </a:r>
          </a:p>
        </rich>
      </tx>
      <overlay val="0"/>
    </title>
    <plotArea>
      <barChart>
        <barDir val="col"/>
        <grouping val="stacked"/>
        <ser>
          <idx val="0"/>
          <order val="0"/>
          <tx>
            <strRef>
              <f>'Chart'!B1</f>
            </strRef>
          </tx>
          <spPr>
            <a:solidFill>
              <a:srgbClr val="2A78D6"/>
            </a:solidFill>
            <a:ln>
              <a:noFill/>
              <a:prstDash val="solid"/>
            </a:ln>
          </spPr>
          <cat>
            <numRef>
              <f>'Chart'!$A$2:$A$70</f>
            </numRef>
          </cat>
          <val>
            <numRef>
              <f>'Chart'!$B$2:$B$70</f>
            </numRef>
          </val>
        </ser>
        <ser>
          <idx val="1"/>
          <order val="1"/>
          <tx>
            <strRef>
              <f>'Chart'!C1</f>
            </strRef>
          </tx>
          <spPr>
            <a:solidFill>
              <a:srgbClr val="EB6834"/>
            </a:solidFill>
            <a:ln>
              <a:noFill/>
              <a:prstDash val="solid"/>
            </a:ln>
          </spPr>
          <cat>
            <numRef>
              <f>'Chart'!$A$2:$A$70</f>
            </numRef>
          </cat>
          <val>
            <numRef>
              <f>'Chart'!$C$2:$C$70</f>
            </numRef>
          </val>
        </ser>
        <ser>
          <idx val="2"/>
          <order val="2"/>
          <tx>
            <strRef>
              <f>'Chart'!D1</f>
            </strRef>
          </tx>
          <spPr>
            <a:solidFill>
              <a:srgbClr val="1BAF7A"/>
            </a:solidFill>
            <a:ln>
              <a:noFill/>
              <a:prstDash val="solid"/>
            </a:ln>
          </spPr>
          <cat>
            <numRef>
              <f>'Chart'!$A$2:$A$70</f>
            </numRef>
          </cat>
          <val>
            <numRef>
              <f>'Chart'!$D$2:$D$70</f>
            </numRef>
          </val>
        </ser>
        <ser>
          <idx val="3"/>
          <order val="3"/>
          <tx>
            <strRef>
              <f>'Chart'!E1</f>
            </strRef>
          </tx>
          <spPr>
            <a:solidFill>
              <a:srgbClr val="EDA100"/>
            </a:solidFill>
            <a:ln>
              <a:noFill/>
              <a:prstDash val="solid"/>
            </a:ln>
          </spPr>
          <cat>
            <numRef>
              <f>'Chart'!$A$2:$A$70</f>
            </numRef>
          </cat>
          <val>
            <numRef>
              <f>'Chart'!$E$2:$E$70</f>
            </numRef>
          </val>
        </ser>
        <ser>
          <idx val="4"/>
          <order val="4"/>
          <tx>
            <strRef>
              <f>'Chart'!F1</f>
            </strRef>
          </tx>
          <spPr>
            <a:solidFill>
              <a:srgbClr val="E87BA4"/>
            </a:solidFill>
            <a:ln>
              <a:noFill/>
              <a:prstDash val="solid"/>
            </a:ln>
          </spPr>
          <cat>
            <numRef>
              <f>'Chart'!$A$2:$A$70</f>
            </numRef>
          </cat>
          <val>
            <numRef>
              <f>'Chart'!$F$2:$F$70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mcm/d (1,000 Btu/cf)</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Colombia gas supply by source vs demand (to Sep/26)</a:t>
            </a:r>
          </a:p>
        </rich>
      </tx>
      <overlay val="0"/>
    </title>
    <plotArea>
      <barChart>
        <barDir val="col"/>
        <grouping val="stacked"/>
        <ser>
          <idx val="0"/>
          <order val="0"/>
          <tx>
            <strRef>
              <f>'Chart - Supply'!B1</f>
            </strRef>
          </tx>
          <spPr>
            <a:solidFill>
              <a:srgbClr val="2A78D6"/>
            </a:solidFill>
            <a:ln>
              <a:noFill/>
              <a:prstDash val="solid"/>
            </a:ln>
          </spPr>
          <cat>
            <numRef>
              <f>'Chart - Supply'!$A$2:$A$70</f>
            </numRef>
          </cat>
          <val>
            <numRef>
              <f>'Chart - Supply'!$B$2:$B$70</f>
            </numRef>
          </val>
        </ser>
        <ser>
          <idx val="1"/>
          <order val="1"/>
          <tx>
            <strRef>
              <f>'Chart - Supply'!C1</f>
            </strRef>
          </tx>
          <spPr>
            <a:solidFill>
              <a:srgbClr val="EB6834"/>
            </a:solidFill>
            <a:ln>
              <a:noFill/>
              <a:prstDash val="solid"/>
            </a:ln>
          </spPr>
          <cat>
            <numRef>
              <f>'Chart - Supply'!$A$2:$A$70</f>
            </numRef>
          </cat>
          <val>
            <numRef>
              <f>'Chart - Supply'!$C$2:$C$70</f>
            </numRef>
          </val>
        </ser>
        <ser>
          <idx val="2"/>
          <order val="2"/>
          <tx>
            <strRef>
              <f>'Chart - Supply'!D1</f>
            </strRef>
          </tx>
          <spPr>
            <a:solidFill>
              <a:srgbClr val="1BAF7A"/>
            </a:solidFill>
            <a:ln>
              <a:noFill/>
              <a:prstDash val="solid"/>
            </a:ln>
          </spPr>
          <cat>
            <numRef>
              <f>'Chart - Supply'!$A$2:$A$70</f>
            </numRef>
          </cat>
          <val>
            <numRef>
              <f>'Chart - Supply'!$D$2:$D$70</f>
            </numRef>
          </val>
        </ser>
        <ser>
          <idx val="3"/>
          <order val="3"/>
          <tx>
            <strRef>
              <f>'Chart - Supply'!E1</f>
            </strRef>
          </tx>
          <spPr>
            <a:solidFill>
              <a:srgbClr val="9A9A9A"/>
            </a:solidFill>
            <a:ln>
              <a:noFill/>
              <a:prstDash val="solid"/>
            </a:ln>
          </spPr>
          <cat>
            <numRef>
              <f>'Chart - Supply'!$A$2:$A$70</f>
            </numRef>
          </cat>
          <val>
            <numRef>
              <f>'Chart - Supply'!$E$2:$E$70</f>
            </numRef>
          </val>
        </ser>
        <ser>
          <idx val="4"/>
          <order val="4"/>
          <tx>
            <strRef>
              <f>'Chart - Supply'!F1</f>
            </strRef>
          </tx>
          <spPr>
            <a:solidFill>
              <a:srgbClr val="E87BA4"/>
            </a:solidFill>
            <a:ln>
              <a:noFill/>
              <a:prstDash val="solid"/>
            </a:ln>
          </spPr>
          <cat>
            <numRef>
              <f>'Chart - Supply'!$A$2:$A$70</f>
            </numRef>
          </cat>
          <val>
            <numRef>
              <f>'Chart - Supply'!$F$2:$F$70</f>
            </numRef>
          </val>
        </ser>
        <gapWidth val="30"/>
        <overlap val="100"/>
        <axId val="10"/>
        <axId val="100"/>
      </barChart>
      <lineChart>
        <grouping val="standard"/>
        <ser>
          <idx val="5"/>
          <order val="5"/>
          <tx>
            <strRef>
              <f>'Chart - Supply'!G1</f>
            </strRef>
          </tx>
          <spPr>
            <a:ln w="28575">
              <a:solidFill>
                <a:srgbClr val="252525"/>
              </a:solidFill>
              <a:prstDash val="solid"/>
            </a:ln>
          </spPr>
          <marker>
            <symbol val="none"/>
            <spPr>
              <a:ln>
                <a:prstDash val="solid"/>
              </a:ln>
            </spPr>
          </marker>
          <cat>
            <numRef>
              <f>'Chart - Supply'!$A$2:$A$70</f>
            </numRef>
          </cat>
          <val>
            <numRef>
              <f>'Chart - Supply'!$G$2:$G$70</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mcm/d (1,000 Btu/cf)</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GBTUD = billion BTU per day, the month's average daily energy delivered to end users. 1 GBTUD is about 0.027 million m3/day (roughly 1 MMcf/d) at Colombian gas heating values.</t>
        </is>
      </c>
    </row>
    <row r="4"/>
    <row r="5">
      <c r="A5" s="1" t="inlineStr">
        <is>
          <t>SECTORS</t>
        </is>
      </c>
    </row>
    <row r="6">
      <c r="A6" t="inlineStr">
        <is>
          <t>Power (gas-fired thermal plants), Industrial, Residential, Commercial, Vehicle_CNG (GNVC), Refinery, Petrochemical, Oil_sector ('Petrolero' - oil-industry use, reported separately from Aug 2025; before that it was inside Industrial, so add the two for a consistent industrial series), Compressors (gas burned by pipeline compressor stations on the national grid, SNT). Each is Costa (Caribbean coast) + Interior, as published.</t>
        </is>
      </c>
    </row>
    <row r="7"/>
    <row r="8">
      <c r="A8" s="1" t="inlineStr">
        <is>
          <t>CHECKS</t>
        </is>
      </c>
    </row>
    <row r="9">
      <c r="A9" t="inlineStr">
        <is>
          <t>Sum_of_sectors is compared to Reported_total, the report's headline 'demanda promedio' figure. Source says which table was read. 'department table' means the regional table could not be read, so Power is Reported_total minus the other sectors.</t>
        </is>
      </c>
    </row>
    <row r="10"/>
    <row r="11">
      <c r="A11" s="1" t="inlineStr">
        <is>
          <t>SUPPLY</t>
        </is>
      </c>
    </row>
    <row r="12">
      <c r="A12" t="inlineStr">
        <is>
          <t>Sheet 'Supply by source': the report's 'Suministro por fuente' table (section I. OFERTA), the month's average daily gas supplied by each source in GBTUD, whole numbers as published. Each source is gas delivered into the national transport system (SNT) plus gas delivered to others (dedicated pipelines, CNG and isolated fields), so Total_supply is above the SNT demand on 'Demand by sector'. Supply_to_SNT is the SNT part only, comparable with Total_demand_SNT (= Reported_total).</t>
        </is>
      </c>
    </row>
    <row r="13">
      <c r="A13" t="inlineStr">
        <is>
          <t>Domestic_production = the table's national production row ('Potencial Producción Nacional' / 'Total Potencial de Producción'), supply column. Field groups: Piedemonte_Cusiana_Cupiagua = Cusiana, Cupiagua, Cupiagua Sur, Pauto Sur and Floreña (Llanos foothills, operated by Ecopetrol); Guajira_Chuchupa_Ballena = Chuchupa and Ballena (La Guajira); Canacol_VIM5_VIM21_Esperanza = the Sinú-San Jacinto blocks VIM-5, VIM-21 and Esperanza (Clarinete, Pandereta, Nelson and the rest). Other_fields = Domestic_production minus those groups (Gibraltar, Bonga/Mamey, Bullerengue, Istanbul and the smaller interior and coast fields). The report's row list changed over time; Field_rows keeps the rows read each month. Until May 2024 the table lists only Bloque VIM 5 (and Nelson) separately, with the VIM-21 and Esperanza fields inside 'Otras Fuentes'; from Jun 2024 those blocks have their own rows, so the Canacol group steps up (~+50 GBTUD) and Other_fields steps down then - a change in the report's breakdown, not in production. Domestic_production is unaffected.</t>
        </is>
      </c>
    </row>
    <row r="14">
      <c r="A14" t="inlineStr">
        <is>
          <t>LNG_imports_SPEC = regasified LNG from the SPEC terminal at Cartagena ('Planta Regasificación Cartagena'); LNG_regas_capacity is the plant capacity the report states. Production_potential is the declared production potential (Ministerio de Minas y Energía) for the month.</t>
        </is>
      </c>
    </row>
    <row r="15">
      <c r="A15" t="inlineStr">
        <is>
          <t>Venezuela_imports: the table has no Venezuela row in this period, so the column is blank (no pipeline imports reported); it fills only if the report adds such a row.</t>
        </is>
      </c>
    </row>
    <row r="16">
      <c r="A16" t="inlineStr">
        <is>
          <t>mcm/d columns (*_mcmd) = GBTUD x 0.0283: 1 GBTU = 1 million cubic feet at an assumed heating value of 1,000 BTU per cubic foot = 0.0283 million m3. Colombian gas is often 1,000-1,100 BTU/cf, so the physical volume can be up to ~10% lower.</t>
        </is>
      </c>
    </row>
    <row r="17">
      <c r="A17" t="inlineStr">
        <is>
          <t>Checks: Check_sources_vs_total = Domestic + LNG (+ Venezuela) minus the table's Total (0 or +/-1 from rounding); Check_fields_vs_domestic = sum of the field rows minus Domestic_production. Method: 'text' = read from the PDF text; 'OCR' = the table is an image in that report (late 2023 to mid 2024) and was read with OCR, kept only when both checks pass and the total matches the report's 'Suministro Prom.' profile figure. Months whose table could not be read reliably are left out rather than estimated.</t>
        </is>
      </c>
    </row>
    <row r="18"/>
    <row r="19">
      <c r="A19" s="1" t="inlineStr">
        <is>
          <t>SOURCE</t>
        </is>
      </c>
    </row>
    <row r="20">
      <c r="A20" t="inlineStr">
        <is>
          <t>Gestor del Mercado de Gas Natural (Bolsa Mercantil de Colombia), monthly reports: https://www.bmcbec.com.co/informes/informes-mensuales. Report holds the PDF used for each month. Figures come from SEGAS end-user delivery reports and may include estimates for distribution-network sectors. Supply: SEGAS and Ministerio de Minas y Energía, as cited in the 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11" customWidth="1" min="1" max="1"/>
  </cols>
  <sheetData>
    <row r="1">
      <c r="A1" t="inlineStr">
        <is>
          <t>Date</t>
        </is>
      </c>
      <c r="B1" t="inlineStr">
        <is>
          <t>Power</t>
        </is>
      </c>
      <c r="C1" t="inlineStr">
        <is>
          <t>Industrial (incl. oil sector)</t>
        </is>
      </c>
      <c r="D1" t="inlineStr">
        <is>
          <t>Residential &amp; commercial</t>
        </is>
      </c>
      <c r="E1" t="inlineStr">
        <is>
          <t>Refinery &amp; petrochemical</t>
        </is>
      </c>
      <c r="F1" t="inlineStr">
        <is>
          <t>Vehicle CNG &amp; compressors</t>
        </is>
      </c>
    </row>
    <row r="2">
      <c r="A2" s="2" t="n">
        <v>44197</v>
      </c>
      <c r="B2" t="n">
        <v>5.4053</v>
      </c>
      <c r="C2" t="n">
        <v>7.3014</v>
      </c>
      <c r="D2" t="n">
        <v>5.858099999999999</v>
      </c>
      <c r="E2" t="n">
        <v>4.6412</v>
      </c>
      <c r="F2" t="n">
        <v>1.6414</v>
      </c>
    </row>
    <row r="3">
      <c r="A3" s="2" t="n">
        <v>44228</v>
      </c>
      <c r="B3" t="n">
        <v>6.1128</v>
      </c>
      <c r="C3" t="n">
        <v>7.8108</v>
      </c>
      <c r="D3" t="n">
        <v>6.226</v>
      </c>
      <c r="E3" t="n">
        <v>4.5846</v>
      </c>
      <c r="F3" t="n">
        <v>1.8395</v>
      </c>
    </row>
    <row r="4">
      <c r="A4" s="2" t="n">
        <v>44256</v>
      </c>
      <c r="B4" t="n">
        <v>5.0657</v>
      </c>
      <c r="C4" t="n">
        <v>7.5844</v>
      </c>
      <c r="D4" t="n">
        <v>6.3392</v>
      </c>
      <c r="E4" t="n">
        <v>4.3016</v>
      </c>
      <c r="F4" t="n">
        <v>1.79422</v>
      </c>
    </row>
    <row r="5">
      <c r="A5" s="2" t="n">
        <v>44287</v>
      </c>
      <c r="B5" t="n">
        <v>4.4997</v>
      </c>
      <c r="C5" t="n">
        <v>7.2448</v>
      </c>
      <c r="D5" t="n">
        <v>5.9996</v>
      </c>
      <c r="E5" t="n">
        <v>4.5563</v>
      </c>
      <c r="F5" t="n">
        <v>1.64989</v>
      </c>
    </row>
    <row r="6">
      <c r="A6" s="2" t="n">
        <v>44317</v>
      </c>
      <c r="B6" t="n">
        <v>4.329899999999999</v>
      </c>
      <c r="C6" t="n">
        <v>6.508999999999999</v>
      </c>
      <c r="D6" t="n">
        <v>5.971299999999999</v>
      </c>
      <c r="E6" t="n">
        <v>4.0469</v>
      </c>
      <c r="F6" t="n">
        <v>1.4999</v>
      </c>
    </row>
    <row r="7">
      <c r="A7" s="2" t="n">
        <v>44348</v>
      </c>
      <c r="B7" t="n">
        <v>5.093999999999999</v>
      </c>
      <c r="C7" t="n">
        <v>7.358</v>
      </c>
      <c r="D7" t="n">
        <v>6.226</v>
      </c>
      <c r="E7" t="n">
        <v>4.329899999999999</v>
      </c>
      <c r="F7" t="n">
        <v>1.70932</v>
      </c>
    </row>
    <row r="8">
      <c r="A8" s="2" t="n">
        <v>44378</v>
      </c>
      <c r="B8" t="n">
        <v>5.631699999999999</v>
      </c>
      <c r="C8" t="n">
        <v>7.273099999999999</v>
      </c>
      <c r="D8" t="n">
        <v>6.197699999999999</v>
      </c>
      <c r="E8" t="n">
        <v>4.2733</v>
      </c>
      <c r="F8" t="n">
        <v>1.8395</v>
      </c>
    </row>
    <row r="9">
      <c r="A9" s="2" t="n">
        <v>44409</v>
      </c>
      <c r="B9" t="n">
        <v>5.6034</v>
      </c>
      <c r="C9" t="n">
        <v>7.4429</v>
      </c>
      <c r="D9" t="n">
        <v>6.2543</v>
      </c>
      <c r="E9" t="n">
        <v>3.6224</v>
      </c>
      <c r="F9" t="n">
        <v>1.8112</v>
      </c>
    </row>
    <row r="10">
      <c r="A10" s="2" t="n">
        <v>44440</v>
      </c>
      <c r="B10" t="n">
        <v>5.5751</v>
      </c>
      <c r="C10" t="n">
        <v>7.6693</v>
      </c>
      <c r="D10" t="n">
        <v>6.395799999999999</v>
      </c>
      <c r="E10" t="n">
        <v>3.5941</v>
      </c>
      <c r="F10" t="n">
        <v>1.8678</v>
      </c>
    </row>
    <row r="11">
      <c r="A11" s="2" t="n">
        <v>44470</v>
      </c>
      <c r="B11" t="n">
        <v>5.8298</v>
      </c>
      <c r="C11" t="n">
        <v>7.923999999999999</v>
      </c>
      <c r="D11" t="n">
        <v>6.310899999999999</v>
      </c>
      <c r="E11" t="n">
        <v>3.6507</v>
      </c>
      <c r="F11" t="n">
        <v>1.8961</v>
      </c>
    </row>
    <row r="12">
      <c r="A12" s="2" t="n">
        <v>44501</v>
      </c>
      <c r="B12" t="n">
        <v>5.8864</v>
      </c>
      <c r="C12" t="n">
        <v>7.8957</v>
      </c>
      <c r="D12" t="n">
        <v>6.3392</v>
      </c>
      <c r="E12" t="n">
        <v>3.9903</v>
      </c>
      <c r="F12" t="n">
        <v>1.9244</v>
      </c>
    </row>
    <row r="13">
      <c r="A13" s="2" t="n">
        <v>44531</v>
      </c>
      <c r="B13" t="n">
        <v>6.226</v>
      </c>
      <c r="C13" t="n">
        <v>7.725899999999999</v>
      </c>
      <c r="D13" t="n">
        <v>6.197699999999999</v>
      </c>
      <c r="E13" t="n">
        <v>4.6129</v>
      </c>
      <c r="F13" t="n">
        <v>1.8395</v>
      </c>
    </row>
    <row r="14">
      <c r="A14" s="2" t="n">
        <v>44562</v>
      </c>
      <c r="B14" t="n">
        <v>5.6034</v>
      </c>
      <c r="C14" t="n">
        <v>7.7825</v>
      </c>
      <c r="D14" t="n">
        <v>5.9996</v>
      </c>
      <c r="E14" t="n">
        <v>4.103499999999999</v>
      </c>
      <c r="F14" t="n">
        <v>1.5565</v>
      </c>
    </row>
    <row r="15">
      <c r="A15" s="2" t="n">
        <v>44593</v>
      </c>
      <c r="B15" t="n">
        <v>6.4807</v>
      </c>
      <c r="C15" t="n">
        <v>8.235300000000001</v>
      </c>
      <c r="D15" t="n">
        <v>6.4241</v>
      </c>
      <c r="E15" t="n">
        <v>3.8771</v>
      </c>
      <c r="F15" t="n">
        <v>1.7546</v>
      </c>
    </row>
    <row r="16">
      <c r="A16" s="2" t="n">
        <v>44621</v>
      </c>
      <c r="B16" t="n">
        <v>6.508999999999999</v>
      </c>
      <c r="C16" t="n">
        <v>8.178699999999999</v>
      </c>
      <c r="D16" t="n">
        <v>6.4807</v>
      </c>
      <c r="E16" t="n">
        <v>4.0752</v>
      </c>
      <c r="F16" t="n">
        <v>1.7829</v>
      </c>
    </row>
    <row r="17">
      <c r="A17" s="2" t="n">
        <v>44652</v>
      </c>
      <c r="B17" t="n">
        <v>5.943</v>
      </c>
      <c r="C17" t="n">
        <v>8.5183</v>
      </c>
      <c r="D17" t="n">
        <v>6.3392</v>
      </c>
      <c r="E17" t="n">
        <v>4.443099999999999</v>
      </c>
      <c r="F17" t="n">
        <v>1.71215</v>
      </c>
    </row>
    <row r="18">
      <c r="A18" s="2" t="n">
        <v>44682</v>
      </c>
      <c r="B18" t="n">
        <v>6.084499999999999</v>
      </c>
      <c r="C18" t="n">
        <v>8.3485</v>
      </c>
      <c r="D18" t="n">
        <v>6.4807</v>
      </c>
      <c r="E18" t="n">
        <v>4.7544</v>
      </c>
      <c r="F18" t="n">
        <v>1.8112</v>
      </c>
    </row>
    <row r="19">
      <c r="A19" s="2" t="n">
        <v>44713</v>
      </c>
      <c r="B19" t="n">
        <v>5.8298</v>
      </c>
      <c r="C19" t="n">
        <v>7.9806</v>
      </c>
      <c r="D19" t="n">
        <v>6.5939</v>
      </c>
      <c r="E19" t="n">
        <v>4.4997</v>
      </c>
      <c r="F19" t="n">
        <v>1.8112</v>
      </c>
    </row>
    <row r="20">
      <c r="A20" s="2" t="n">
        <v>44743</v>
      </c>
      <c r="B20" t="n">
        <v>6.622199999999999</v>
      </c>
      <c r="C20" t="n">
        <v>8.0372</v>
      </c>
      <c r="D20" t="n">
        <v>6.3675</v>
      </c>
      <c r="E20" t="n">
        <v>4.7544</v>
      </c>
      <c r="F20" t="n">
        <v>1.7546</v>
      </c>
    </row>
    <row r="21">
      <c r="A21" s="2" t="n">
        <v>44774</v>
      </c>
      <c r="B21" t="n">
        <v>5.3487</v>
      </c>
      <c r="C21" t="n">
        <v>7.8957</v>
      </c>
      <c r="D21" t="n">
        <v>6.735399999999999</v>
      </c>
      <c r="E21" t="n">
        <v>4.980799999999999</v>
      </c>
      <c r="F21" t="n">
        <v>1.8112</v>
      </c>
    </row>
    <row r="22">
      <c r="A22" s="2" t="n">
        <v>44805</v>
      </c>
      <c r="B22" t="n">
        <v>5.2921</v>
      </c>
      <c r="C22" t="n">
        <v>7.839099999999999</v>
      </c>
      <c r="D22" t="n">
        <v>6.792</v>
      </c>
      <c r="E22" t="n">
        <v>5.207199999999999</v>
      </c>
      <c r="F22" t="n">
        <v>1.8112</v>
      </c>
    </row>
    <row r="23">
      <c r="A23" s="2" t="n">
        <v>44835</v>
      </c>
      <c r="B23" t="n">
        <v>3.8488</v>
      </c>
      <c r="C23" t="n">
        <v>7.0184</v>
      </c>
      <c r="D23" t="n">
        <v>6.6505</v>
      </c>
      <c r="E23" t="n">
        <v>4.2733</v>
      </c>
      <c r="F23" t="n">
        <v>1.7263</v>
      </c>
    </row>
    <row r="24">
      <c r="A24" s="2" t="n">
        <v>44866</v>
      </c>
      <c r="B24" t="n">
        <v>4.7544</v>
      </c>
      <c r="C24" t="n">
        <v>7.839099999999999</v>
      </c>
      <c r="D24" t="n">
        <v>6.735399999999999</v>
      </c>
      <c r="E24" t="n">
        <v>4.5563</v>
      </c>
      <c r="F24" t="n">
        <v>1.7546</v>
      </c>
    </row>
    <row r="25">
      <c r="A25" s="2" t="n">
        <v>44896</v>
      </c>
      <c r="B25" t="n">
        <v>3.5658</v>
      </c>
      <c r="C25" t="n">
        <v>7.6693</v>
      </c>
      <c r="D25" t="n">
        <v>6.5939</v>
      </c>
      <c r="E25" t="n">
        <v>4.4714</v>
      </c>
      <c r="F25" t="n">
        <v>1.698</v>
      </c>
    </row>
    <row r="26">
      <c r="A26" s="2" t="n">
        <v>44927</v>
      </c>
      <c r="B26" t="n">
        <v>3.4526</v>
      </c>
      <c r="C26" t="n">
        <v>7.386299999999999</v>
      </c>
      <c r="D26" t="n">
        <v>6.2826</v>
      </c>
      <c r="E26" t="n">
        <v>4.811</v>
      </c>
      <c r="F26" t="n">
        <v>1.6131</v>
      </c>
    </row>
    <row r="27">
      <c r="A27" s="2" t="n">
        <v>44958</v>
      </c>
      <c r="B27" t="n">
        <v>4.867599999999999</v>
      </c>
      <c r="C27" t="n">
        <v>7.7542</v>
      </c>
      <c r="D27" t="n">
        <v>6.5939</v>
      </c>
      <c r="E27" t="n">
        <v>4.811</v>
      </c>
      <c r="F27" t="n">
        <v>1.7546</v>
      </c>
    </row>
    <row r="28">
      <c r="A28" s="2" t="n">
        <v>44986</v>
      </c>
      <c r="B28" t="n">
        <v>4.329899999999999</v>
      </c>
      <c r="C28" t="n">
        <v>8.1221</v>
      </c>
      <c r="D28" t="n">
        <v>6.7071</v>
      </c>
      <c r="E28" t="n">
        <v>4.6129</v>
      </c>
      <c r="F28" t="n">
        <v>1.7263</v>
      </c>
    </row>
    <row r="29">
      <c r="A29" s="2" t="n">
        <v>45017</v>
      </c>
      <c r="B29" t="n">
        <v>4.1318</v>
      </c>
      <c r="C29" t="n">
        <v>7.952299999999999</v>
      </c>
      <c r="D29" t="n">
        <v>6.5656</v>
      </c>
      <c r="E29" t="n">
        <v>4.9525</v>
      </c>
      <c r="F29" t="n">
        <v>1.6697</v>
      </c>
    </row>
    <row r="30">
      <c r="A30" s="2" t="n">
        <v>45047</v>
      </c>
      <c r="B30" t="n">
        <v>5.6034</v>
      </c>
      <c r="C30" t="n">
        <v>7.612699999999999</v>
      </c>
      <c r="D30" t="n">
        <v>6.5373</v>
      </c>
      <c r="E30" t="n">
        <v>4.8959</v>
      </c>
      <c r="F30" t="n">
        <v>1.6414</v>
      </c>
    </row>
    <row r="31">
      <c r="A31" s="2" t="n">
        <v>45078</v>
      </c>
      <c r="B31" t="n">
        <v>5.744899999999999</v>
      </c>
      <c r="C31" t="n">
        <v>7.7542</v>
      </c>
      <c r="D31" t="n">
        <v>6.5373</v>
      </c>
      <c r="E31" t="n">
        <v>4.811</v>
      </c>
      <c r="F31" t="n">
        <v>1.698</v>
      </c>
    </row>
    <row r="32">
      <c r="A32" s="2" t="n">
        <v>45108</v>
      </c>
      <c r="B32" t="n">
        <v>5.6034</v>
      </c>
      <c r="C32" t="n">
        <v>7.6976</v>
      </c>
      <c r="D32" t="n">
        <v>6.5656</v>
      </c>
      <c r="E32" t="n">
        <v>4.7827</v>
      </c>
      <c r="F32" t="n">
        <v>1.698</v>
      </c>
    </row>
    <row r="33">
      <c r="A33" s="2" t="n">
        <v>45139</v>
      </c>
      <c r="B33" t="n">
        <v>6.5656</v>
      </c>
      <c r="C33" t="n">
        <v>7.6976</v>
      </c>
      <c r="D33" t="n">
        <v>6.6788</v>
      </c>
      <c r="E33" t="n">
        <v>5.0374</v>
      </c>
      <c r="F33" t="n">
        <v>1.7263</v>
      </c>
    </row>
    <row r="34">
      <c r="A34" s="2" t="n">
        <v>45170</v>
      </c>
      <c r="B34" t="n">
        <v>10.5276</v>
      </c>
      <c r="C34" t="n">
        <v>7.499499999999999</v>
      </c>
      <c r="D34" t="n">
        <v>6.5939</v>
      </c>
      <c r="E34" t="n">
        <v>4.5846</v>
      </c>
      <c r="F34" t="n">
        <v>1.7829</v>
      </c>
    </row>
    <row r="35">
      <c r="A35" s="2" t="n">
        <v>45200</v>
      </c>
      <c r="B35" t="n">
        <v>10.5842</v>
      </c>
      <c r="C35" t="n">
        <v>7.5844</v>
      </c>
      <c r="D35" t="n">
        <v>6.5939</v>
      </c>
      <c r="E35" t="n">
        <v>4.6695</v>
      </c>
      <c r="F35" t="n">
        <v>1.7263</v>
      </c>
    </row>
    <row r="36">
      <c r="A36" s="2" t="n">
        <v>45231</v>
      </c>
      <c r="B36" t="n">
        <v>6.848599999999999</v>
      </c>
      <c r="C36" t="n">
        <v>7.641</v>
      </c>
      <c r="D36" t="n">
        <v>6.7071</v>
      </c>
      <c r="E36" t="n">
        <v>4.6129</v>
      </c>
      <c r="F36" t="n">
        <v>1.7263</v>
      </c>
    </row>
    <row r="37">
      <c r="A37" s="2" t="n">
        <v>45261</v>
      </c>
      <c r="B37" t="n">
        <v>10.0465</v>
      </c>
      <c r="C37" t="n">
        <v>7.5844</v>
      </c>
      <c r="D37" t="n">
        <v>6.4241</v>
      </c>
      <c r="E37" t="n">
        <v>4.6695</v>
      </c>
      <c r="F37" t="n">
        <v>1.8395</v>
      </c>
    </row>
    <row r="38">
      <c r="A38" s="2" t="n">
        <v>45292</v>
      </c>
      <c r="B38" t="n">
        <v>8.5466</v>
      </c>
      <c r="C38" t="n">
        <v>7.2165</v>
      </c>
      <c r="D38" t="n">
        <v>6.197699999999999</v>
      </c>
      <c r="E38" t="n">
        <v>4.7827</v>
      </c>
      <c r="F38" t="n">
        <v>1.698</v>
      </c>
    </row>
    <row r="39">
      <c r="A39" s="2" t="n">
        <v>45323</v>
      </c>
      <c r="B39" t="n">
        <v>9.3673</v>
      </c>
      <c r="C39" t="n">
        <v>7.8674</v>
      </c>
      <c r="D39" t="n">
        <v>6.6505</v>
      </c>
      <c r="E39" t="n">
        <v>4.867599999999999</v>
      </c>
      <c r="F39" t="n">
        <v>1.8961</v>
      </c>
    </row>
    <row r="40">
      <c r="A40" s="2" t="n">
        <v>45352</v>
      </c>
      <c r="B40" t="n">
        <v>13.0463</v>
      </c>
      <c r="C40" t="n">
        <v>7.499499999999999</v>
      </c>
      <c r="D40" t="n">
        <v>6.2826</v>
      </c>
      <c r="E40" t="n">
        <v>4.6695</v>
      </c>
      <c r="F40" t="n">
        <v>1.7829</v>
      </c>
    </row>
    <row r="41">
      <c r="A41" s="2" t="n">
        <v>45383</v>
      </c>
      <c r="B41" t="n">
        <v>14.5179</v>
      </c>
      <c r="C41" t="n">
        <v>7.8108</v>
      </c>
      <c r="D41" t="n">
        <v>6.508999999999999</v>
      </c>
      <c r="E41" t="n">
        <v>4.216699999999999</v>
      </c>
      <c r="F41" t="n">
        <v>1.9244</v>
      </c>
    </row>
    <row r="42">
      <c r="A42" s="2" t="n">
        <v>45413</v>
      </c>
      <c r="B42" t="n">
        <v>4.9525</v>
      </c>
      <c r="C42" t="n">
        <v>7.725899999999999</v>
      </c>
      <c r="D42" t="n">
        <v>6.4241</v>
      </c>
      <c r="E42" t="n">
        <v>4.6412</v>
      </c>
      <c r="F42" t="n">
        <v>1.8678</v>
      </c>
    </row>
    <row r="43">
      <c r="A43" s="2" t="n">
        <v>45444</v>
      </c>
      <c r="B43" t="n">
        <v>4.6412</v>
      </c>
      <c r="C43" t="n">
        <v>7.612699999999999</v>
      </c>
      <c r="D43" t="n">
        <v>6.4241</v>
      </c>
      <c r="E43" t="n">
        <v>4.5846</v>
      </c>
      <c r="F43" t="n">
        <v>1.8678</v>
      </c>
    </row>
    <row r="44">
      <c r="A44" s="2" t="n">
        <v>45474</v>
      </c>
      <c r="B44" t="n">
        <v>5.4336</v>
      </c>
      <c r="C44" t="n">
        <v>7.6976</v>
      </c>
      <c r="D44" t="n">
        <v>6.5656</v>
      </c>
      <c r="E44" t="n">
        <v>4.0752</v>
      </c>
      <c r="F44" t="n">
        <v>1.8395</v>
      </c>
    </row>
    <row r="45">
      <c r="A45" s="2" t="n">
        <v>45505</v>
      </c>
      <c r="B45" t="n">
        <v>6.622199999999999</v>
      </c>
      <c r="C45" t="n">
        <v>7.8108</v>
      </c>
      <c r="D45" t="n">
        <v>6.622199999999999</v>
      </c>
      <c r="E45" t="n">
        <v>3.7922</v>
      </c>
      <c r="F45" t="n">
        <v>1.9527</v>
      </c>
    </row>
    <row r="46">
      <c r="A46" s="2" t="n">
        <v>45536</v>
      </c>
      <c r="B46" t="n">
        <v>10.8672</v>
      </c>
      <c r="C46" t="n">
        <v>7.6693</v>
      </c>
      <c r="D46" t="n">
        <v>6.508999999999999</v>
      </c>
      <c r="E46" t="n">
        <v>3.9054</v>
      </c>
      <c r="F46" t="n">
        <v>2.0093</v>
      </c>
    </row>
    <row r="47">
      <c r="A47" s="2" t="n">
        <v>45566</v>
      </c>
      <c r="B47" t="n">
        <v>13.1312</v>
      </c>
      <c r="C47" t="n">
        <v>7.4429</v>
      </c>
      <c r="D47" t="n">
        <v>6.5373</v>
      </c>
      <c r="E47" t="n">
        <v>4.1884</v>
      </c>
      <c r="F47" t="n">
        <v>2.0093</v>
      </c>
    </row>
    <row r="48">
      <c r="A48" s="2" t="n">
        <v>45597</v>
      </c>
      <c r="B48" t="n">
        <v>7.6976</v>
      </c>
      <c r="C48" t="n">
        <v>7.5561</v>
      </c>
      <c r="D48" t="n">
        <v>6.6505</v>
      </c>
      <c r="E48" t="n">
        <v>4.3865</v>
      </c>
      <c r="F48" t="n">
        <v>2.0093</v>
      </c>
    </row>
    <row r="49">
      <c r="A49" s="2" t="n">
        <v>45627</v>
      </c>
      <c r="B49" t="n">
        <v>9.735199999999999</v>
      </c>
      <c r="C49" t="n">
        <v>7.1033</v>
      </c>
      <c r="D49" t="n">
        <v>6.4524</v>
      </c>
      <c r="E49" t="n">
        <v>4.3865</v>
      </c>
      <c r="F49" t="n">
        <v>2.0376</v>
      </c>
    </row>
    <row r="50">
      <c r="A50" s="2" t="n">
        <v>45658</v>
      </c>
      <c r="B50" t="n">
        <v>5.2355</v>
      </c>
      <c r="C50" t="n">
        <v>7.159899999999999</v>
      </c>
      <c r="D50" t="n">
        <v>6.2543</v>
      </c>
      <c r="E50" t="n">
        <v>4.216699999999999</v>
      </c>
      <c r="F50" t="n">
        <v>1.7829</v>
      </c>
    </row>
    <row r="51">
      <c r="A51" s="2" t="n">
        <v>45689</v>
      </c>
      <c r="B51" t="n">
        <v>4.3016</v>
      </c>
      <c r="C51" t="n">
        <v>7.4712</v>
      </c>
      <c r="D51" t="n">
        <v>6.7071</v>
      </c>
      <c r="E51" t="n">
        <v>4.1601</v>
      </c>
      <c r="F51" t="n">
        <v>1.9244</v>
      </c>
    </row>
    <row r="52">
      <c r="A52" s="2" t="n">
        <v>45717</v>
      </c>
      <c r="B52" t="n">
        <v>4.4997</v>
      </c>
      <c r="C52" t="n">
        <v>7.159899999999999</v>
      </c>
      <c r="D52" t="n">
        <v>6.7071</v>
      </c>
      <c r="E52" t="n">
        <v>4.1318</v>
      </c>
      <c r="F52" t="n">
        <v>1.8678</v>
      </c>
    </row>
    <row r="53">
      <c r="A53" s="2" t="n">
        <v>45748</v>
      </c>
      <c r="B53" t="n">
        <v>4.9525</v>
      </c>
      <c r="C53" t="n">
        <v>7.358</v>
      </c>
      <c r="D53" t="n">
        <v>6.395799999999999</v>
      </c>
      <c r="E53" t="n">
        <v>4.1318</v>
      </c>
      <c r="F53" t="n">
        <v>1.8395</v>
      </c>
    </row>
    <row r="54">
      <c r="A54" s="2" t="n">
        <v>45778</v>
      </c>
      <c r="B54" t="n">
        <v>4.3582</v>
      </c>
      <c r="C54" t="n">
        <v>7.2165</v>
      </c>
      <c r="D54" t="n">
        <v>6.848599999999999</v>
      </c>
      <c r="E54" t="n">
        <v>4.3582</v>
      </c>
      <c r="F54" t="n">
        <v>1.8678</v>
      </c>
    </row>
    <row r="55">
      <c r="A55" s="2" t="n">
        <v>45809</v>
      </c>
      <c r="B55" t="n">
        <v>4.811</v>
      </c>
      <c r="C55" t="n">
        <v>7.074999999999999</v>
      </c>
      <c r="D55" t="n">
        <v>6.5373</v>
      </c>
      <c r="E55" t="n">
        <v>4.2733</v>
      </c>
      <c r="F55" t="n">
        <v>1.7546</v>
      </c>
    </row>
    <row r="56">
      <c r="A56" s="2" t="n">
        <v>45839</v>
      </c>
      <c r="B56" t="n">
        <v>5.377</v>
      </c>
      <c r="C56" t="n">
        <v>7.2448</v>
      </c>
      <c r="D56" t="n">
        <v>6.6788</v>
      </c>
      <c r="E56" t="n">
        <v>4.0186</v>
      </c>
      <c r="F56" t="n">
        <v>1.8112</v>
      </c>
    </row>
    <row r="57">
      <c r="A57" s="2" t="n">
        <v>45870</v>
      </c>
      <c r="B57" t="n">
        <v>4.7827</v>
      </c>
      <c r="C57" t="n">
        <v>7.0467</v>
      </c>
      <c r="D57" t="n">
        <v>6.622199999999999</v>
      </c>
      <c r="E57" t="n">
        <v>4.0469</v>
      </c>
      <c r="F57" t="n">
        <v>1.8112</v>
      </c>
    </row>
    <row r="58">
      <c r="A58" s="2" t="n">
        <v>45901</v>
      </c>
      <c r="B58" t="n">
        <v>5.2921</v>
      </c>
      <c r="C58" t="n">
        <v>7.2165</v>
      </c>
      <c r="D58" t="n">
        <v>6.735399999999999</v>
      </c>
      <c r="E58" t="n">
        <v>4.0752</v>
      </c>
      <c r="F58" t="n">
        <v>1.8395</v>
      </c>
    </row>
    <row r="59">
      <c r="A59" s="2" t="n">
        <v>45931</v>
      </c>
      <c r="B59" t="n">
        <v>4.4714</v>
      </c>
      <c r="C59" t="n">
        <v>6.8769</v>
      </c>
      <c r="D59" t="n">
        <v>6.6788</v>
      </c>
      <c r="E59" t="n">
        <v>3.9337</v>
      </c>
      <c r="F59" t="n">
        <v>1.8961</v>
      </c>
    </row>
    <row r="60">
      <c r="A60" s="2" t="n">
        <v>45962</v>
      </c>
      <c r="B60" t="n">
        <v>4.7544</v>
      </c>
      <c r="C60" t="n">
        <v>6.8203</v>
      </c>
      <c r="D60" t="n">
        <v>6.5656</v>
      </c>
      <c r="E60" t="n">
        <v>3.7356</v>
      </c>
      <c r="F60" t="n">
        <v>1.8112</v>
      </c>
    </row>
    <row r="61">
      <c r="A61" s="2" t="n">
        <v>45992</v>
      </c>
      <c r="B61" t="n">
        <v>3.7922</v>
      </c>
      <c r="C61" t="n">
        <v>5.631699999999999</v>
      </c>
      <c r="D61" t="n">
        <v>6.4524</v>
      </c>
      <c r="E61" t="n">
        <v>4.103499999999999</v>
      </c>
      <c r="F61" t="n">
        <v>1.7829</v>
      </c>
    </row>
    <row r="62">
      <c r="A62" s="2" t="n">
        <v>46023</v>
      </c>
      <c r="B62" t="n">
        <v>4.0752</v>
      </c>
      <c r="C62" t="n">
        <v>5.4902</v>
      </c>
      <c r="D62" t="n">
        <v>6.395799999999999</v>
      </c>
      <c r="E62" t="n">
        <v>4.329899999999999</v>
      </c>
      <c r="F62" t="n">
        <v>1.6414</v>
      </c>
    </row>
    <row r="63">
      <c r="A63" s="2" t="n">
        <v>46054</v>
      </c>
      <c r="B63" t="n">
        <v>4.6129</v>
      </c>
      <c r="C63" t="n">
        <v>5.8015</v>
      </c>
      <c r="D63" t="n">
        <v>6.792</v>
      </c>
      <c r="E63" t="n">
        <v>4.0469</v>
      </c>
      <c r="F63" t="n">
        <v>1.7546</v>
      </c>
    </row>
    <row r="64">
      <c r="A64" s="2" t="n">
        <v>46082</v>
      </c>
      <c r="B64" t="n">
        <v>4.1318</v>
      </c>
      <c r="C64" t="n">
        <v>5.66</v>
      </c>
      <c r="D64" t="n">
        <v>6.7637</v>
      </c>
      <c r="E64" t="n">
        <v>3.9054</v>
      </c>
      <c r="F64" t="n">
        <v>1.7546</v>
      </c>
    </row>
    <row r="65">
      <c r="A65" s="2" t="n">
        <v>46113</v>
      </c>
      <c r="B65" t="n">
        <v>4.6695</v>
      </c>
      <c r="C65" t="n">
        <v>5.66</v>
      </c>
      <c r="D65" t="n">
        <v>6.5373</v>
      </c>
      <c r="E65" t="n">
        <v>4.3016</v>
      </c>
      <c r="F65" t="n">
        <v>1.6697</v>
      </c>
    </row>
    <row r="66">
      <c r="A66" s="2" t="n">
        <v>46143</v>
      </c>
      <c r="B66" t="n">
        <v>5.9147</v>
      </c>
      <c r="C66" t="n">
        <v>5.9996</v>
      </c>
      <c r="D66" t="n">
        <v>6.310899999999999</v>
      </c>
      <c r="E66" t="n">
        <v>4.3582</v>
      </c>
      <c r="F66" t="n">
        <v>1.7263</v>
      </c>
    </row>
    <row r="67">
      <c r="A67" s="2" t="n">
        <v>46174</v>
      </c>
      <c r="B67" t="n">
        <v>6.197699999999999</v>
      </c>
      <c r="C67" t="n">
        <v>6.0279</v>
      </c>
      <c r="D67" t="n">
        <v>6.395799999999999</v>
      </c>
      <c r="E67" t="n">
        <v>4.5563</v>
      </c>
      <c r="F67" t="n">
        <v>1.6697</v>
      </c>
    </row>
    <row r="68">
      <c r="A68" s="2" t="n">
        <v>46204</v>
      </c>
      <c r="B68" t="n">
        <v>7.5278</v>
      </c>
      <c r="C68" t="n">
        <v>5.943</v>
      </c>
      <c r="D68" t="n">
        <v>6.4807</v>
      </c>
      <c r="E68" t="n">
        <v>4.1318</v>
      </c>
      <c r="F68" t="n">
        <v>1.6697</v>
      </c>
    </row>
    <row r="69">
      <c r="A69" s="2" t="n">
        <v>46235</v>
      </c>
      <c r="B69" t="n">
        <v>9.027699999999999</v>
      </c>
      <c r="C69" t="n">
        <v>5.7732</v>
      </c>
      <c r="D69" t="n">
        <v>6.3392</v>
      </c>
      <c r="E69" t="n">
        <v>4.103499999999999</v>
      </c>
      <c r="F69" t="n">
        <v>1.6414</v>
      </c>
    </row>
    <row r="70">
      <c r="A70" s="2" t="n">
        <v>46266</v>
      </c>
      <c r="B70" t="n">
        <v>10.2446</v>
      </c>
      <c r="C70" t="n">
        <v>5.744899999999999</v>
      </c>
      <c r="D70" t="n">
        <v>6.508999999999999</v>
      </c>
      <c r="E70" t="n">
        <v>4.3582</v>
      </c>
      <c r="F70" t="n">
        <v>1.698</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11" customWidth="1" min="1" max="1"/>
  </cols>
  <sheetData>
    <row r="1">
      <c r="A1" t="inlineStr">
        <is>
          <t>Date</t>
        </is>
      </c>
      <c r="B1" t="inlineStr">
        <is>
          <t>Cusiana/Cupiagua (Piedemonte)</t>
        </is>
      </c>
      <c r="C1" t="inlineStr">
        <is>
          <t>Guajira (Chuchupa/Ballena)</t>
        </is>
      </c>
      <c r="D1" t="inlineStr">
        <is>
          <t>Canacol (VIM-5, VIM-21, Esperanza)</t>
        </is>
      </c>
      <c r="E1" t="inlineStr">
        <is>
          <t>Other domestic fields</t>
        </is>
      </c>
      <c r="F1" t="inlineStr">
        <is>
          <t>LNG imports (SPEC Cartagena)</t>
        </is>
      </c>
      <c r="G1" t="inlineStr">
        <is>
          <t>Total demand</t>
        </is>
      </c>
    </row>
    <row r="2">
      <c r="A2" s="2" t="n">
        <v>44197</v>
      </c>
      <c r="B2" t="n">
        <v>15.3386</v>
      </c>
      <c r="C2" t="n">
        <v>3.4809</v>
      </c>
      <c r="D2" t="n">
        <v>4.329899999999999</v>
      </c>
      <c r="E2" t="n">
        <v>5.3487</v>
      </c>
      <c r="F2" t="n">
        <v>0.0283</v>
      </c>
    </row>
    <row r="3">
      <c r="A3" s="2" t="n">
        <v>44228</v>
      </c>
      <c r="B3" t="n">
        <v>16.3008</v>
      </c>
      <c r="C3" t="n">
        <v>3.5658</v>
      </c>
      <c r="D3" t="n">
        <v>4.3582</v>
      </c>
      <c r="E3" t="n">
        <v>5.9996</v>
      </c>
      <c r="F3" t="n">
        <v>0.12735</v>
      </c>
    </row>
    <row r="4">
      <c r="A4" s="2" t="n">
        <v>44256</v>
      </c>
      <c r="B4" t="n">
        <v>15.6216</v>
      </c>
      <c r="C4" t="n">
        <v>3.4526</v>
      </c>
      <c r="D4" t="n">
        <v>3.962</v>
      </c>
      <c r="E4" t="n">
        <v>5.858099999999999</v>
      </c>
      <c r="F4" t="n">
        <v>0.1415</v>
      </c>
      <c r="G4" t="n">
        <v>25.0738</v>
      </c>
    </row>
    <row r="5">
      <c r="A5" s="2" t="n">
        <v>44287</v>
      </c>
      <c r="B5" t="n">
        <v>14.8292</v>
      </c>
      <c r="C5" t="n">
        <v>3.5092</v>
      </c>
      <c r="D5" t="n">
        <v>3.8488</v>
      </c>
      <c r="E5" t="n">
        <v>5.744899999999999</v>
      </c>
      <c r="F5" t="n">
        <v>0.1415</v>
      </c>
      <c r="G5" t="n">
        <v>23.9418</v>
      </c>
    </row>
    <row r="6">
      <c r="A6" s="2" t="n">
        <v>44317</v>
      </c>
      <c r="B6" t="n">
        <v>12.9614</v>
      </c>
      <c r="C6" t="n">
        <v>3.3394</v>
      </c>
      <c r="D6" t="n">
        <v>4.1601</v>
      </c>
      <c r="E6" t="n">
        <v>5.6034</v>
      </c>
      <c r="F6" t="n">
        <v>0.2264</v>
      </c>
      <c r="G6" t="n">
        <v>22.357</v>
      </c>
    </row>
    <row r="7">
      <c r="A7" s="2" t="n">
        <v>44348</v>
      </c>
      <c r="B7" t="n">
        <v>15.1122</v>
      </c>
      <c r="C7" t="n">
        <v>3.3111</v>
      </c>
      <c r="D7" t="n">
        <v>4.0186</v>
      </c>
      <c r="E7" t="n">
        <v>5.858099999999999</v>
      </c>
      <c r="F7" t="n">
        <v>0.1132</v>
      </c>
      <c r="G7" t="n">
        <v>24.7625</v>
      </c>
    </row>
    <row r="8">
      <c r="A8" s="2" t="n">
        <v>44378</v>
      </c>
      <c r="B8" t="n">
        <v>16.0178</v>
      </c>
      <c r="C8" t="n">
        <v>3.3111</v>
      </c>
      <c r="D8" t="n">
        <v>4.2733</v>
      </c>
      <c r="E8" t="n">
        <v>5.66</v>
      </c>
      <c r="F8" t="n">
        <v>0.1132</v>
      </c>
      <c r="G8" t="n">
        <v>25.2436</v>
      </c>
    </row>
    <row r="9">
      <c r="A9" s="2" t="n">
        <v>44409</v>
      </c>
      <c r="B9" t="n">
        <v>16.0461</v>
      </c>
      <c r="C9" t="n">
        <v>3.3394</v>
      </c>
      <c r="D9" t="n">
        <v>3.9903</v>
      </c>
      <c r="E9" t="n">
        <v>5.207199999999999</v>
      </c>
      <c r="F9" t="n">
        <v>0.5659999999999999</v>
      </c>
      <c r="G9" t="n">
        <v>24.7342</v>
      </c>
    </row>
    <row r="10">
      <c r="A10" s="2" t="n">
        <v>44440</v>
      </c>
      <c r="B10" t="n">
        <v>16.1027</v>
      </c>
      <c r="C10" t="n">
        <v>3.7356</v>
      </c>
      <c r="D10" t="n">
        <v>3.8488</v>
      </c>
      <c r="E10" t="n">
        <v>5.3487</v>
      </c>
      <c r="F10" t="n">
        <v>0.1981</v>
      </c>
      <c r="G10" t="n">
        <v>25.1021</v>
      </c>
    </row>
    <row r="11">
      <c r="A11" s="2" t="n">
        <v>44470</v>
      </c>
      <c r="B11" t="n">
        <v>16.4706</v>
      </c>
      <c r="C11" t="n">
        <v>3.7922</v>
      </c>
      <c r="D11" t="n">
        <v>3.4526</v>
      </c>
      <c r="E11" t="n">
        <v>5.744899999999999</v>
      </c>
      <c r="F11" t="n">
        <v>0.0283</v>
      </c>
      <c r="G11" t="n">
        <v>25.5832</v>
      </c>
    </row>
    <row r="12">
      <c r="A12" s="2" t="n">
        <v>44501</v>
      </c>
      <c r="B12" t="n">
        <v>16.8668</v>
      </c>
      <c r="C12" t="n">
        <v>3.962</v>
      </c>
      <c r="D12" t="n">
        <v>3.2828</v>
      </c>
      <c r="E12" t="n">
        <v>5.744899999999999</v>
      </c>
      <c r="F12" t="n">
        <v>0.01981</v>
      </c>
      <c r="G12" t="n">
        <v>26.036</v>
      </c>
    </row>
    <row r="13">
      <c r="A13" s="2" t="n">
        <v>44531</v>
      </c>
      <c r="B13" t="n">
        <v>16.8102</v>
      </c>
      <c r="C13" t="n">
        <v>3.7922</v>
      </c>
      <c r="D13" t="n">
        <v>3.3111</v>
      </c>
      <c r="E13" t="n">
        <v>6.3675</v>
      </c>
      <c r="F13" t="n">
        <v>0.1132</v>
      </c>
      <c r="G13" t="n">
        <v>26.602</v>
      </c>
    </row>
    <row r="14">
      <c r="A14" s="2" t="n">
        <v>44562</v>
      </c>
      <c r="B14" t="n">
        <v>15.7065</v>
      </c>
      <c r="C14" t="n">
        <v>3.5941</v>
      </c>
      <c r="D14" t="n">
        <v>3.0281</v>
      </c>
      <c r="E14" t="n">
        <v>6.8203</v>
      </c>
      <c r="F14" t="n">
        <v>0</v>
      </c>
      <c r="G14" t="n">
        <v>25.0455</v>
      </c>
    </row>
    <row r="15">
      <c r="A15" s="2" t="n">
        <v>44593</v>
      </c>
      <c r="B15" t="n">
        <v>16.8102</v>
      </c>
      <c r="C15" t="n">
        <v>3.4526</v>
      </c>
      <c r="D15" t="n">
        <v>3.3394</v>
      </c>
      <c r="E15" t="n">
        <v>7.1033</v>
      </c>
      <c r="F15" t="n">
        <v>0</v>
      </c>
      <c r="G15" t="n">
        <v>26.7718</v>
      </c>
    </row>
    <row r="16">
      <c r="A16" s="2" t="n">
        <v>44621</v>
      </c>
      <c r="B16" t="n">
        <v>16.7819</v>
      </c>
      <c r="C16" t="n">
        <v>3.4809</v>
      </c>
      <c r="D16" t="n">
        <v>3.1413</v>
      </c>
      <c r="E16" t="n">
        <v>7.273099999999999</v>
      </c>
      <c r="F16" t="n">
        <v>0</v>
      </c>
      <c r="G16" t="n">
        <v>27.0548</v>
      </c>
    </row>
    <row r="17">
      <c r="A17" s="2" t="n">
        <v>44652</v>
      </c>
      <c r="B17" t="n">
        <v>16.9234</v>
      </c>
      <c r="C17" t="n">
        <v>3.6224</v>
      </c>
      <c r="D17" t="n">
        <v>3.0564</v>
      </c>
      <c r="E17" t="n">
        <v>7.0184</v>
      </c>
      <c r="F17" t="n">
        <v>0</v>
      </c>
      <c r="G17" t="n">
        <v>26.9699</v>
      </c>
    </row>
    <row r="18">
      <c r="A18" s="2" t="n">
        <v>44682</v>
      </c>
      <c r="B18" t="n">
        <v>17.0932</v>
      </c>
      <c r="C18" t="n">
        <v>3.7922</v>
      </c>
      <c r="D18" t="n">
        <v>3.3111</v>
      </c>
      <c r="E18" t="n">
        <v>6.961799999999999</v>
      </c>
      <c r="F18" t="n">
        <v>0.2264</v>
      </c>
      <c r="G18" t="n">
        <v>27.451</v>
      </c>
    </row>
    <row r="19">
      <c r="A19" s="2" t="n">
        <v>44713</v>
      </c>
      <c r="B19" t="n">
        <v>16.7819</v>
      </c>
      <c r="C19" t="n">
        <v>3.4243</v>
      </c>
      <c r="D19" t="n">
        <v>3.4526</v>
      </c>
      <c r="E19" t="n">
        <v>7.3297</v>
      </c>
      <c r="F19" t="n">
        <v>0.1132</v>
      </c>
      <c r="G19" t="n">
        <v>26.7152</v>
      </c>
    </row>
    <row r="20">
      <c r="A20" s="2" t="n">
        <v>44743</v>
      </c>
      <c r="B20" t="n">
        <v>17.1215</v>
      </c>
      <c r="C20" t="n">
        <v>3.5941</v>
      </c>
      <c r="D20" t="n">
        <v>3.5941</v>
      </c>
      <c r="E20" t="n">
        <v>7.0467</v>
      </c>
      <c r="F20" t="n">
        <v>0.3679</v>
      </c>
      <c r="G20" t="n">
        <v>27.5359</v>
      </c>
    </row>
    <row r="21">
      <c r="A21" s="2" t="n">
        <v>44774</v>
      </c>
      <c r="B21" t="n">
        <v>17.4611</v>
      </c>
      <c r="C21" t="n">
        <v>3.6224</v>
      </c>
      <c r="D21" t="n">
        <v>2.9715</v>
      </c>
      <c r="E21" t="n">
        <v>6.848599999999999</v>
      </c>
      <c r="F21" t="n">
        <v>0.1132</v>
      </c>
      <c r="G21" t="n">
        <v>26.7718</v>
      </c>
    </row>
    <row r="22">
      <c r="A22" s="2" t="n">
        <v>44805</v>
      </c>
      <c r="B22" t="n">
        <v>17.263</v>
      </c>
      <c r="C22" t="n">
        <v>3.5092</v>
      </c>
      <c r="D22" t="n">
        <v>3.4809</v>
      </c>
      <c r="E22" t="n">
        <v>6.9335</v>
      </c>
      <c r="F22" t="n">
        <v>0.0566</v>
      </c>
      <c r="G22" t="n">
        <v>26.9416</v>
      </c>
    </row>
    <row r="23">
      <c r="A23" s="2" t="n">
        <v>44835</v>
      </c>
      <c r="B23" t="n">
        <v>13.6406</v>
      </c>
      <c r="C23" t="n">
        <v>3.1979</v>
      </c>
      <c r="D23" t="n">
        <v>3.3394</v>
      </c>
      <c r="E23" t="n">
        <v>7.0467</v>
      </c>
      <c r="F23" t="n">
        <v>0.1132</v>
      </c>
      <c r="G23" t="n">
        <v>23.489</v>
      </c>
    </row>
    <row r="24">
      <c r="A24" s="2" t="n">
        <v>44866</v>
      </c>
      <c r="B24" t="n">
        <v>16.98</v>
      </c>
      <c r="C24" t="n">
        <v>3.113</v>
      </c>
      <c r="D24" t="n">
        <v>3.113</v>
      </c>
      <c r="E24" t="n">
        <v>6.622199999999999</v>
      </c>
      <c r="F24" t="n">
        <v>0</v>
      </c>
      <c r="G24" t="n">
        <v>25.6398</v>
      </c>
    </row>
    <row r="25">
      <c r="A25" s="2" t="n">
        <v>44896</v>
      </c>
      <c r="B25" t="n">
        <v>16.2442</v>
      </c>
      <c r="C25" t="n">
        <v>2.9149</v>
      </c>
      <c r="D25" t="n">
        <v>3.6224</v>
      </c>
      <c r="E25" t="n">
        <v>6.7071</v>
      </c>
      <c r="F25" t="n">
        <v>0.0849</v>
      </c>
      <c r="G25" t="n">
        <v>23.9701</v>
      </c>
    </row>
    <row r="26">
      <c r="A26" s="2" t="n">
        <v>44927</v>
      </c>
      <c r="B26" t="n">
        <v>15.5084</v>
      </c>
      <c r="C26" t="n">
        <v>3.0564</v>
      </c>
      <c r="D26" t="n">
        <v>3.8771</v>
      </c>
      <c r="E26" t="n">
        <v>6.5656</v>
      </c>
      <c r="F26" t="n">
        <v>0</v>
      </c>
      <c r="G26" t="n">
        <v>23.5173</v>
      </c>
    </row>
    <row r="27">
      <c r="A27" s="2" t="n">
        <v>44958</v>
      </c>
      <c r="B27" t="n">
        <v>16.7253</v>
      </c>
      <c r="C27" t="n">
        <v>3.0281</v>
      </c>
      <c r="D27" t="n">
        <v>4.103499999999999</v>
      </c>
      <c r="E27" t="n">
        <v>6.6788</v>
      </c>
      <c r="F27" t="n">
        <v>0.283</v>
      </c>
      <c r="G27" t="n">
        <v>25.7813</v>
      </c>
    </row>
    <row r="28">
      <c r="A28" s="2" t="n">
        <v>44986</v>
      </c>
      <c r="B28" t="n">
        <v>16.5272</v>
      </c>
      <c r="C28" t="n">
        <v>2.9149</v>
      </c>
      <c r="D28" t="n">
        <v>3.679</v>
      </c>
      <c r="E28" t="n">
        <v>6.5656</v>
      </c>
      <c r="F28" t="n">
        <v>0</v>
      </c>
      <c r="G28" t="n">
        <v>25.4983</v>
      </c>
    </row>
    <row r="29">
      <c r="A29" s="2" t="n">
        <v>45017</v>
      </c>
      <c r="B29" t="n">
        <v>16.414</v>
      </c>
      <c r="C29" t="n">
        <v>2.5753</v>
      </c>
      <c r="D29" t="n">
        <v>3.4526</v>
      </c>
      <c r="E29" t="n">
        <v>6.0562</v>
      </c>
      <c r="F29" t="n">
        <v>0.0566</v>
      </c>
      <c r="G29" t="n">
        <v>25.2719</v>
      </c>
    </row>
    <row r="30">
      <c r="A30" s="2" t="n">
        <v>45047</v>
      </c>
      <c r="B30" t="n">
        <v>16.5555</v>
      </c>
      <c r="C30" t="n">
        <v>2.8583</v>
      </c>
      <c r="D30" t="n">
        <v>3.4243</v>
      </c>
      <c r="E30" t="n">
        <v>7.0184</v>
      </c>
      <c r="F30" t="n">
        <v>0.6792</v>
      </c>
      <c r="G30" t="n">
        <v>26.2907</v>
      </c>
    </row>
    <row r="31">
      <c r="A31" s="2" t="n">
        <v>45078</v>
      </c>
      <c r="B31" t="n">
        <v>16.6404</v>
      </c>
      <c r="C31" t="n">
        <v>2.9149</v>
      </c>
      <c r="D31" t="n">
        <v>3.0847</v>
      </c>
      <c r="E31" t="n">
        <v>6.9052</v>
      </c>
      <c r="F31" t="n">
        <v>1.1886</v>
      </c>
      <c r="G31" t="n">
        <v>26.5454</v>
      </c>
    </row>
    <row r="32">
      <c r="A32" s="2" t="n">
        <v>45108</v>
      </c>
      <c r="B32" t="n">
        <v>16.8385</v>
      </c>
      <c r="C32" t="n">
        <v>2.83</v>
      </c>
      <c r="D32" t="n">
        <v>3.3677</v>
      </c>
      <c r="E32" t="n">
        <v>7.4712</v>
      </c>
      <c r="F32" t="n">
        <v>0.1698</v>
      </c>
      <c r="G32" t="n">
        <v>26.319</v>
      </c>
    </row>
    <row r="33">
      <c r="A33" s="2" t="n">
        <v>45139</v>
      </c>
      <c r="B33" t="n">
        <v>16.98</v>
      </c>
      <c r="C33" t="n">
        <v>2.8017</v>
      </c>
      <c r="D33" t="n">
        <v>3.3394</v>
      </c>
      <c r="E33" t="n">
        <v>6.6505</v>
      </c>
      <c r="F33" t="n">
        <v>1.698</v>
      </c>
      <c r="G33" t="n">
        <v>27.6774</v>
      </c>
    </row>
    <row r="34">
      <c r="A34" s="2" t="n">
        <v>45170</v>
      </c>
      <c r="B34" t="n">
        <v>17.263</v>
      </c>
      <c r="C34" t="n">
        <v>2.8017</v>
      </c>
      <c r="D34" t="n">
        <v>3.1979</v>
      </c>
      <c r="E34" t="n">
        <v>6.4241</v>
      </c>
      <c r="F34" t="n">
        <v>7.0184</v>
      </c>
      <c r="G34" t="n">
        <v>31.0451</v>
      </c>
    </row>
    <row r="35">
      <c r="A35" s="2" t="n">
        <v>45200</v>
      </c>
      <c r="B35" t="n">
        <v>17.2064</v>
      </c>
      <c r="C35" t="n">
        <v>2.7168</v>
      </c>
      <c r="D35" t="n">
        <v>3.113</v>
      </c>
      <c r="E35" t="n">
        <v>6.8203</v>
      </c>
      <c r="F35" t="n">
        <v>7.1033</v>
      </c>
      <c r="G35" t="n">
        <v>31.1583</v>
      </c>
    </row>
    <row r="36">
      <c r="A36" s="2" t="n">
        <v>45231</v>
      </c>
      <c r="B36" t="n">
        <v>16.4706</v>
      </c>
      <c r="C36" t="n">
        <v>2.4055</v>
      </c>
      <c r="D36" t="n">
        <v>3.3677</v>
      </c>
      <c r="E36" t="n">
        <v>6.5939</v>
      </c>
      <c r="F36" t="n">
        <v>2.9998</v>
      </c>
      <c r="G36" t="n">
        <v>27.5642</v>
      </c>
    </row>
    <row r="37">
      <c r="A37" s="2" t="n">
        <v>45261</v>
      </c>
      <c r="B37" t="n">
        <v>15.7631</v>
      </c>
      <c r="C37" t="n">
        <v>2.7168</v>
      </c>
      <c r="D37" t="n">
        <v>3.3394</v>
      </c>
      <c r="E37" t="n">
        <v>6.197699999999999</v>
      </c>
      <c r="F37" t="n">
        <v>7.499499999999999</v>
      </c>
      <c r="G37" t="n">
        <v>30.5357</v>
      </c>
    </row>
    <row r="38">
      <c r="A38" s="2" t="n">
        <v>45292</v>
      </c>
      <c r="B38" t="n">
        <v>14.0651</v>
      </c>
      <c r="C38" t="n">
        <v>2.6602</v>
      </c>
      <c r="D38" t="n">
        <v>3.3677</v>
      </c>
      <c r="E38" t="n">
        <v>5.9996</v>
      </c>
      <c r="F38" t="n">
        <v>5.9147</v>
      </c>
      <c r="G38" t="n">
        <v>28.4132</v>
      </c>
    </row>
    <row r="39">
      <c r="A39" s="2" t="n">
        <v>45323</v>
      </c>
      <c r="B39" t="n">
        <v>15.7914</v>
      </c>
      <c r="C39" t="n">
        <v>2.547</v>
      </c>
      <c r="D39" t="n">
        <v>3.4526</v>
      </c>
      <c r="E39" t="n">
        <v>5.9996</v>
      </c>
      <c r="F39" t="n">
        <v>6.2543</v>
      </c>
      <c r="G39" t="n">
        <v>30.6206</v>
      </c>
    </row>
    <row r="40">
      <c r="A40" s="2" t="n">
        <v>45352</v>
      </c>
      <c r="B40" t="n">
        <v>15.5933</v>
      </c>
      <c r="C40" t="n">
        <v>2.547</v>
      </c>
      <c r="D40" t="n">
        <v>3.1696</v>
      </c>
      <c r="E40" t="n">
        <v>6.226</v>
      </c>
      <c r="F40" t="n">
        <v>10.1031</v>
      </c>
      <c r="G40" t="n">
        <v>33.3091</v>
      </c>
    </row>
    <row r="41">
      <c r="A41" s="2" t="n">
        <v>45383</v>
      </c>
      <c r="B41" t="n">
        <v>15.5367</v>
      </c>
      <c r="C41" t="n">
        <v>2.6036</v>
      </c>
      <c r="D41" t="n">
        <v>3.1413</v>
      </c>
      <c r="E41" t="n">
        <v>6.3392</v>
      </c>
      <c r="F41" t="n">
        <v>11.6596</v>
      </c>
      <c r="G41" t="n">
        <v>34.9788</v>
      </c>
    </row>
    <row r="42">
      <c r="A42" s="2" t="n">
        <v>45413</v>
      </c>
      <c r="B42" t="n">
        <v>15.0556</v>
      </c>
      <c r="C42" t="n">
        <v>2.547</v>
      </c>
      <c r="D42" t="n">
        <v>3.113</v>
      </c>
      <c r="E42" t="n">
        <v>6.7071</v>
      </c>
      <c r="F42" t="n">
        <v>1.5282</v>
      </c>
      <c r="G42" t="n">
        <v>25.6115</v>
      </c>
    </row>
    <row r="43">
      <c r="A43" s="2" t="n">
        <v>45444</v>
      </c>
      <c r="B43" t="n">
        <v>15.0273</v>
      </c>
      <c r="C43" t="n">
        <v>2.547</v>
      </c>
      <c r="D43" t="n">
        <v>4.528</v>
      </c>
      <c r="E43" t="n">
        <v>5.320399999999999</v>
      </c>
      <c r="F43" t="n">
        <v>1.0471</v>
      </c>
      <c r="G43" t="n">
        <v>25.1304</v>
      </c>
    </row>
    <row r="44">
      <c r="A44" s="2" t="n">
        <v>45474</v>
      </c>
      <c r="B44" t="n">
        <v>15.1688</v>
      </c>
      <c r="C44" t="n">
        <v>2.1791</v>
      </c>
      <c r="D44" t="n">
        <v>4.5563</v>
      </c>
      <c r="E44" t="n">
        <v>5.2355</v>
      </c>
      <c r="F44" t="n">
        <v>1.8395</v>
      </c>
      <c r="G44" t="n">
        <v>25.6115</v>
      </c>
    </row>
    <row r="45">
      <c r="A45" s="2" t="n">
        <v>45505</v>
      </c>
      <c r="B45" t="n">
        <v>15.1405</v>
      </c>
      <c r="C45" t="n">
        <v>2.3489</v>
      </c>
      <c r="D45" t="n">
        <v>4.7261</v>
      </c>
      <c r="E45" t="n">
        <v>4.8393</v>
      </c>
      <c r="F45" t="n">
        <v>3.0847</v>
      </c>
      <c r="G45" t="n">
        <v>26.8284</v>
      </c>
    </row>
    <row r="46">
      <c r="A46" s="2" t="n">
        <v>45536</v>
      </c>
      <c r="B46" t="n">
        <v>14.8858</v>
      </c>
      <c r="C46" t="n">
        <v>2.3772</v>
      </c>
      <c r="D46" t="n">
        <v>3.962</v>
      </c>
      <c r="E46" t="n">
        <v>4.1884</v>
      </c>
      <c r="F46" t="n">
        <v>9.027699999999999</v>
      </c>
      <c r="G46" t="n">
        <v>30.9602</v>
      </c>
    </row>
    <row r="47">
      <c r="A47" s="2" t="n">
        <v>45566</v>
      </c>
      <c r="B47" t="n">
        <v>15.0839</v>
      </c>
      <c r="C47" t="n">
        <v>2.3206</v>
      </c>
      <c r="D47" t="n">
        <v>4.245</v>
      </c>
      <c r="E47" t="n">
        <v>4.3865</v>
      </c>
      <c r="F47" t="n">
        <v>11.7445</v>
      </c>
      <c r="G47" t="n">
        <v>33.3091</v>
      </c>
    </row>
    <row r="48">
      <c r="A48" s="2" t="n">
        <v>45597</v>
      </c>
      <c r="B48" t="n">
        <v>14.8858</v>
      </c>
      <c r="C48" t="n">
        <v>2.2357</v>
      </c>
      <c r="D48" t="n">
        <v>4.1318</v>
      </c>
      <c r="E48" t="n">
        <v>4.443099999999999</v>
      </c>
      <c r="F48" t="n">
        <v>5.9147</v>
      </c>
      <c r="G48" t="n">
        <v>28.3</v>
      </c>
    </row>
    <row r="49">
      <c r="A49" s="2" t="n">
        <v>45627</v>
      </c>
      <c r="B49" t="n">
        <v>14.1783</v>
      </c>
      <c r="C49" t="n">
        <v>2.1791</v>
      </c>
      <c r="D49" t="n">
        <v>4.4997</v>
      </c>
      <c r="E49" t="n">
        <v>3.9903</v>
      </c>
      <c r="F49" t="n">
        <v>8.376799999999999</v>
      </c>
      <c r="G49" t="n">
        <v>29.715</v>
      </c>
    </row>
    <row r="50">
      <c r="A50" s="2" t="n">
        <v>45658</v>
      </c>
      <c r="B50" t="n">
        <v>13.2444</v>
      </c>
      <c r="C50" t="n">
        <v>2.1225</v>
      </c>
      <c r="D50" t="n">
        <v>3.7073</v>
      </c>
      <c r="E50" t="n">
        <v>3.4243</v>
      </c>
      <c r="F50" t="n">
        <v>5.1223</v>
      </c>
      <c r="G50" t="n">
        <v>24.5927</v>
      </c>
    </row>
    <row r="51">
      <c r="A51" s="2" t="n">
        <v>45689</v>
      </c>
      <c r="B51" t="n">
        <v>13.3576</v>
      </c>
      <c r="C51" t="n">
        <v>2.0659</v>
      </c>
      <c r="D51" t="n">
        <v>3.4809</v>
      </c>
      <c r="E51" t="n">
        <v>3.962</v>
      </c>
      <c r="F51" t="n">
        <v>4.4997</v>
      </c>
      <c r="G51" t="n">
        <v>24.5361</v>
      </c>
    </row>
    <row r="52">
      <c r="A52" s="2" t="n">
        <v>45717</v>
      </c>
      <c r="B52" t="n">
        <v>12.9331</v>
      </c>
      <c r="C52" t="n">
        <v>2.0942</v>
      </c>
      <c r="D52" t="n">
        <v>3.5092</v>
      </c>
      <c r="E52" t="n">
        <v>4.0186</v>
      </c>
      <c r="F52" t="n">
        <v>4.6129</v>
      </c>
      <c r="G52" t="n">
        <v>24.3946</v>
      </c>
    </row>
    <row r="53">
      <c r="A53" s="2" t="n">
        <v>45748</v>
      </c>
      <c r="B53" t="n">
        <v>13.1312</v>
      </c>
      <c r="C53" t="n">
        <v>2.0376</v>
      </c>
      <c r="D53" t="n">
        <v>3.4526</v>
      </c>
      <c r="E53" t="n">
        <v>3.6507</v>
      </c>
      <c r="F53" t="n">
        <v>5.207199999999999</v>
      </c>
      <c r="G53" t="n">
        <v>24.6493</v>
      </c>
    </row>
    <row r="54">
      <c r="A54" s="2" t="n">
        <v>45778</v>
      </c>
      <c r="B54" t="n">
        <v>13.1029</v>
      </c>
      <c r="C54" t="n">
        <v>1.8678</v>
      </c>
      <c r="D54" t="n">
        <v>3.2545</v>
      </c>
      <c r="E54" t="n">
        <v>4.0469</v>
      </c>
      <c r="F54" t="n">
        <v>5.2355</v>
      </c>
      <c r="G54" t="n">
        <v>24.621</v>
      </c>
    </row>
    <row r="55">
      <c r="A55" s="2" t="n">
        <v>45809</v>
      </c>
      <c r="B55" t="n">
        <v>12.7633</v>
      </c>
      <c r="C55" t="n">
        <v>1.8395</v>
      </c>
      <c r="D55" t="n">
        <v>3.1979</v>
      </c>
      <c r="E55" t="n">
        <v>4.3016</v>
      </c>
      <c r="F55" t="n">
        <v>5.5751</v>
      </c>
      <c r="G55" t="n">
        <v>24.3946</v>
      </c>
    </row>
    <row r="56">
      <c r="A56" s="2" t="n">
        <v>45839</v>
      </c>
      <c r="B56" t="n">
        <v>12.8765</v>
      </c>
      <c r="C56" t="n">
        <v>1.981</v>
      </c>
      <c r="D56" t="n">
        <v>3.2545</v>
      </c>
      <c r="E56" t="n">
        <v>4.245</v>
      </c>
      <c r="F56" t="n">
        <v>5.8015</v>
      </c>
      <c r="G56" t="n">
        <v>25.1021</v>
      </c>
    </row>
    <row r="57">
      <c r="A57" s="2" t="n">
        <v>45870</v>
      </c>
      <c r="B57" t="n">
        <v>12.8199</v>
      </c>
      <c r="C57" t="n">
        <v>1.981</v>
      </c>
      <c r="D57" t="n">
        <v>3.5092</v>
      </c>
      <c r="E57" t="n">
        <v>4.245</v>
      </c>
      <c r="F57" t="n">
        <v>4.4714</v>
      </c>
      <c r="G57" t="n">
        <v>24.3097</v>
      </c>
    </row>
    <row r="58">
      <c r="A58" s="2" t="n">
        <v>45901</v>
      </c>
      <c r="B58" t="n">
        <v>12.8199</v>
      </c>
      <c r="C58" t="n">
        <v>2.0093</v>
      </c>
      <c r="D58" t="n">
        <v>3.4809</v>
      </c>
      <c r="E58" t="n">
        <v>4.5563</v>
      </c>
      <c r="F58" t="n">
        <v>5.207199999999999</v>
      </c>
      <c r="G58" t="n">
        <v>25.1587</v>
      </c>
    </row>
    <row r="59">
      <c r="A59" s="2" t="n">
        <v>45931</v>
      </c>
      <c r="B59" t="n">
        <v>12.7916</v>
      </c>
      <c r="C59" t="n">
        <v>1.7546</v>
      </c>
      <c r="D59" t="n">
        <v>3.3111</v>
      </c>
      <c r="E59" t="n">
        <v>4.528</v>
      </c>
      <c r="F59" t="n">
        <v>4.103499999999999</v>
      </c>
      <c r="G59" t="n">
        <v>23.8852</v>
      </c>
    </row>
    <row r="60">
      <c r="A60" s="2" t="n">
        <v>45962</v>
      </c>
      <c r="B60" t="n">
        <v>12.3388</v>
      </c>
      <c r="C60" t="n">
        <v>1.9527</v>
      </c>
      <c r="D60" t="n">
        <v>2.83</v>
      </c>
      <c r="E60" t="n">
        <v>4.3016</v>
      </c>
      <c r="F60" t="n">
        <v>5.4053</v>
      </c>
      <c r="G60" t="n">
        <v>23.8003</v>
      </c>
    </row>
    <row r="61">
      <c r="A61" s="2" t="n">
        <v>45992</v>
      </c>
      <c r="B61" t="n">
        <v>10.8955</v>
      </c>
      <c r="C61" t="n">
        <v>1.9244</v>
      </c>
      <c r="D61" t="n">
        <v>2.3772</v>
      </c>
      <c r="E61" t="n">
        <v>3.962</v>
      </c>
      <c r="F61" t="n">
        <v>5.4902</v>
      </c>
      <c r="G61" t="n">
        <v>21.791</v>
      </c>
    </row>
    <row r="62">
      <c r="A62" s="2" t="n">
        <v>46023</v>
      </c>
      <c r="B62" t="n">
        <v>10.754</v>
      </c>
      <c r="C62" t="n">
        <v>1.9244</v>
      </c>
      <c r="D62" t="n">
        <v>2.2074</v>
      </c>
      <c r="E62" t="n">
        <v>3.9903</v>
      </c>
      <c r="F62" t="n">
        <v>5.1506</v>
      </c>
      <c r="G62" t="n">
        <v>21.8759</v>
      </c>
    </row>
    <row r="63">
      <c r="A63" s="2" t="n">
        <v>46054</v>
      </c>
      <c r="B63" t="n">
        <v>11.7162</v>
      </c>
      <c r="C63" t="n">
        <v>1.8961</v>
      </c>
      <c r="D63" t="n">
        <v>2.0093</v>
      </c>
      <c r="E63" t="n">
        <v>3.7922</v>
      </c>
      <c r="F63" t="n">
        <v>5.744899999999999</v>
      </c>
      <c r="G63" t="n">
        <v>23.0079</v>
      </c>
    </row>
    <row r="64">
      <c r="A64" s="2" t="n">
        <v>46082</v>
      </c>
      <c r="B64" t="n">
        <v>11.603</v>
      </c>
      <c r="C64" t="n">
        <v>1.8112</v>
      </c>
      <c r="D64" t="n">
        <v>1.981</v>
      </c>
      <c r="E64" t="n">
        <v>3.9054</v>
      </c>
      <c r="F64" t="n">
        <v>6.0279</v>
      </c>
      <c r="G64" t="n">
        <v>22.2438</v>
      </c>
    </row>
    <row r="65">
      <c r="A65" s="2" t="n">
        <v>46113</v>
      </c>
      <c r="B65" t="n">
        <v>11.0936</v>
      </c>
      <c r="C65" t="n">
        <v>1.8678</v>
      </c>
      <c r="D65" t="n">
        <v>2.1225</v>
      </c>
      <c r="E65" t="n">
        <v>3.7922</v>
      </c>
      <c r="F65" t="n">
        <v>6.4241</v>
      </c>
      <c r="G65" t="n">
        <v>22.8381</v>
      </c>
    </row>
    <row r="66">
      <c r="A66" s="2" t="n">
        <v>46143</v>
      </c>
      <c r="B66" t="n">
        <v>11.8577</v>
      </c>
      <c r="C66" t="n">
        <v>1.8961</v>
      </c>
      <c r="D66" t="n">
        <v>2.0093</v>
      </c>
      <c r="E66" t="n">
        <v>3.679</v>
      </c>
      <c r="F66" t="n">
        <v>8.008899999999999</v>
      </c>
      <c r="G66" t="n">
        <v>24.338</v>
      </c>
    </row>
    <row r="67">
      <c r="A67" s="2" t="n">
        <v>46174</v>
      </c>
      <c r="B67" t="n">
        <v>11.5464</v>
      </c>
      <c r="C67" t="n">
        <v>1.698</v>
      </c>
      <c r="D67" t="n">
        <v>1.8678</v>
      </c>
      <c r="E67" t="n">
        <v>4.1884</v>
      </c>
      <c r="F67" t="n">
        <v>8.49</v>
      </c>
      <c r="G67" t="n">
        <v>24.8474</v>
      </c>
    </row>
    <row r="68">
      <c r="A68" s="2" t="n">
        <v>46204</v>
      </c>
      <c r="B68" t="n">
        <v>12.0558</v>
      </c>
      <c r="C68" t="n">
        <v>1.8678</v>
      </c>
      <c r="D68" t="n">
        <v>1.7263</v>
      </c>
      <c r="E68" t="n">
        <v>4.4997</v>
      </c>
      <c r="F68" t="n">
        <v>8.9711</v>
      </c>
      <c r="G68" t="n">
        <v>25.753</v>
      </c>
    </row>
    <row r="69">
      <c r="A69" s="2" t="n">
        <v>46235</v>
      </c>
      <c r="B69" t="n">
        <v>12.0558</v>
      </c>
      <c r="C69" t="n">
        <v>1.8395</v>
      </c>
      <c r="D69" t="n">
        <v>1.6697</v>
      </c>
      <c r="E69" t="n">
        <v>4.329899999999999</v>
      </c>
      <c r="F69" t="n">
        <v>10.1597</v>
      </c>
      <c r="G69" t="n">
        <v>26.885</v>
      </c>
    </row>
    <row r="70">
      <c r="A70" s="2" t="n">
        <v>46266</v>
      </c>
      <c r="B70" t="n">
        <v>11.8294</v>
      </c>
      <c r="C70" t="n">
        <v>1.8112</v>
      </c>
      <c r="D70" t="n">
        <v>1.4716</v>
      </c>
      <c r="E70" t="n">
        <v>4.245</v>
      </c>
      <c r="F70" t="n">
        <v>12.3671</v>
      </c>
      <c r="G70" t="n">
        <v>28.5264</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O70"/>
  <sheetViews>
    <sheetView workbookViewId="0">
      <selection activeCell="A1" sqref="A1"/>
    </sheetView>
  </sheetViews>
  <sheetFormatPr baseColWidth="8" defaultRowHeight="15"/>
  <sheetData>
    <row r="1">
      <c r="B1" t="inlineStr">
        <is>
          <t>Month</t>
        </is>
      </c>
      <c r="C1" t="inlineStr">
        <is>
          <t>Power</t>
        </is>
      </c>
      <c r="D1" t="inlineStr">
        <is>
          <t>Industrial</t>
        </is>
      </c>
      <c r="E1" t="inlineStr">
        <is>
          <t>Residential</t>
        </is>
      </c>
      <c r="F1" t="inlineStr">
        <is>
          <t>Commercial</t>
        </is>
      </c>
      <c r="G1" t="inlineStr">
        <is>
          <t>Vehicle_CNG</t>
        </is>
      </c>
      <c r="H1" t="inlineStr">
        <is>
          <t>Refinery</t>
        </is>
      </c>
      <c r="I1" t="inlineStr">
        <is>
          <t>Petrochemical</t>
        </is>
      </c>
      <c r="J1" t="inlineStr">
        <is>
          <t>Oil_sector</t>
        </is>
      </c>
      <c r="K1" t="inlineStr">
        <is>
          <t>Compressors</t>
        </is>
      </c>
      <c r="L1" t="inlineStr">
        <is>
          <t>Sum_of_sectors</t>
        </is>
      </c>
      <c r="M1" t="inlineStr">
        <is>
          <t>Reported_total</t>
        </is>
      </c>
      <c r="N1" t="inlineStr">
        <is>
          <t>Source</t>
        </is>
      </c>
      <c r="O1" t="inlineStr">
        <is>
          <t>Report</t>
        </is>
      </c>
    </row>
    <row r="2">
      <c r="A2" t="n">
        <v>0</v>
      </c>
      <c r="B2" t="inlineStr">
        <is>
          <t>2021-01</t>
        </is>
      </c>
      <c r="C2" t="n">
        <v>191</v>
      </c>
      <c r="D2" t="n">
        <v>258</v>
      </c>
      <c r="E2" t="n">
        <v>165</v>
      </c>
      <c r="F2" t="n">
        <v>42</v>
      </c>
      <c r="G2" t="n">
        <v>51</v>
      </c>
      <c r="H2" t="n">
        <v>143</v>
      </c>
      <c r="I2" t="n">
        <v>21</v>
      </c>
      <c r="K2" t="n">
        <v>7</v>
      </c>
      <c r="L2" t="n">
        <v>878</v>
      </c>
      <c r="N2" t="inlineStr">
        <is>
          <t>regional table</t>
        </is>
      </c>
      <c r="O2" t="inlineStr">
        <is>
          <t>https://www.bmcbec.com.co/sites/default/files/2021-02/Informe%20Mensual%20Enero%202021.pdf</t>
        </is>
      </c>
    </row>
    <row r="3">
      <c r="A3" t="n">
        <v>1</v>
      </c>
      <c r="B3" t="inlineStr">
        <is>
          <t>2021-02</t>
        </is>
      </c>
      <c r="C3" t="n">
        <v>216</v>
      </c>
      <c r="D3" t="n">
        <v>276</v>
      </c>
      <c r="E3" t="n">
        <v>175</v>
      </c>
      <c r="F3" t="n">
        <v>45</v>
      </c>
      <c r="G3" t="n">
        <v>57</v>
      </c>
      <c r="H3" t="n">
        <v>146</v>
      </c>
      <c r="I3" t="n">
        <v>16</v>
      </c>
      <c r="K3" t="n">
        <v>8</v>
      </c>
      <c r="L3" t="n">
        <v>939</v>
      </c>
      <c r="N3" t="inlineStr">
        <is>
          <t>regional table</t>
        </is>
      </c>
      <c r="O3" t="inlineStr">
        <is>
          <t>https://www.bmcbec.com.co/sites/default/files/2021-03/Informe%20Mensual%20Febrero%202021.pdf</t>
        </is>
      </c>
    </row>
    <row r="4">
      <c r="A4" t="n">
        <v>2</v>
      </c>
      <c r="B4" t="inlineStr">
        <is>
          <t>2021-03</t>
        </is>
      </c>
      <c r="C4" t="n">
        <v>179</v>
      </c>
      <c r="D4" t="n">
        <v>268</v>
      </c>
      <c r="E4" t="n">
        <v>178</v>
      </c>
      <c r="F4" t="n">
        <v>46</v>
      </c>
      <c r="G4" t="n">
        <v>56</v>
      </c>
      <c r="H4" t="n">
        <v>144</v>
      </c>
      <c r="I4" t="n">
        <v>8</v>
      </c>
      <c r="K4" t="n">
        <v>7.4</v>
      </c>
      <c r="L4" t="n">
        <v>886.4</v>
      </c>
      <c r="M4" t="n">
        <v>886</v>
      </c>
      <c r="N4" t="inlineStr">
        <is>
          <t>regional table</t>
        </is>
      </c>
      <c r="O4" t="inlineStr">
        <is>
          <t>https://www.bmcbec.com.co/sites/default/files/2021-04/Informe%20Mensual%20Marzo%202021.04.14.pdf</t>
        </is>
      </c>
    </row>
    <row r="5">
      <c r="A5" t="n">
        <v>3</v>
      </c>
      <c r="B5" t="inlineStr">
        <is>
          <t>2021-04</t>
        </is>
      </c>
      <c r="C5" t="n">
        <v>159</v>
      </c>
      <c r="D5" t="n">
        <v>256</v>
      </c>
      <c r="E5" t="n">
        <v>168</v>
      </c>
      <c r="F5" t="n">
        <v>44</v>
      </c>
      <c r="G5" t="n">
        <v>52</v>
      </c>
      <c r="H5" t="n">
        <v>139</v>
      </c>
      <c r="I5" t="n">
        <v>22</v>
      </c>
      <c r="K5" t="n">
        <v>6.3</v>
      </c>
      <c r="L5" t="n">
        <v>846.3</v>
      </c>
      <c r="M5" t="n">
        <v>846</v>
      </c>
      <c r="N5" t="inlineStr">
        <is>
          <t>regional table</t>
        </is>
      </c>
      <c r="O5" t="inlineStr">
        <is>
          <t>https://www.bmcbec.com.co/sites/default/files/2021-05/Informe%20Mensual%20Abril%202021.pdf</t>
        </is>
      </c>
    </row>
    <row r="6">
      <c r="A6" t="n">
        <v>4</v>
      </c>
      <c r="B6" t="inlineStr">
        <is>
          <t>2021-05</t>
        </is>
      </c>
      <c r="C6" t="n">
        <v>153</v>
      </c>
      <c r="D6" t="n">
        <v>230</v>
      </c>
      <c r="E6" t="n">
        <v>168</v>
      </c>
      <c r="F6" t="n">
        <v>43</v>
      </c>
      <c r="G6" t="n">
        <v>48</v>
      </c>
      <c r="H6" t="n">
        <v>118</v>
      </c>
      <c r="I6" t="n">
        <v>25</v>
      </c>
      <c r="K6" t="n">
        <v>5</v>
      </c>
      <c r="L6" t="n">
        <v>790</v>
      </c>
      <c r="M6" t="n">
        <v>790</v>
      </c>
      <c r="N6" t="inlineStr">
        <is>
          <t>regional table</t>
        </is>
      </c>
      <c r="O6" t="inlineStr">
        <is>
          <t>https://www.bmcbec.com.co/sites/default/files/2021-06/Informe%20Mensual%20Mayo%202021.pdf</t>
        </is>
      </c>
    </row>
    <row r="7">
      <c r="A7" t="n">
        <v>5</v>
      </c>
      <c r="B7" t="inlineStr">
        <is>
          <t>2021-06</t>
        </is>
      </c>
      <c r="C7" t="n">
        <v>180</v>
      </c>
      <c r="D7" t="n">
        <v>260</v>
      </c>
      <c r="E7" t="n">
        <v>176</v>
      </c>
      <c r="F7" t="n">
        <v>44</v>
      </c>
      <c r="G7" t="n">
        <v>55</v>
      </c>
      <c r="H7" t="n">
        <v>129</v>
      </c>
      <c r="I7" t="n">
        <v>24</v>
      </c>
      <c r="K7" t="n">
        <v>5.4</v>
      </c>
      <c r="L7" t="n">
        <v>873.4</v>
      </c>
      <c r="M7" t="n">
        <v>875</v>
      </c>
      <c r="N7" t="inlineStr">
        <is>
          <t>regional table</t>
        </is>
      </c>
      <c r="O7" t="inlineStr">
        <is>
          <t>https://www.bmcbec.com.co/sites/default/files/2021-07/Informe%20Mensual%20junio.pdf</t>
        </is>
      </c>
    </row>
    <row r="8">
      <c r="A8" t="n">
        <v>6</v>
      </c>
      <c r="B8" t="inlineStr">
        <is>
          <t>2021-07</t>
        </is>
      </c>
      <c r="C8" t="n">
        <v>199</v>
      </c>
      <c r="D8" t="n">
        <v>257</v>
      </c>
      <c r="E8" t="n">
        <v>174</v>
      </c>
      <c r="F8" t="n">
        <v>45</v>
      </c>
      <c r="G8" t="n">
        <v>57</v>
      </c>
      <c r="H8" t="n">
        <v>126</v>
      </c>
      <c r="I8" t="n">
        <v>25</v>
      </c>
      <c r="K8" t="n">
        <v>8</v>
      </c>
      <c r="L8" t="n">
        <v>891</v>
      </c>
      <c r="M8" t="n">
        <v>892</v>
      </c>
      <c r="N8" t="inlineStr">
        <is>
          <t>regional table</t>
        </is>
      </c>
      <c r="O8" t="inlineStr">
        <is>
          <t>https://www.bmcbec.com.co/sites/default/files/2021-08/Informe%20Mensual%20julio%2021.pdf</t>
        </is>
      </c>
    </row>
    <row r="9">
      <c r="A9" t="n">
        <v>7</v>
      </c>
      <c r="B9" t="inlineStr">
        <is>
          <t>2021-08</t>
        </is>
      </c>
      <c r="C9" t="n">
        <v>198</v>
      </c>
      <c r="D9" t="n">
        <v>263</v>
      </c>
      <c r="E9" t="n">
        <v>176</v>
      </c>
      <c r="F9" t="n">
        <v>45</v>
      </c>
      <c r="G9" t="n">
        <v>56</v>
      </c>
      <c r="H9" t="n">
        <v>103</v>
      </c>
      <c r="I9" t="n">
        <v>25</v>
      </c>
      <c r="K9" t="n">
        <v>8</v>
      </c>
      <c r="L9" t="n">
        <v>874</v>
      </c>
      <c r="M9" t="n">
        <v>874</v>
      </c>
      <c r="N9" t="inlineStr">
        <is>
          <t>regional table</t>
        </is>
      </c>
      <c r="O9" t="inlineStr">
        <is>
          <t>https://www.bmcbec.com.co/sites/default/files/2021-09/Informe%20Mensual%20agosto.pdf</t>
        </is>
      </c>
    </row>
    <row r="10">
      <c r="A10" t="n">
        <v>8</v>
      </c>
      <c r="B10" t="inlineStr">
        <is>
          <t>2021-09</t>
        </is>
      </c>
      <c r="C10" t="n">
        <v>197</v>
      </c>
      <c r="D10" t="n">
        <v>271</v>
      </c>
      <c r="E10" t="n">
        <v>180</v>
      </c>
      <c r="F10" t="n">
        <v>46</v>
      </c>
      <c r="G10" t="n">
        <v>58</v>
      </c>
      <c r="H10" t="n">
        <v>105</v>
      </c>
      <c r="I10" t="n">
        <v>22</v>
      </c>
      <c r="K10" t="n">
        <v>8</v>
      </c>
      <c r="L10" t="n">
        <v>887</v>
      </c>
      <c r="M10" t="n">
        <v>887</v>
      </c>
      <c r="N10" t="inlineStr">
        <is>
          <t>regional table</t>
        </is>
      </c>
      <c r="O10" t="inlineStr">
        <is>
          <t>https://www.bmcbec.com.co/sites/default/files/2021-10/Informe%20Mensual%20septiembre.pdf</t>
        </is>
      </c>
    </row>
    <row r="11">
      <c r="A11" t="n">
        <v>9</v>
      </c>
      <c r="B11" t="inlineStr">
        <is>
          <t>2021-10</t>
        </is>
      </c>
      <c r="C11" t="n">
        <v>206</v>
      </c>
      <c r="D11" t="n">
        <v>280</v>
      </c>
      <c r="E11" t="n">
        <v>176</v>
      </c>
      <c r="F11" t="n">
        <v>47</v>
      </c>
      <c r="G11" t="n">
        <v>58</v>
      </c>
      <c r="H11" t="n">
        <v>108</v>
      </c>
      <c r="I11" t="n">
        <v>21</v>
      </c>
      <c r="K11" t="n">
        <v>9</v>
      </c>
      <c r="L11" t="n">
        <v>905</v>
      </c>
      <c r="M11" t="n">
        <v>904</v>
      </c>
      <c r="N11" t="inlineStr">
        <is>
          <t>regional table</t>
        </is>
      </c>
      <c r="O11" t="inlineStr">
        <is>
          <t>https://www.bmcbec.com.co/sites/default/files/2021-11/Informe%20Mensual%20-%20Octubre%202021.pdf</t>
        </is>
      </c>
    </row>
    <row r="12">
      <c r="A12" t="n">
        <v>10</v>
      </c>
      <c r="B12" t="inlineStr">
        <is>
          <t>2021-11</t>
        </is>
      </c>
      <c r="C12" t="n">
        <v>208</v>
      </c>
      <c r="D12" t="n">
        <v>279</v>
      </c>
      <c r="E12" t="n">
        <v>177</v>
      </c>
      <c r="F12" t="n">
        <v>47</v>
      </c>
      <c r="G12" t="n">
        <v>59</v>
      </c>
      <c r="H12" t="n">
        <v>117</v>
      </c>
      <c r="I12" t="n">
        <v>24</v>
      </c>
      <c r="K12" t="n">
        <v>9</v>
      </c>
      <c r="L12" t="n">
        <v>920</v>
      </c>
      <c r="M12" t="n">
        <v>920</v>
      </c>
      <c r="N12" t="inlineStr">
        <is>
          <t>regional table</t>
        </is>
      </c>
      <c r="O12" t="inlineStr">
        <is>
          <t>https://www.bmcbec.com.co/sites/default/files/2021-12/Informe%20Mensual%202021.11.pdf</t>
        </is>
      </c>
    </row>
    <row r="13">
      <c r="A13" t="n">
        <v>11</v>
      </c>
      <c r="B13" t="inlineStr">
        <is>
          <t>2021-12</t>
        </is>
      </c>
      <c r="C13" t="n">
        <v>220</v>
      </c>
      <c r="D13" t="n">
        <v>273</v>
      </c>
      <c r="E13" t="n">
        <v>173</v>
      </c>
      <c r="F13" t="n">
        <v>46</v>
      </c>
      <c r="G13" t="n">
        <v>57</v>
      </c>
      <c r="H13" t="n">
        <v>137</v>
      </c>
      <c r="I13" t="n">
        <v>26</v>
      </c>
      <c r="K13" t="n">
        <v>8</v>
      </c>
      <c r="L13" t="n">
        <v>940</v>
      </c>
      <c r="M13" t="n">
        <v>940</v>
      </c>
      <c r="N13" t="inlineStr">
        <is>
          <t>regional table</t>
        </is>
      </c>
      <c r="O13" t="inlineStr">
        <is>
          <t>https://www.bmcbec.com.co/sites/default/files/2022-01/Informe%20Mensual%20Diciembre%202021.pdf</t>
        </is>
      </c>
    </row>
    <row r="14">
      <c r="A14" t="n">
        <v>12</v>
      </c>
      <c r="B14" t="inlineStr">
        <is>
          <t>2022-01</t>
        </is>
      </c>
      <c r="C14" t="n">
        <v>198</v>
      </c>
      <c r="D14" t="n">
        <v>275</v>
      </c>
      <c r="E14" t="n">
        <v>167</v>
      </c>
      <c r="F14" t="n">
        <v>45</v>
      </c>
      <c r="G14" t="n">
        <v>50</v>
      </c>
      <c r="H14" t="n">
        <v>121</v>
      </c>
      <c r="I14" t="n">
        <v>24</v>
      </c>
      <c r="K14" t="n">
        <v>5</v>
      </c>
      <c r="L14" t="n">
        <v>885</v>
      </c>
      <c r="M14" t="n">
        <v>885</v>
      </c>
      <c r="N14" t="inlineStr">
        <is>
          <t>regional table</t>
        </is>
      </c>
      <c r="O14" t="inlineStr">
        <is>
          <t>https://www.bmcbec.com.co/sites/default/files/2022-02/Informe%20Mensual%20ENERO%202022.pdf</t>
        </is>
      </c>
    </row>
    <row r="15">
      <c r="A15" t="n">
        <v>13</v>
      </c>
      <c r="B15" t="inlineStr">
        <is>
          <t>2022-02</t>
        </is>
      </c>
      <c r="C15" t="n">
        <v>229</v>
      </c>
      <c r="D15" t="n">
        <v>291</v>
      </c>
      <c r="E15" t="n">
        <v>179</v>
      </c>
      <c r="F15" t="n">
        <v>48</v>
      </c>
      <c r="G15" t="n">
        <v>56</v>
      </c>
      <c r="H15" t="n">
        <v>114</v>
      </c>
      <c r="I15" t="n">
        <v>23</v>
      </c>
      <c r="K15" t="n">
        <v>6</v>
      </c>
      <c r="L15" t="n">
        <v>946</v>
      </c>
      <c r="M15" t="n">
        <v>946</v>
      </c>
      <c r="N15" t="inlineStr">
        <is>
          <t>regional table</t>
        </is>
      </c>
      <c r="O15" t="inlineStr">
        <is>
          <t>https://www.bmcbec.com.co/sites/default/files/2022-03/Informe%20Mensual%20FEBRERO%202022.pdf</t>
        </is>
      </c>
    </row>
    <row r="16">
      <c r="A16" t="n">
        <v>14</v>
      </c>
      <c r="B16" t="inlineStr">
        <is>
          <t>2022-03</t>
        </is>
      </c>
      <c r="C16" t="n">
        <v>230</v>
      </c>
      <c r="D16" t="n">
        <v>289</v>
      </c>
      <c r="E16" t="n">
        <v>180</v>
      </c>
      <c r="F16" t="n">
        <v>49</v>
      </c>
      <c r="G16" t="n">
        <v>56</v>
      </c>
      <c r="H16" t="n">
        <v>122</v>
      </c>
      <c r="I16" t="n">
        <v>22</v>
      </c>
      <c r="K16" t="n">
        <v>7</v>
      </c>
      <c r="L16" t="n">
        <v>955</v>
      </c>
      <c r="M16" t="n">
        <v>956</v>
      </c>
      <c r="N16" t="inlineStr">
        <is>
          <t>regional table</t>
        </is>
      </c>
      <c r="O16" t="inlineStr">
        <is>
          <t>https://www.bmcbec.com.co/sites/default/files/2022-04/Informe%20Mensual%20MARZO%202022.pdf</t>
        </is>
      </c>
    </row>
    <row r="17">
      <c r="A17" t="n">
        <v>15</v>
      </c>
      <c r="B17" t="inlineStr">
        <is>
          <t>2022-04</t>
        </is>
      </c>
      <c r="C17" t="n">
        <v>210</v>
      </c>
      <c r="D17" t="n">
        <v>301</v>
      </c>
      <c r="E17" t="n">
        <v>176</v>
      </c>
      <c r="F17" t="n">
        <v>48</v>
      </c>
      <c r="G17" t="n">
        <v>54</v>
      </c>
      <c r="H17" t="n">
        <v>133</v>
      </c>
      <c r="I17" t="n">
        <v>24</v>
      </c>
      <c r="K17" t="n">
        <v>6.5</v>
      </c>
      <c r="L17" t="n">
        <v>952.5</v>
      </c>
      <c r="M17" t="n">
        <v>953</v>
      </c>
      <c r="N17" t="inlineStr">
        <is>
          <t>regional table</t>
        </is>
      </c>
      <c r="O17" t="inlineStr">
        <is>
          <t>https://www.bmcbec.com.co/sites/default/files/2022-05/Informe%20Mensual%20Abril%202022.pdf</t>
        </is>
      </c>
    </row>
    <row r="18">
      <c r="A18" t="n">
        <v>16</v>
      </c>
      <c r="B18" t="inlineStr">
        <is>
          <t>2022-05</t>
        </is>
      </c>
      <c r="C18" t="n">
        <v>215</v>
      </c>
      <c r="D18" t="n">
        <v>295</v>
      </c>
      <c r="E18" t="n">
        <v>180</v>
      </c>
      <c r="F18" t="n">
        <v>49</v>
      </c>
      <c r="G18" t="n">
        <v>55</v>
      </c>
      <c r="H18" t="n">
        <v>142</v>
      </c>
      <c r="I18" t="n">
        <v>26</v>
      </c>
      <c r="K18" t="n">
        <v>9</v>
      </c>
      <c r="L18" t="n">
        <v>971</v>
      </c>
      <c r="M18" t="n">
        <v>970</v>
      </c>
      <c r="N18" t="inlineStr">
        <is>
          <t>regional table</t>
        </is>
      </c>
      <c r="O18" t="inlineStr">
        <is>
          <t>https://www.bmcbec.com.co/sites/default/files/2022-09/5_Informe%20Mensual%20Mayo%202022.pdf</t>
        </is>
      </c>
    </row>
    <row r="19">
      <c r="A19" t="n">
        <v>17</v>
      </c>
      <c r="B19" t="inlineStr">
        <is>
          <t>2022-06</t>
        </is>
      </c>
      <c r="C19" t="n">
        <v>206</v>
      </c>
      <c r="D19" t="n">
        <v>282</v>
      </c>
      <c r="E19" t="n">
        <v>183</v>
      </c>
      <c r="F19" t="n">
        <v>50</v>
      </c>
      <c r="G19" t="n">
        <v>55</v>
      </c>
      <c r="H19" t="n">
        <v>134</v>
      </c>
      <c r="I19" t="n">
        <v>25</v>
      </c>
      <c r="K19" t="n">
        <v>9</v>
      </c>
      <c r="L19" t="n">
        <v>944</v>
      </c>
      <c r="M19" t="n">
        <v>944</v>
      </c>
      <c r="N19" t="inlineStr">
        <is>
          <t>regional table</t>
        </is>
      </c>
      <c r="O19" t="inlineStr">
        <is>
          <t>https://www.bmcbec.com.co/sites/default/files/2022-09/6_Informe%20Mensual%20Junio%202022.pdf</t>
        </is>
      </c>
    </row>
    <row r="20">
      <c r="A20" t="n">
        <v>18</v>
      </c>
      <c r="B20" t="inlineStr">
        <is>
          <t>2022-07</t>
        </is>
      </c>
      <c r="C20" t="n">
        <v>234</v>
      </c>
      <c r="D20" t="n">
        <v>284</v>
      </c>
      <c r="E20" t="n">
        <v>177</v>
      </c>
      <c r="F20" t="n">
        <v>48</v>
      </c>
      <c r="G20" t="n">
        <v>54</v>
      </c>
      <c r="H20" t="n">
        <v>144</v>
      </c>
      <c r="I20" t="n">
        <v>24</v>
      </c>
      <c r="K20" t="n">
        <v>8</v>
      </c>
      <c r="L20" t="n">
        <v>973</v>
      </c>
      <c r="M20" t="n">
        <v>973</v>
      </c>
      <c r="N20" t="inlineStr">
        <is>
          <t>regional table</t>
        </is>
      </c>
      <c r="O20" t="inlineStr">
        <is>
          <t>https://www.bmcbec.com.co/sites/default/files/2022-09/7_Informe%20Mensual%20Julio%202022.pdf</t>
        </is>
      </c>
    </row>
    <row r="21">
      <c r="A21" t="n">
        <v>19</v>
      </c>
      <c r="B21" t="inlineStr">
        <is>
          <t>2022-08</t>
        </is>
      </c>
      <c r="C21" t="n">
        <v>189</v>
      </c>
      <c r="D21" t="n">
        <v>279</v>
      </c>
      <c r="E21" t="n">
        <v>180</v>
      </c>
      <c r="F21" t="n">
        <v>58</v>
      </c>
      <c r="G21" t="n">
        <v>56</v>
      </c>
      <c r="H21" t="n">
        <v>151</v>
      </c>
      <c r="I21" t="n">
        <v>25</v>
      </c>
      <c r="K21" t="n">
        <v>8</v>
      </c>
      <c r="L21" t="n">
        <v>946</v>
      </c>
      <c r="M21" t="n">
        <v>946</v>
      </c>
      <c r="N21" t="inlineStr">
        <is>
          <t>department table (power = total - others)</t>
        </is>
      </c>
      <c r="O21" t="inlineStr">
        <is>
          <t>https://www.bmcbec.com.co/sites/default/files/2023-01/8_Informe%20Mensual%20Agosto%202022.pdf</t>
        </is>
      </c>
    </row>
    <row r="22">
      <c r="A22" t="n">
        <v>20</v>
      </c>
      <c r="B22" t="inlineStr">
        <is>
          <t>2022-09</t>
        </is>
      </c>
      <c r="C22" t="n">
        <v>187</v>
      </c>
      <c r="D22" t="n">
        <v>277</v>
      </c>
      <c r="E22" t="n">
        <v>181</v>
      </c>
      <c r="F22" t="n">
        <v>59</v>
      </c>
      <c r="G22" t="n">
        <v>56</v>
      </c>
      <c r="H22" t="n">
        <v>160</v>
      </c>
      <c r="I22" t="n">
        <v>24</v>
      </c>
      <c r="K22" t="n">
        <v>8</v>
      </c>
      <c r="L22" t="n">
        <v>952</v>
      </c>
      <c r="M22" t="n">
        <v>952</v>
      </c>
      <c r="N22" t="inlineStr">
        <is>
          <t>regional table</t>
        </is>
      </c>
      <c r="O22" t="inlineStr">
        <is>
          <t>https://www.bmcbec.com.co/sites/default/files/2023-01/9_Informe%20Mensual%20Septiembre%202022.pdf</t>
        </is>
      </c>
    </row>
    <row r="23">
      <c r="A23" t="n">
        <v>21</v>
      </c>
      <c r="B23" t="inlineStr">
        <is>
          <t>2022-10</t>
        </is>
      </c>
      <c r="C23" t="n">
        <v>136</v>
      </c>
      <c r="D23" t="n">
        <v>248</v>
      </c>
      <c r="E23" t="n">
        <v>178</v>
      </c>
      <c r="F23" t="n">
        <v>57</v>
      </c>
      <c r="G23" t="n">
        <v>55</v>
      </c>
      <c r="H23" t="n">
        <v>129</v>
      </c>
      <c r="I23" t="n">
        <v>22</v>
      </c>
      <c r="K23" t="n">
        <v>6</v>
      </c>
      <c r="L23" t="n">
        <v>831</v>
      </c>
      <c r="M23" t="n">
        <v>830</v>
      </c>
      <c r="N23" t="inlineStr">
        <is>
          <t>regional table</t>
        </is>
      </c>
      <c r="O23" t="inlineStr">
        <is>
          <t>https://www.bmcbec.com.co/sites/default/files/2023-01/10_Informe%20Mensual%20Octubre%202022.pdf</t>
        </is>
      </c>
    </row>
    <row r="24">
      <c r="A24" t="n">
        <v>22</v>
      </c>
      <c r="B24" t="inlineStr">
        <is>
          <t>2022-11</t>
        </is>
      </c>
      <c r="C24" t="n">
        <v>168</v>
      </c>
      <c r="D24" t="n">
        <v>277</v>
      </c>
      <c r="E24" t="n">
        <v>181</v>
      </c>
      <c r="F24" t="n">
        <v>57</v>
      </c>
      <c r="G24" t="n">
        <v>55</v>
      </c>
      <c r="H24" t="n">
        <v>136</v>
      </c>
      <c r="I24" t="n">
        <v>25</v>
      </c>
      <c r="K24" t="n">
        <v>7</v>
      </c>
      <c r="L24" t="n">
        <v>906</v>
      </c>
      <c r="M24" t="n">
        <v>906</v>
      </c>
      <c r="N24" t="inlineStr">
        <is>
          <t>regional table</t>
        </is>
      </c>
      <c r="O24" t="inlineStr">
        <is>
          <t>https://www.bmcbec.com.co/sites/default/files/2023-01/11_Informe%20Mensual%20Noviembre.pdf</t>
        </is>
      </c>
    </row>
    <row r="25">
      <c r="A25" t="n">
        <v>23</v>
      </c>
      <c r="B25" t="inlineStr">
        <is>
          <t>2022-12</t>
        </is>
      </c>
      <c r="C25" t="n">
        <v>126</v>
      </c>
      <c r="D25" t="n">
        <v>271</v>
      </c>
      <c r="E25" t="n">
        <v>177</v>
      </c>
      <c r="F25" t="n">
        <v>56</v>
      </c>
      <c r="G25" t="n">
        <v>54</v>
      </c>
      <c r="H25" t="n">
        <v>133</v>
      </c>
      <c r="I25" t="n">
        <v>25</v>
      </c>
      <c r="K25" t="n">
        <v>6</v>
      </c>
      <c r="L25" t="n">
        <v>848</v>
      </c>
      <c r="M25" t="n">
        <v>847</v>
      </c>
      <c r="N25" t="inlineStr">
        <is>
          <t>regional table</t>
        </is>
      </c>
      <c r="O25" t="inlineStr">
        <is>
          <t>https://www.bmcbec.com.co/sites/default/files/2023-03/12_Informe%20Mensual%20Diciembre.pdf</t>
        </is>
      </c>
    </row>
    <row r="26">
      <c r="A26" t="n">
        <v>24</v>
      </c>
      <c r="B26" t="inlineStr">
        <is>
          <t>2023-01</t>
        </is>
      </c>
      <c r="C26" t="n">
        <v>122</v>
      </c>
      <c r="D26" t="n">
        <v>261</v>
      </c>
      <c r="E26" t="n">
        <v>167</v>
      </c>
      <c r="F26" t="n">
        <v>55</v>
      </c>
      <c r="G26" t="n">
        <v>51</v>
      </c>
      <c r="H26" t="n">
        <v>146</v>
      </c>
      <c r="I26" t="n">
        <v>24</v>
      </c>
      <c r="K26" t="n">
        <v>6</v>
      </c>
      <c r="L26" t="n">
        <v>832</v>
      </c>
      <c r="M26" t="n">
        <v>831</v>
      </c>
      <c r="N26" t="inlineStr">
        <is>
          <t>regional table</t>
        </is>
      </c>
      <c r="O26" t="inlineStr">
        <is>
          <t>https://www.bmcbec.com.co/sites/default/files/2023-02/1_Informe%20Mensual%202023%20Enero.pdf</t>
        </is>
      </c>
    </row>
    <row r="27">
      <c r="A27" t="n">
        <v>25</v>
      </c>
      <c r="B27" t="inlineStr">
        <is>
          <t>2023-02</t>
        </is>
      </c>
      <c r="C27" t="n">
        <v>172</v>
      </c>
      <c r="D27" t="n">
        <v>274</v>
      </c>
      <c r="E27" t="n">
        <v>176</v>
      </c>
      <c r="F27" t="n">
        <v>57</v>
      </c>
      <c r="G27" t="n">
        <v>54</v>
      </c>
      <c r="H27" t="n">
        <v>146</v>
      </c>
      <c r="I27" t="n">
        <v>24</v>
      </c>
      <c r="K27" t="n">
        <v>8</v>
      </c>
      <c r="L27" t="n">
        <v>911</v>
      </c>
      <c r="M27" t="n">
        <v>911</v>
      </c>
      <c r="N27" t="inlineStr">
        <is>
          <t>regional table</t>
        </is>
      </c>
      <c r="O27" t="inlineStr">
        <is>
          <t>https://www.bmcbec.com.co/sites/default/files/2023-03/2_Informe%20Mensual%202023%20Febrero.pdf</t>
        </is>
      </c>
    </row>
    <row r="28">
      <c r="A28" t="n">
        <v>26</v>
      </c>
      <c r="B28" t="inlineStr">
        <is>
          <t>2023-03</t>
        </is>
      </c>
      <c r="C28" t="n">
        <v>153</v>
      </c>
      <c r="D28" t="n">
        <v>287</v>
      </c>
      <c r="E28" t="n">
        <v>178</v>
      </c>
      <c r="F28" t="n">
        <v>59</v>
      </c>
      <c r="G28" t="n">
        <v>54</v>
      </c>
      <c r="H28" t="n">
        <v>138</v>
      </c>
      <c r="I28" t="n">
        <v>25</v>
      </c>
      <c r="K28" t="n">
        <v>7</v>
      </c>
      <c r="L28" t="n">
        <v>901</v>
      </c>
      <c r="M28" t="n">
        <v>901</v>
      </c>
      <c r="N28" t="inlineStr">
        <is>
          <t>regional table</t>
        </is>
      </c>
      <c r="O28" t="inlineStr">
        <is>
          <t>https://www.bmcbec.com.co/sites/default/files/2023-04/Informe%20Mensual%202023%20Marzo.pdf</t>
        </is>
      </c>
    </row>
    <row r="29">
      <c r="A29" t="n">
        <v>27</v>
      </c>
      <c r="B29" t="inlineStr">
        <is>
          <t>2023-04</t>
        </is>
      </c>
      <c r="C29" t="n">
        <v>146</v>
      </c>
      <c r="D29" t="n">
        <v>281</v>
      </c>
      <c r="E29" t="n">
        <v>175</v>
      </c>
      <c r="F29" t="n">
        <v>57</v>
      </c>
      <c r="G29" t="n">
        <v>52</v>
      </c>
      <c r="H29" t="n">
        <v>147</v>
      </c>
      <c r="I29" t="n">
        <v>28</v>
      </c>
      <c r="K29" t="n">
        <v>7</v>
      </c>
      <c r="L29" t="n">
        <v>893</v>
      </c>
      <c r="M29" t="n">
        <v>893</v>
      </c>
      <c r="N29" t="inlineStr">
        <is>
          <t>regional table</t>
        </is>
      </c>
      <c r="O29" t="inlineStr">
        <is>
          <t>https://www.bmcbec.com.co/sites/default/files/2023-05/Informe%20Mensual%202023%20Abril_0.pdf</t>
        </is>
      </c>
    </row>
    <row r="30">
      <c r="A30" t="n">
        <v>28</v>
      </c>
      <c r="B30" t="inlineStr">
        <is>
          <t>2023-05</t>
        </is>
      </c>
      <c r="C30" t="n">
        <v>198</v>
      </c>
      <c r="D30" t="n">
        <v>269</v>
      </c>
      <c r="E30" t="n">
        <v>174</v>
      </c>
      <c r="F30" t="n">
        <v>57</v>
      </c>
      <c r="G30" t="n">
        <v>51</v>
      </c>
      <c r="H30" t="n">
        <v>146</v>
      </c>
      <c r="I30" t="n">
        <v>27</v>
      </c>
      <c r="K30" t="n">
        <v>7</v>
      </c>
      <c r="L30" t="n">
        <v>929</v>
      </c>
      <c r="M30" t="n">
        <v>929</v>
      </c>
      <c r="N30" t="inlineStr">
        <is>
          <t>regional table</t>
        </is>
      </c>
      <c r="O30" t="inlineStr">
        <is>
          <t>https://www.bmcbec.com.co/sites/default/files/2023-06/5_Informe%20Mensual%202023%20Mayo.pdf</t>
        </is>
      </c>
    </row>
    <row r="31">
      <c r="A31" t="n">
        <v>29</v>
      </c>
      <c r="B31" t="inlineStr">
        <is>
          <t>2023-06</t>
        </is>
      </c>
      <c r="C31" t="n">
        <v>203</v>
      </c>
      <c r="D31" t="n">
        <v>274</v>
      </c>
      <c r="E31" t="n">
        <v>174</v>
      </c>
      <c r="F31" t="n">
        <v>57</v>
      </c>
      <c r="G31" t="n">
        <v>52</v>
      </c>
      <c r="H31" t="n">
        <v>145</v>
      </c>
      <c r="I31" t="n">
        <v>25</v>
      </c>
      <c r="K31" t="n">
        <v>8</v>
      </c>
      <c r="L31" t="n">
        <v>938</v>
      </c>
      <c r="M31" t="n">
        <v>938</v>
      </c>
      <c r="N31" t="inlineStr">
        <is>
          <t>regional table</t>
        </is>
      </c>
      <c r="O31" t="inlineStr">
        <is>
          <t>https://www.bmcbec.com.co/sites/default/files/2023-07/Informe_Mensual_2023_Junio_2.pdf</t>
        </is>
      </c>
    </row>
    <row r="32">
      <c r="A32" t="n">
        <v>30</v>
      </c>
      <c r="B32" t="inlineStr">
        <is>
          <t>2023-07</t>
        </is>
      </c>
      <c r="C32" t="n">
        <v>198</v>
      </c>
      <c r="D32" t="n">
        <v>272</v>
      </c>
      <c r="E32" t="n">
        <v>175</v>
      </c>
      <c r="F32" t="n">
        <v>57</v>
      </c>
      <c r="G32" t="n">
        <v>52</v>
      </c>
      <c r="H32" t="n">
        <v>147</v>
      </c>
      <c r="I32" t="n">
        <v>22</v>
      </c>
      <c r="K32" t="n">
        <v>8</v>
      </c>
      <c r="L32" t="n">
        <v>931</v>
      </c>
      <c r="M32" t="n">
        <v>930</v>
      </c>
      <c r="N32" t="inlineStr">
        <is>
          <t>regional table</t>
        </is>
      </c>
      <c r="O32" t="inlineStr">
        <is>
          <t>https://www.bmcbec.com.co/sites/default/files/2023-08/7_Informe%20Mensual%202023%20Julio.pdf</t>
        </is>
      </c>
    </row>
    <row r="33">
      <c r="A33" t="n">
        <v>31</v>
      </c>
      <c r="B33" t="inlineStr">
        <is>
          <t>2023-08</t>
        </is>
      </c>
      <c r="C33" t="n">
        <v>232</v>
      </c>
      <c r="D33" t="n">
        <v>272</v>
      </c>
      <c r="E33" t="n">
        <v>178</v>
      </c>
      <c r="F33" t="n">
        <v>58</v>
      </c>
      <c r="G33" t="n">
        <v>53</v>
      </c>
      <c r="H33" t="n">
        <v>159</v>
      </c>
      <c r="I33" t="n">
        <v>19</v>
      </c>
      <c r="K33" t="n">
        <v>8</v>
      </c>
      <c r="L33" t="n">
        <v>979</v>
      </c>
      <c r="M33" t="n">
        <v>978</v>
      </c>
      <c r="N33" t="inlineStr">
        <is>
          <t>regional table</t>
        </is>
      </c>
      <c r="O33" t="inlineStr">
        <is>
          <t>https://www.bmcbec.com.co/sites/default/files/2023-09/Informe%20Mensual%202023%20Agosto_0.pdf</t>
        </is>
      </c>
    </row>
    <row r="34">
      <c r="A34" t="n">
        <v>32</v>
      </c>
      <c r="B34" t="inlineStr">
        <is>
          <t>2023-09</t>
        </is>
      </c>
      <c r="C34" t="n">
        <v>372</v>
      </c>
      <c r="D34" t="n">
        <v>265</v>
      </c>
      <c r="E34" t="n">
        <v>176</v>
      </c>
      <c r="F34" t="n">
        <v>57</v>
      </c>
      <c r="G34" t="n">
        <v>55</v>
      </c>
      <c r="H34" t="n">
        <v>143</v>
      </c>
      <c r="I34" t="n">
        <v>19</v>
      </c>
      <c r="K34" t="n">
        <v>8</v>
      </c>
      <c r="L34" t="n">
        <v>1095</v>
      </c>
      <c r="M34" t="n">
        <v>1097</v>
      </c>
      <c r="N34" t="inlineStr">
        <is>
          <t>regional table</t>
        </is>
      </c>
      <c r="O34" t="inlineStr">
        <is>
          <t>https://www.bmcbec.com.co/sites/default/files/2023-10/Informe%20Mensual%202023%20Septiembre.pdf</t>
        </is>
      </c>
    </row>
    <row r="35">
      <c r="A35" t="n">
        <v>33</v>
      </c>
      <c r="B35" t="inlineStr">
        <is>
          <t>2023-10</t>
        </is>
      </c>
      <c r="C35" t="n">
        <v>374</v>
      </c>
      <c r="D35" t="n">
        <v>268</v>
      </c>
      <c r="E35" t="n">
        <v>175</v>
      </c>
      <c r="F35" t="n">
        <v>58</v>
      </c>
      <c r="G35" t="n">
        <v>53</v>
      </c>
      <c r="H35" t="n">
        <v>143</v>
      </c>
      <c r="I35" t="n">
        <v>22</v>
      </c>
      <c r="K35" t="n">
        <v>8</v>
      </c>
      <c r="L35" t="n">
        <v>1101</v>
      </c>
      <c r="M35" t="n">
        <v>1101</v>
      </c>
      <c r="N35" t="inlineStr">
        <is>
          <t>regional table</t>
        </is>
      </c>
      <c r="O35" t="inlineStr">
        <is>
          <t>https://www.bmcbec.com.co/sites/default/files/2023-11/Informe%20Mensual%202023%20Octubre_0.pdf</t>
        </is>
      </c>
    </row>
    <row r="36">
      <c r="A36" t="n">
        <v>34</v>
      </c>
      <c r="B36" t="inlineStr">
        <is>
          <t>2023-11</t>
        </is>
      </c>
      <c r="C36" t="n">
        <v>242</v>
      </c>
      <c r="D36" t="n">
        <v>270</v>
      </c>
      <c r="E36" t="n">
        <v>178</v>
      </c>
      <c r="F36" t="n">
        <v>59</v>
      </c>
      <c r="G36" t="n">
        <v>54</v>
      </c>
      <c r="H36" t="n">
        <v>142</v>
      </c>
      <c r="I36" t="n">
        <v>21</v>
      </c>
      <c r="K36" t="n">
        <v>7</v>
      </c>
      <c r="L36" t="n">
        <v>973</v>
      </c>
      <c r="M36" t="n">
        <v>974</v>
      </c>
      <c r="N36" t="inlineStr">
        <is>
          <t>regional table</t>
        </is>
      </c>
      <c r="O36" t="inlineStr">
        <is>
          <t>https://www.bmcbec.com.co/sites/default/files/2023-12/Informe%20Mensual%202023%20Noviembre.pdf</t>
        </is>
      </c>
    </row>
    <row r="37">
      <c r="A37" t="n">
        <v>35</v>
      </c>
      <c r="B37" t="inlineStr">
        <is>
          <t>2023-12</t>
        </is>
      </c>
      <c r="C37" t="n">
        <v>355</v>
      </c>
      <c r="D37" t="n">
        <v>268</v>
      </c>
      <c r="E37" t="n">
        <v>171</v>
      </c>
      <c r="F37" t="n">
        <v>56</v>
      </c>
      <c r="G37" t="n">
        <v>57</v>
      </c>
      <c r="H37" t="n">
        <v>142</v>
      </c>
      <c r="I37" t="n">
        <v>23</v>
      </c>
      <c r="K37" t="n">
        <v>8</v>
      </c>
      <c r="L37" t="n">
        <v>1080</v>
      </c>
      <c r="M37" t="n">
        <v>1079</v>
      </c>
      <c r="N37" t="inlineStr">
        <is>
          <t>regional table</t>
        </is>
      </c>
      <c r="O37" t="inlineStr">
        <is>
          <t>https://www.bmcbec.com.co/sites/default/files/2024-01/Informe%20Mensual%202023%20Diciembre_.pdf</t>
        </is>
      </c>
    </row>
    <row r="38">
      <c r="A38" t="n">
        <v>36</v>
      </c>
      <c r="B38" t="inlineStr">
        <is>
          <t>2024-01</t>
        </is>
      </c>
      <c r="C38" t="n">
        <v>302</v>
      </c>
      <c r="D38" t="n">
        <v>255</v>
      </c>
      <c r="E38" t="n">
        <v>167</v>
      </c>
      <c r="F38" t="n">
        <v>52</v>
      </c>
      <c r="G38" t="n">
        <v>55</v>
      </c>
      <c r="H38" t="n">
        <v>152</v>
      </c>
      <c r="I38" t="n">
        <v>17</v>
      </c>
      <c r="K38" t="n">
        <v>5</v>
      </c>
      <c r="L38" t="n">
        <v>1005</v>
      </c>
      <c r="M38" t="n">
        <v>1004</v>
      </c>
      <c r="N38" t="inlineStr">
        <is>
          <t>regional table</t>
        </is>
      </c>
      <c r="O38" t="inlineStr">
        <is>
          <t>https://www.bmcbec.com.co/sites/default/files/2024-02/Informe%20Mensual%202024%20Enero_0.pdf</t>
        </is>
      </c>
    </row>
    <row r="39">
      <c r="A39" t="n">
        <v>37</v>
      </c>
      <c r="B39" t="inlineStr">
        <is>
          <t>2024-02</t>
        </is>
      </c>
      <c r="C39" t="n">
        <v>331</v>
      </c>
      <c r="D39" t="n">
        <v>278</v>
      </c>
      <c r="E39" t="n">
        <v>182</v>
      </c>
      <c r="F39" t="n">
        <v>53</v>
      </c>
      <c r="G39" t="n">
        <v>60</v>
      </c>
      <c r="H39" t="n">
        <v>149</v>
      </c>
      <c r="I39" t="n">
        <v>23</v>
      </c>
      <c r="K39" t="n">
        <v>7</v>
      </c>
      <c r="L39" t="n">
        <v>1083</v>
      </c>
      <c r="M39" t="n">
        <v>1082</v>
      </c>
      <c r="N39" t="inlineStr">
        <is>
          <t>regional table</t>
        </is>
      </c>
      <c r="O39" t="inlineStr">
        <is>
          <t>https://www.bmcbec.com.co/sites/default/files/2024-03/Informe%20Mensual%202024%20Febrero.pdf</t>
        </is>
      </c>
    </row>
    <row r="40">
      <c r="A40" t="n">
        <v>38</v>
      </c>
      <c r="B40" t="inlineStr">
        <is>
          <t>2024-03</t>
        </is>
      </c>
      <c r="C40" t="n">
        <v>461</v>
      </c>
      <c r="D40" t="n">
        <v>265</v>
      </c>
      <c r="E40" t="n">
        <v>172</v>
      </c>
      <c r="F40" t="n">
        <v>50</v>
      </c>
      <c r="G40" t="n">
        <v>56</v>
      </c>
      <c r="H40" t="n">
        <v>144</v>
      </c>
      <c r="I40" t="n">
        <v>21</v>
      </c>
      <c r="K40" t="n">
        <v>7</v>
      </c>
      <c r="L40" t="n">
        <v>1176</v>
      </c>
      <c r="M40" t="n">
        <v>1177</v>
      </c>
      <c r="N40" t="inlineStr">
        <is>
          <t>regional table</t>
        </is>
      </c>
      <c r="O40" t="inlineStr">
        <is>
          <t>https://www.bmcbec.com.co/sites/default/files/2024-04/Informe%20Mensual%202024%20Marzo.pdf</t>
        </is>
      </c>
    </row>
    <row r="41">
      <c r="A41" t="n">
        <v>39</v>
      </c>
      <c r="B41" t="inlineStr">
        <is>
          <t>2024-04</t>
        </is>
      </c>
      <c r="C41" t="n">
        <v>513</v>
      </c>
      <c r="D41" t="n">
        <v>276</v>
      </c>
      <c r="E41" t="n">
        <v>178</v>
      </c>
      <c r="F41" t="n">
        <v>52</v>
      </c>
      <c r="G41" t="n">
        <v>60</v>
      </c>
      <c r="H41" t="n">
        <v>141</v>
      </c>
      <c r="I41" t="n">
        <v>8</v>
      </c>
      <c r="K41" t="n">
        <v>8</v>
      </c>
      <c r="L41" t="n">
        <v>1236</v>
      </c>
      <c r="M41" t="n">
        <v>1236</v>
      </c>
      <c r="N41" t="inlineStr">
        <is>
          <t>regional table</t>
        </is>
      </c>
      <c r="O41" t="inlineStr">
        <is>
          <t>https://www.bmcbec.com.co/sites/default/files/2024-05/Informe%20Mensual%202024%20Abril_1.pdf</t>
        </is>
      </c>
    </row>
    <row r="42">
      <c r="A42" t="n">
        <v>40</v>
      </c>
      <c r="B42" t="inlineStr">
        <is>
          <t>2024-05</t>
        </is>
      </c>
      <c r="C42" t="n">
        <v>175</v>
      </c>
      <c r="D42" t="n">
        <v>273</v>
      </c>
      <c r="E42" t="n">
        <v>176</v>
      </c>
      <c r="F42" t="n">
        <v>51</v>
      </c>
      <c r="G42" t="n">
        <v>61</v>
      </c>
      <c r="H42" t="n">
        <v>149</v>
      </c>
      <c r="I42" t="n">
        <v>15</v>
      </c>
      <c r="K42" t="n">
        <v>5</v>
      </c>
      <c r="L42" t="n">
        <v>905</v>
      </c>
      <c r="M42" t="n">
        <v>905</v>
      </c>
      <c r="N42" t="inlineStr">
        <is>
          <t>regional table</t>
        </is>
      </c>
      <c r="O42" t="inlineStr">
        <is>
          <t>https://www.bmcbec.com.co/sites/default/files/2024-06/Informe%20Mensual%202024%20Mayo.pdf</t>
        </is>
      </c>
    </row>
    <row r="43">
      <c r="A43" t="n">
        <v>41</v>
      </c>
      <c r="B43" t="inlineStr">
        <is>
          <t>2024-06</t>
        </is>
      </c>
      <c r="C43" t="n">
        <v>164</v>
      </c>
      <c r="D43" t="n">
        <v>269</v>
      </c>
      <c r="E43" t="n">
        <v>176</v>
      </c>
      <c r="F43" t="n">
        <v>51</v>
      </c>
      <c r="G43" t="n">
        <v>60</v>
      </c>
      <c r="H43" t="n">
        <v>142</v>
      </c>
      <c r="I43" t="n">
        <v>20</v>
      </c>
      <c r="K43" t="n">
        <v>6</v>
      </c>
      <c r="L43" t="n">
        <v>888</v>
      </c>
      <c r="M43" t="n">
        <v>888</v>
      </c>
      <c r="N43" t="inlineStr">
        <is>
          <t>regional table</t>
        </is>
      </c>
      <c r="O43" t="inlineStr">
        <is>
          <t>https://www.bmcbec.com.co/sites/default/files/2024-07/Informe%20Mensual%202024%20Junio.pdf</t>
        </is>
      </c>
    </row>
    <row r="44">
      <c r="A44" t="n">
        <v>42</v>
      </c>
      <c r="B44" t="inlineStr">
        <is>
          <t>2024-07</t>
        </is>
      </c>
      <c r="C44" t="n">
        <v>192</v>
      </c>
      <c r="D44" t="n">
        <v>272</v>
      </c>
      <c r="E44" t="n">
        <v>180</v>
      </c>
      <c r="F44" t="n">
        <v>52</v>
      </c>
      <c r="G44" t="n">
        <v>60</v>
      </c>
      <c r="H44" t="n">
        <v>125</v>
      </c>
      <c r="I44" t="n">
        <v>19</v>
      </c>
      <c r="K44" t="n">
        <v>5</v>
      </c>
      <c r="L44" t="n">
        <v>905</v>
      </c>
      <c r="M44" t="n">
        <v>905</v>
      </c>
      <c r="N44" t="inlineStr">
        <is>
          <t>regional table</t>
        </is>
      </c>
      <c r="O44" t="inlineStr">
        <is>
          <t>https://www.bmcbec.com.co/sites/default/files/2024-08/Informe%20Mensual%202024%20Julio.pdf</t>
        </is>
      </c>
    </row>
    <row r="45">
      <c r="A45" t="n">
        <v>43</v>
      </c>
      <c r="B45" t="inlineStr">
        <is>
          <t>2024-08</t>
        </is>
      </c>
      <c r="C45" t="n">
        <v>234</v>
      </c>
      <c r="D45" t="n">
        <v>276</v>
      </c>
      <c r="E45" t="n">
        <v>181</v>
      </c>
      <c r="F45" t="n">
        <v>53</v>
      </c>
      <c r="G45" t="n">
        <v>63</v>
      </c>
      <c r="H45" t="n">
        <v>111</v>
      </c>
      <c r="I45" t="n">
        <v>23</v>
      </c>
      <c r="K45" t="n">
        <v>6</v>
      </c>
      <c r="L45" t="n">
        <v>947</v>
      </c>
      <c r="M45" t="n">
        <v>948</v>
      </c>
      <c r="N45" t="inlineStr">
        <is>
          <t>regional table</t>
        </is>
      </c>
      <c r="O45" t="inlineStr">
        <is>
          <t>https://www.bmcbec.com.co/sites/default/files/2024-09/Informe%20Mensual%202024%20Agosto.pdf</t>
        </is>
      </c>
    </row>
    <row r="46">
      <c r="A46" t="n">
        <v>44</v>
      </c>
      <c r="B46" t="inlineStr">
        <is>
          <t>2024-09</t>
        </is>
      </c>
      <c r="C46" t="n">
        <v>384</v>
      </c>
      <c r="D46" t="n">
        <v>271</v>
      </c>
      <c r="E46" t="n">
        <v>178</v>
      </c>
      <c r="F46" t="n">
        <v>52</v>
      </c>
      <c r="G46" t="n">
        <v>61</v>
      </c>
      <c r="H46" t="n">
        <v>127</v>
      </c>
      <c r="I46" t="n">
        <v>11</v>
      </c>
      <c r="K46" t="n">
        <v>10</v>
      </c>
      <c r="L46" t="n">
        <v>1094</v>
      </c>
      <c r="M46" t="n">
        <v>1094</v>
      </c>
      <c r="N46" t="inlineStr">
        <is>
          <t>regional table</t>
        </is>
      </c>
      <c r="O46" t="inlineStr">
        <is>
          <t>https://www.bmcbec.com.co/sites/default/files/2024-10/Informe%20Mensual%202024%20Septiembre.pdf</t>
        </is>
      </c>
    </row>
    <row r="47">
      <c r="A47" t="n">
        <v>45</v>
      </c>
      <c r="B47" t="inlineStr">
        <is>
          <t>2024-10</t>
        </is>
      </c>
      <c r="C47" t="n">
        <v>464</v>
      </c>
      <c r="D47" t="n">
        <v>263</v>
      </c>
      <c r="E47" t="n">
        <v>178</v>
      </c>
      <c r="F47" t="n">
        <v>53</v>
      </c>
      <c r="G47" t="n">
        <v>62</v>
      </c>
      <c r="H47" t="n">
        <v>140</v>
      </c>
      <c r="I47" t="n">
        <v>8</v>
      </c>
      <c r="K47" t="n">
        <v>9</v>
      </c>
      <c r="L47" t="n">
        <v>1177</v>
      </c>
      <c r="M47" t="n">
        <v>1177</v>
      </c>
      <c r="N47" t="inlineStr">
        <is>
          <t>regional table</t>
        </is>
      </c>
      <c r="O47" t="inlineStr">
        <is>
          <t>https://www.bmcbec.com.co/sites/default/files/2024-11/Informe%20Mensual%202024%20Octubre.pdf</t>
        </is>
      </c>
    </row>
    <row r="48">
      <c r="A48" t="n">
        <v>46</v>
      </c>
      <c r="B48" t="inlineStr">
        <is>
          <t>2024-11</t>
        </is>
      </c>
      <c r="C48" t="n">
        <v>272</v>
      </c>
      <c r="D48" t="n">
        <v>267</v>
      </c>
      <c r="E48" t="n">
        <v>181</v>
      </c>
      <c r="F48" t="n">
        <v>54</v>
      </c>
      <c r="G48" t="n">
        <v>63</v>
      </c>
      <c r="H48" t="n">
        <v>147</v>
      </c>
      <c r="I48" t="n">
        <v>8</v>
      </c>
      <c r="K48" t="n">
        <v>8</v>
      </c>
      <c r="L48" t="n">
        <v>1000</v>
      </c>
      <c r="M48" t="n">
        <v>1000</v>
      </c>
      <c r="N48" t="inlineStr">
        <is>
          <t>regional table</t>
        </is>
      </c>
      <c r="O48" t="inlineStr">
        <is>
          <t>https://www.bmcbec.com.co/sites/default/files/2024-12/Informe%20Mensual%202024%20Noviembre.pdf</t>
        </is>
      </c>
    </row>
    <row r="49">
      <c r="A49" t="n">
        <v>47</v>
      </c>
      <c r="B49" t="inlineStr">
        <is>
          <t>2024-12</t>
        </is>
      </c>
      <c r="C49" t="n">
        <v>344</v>
      </c>
      <c r="D49" t="n">
        <v>251</v>
      </c>
      <c r="E49" t="n">
        <v>176</v>
      </c>
      <c r="F49" t="n">
        <v>52</v>
      </c>
      <c r="G49" t="n">
        <v>64</v>
      </c>
      <c r="H49" t="n">
        <v>146</v>
      </c>
      <c r="I49" t="n">
        <v>9</v>
      </c>
      <c r="K49" t="n">
        <v>8</v>
      </c>
      <c r="L49" t="n">
        <v>1050</v>
      </c>
      <c r="M49" t="n">
        <v>1050</v>
      </c>
      <c r="N49" t="inlineStr">
        <is>
          <t>regional table</t>
        </is>
      </c>
      <c r="O49" t="inlineStr">
        <is>
          <t>https://www.bmcbec.com.co/sites/default/files/2025-01/Informe%20Mensual%202024%20Diciembre_0.pdf</t>
        </is>
      </c>
    </row>
    <row r="50">
      <c r="A50" t="n">
        <v>48</v>
      </c>
      <c r="B50" t="inlineStr">
        <is>
          <t>2025-01</t>
        </is>
      </c>
      <c r="C50" t="n">
        <v>185</v>
      </c>
      <c r="D50" t="n">
        <v>253</v>
      </c>
      <c r="E50" t="n">
        <v>171</v>
      </c>
      <c r="F50" t="n">
        <v>50</v>
      </c>
      <c r="G50" t="n">
        <v>57</v>
      </c>
      <c r="H50" t="n">
        <v>140</v>
      </c>
      <c r="I50" t="n">
        <v>9</v>
      </c>
      <c r="K50" t="n">
        <v>6</v>
      </c>
      <c r="L50" t="n">
        <v>871</v>
      </c>
      <c r="M50" t="n">
        <v>869</v>
      </c>
      <c r="N50" t="inlineStr">
        <is>
          <t>regional table</t>
        </is>
      </c>
      <c r="O50" t="inlineStr">
        <is>
          <t>https://www.bmcbec.com.co/sites/default/files/2025-02/Informe%20Mensual%202025%20Enero_0.pdf</t>
        </is>
      </c>
    </row>
    <row r="51">
      <c r="A51" t="n">
        <v>49</v>
      </c>
      <c r="B51" t="inlineStr">
        <is>
          <t>2025-02</t>
        </is>
      </c>
      <c r="C51" t="n">
        <v>152</v>
      </c>
      <c r="D51" t="n">
        <v>264</v>
      </c>
      <c r="E51" t="n">
        <v>183</v>
      </c>
      <c r="F51" t="n">
        <v>54</v>
      </c>
      <c r="G51" t="n">
        <v>62</v>
      </c>
      <c r="H51" t="n">
        <v>138</v>
      </c>
      <c r="I51" t="n">
        <v>9</v>
      </c>
      <c r="K51" t="n">
        <v>6</v>
      </c>
      <c r="L51" t="n">
        <v>868</v>
      </c>
      <c r="M51" t="n">
        <v>867</v>
      </c>
      <c r="N51" t="inlineStr">
        <is>
          <t>regional table</t>
        </is>
      </c>
      <c r="O51" t="inlineStr">
        <is>
          <t>https://www.bmcbec.com.co/sites/default/files/2025-03/Informe%20Mensual%202025%20Febrero.pdf</t>
        </is>
      </c>
    </row>
    <row r="52">
      <c r="A52" t="n">
        <v>50</v>
      </c>
      <c r="B52" t="inlineStr">
        <is>
          <t>2025-03</t>
        </is>
      </c>
      <c r="C52" t="n">
        <v>159</v>
      </c>
      <c r="D52" t="n">
        <v>253</v>
      </c>
      <c r="E52" t="n">
        <v>175</v>
      </c>
      <c r="F52" t="n">
        <v>62</v>
      </c>
      <c r="G52" t="n">
        <v>61</v>
      </c>
      <c r="H52" t="n">
        <v>137</v>
      </c>
      <c r="I52" t="n">
        <v>9</v>
      </c>
      <c r="K52" t="n">
        <v>5</v>
      </c>
      <c r="L52" t="n">
        <v>861</v>
      </c>
      <c r="M52" t="n">
        <v>862</v>
      </c>
      <c r="N52" t="inlineStr">
        <is>
          <t>regional table</t>
        </is>
      </c>
      <c r="O52" t="inlineStr">
        <is>
          <t>https://www.bmcbec.com.co/sites/default/files/2025-04/Informe%20Mensual%202025%20Marzo.pdf</t>
        </is>
      </c>
    </row>
    <row r="53">
      <c r="A53" t="n">
        <v>51</v>
      </c>
      <c r="B53" t="inlineStr">
        <is>
          <t>2025-04</t>
        </is>
      </c>
      <c r="C53" t="n">
        <v>175</v>
      </c>
      <c r="D53" t="n">
        <v>260</v>
      </c>
      <c r="E53" t="n">
        <v>168</v>
      </c>
      <c r="F53" t="n">
        <v>58</v>
      </c>
      <c r="G53" t="n">
        <v>60</v>
      </c>
      <c r="H53" t="n">
        <v>137</v>
      </c>
      <c r="I53" t="n">
        <v>9</v>
      </c>
      <c r="K53" t="n">
        <v>5</v>
      </c>
      <c r="L53" t="n">
        <v>872</v>
      </c>
      <c r="M53" t="n">
        <v>871</v>
      </c>
      <c r="N53" t="inlineStr">
        <is>
          <t>regional table</t>
        </is>
      </c>
      <c r="O53" t="inlineStr">
        <is>
          <t>https://www.bmcbec.com.co/sites/default/files/2025-05/Informe%20Mensual%202025%20Abril.pdf</t>
        </is>
      </c>
    </row>
    <row r="54">
      <c r="A54" t="n">
        <v>52</v>
      </c>
      <c r="B54" t="inlineStr">
        <is>
          <t>2025-05</t>
        </is>
      </c>
      <c r="C54" t="n">
        <v>154</v>
      </c>
      <c r="D54" t="n">
        <v>255</v>
      </c>
      <c r="E54" t="n">
        <v>179</v>
      </c>
      <c r="F54" t="n">
        <v>63</v>
      </c>
      <c r="G54" t="n">
        <v>61</v>
      </c>
      <c r="H54" t="n">
        <v>145</v>
      </c>
      <c r="I54" t="n">
        <v>9</v>
      </c>
      <c r="K54" t="n">
        <v>5</v>
      </c>
      <c r="L54" t="n">
        <v>871</v>
      </c>
      <c r="M54" t="n">
        <v>870</v>
      </c>
      <c r="N54" t="inlineStr">
        <is>
          <t>regional table</t>
        </is>
      </c>
      <c r="O54" t="inlineStr">
        <is>
          <t>https://www.bmcbec.com.co/sites/default/files/2025-06/Informe%20Mensual%202025%20Mayo.pdf</t>
        </is>
      </c>
    </row>
    <row r="55">
      <c r="A55" t="n">
        <v>53</v>
      </c>
      <c r="B55" t="inlineStr">
        <is>
          <t>2025-06</t>
        </is>
      </c>
      <c r="C55" t="n">
        <v>170</v>
      </c>
      <c r="D55" t="n">
        <v>250</v>
      </c>
      <c r="E55" t="n">
        <v>168</v>
      </c>
      <c r="F55" t="n">
        <v>63</v>
      </c>
      <c r="G55" t="n">
        <v>57</v>
      </c>
      <c r="H55" t="n">
        <v>142</v>
      </c>
      <c r="I55" t="n">
        <v>9</v>
      </c>
      <c r="K55" t="n">
        <v>5</v>
      </c>
      <c r="L55" t="n">
        <v>864</v>
      </c>
      <c r="M55" t="n">
        <v>862</v>
      </c>
      <c r="N55" t="inlineStr">
        <is>
          <t>regional table</t>
        </is>
      </c>
      <c r="O55" t="inlineStr">
        <is>
          <t>https://www.bmcbec.com.co/sites/default/files/2025-07/Informe%20Mensual%202025%20Junio.pdf</t>
        </is>
      </c>
    </row>
    <row r="56">
      <c r="A56" t="n">
        <v>54</v>
      </c>
      <c r="B56" t="inlineStr">
        <is>
          <t>2025-07</t>
        </is>
      </c>
      <c r="C56" t="n">
        <v>190</v>
      </c>
      <c r="D56" t="n">
        <v>256</v>
      </c>
      <c r="E56" t="n">
        <v>170</v>
      </c>
      <c r="F56" t="n">
        <v>66</v>
      </c>
      <c r="G56" t="n">
        <v>60</v>
      </c>
      <c r="H56" t="n">
        <v>133</v>
      </c>
      <c r="I56" t="n">
        <v>9</v>
      </c>
      <c r="K56" t="n">
        <v>4</v>
      </c>
      <c r="L56" t="n">
        <v>888</v>
      </c>
      <c r="M56" t="n">
        <v>887</v>
      </c>
      <c r="N56" t="inlineStr">
        <is>
          <t>regional table</t>
        </is>
      </c>
      <c r="O56" t="inlineStr">
        <is>
          <t>https://www.bmcbec.com.co/sites/default/files/2025-08/Informe%20Mensual%202025%20Julio.pdf</t>
        </is>
      </c>
    </row>
    <row r="57">
      <c r="A57" t="n">
        <v>55</v>
      </c>
      <c r="B57" t="inlineStr">
        <is>
          <t>2025-08</t>
        </is>
      </c>
      <c r="C57" t="n">
        <v>169</v>
      </c>
      <c r="D57" t="n">
        <v>224</v>
      </c>
      <c r="E57" t="n">
        <v>168</v>
      </c>
      <c r="F57" t="n">
        <v>66</v>
      </c>
      <c r="G57" t="n">
        <v>60</v>
      </c>
      <c r="H57" t="n">
        <v>135</v>
      </c>
      <c r="I57" t="n">
        <v>8</v>
      </c>
      <c r="J57" t="n">
        <v>25</v>
      </c>
      <c r="K57" t="n">
        <v>4</v>
      </c>
      <c r="L57" t="n">
        <v>859</v>
      </c>
      <c r="M57" t="n">
        <v>859</v>
      </c>
      <c r="N57" t="inlineStr">
        <is>
          <t>regional table</t>
        </is>
      </c>
      <c r="O57" t="inlineStr">
        <is>
          <t>https://www.bmcbec.com.co/sites/default/files/2025-09/Informe%20Mensual%202025%20Agosto.pdf</t>
        </is>
      </c>
    </row>
    <row r="58">
      <c r="A58" t="n">
        <v>56</v>
      </c>
      <c r="B58" t="inlineStr">
        <is>
          <t>2025-09</t>
        </is>
      </c>
      <c r="C58" t="n">
        <v>187</v>
      </c>
      <c r="D58" t="n">
        <v>230</v>
      </c>
      <c r="E58" t="n">
        <v>172</v>
      </c>
      <c r="F58" t="n">
        <v>66</v>
      </c>
      <c r="G58" t="n">
        <v>60</v>
      </c>
      <c r="H58" t="n">
        <v>135</v>
      </c>
      <c r="I58" t="n">
        <v>9</v>
      </c>
      <c r="J58" t="n">
        <v>25</v>
      </c>
      <c r="K58" t="n">
        <v>5</v>
      </c>
      <c r="L58" t="n">
        <v>889</v>
      </c>
      <c r="M58" t="n">
        <v>889</v>
      </c>
      <c r="N58" t="inlineStr">
        <is>
          <t>department table (power = total - others)</t>
        </is>
      </c>
      <c r="O58" t="inlineStr">
        <is>
          <t>https://www.bmcbec.com.co/sites/default/files/2025-10/Informe%20Mensual%202025%20Septiembre.pdf</t>
        </is>
      </c>
    </row>
    <row r="59">
      <c r="A59" t="n">
        <v>57</v>
      </c>
      <c r="B59" t="inlineStr">
        <is>
          <t>2025-10</t>
        </is>
      </c>
      <c r="C59" t="n">
        <v>158</v>
      </c>
      <c r="D59" t="n">
        <v>218</v>
      </c>
      <c r="E59" t="n">
        <v>171</v>
      </c>
      <c r="F59" t="n">
        <v>65</v>
      </c>
      <c r="G59" t="n">
        <v>61</v>
      </c>
      <c r="H59" t="n">
        <v>131</v>
      </c>
      <c r="I59" t="n">
        <v>8</v>
      </c>
      <c r="J59" t="n">
        <v>25</v>
      </c>
      <c r="K59" t="n">
        <v>6</v>
      </c>
      <c r="L59" t="n">
        <v>843</v>
      </c>
      <c r="M59" t="n">
        <v>844</v>
      </c>
      <c r="N59" t="inlineStr">
        <is>
          <t>regional table</t>
        </is>
      </c>
      <c r="O59" t="inlineStr">
        <is>
          <t>https://www.bmcbec.com.co/sites/default/files/2025-11/Informe%20Mensual%202025%20Octubre.pdf</t>
        </is>
      </c>
    </row>
    <row r="60">
      <c r="A60" t="n">
        <v>58</v>
      </c>
      <c r="B60" t="inlineStr">
        <is>
          <t>2025-11</t>
        </is>
      </c>
      <c r="C60" t="n">
        <v>168</v>
      </c>
      <c r="D60" t="n">
        <v>217</v>
      </c>
      <c r="E60" t="n">
        <v>167</v>
      </c>
      <c r="F60" t="n">
        <v>65</v>
      </c>
      <c r="G60" t="n">
        <v>60</v>
      </c>
      <c r="H60" t="n">
        <v>124</v>
      </c>
      <c r="I60" t="n">
        <v>8</v>
      </c>
      <c r="J60" t="n">
        <v>24</v>
      </c>
      <c r="K60" t="n">
        <v>4</v>
      </c>
      <c r="L60" t="n">
        <v>837</v>
      </c>
      <c r="M60" t="n">
        <v>841</v>
      </c>
      <c r="N60" t="inlineStr">
        <is>
          <t>regional table</t>
        </is>
      </c>
      <c r="O60" t="inlineStr">
        <is>
          <t>https://www.bmcbec.com.co/sites/default/files/2026-01/Informe%20Mensual%202025%20noviembre.pdf</t>
        </is>
      </c>
    </row>
    <row r="61">
      <c r="A61" t="n">
        <v>59</v>
      </c>
      <c r="B61" t="inlineStr">
        <is>
          <t>2025-12</t>
        </is>
      </c>
      <c r="C61" t="n">
        <v>134</v>
      </c>
      <c r="D61" t="n">
        <v>170</v>
      </c>
      <c r="E61" t="n">
        <v>166</v>
      </c>
      <c r="F61" t="n">
        <v>62</v>
      </c>
      <c r="G61" t="n">
        <v>59</v>
      </c>
      <c r="H61" t="n">
        <v>137</v>
      </c>
      <c r="I61" t="n">
        <v>8</v>
      </c>
      <c r="J61" t="n">
        <v>29</v>
      </c>
      <c r="K61" t="n">
        <v>4</v>
      </c>
      <c r="L61" t="n">
        <v>769</v>
      </c>
      <c r="M61" t="n">
        <v>770</v>
      </c>
      <c r="N61" t="inlineStr">
        <is>
          <t>regional table</t>
        </is>
      </c>
      <c r="O61" t="inlineStr">
        <is>
          <t>https://www.bmcbec.com.co/sites/default/files/2026-01/Informe%20Mensual%202025%20diciembre.pdf</t>
        </is>
      </c>
    </row>
    <row r="62">
      <c r="A62" t="n">
        <v>60</v>
      </c>
      <c r="B62" t="inlineStr">
        <is>
          <t>2026-01</t>
        </is>
      </c>
      <c r="C62" t="n">
        <v>144</v>
      </c>
      <c r="D62" t="n">
        <v>167</v>
      </c>
      <c r="E62" t="n">
        <v>164</v>
      </c>
      <c r="F62" t="n">
        <v>62</v>
      </c>
      <c r="G62" t="n">
        <v>54</v>
      </c>
      <c r="H62" t="n">
        <v>145</v>
      </c>
      <c r="I62" t="n">
        <v>8</v>
      </c>
      <c r="J62" t="n">
        <v>27</v>
      </c>
      <c r="K62" t="n">
        <v>4</v>
      </c>
      <c r="L62" t="n">
        <v>775</v>
      </c>
      <c r="M62" t="n">
        <v>773</v>
      </c>
      <c r="N62" t="inlineStr">
        <is>
          <t>regional table</t>
        </is>
      </c>
      <c r="O62" t="inlineStr">
        <is>
          <t>https://www.bmcbec.com.co/sites/default/files/2026-02/Informe%20Mensual%202026%20Enero%20%281%29.pdf</t>
        </is>
      </c>
    </row>
    <row r="63">
      <c r="A63" t="n">
        <v>61</v>
      </c>
      <c r="B63" t="inlineStr">
        <is>
          <t>2026-02</t>
        </is>
      </c>
      <c r="C63" t="n">
        <v>163</v>
      </c>
      <c r="D63" t="n">
        <v>173</v>
      </c>
      <c r="E63" t="n">
        <v>173</v>
      </c>
      <c r="F63" t="n">
        <v>67</v>
      </c>
      <c r="G63" t="n">
        <v>58</v>
      </c>
      <c r="H63" t="n">
        <v>135</v>
      </c>
      <c r="I63" t="n">
        <v>8</v>
      </c>
      <c r="J63" t="n">
        <v>32</v>
      </c>
      <c r="K63" t="n">
        <v>4</v>
      </c>
      <c r="L63" t="n">
        <v>813</v>
      </c>
      <c r="M63" t="n">
        <v>813</v>
      </c>
      <c r="N63" t="inlineStr">
        <is>
          <t>regional table</t>
        </is>
      </c>
      <c r="O63" t="inlineStr">
        <is>
          <t>https://www.bmcbec.com.co/sites/default/files/2026-03/Informe%20Mensual%202026%20Febrero.pdf</t>
        </is>
      </c>
    </row>
    <row r="64">
      <c r="A64" t="n">
        <v>62</v>
      </c>
      <c r="B64" t="inlineStr">
        <is>
          <t>2026-03</t>
        </is>
      </c>
      <c r="C64" t="n">
        <v>146</v>
      </c>
      <c r="D64" t="n">
        <v>167</v>
      </c>
      <c r="E64" t="n">
        <v>173</v>
      </c>
      <c r="F64" t="n">
        <v>66</v>
      </c>
      <c r="G64" t="n">
        <v>58</v>
      </c>
      <c r="H64" t="n">
        <v>131</v>
      </c>
      <c r="I64" t="n">
        <v>7</v>
      </c>
      <c r="J64" t="n">
        <v>33</v>
      </c>
      <c r="K64" t="n">
        <v>4</v>
      </c>
      <c r="L64" t="n">
        <v>785</v>
      </c>
      <c r="M64" t="n">
        <v>786</v>
      </c>
      <c r="N64" t="inlineStr">
        <is>
          <t>regional table</t>
        </is>
      </c>
      <c r="O64" t="inlineStr">
        <is>
          <t>https://www.bmcbec.com.co/sites/default/files/2026-04/Informe%20Mensual%202026%20Marzo.pdf</t>
        </is>
      </c>
    </row>
    <row r="65">
      <c r="A65" t="n">
        <v>63</v>
      </c>
      <c r="B65" t="inlineStr">
        <is>
          <t>2026-04</t>
        </is>
      </c>
      <c r="C65" t="n">
        <v>165</v>
      </c>
      <c r="D65" t="n">
        <v>164</v>
      </c>
      <c r="E65" t="n">
        <v>168</v>
      </c>
      <c r="F65" t="n">
        <v>63</v>
      </c>
      <c r="G65" t="n">
        <v>56</v>
      </c>
      <c r="H65" t="n">
        <v>145</v>
      </c>
      <c r="I65" t="n">
        <v>7</v>
      </c>
      <c r="J65" t="n">
        <v>36</v>
      </c>
      <c r="K65" t="n">
        <v>3</v>
      </c>
      <c r="L65" t="n">
        <v>807</v>
      </c>
      <c r="M65" t="n">
        <v>807</v>
      </c>
      <c r="N65" t="inlineStr">
        <is>
          <t>department table (power = total - others)</t>
        </is>
      </c>
      <c r="O65" t="inlineStr">
        <is>
          <t>https://www.bmcbec.com.co/sites/default/files/2026-05/Informe%20Mensual%202026%20Abril.pdf</t>
        </is>
      </c>
    </row>
    <row r="66">
      <c r="A66" t="n">
        <v>64</v>
      </c>
      <c r="B66" t="inlineStr">
        <is>
          <t>2026-05</t>
        </is>
      </c>
      <c r="C66" t="n">
        <v>209</v>
      </c>
      <c r="D66" t="n">
        <v>170</v>
      </c>
      <c r="E66" t="n">
        <v>162</v>
      </c>
      <c r="F66" t="n">
        <v>61</v>
      </c>
      <c r="G66" t="n">
        <v>57</v>
      </c>
      <c r="H66" t="n">
        <v>148</v>
      </c>
      <c r="I66" t="n">
        <v>6</v>
      </c>
      <c r="J66" t="n">
        <v>42</v>
      </c>
      <c r="K66" t="n">
        <v>4</v>
      </c>
      <c r="L66" t="n">
        <v>859</v>
      </c>
      <c r="M66" t="n">
        <v>860</v>
      </c>
      <c r="N66" t="inlineStr">
        <is>
          <t>regional table</t>
        </is>
      </c>
      <c r="O66" t="inlineStr">
        <is>
          <t>https://www.bmcbec.com.co/sites/default/files/2026-06/Informe%20Mensual%202026%20Mayo.pdf</t>
        </is>
      </c>
    </row>
    <row r="67">
      <c r="A67" t="n">
        <v>65</v>
      </c>
      <c r="B67" t="inlineStr">
        <is>
          <t>2026-06</t>
        </is>
      </c>
      <c r="C67" t="n">
        <v>219</v>
      </c>
      <c r="D67" t="n">
        <v>168</v>
      </c>
      <c r="E67" t="n">
        <v>164</v>
      </c>
      <c r="F67" t="n">
        <v>62</v>
      </c>
      <c r="G67" t="n">
        <v>54</v>
      </c>
      <c r="H67" t="n">
        <v>152</v>
      </c>
      <c r="I67" t="n">
        <v>9</v>
      </c>
      <c r="J67" t="n">
        <v>45</v>
      </c>
      <c r="K67" t="n">
        <v>5</v>
      </c>
      <c r="L67" t="n">
        <v>878</v>
      </c>
      <c r="M67" t="n">
        <v>878</v>
      </c>
      <c r="N67" t="inlineStr">
        <is>
          <t>department table (power = total - others)</t>
        </is>
      </c>
      <c r="O67" t="inlineStr">
        <is>
          <t>https://www.bmcbec.com.co/sites/default/files/2026-07/Informe%20Mensual%202026%20Junio.pdf</t>
        </is>
      </c>
    </row>
    <row r="68">
      <c r="A68" t="n">
        <v>66</v>
      </c>
      <c r="B68" t="inlineStr">
        <is>
          <t>2026-07</t>
        </is>
      </c>
      <c r="C68" t="n">
        <v>266</v>
      </c>
      <c r="D68" t="n">
        <v>166</v>
      </c>
      <c r="E68" t="n">
        <v>166</v>
      </c>
      <c r="F68" t="n">
        <v>63</v>
      </c>
      <c r="G68" t="n">
        <v>55</v>
      </c>
      <c r="H68" t="n">
        <v>138</v>
      </c>
      <c r="I68" t="n">
        <v>8</v>
      </c>
      <c r="J68" t="n">
        <v>44</v>
      </c>
      <c r="K68" t="n">
        <v>4</v>
      </c>
      <c r="L68" t="n">
        <v>910</v>
      </c>
      <c r="M68" t="n">
        <v>910</v>
      </c>
      <c r="N68" t="inlineStr">
        <is>
          <t>regional table</t>
        </is>
      </c>
      <c r="O68" t="inlineStr">
        <is>
          <t>https://www.bmcbec.com.co/sites/default/files/2026-08/Informe%20Mensual%202026%20Julio.pdf</t>
        </is>
      </c>
    </row>
    <row r="69">
      <c r="A69" t="n">
        <v>67</v>
      </c>
      <c r="B69" t="inlineStr">
        <is>
          <t>2026-08</t>
        </is>
      </c>
      <c r="C69" t="n">
        <v>319</v>
      </c>
      <c r="D69" t="n">
        <v>157</v>
      </c>
      <c r="E69" t="n">
        <v>163</v>
      </c>
      <c r="F69" t="n">
        <v>61</v>
      </c>
      <c r="G69" t="n">
        <v>54</v>
      </c>
      <c r="H69" t="n">
        <v>137</v>
      </c>
      <c r="I69" t="n">
        <v>8</v>
      </c>
      <c r="J69" t="n">
        <v>47</v>
      </c>
      <c r="K69" t="n">
        <v>4</v>
      </c>
      <c r="L69" t="n">
        <v>950</v>
      </c>
      <c r="M69" t="n">
        <v>950</v>
      </c>
      <c r="N69" t="inlineStr">
        <is>
          <t>regional table</t>
        </is>
      </c>
      <c r="O69" t="inlineStr">
        <is>
          <t>https://www.bmcbec.com.co/sites/default/files/2026-09/Informe%20Mensual%202026%20Agosto.pdf</t>
        </is>
      </c>
    </row>
    <row r="70">
      <c r="A70" t="n">
        <v>68</v>
      </c>
      <c r="B70" t="inlineStr">
        <is>
          <t>2026-09</t>
        </is>
      </c>
      <c r="C70" t="n">
        <v>362</v>
      </c>
      <c r="D70" t="n">
        <v>150</v>
      </c>
      <c r="E70" t="n">
        <v>166</v>
      </c>
      <c r="F70" t="n">
        <v>64</v>
      </c>
      <c r="G70" t="n">
        <v>54</v>
      </c>
      <c r="H70" t="n">
        <v>146</v>
      </c>
      <c r="I70" t="n">
        <v>8</v>
      </c>
      <c r="J70" t="n">
        <v>53</v>
      </c>
      <c r="K70" t="n">
        <v>6</v>
      </c>
      <c r="L70" t="n">
        <v>1009</v>
      </c>
      <c r="M70" t="n">
        <v>1008</v>
      </c>
      <c r="N70" t="inlineStr">
        <is>
          <t>regional table</t>
        </is>
      </c>
      <c r="O70" t="inlineStr">
        <is>
          <t>https://www.bmcbec.com.co/sites/default/files/2026-10/Informe%20Mensual%20Septiembre%202026.pdf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70"/>
  <sheetViews>
    <sheetView workbookViewId="0">
      <selection activeCell="A1" sqref="A1"/>
    </sheetView>
  </sheetViews>
  <sheetFormatPr baseColWidth="8" defaultRowHeight="15"/>
  <sheetData>
    <row r="1">
      <c r="B1" t="inlineStr">
        <is>
          <t>Month</t>
        </is>
      </c>
      <c r="C1" t="inlineStr">
        <is>
          <t>Piedemonte_Cusiana_Cupiagua</t>
        </is>
      </c>
      <c r="D1" t="inlineStr">
        <is>
          <t>Guajira_Chuchupa_Ballena</t>
        </is>
      </c>
      <c r="E1" t="inlineStr">
        <is>
          <t>Canacol_VIM5_VIM21_Esperanza</t>
        </is>
      </c>
      <c r="F1" t="inlineStr">
        <is>
          <t>Other_fields</t>
        </is>
      </c>
      <c r="G1" t="inlineStr">
        <is>
          <t>Domestic_production</t>
        </is>
      </c>
      <c r="H1" t="inlineStr">
        <is>
          <t>LNG_imports_SPEC</t>
        </is>
      </c>
      <c r="I1" t="inlineStr">
        <is>
          <t>Venezuela_imports</t>
        </is>
      </c>
      <c r="J1" t="inlineStr">
        <is>
          <t>Total_supply</t>
        </is>
      </c>
      <c r="K1" t="inlineStr">
        <is>
          <t>Supply_to_SNT</t>
        </is>
      </c>
      <c r="L1" t="inlineStr">
        <is>
          <t>Production_potential</t>
        </is>
      </c>
      <c r="M1" t="inlineStr">
        <is>
          <t>LNG_regas_capacity</t>
        </is>
      </c>
      <c r="N1" t="inlineStr">
        <is>
          <t>Domestic_production_mcmd</t>
        </is>
      </c>
      <c r="O1" t="inlineStr">
        <is>
          <t>LNG_imports_SPEC_mcmd</t>
        </is>
      </c>
      <c r="P1" t="inlineStr">
        <is>
          <t>Venezuela_imports_mcmd</t>
        </is>
      </c>
      <c r="Q1" t="inlineStr">
        <is>
          <t>Total_supply_mcmd</t>
        </is>
      </c>
      <c r="R1" t="inlineStr">
        <is>
          <t>Total_demand_SNT</t>
        </is>
      </c>
      <c r="S1" t="inlineStr">
        <is>
          <t>Check_sources_vs_total</t>
        </is>
      </c>
      <c r="T1" t="inlineStr">
        <is>
          <t>Check_fields_vs_domestic</t>
        </is>
      </c>
      <c r="U1" t="inlineStr">
        <is>
          <t>Method</t>
        </is>
      </c>
      <c r="V1" t="inlineStr">
        <is>
          <t>Field_rows</t>
        </is>
      </c>
      <c r="W1" t="inlineStr">
        <is>
          <t>Report</t>
        </is>
      </c>
    </row>
    <row r="2">
      <c r="A2" t="n">
        <v>0</v>
      </c>
      <c r="B2" t="inlineStr">
        <is>
          <t>2021-01</t>
        </is>
      </c>
      <c r="C2" t="n">
        <v>542</v>
      </c>
      <c r="D2" t="n">
        <v>123</v>
      </c>
      <c r="E2" t="n">
        <v>153</v>
      </c>
      <c r="F2" t="n">
        <v>189</v>
      </c>
      <c r="G2" t="n">
        <v>1007</v>
      </c>
      <c r="H2" t="n">
        <v>1</v>
      </c>
      <c r="J2" t="n">
        <v>1008</v>
      </c>
      <c r="K2" t="n">
        <v>901</v>
      </c>
      <c r="L2" t="n">
        <v>1238</v>
      </c>
      <c r="M2" t="n">
        <v>400</v>
      </c>
      <c r="N2" t="n">
        <v>28.52</v>
      </c>
      <c r="O2" t="n">
        <v>0.03</v>
      </c>
      <c r="Q2" t="n">
        <v>28.54</v>
      </c>
      <c r="S2" t="n">
        <v>0</v>
      </c>
      <c r="T2" t="n">
        <v>0</v>
      </c>
      <c r="U2" t="inlineStr">
        <is>
          <t>text</t>
        </is>
      </c>
      <c r="V2" t="inlineStr">
        <is>
          <t>Cusiana 248; Cupiagua/Cupiagua Sur 229; Guajira (Chucupa/Ballena) 123; Floreña 65; Nelson 49; Clarinete/Pandereta 104; Gibraltar 41; Bonga/Mamey 31; Otras Fuentes 117</t>
        </is>
      </c>
      <c r="W2" t="inlineStr">
        <is>
          <t>https://www.bmcbec.com.co/sites/default/files/2021-02/Informe%20Mensual%20Enero%202021.pdf</t>
        </is>
      </c>
    </row>
    <row r="3">
      <c r="A3" t="n">
        <v>1</v>
      </c>
      <c r="B3" t="inlineStr">
        <is>
          <t>2021-02</t>
        </is>
      </c>
      <c r="C3" t="n">
        <v>576</v>
      </c>
      <c r="D3" t="n">
        <v>126</v>
      </c>
      <c r="E3" t="n">
        <v>154</v>
      </c>
      <c r="F3" t="n">
        <v>212</v>
      </c>
      <c r="G3" t="n">
        <v>1068</v>
      </c>
      <c r="H3" t="n">
        <v>4.5</v>
      </c>
      <c r="J3" t="n">
        <v>1073</v>
      </c>
      <c r="K3" t="n">
        <v>958</v>
      </c>
      <c r="L3" t="n">
        <v>1235</v>
      </c>
      <c r="M3" t="n">
        <v>400</v>
      </c>
      <c r="N3" t="n">
        <v>30.24</v>
      </c>
      <c r="O3" t="n">
        <v>0.13</v>
      </c>
      <c r="Q3" t="n">
        <v>30.38</v>
      </c>
      <c r="S3" t="n">
        <v>-0.5</v>
      </c>
      <c r="T3" t="n">
        <v>0</v>
      </c>
      <c r="U3" t="inlineStr">
        <is>
          <t>text</t>
        </is>
      </c>
      <c r="V3" t="inlineStr">
        <is>
          <t>Cusiana 281; Cupiagua/Cupiagua Sur 234; Guajira (Chucupa/Ballena) 126; Floreña 61; Nelson 47; Clarinete/Pandereta 107; Gibraltar 41; Bonga/Mamey 35; Otras Fuentes 136</t>
        </is>
      </c>
      <c r="W3" t="inlineStr">
        <is>
          <t>https://www.bmcbec.com.co/sites/default/files/2021-03/Informe%20Mensual%20Febrero%202021.pdf</t>
        </is>
      </c>
    </row>
    <row r="4">
      <c r="A4" t="n">
        <v>2</v>
      </c>
      <c r="B4" t="inlineStr">
        <is>
          <t>2021-03</t>
        </is>
      </c>
      <c r="C4" t="n">
        <v>552</v>
      </c>
      <c r="D4" t="n">
        <v>122</v>
      </c>
      <c r="E4" t="n">
        <v>140</v>
      </c>
      <c r="F4" t="n">
        <v>207</v>
      </c>
      <c r="G4" t="n">
        <v>1021</v>
      </c>
      <c r="H4" t="n">
        <v>5</v>
      </c>
      <c r="J4" t="n">
        <v>1026</v>
      </c>
      <c r="K4" t="n">
        <v>908</v>
      </c>
      <c r="L4" t="n">
        <v>1226</v>
      </c>
      <c r="M4" t="n">
        <v>400</v>
      </c>
      <c r="N4" t="n">
        <v>28.91</v>
      </c>
      <c r="O4" t="n">
        <v>0.14</v>
      </c>
      <c r="Q4" t="n">
        <v>29.05</v>
      </c>
      <c r="R4" t="n">
        <v>886</v>
      </c>
      <c r="S4" t="n">
        <v>0</v>
      </c>
      <c r="T4" t="n">
        <v>1</v>
      </c>
      <c r="U4" t="inlineStr">
        <is>
          <t>text</t>
        </is>
      </c>
      <c r="V4" t="inlineStr">
        <is>
          <t>Cusiana 256; Cupiagua/Cupiagua Sur 232; Guajira (Chucupa/Ballena) 122; Floreña 64; Nelson 40; Clarinete/Pandereta 100; Gibraltar 41; Bonga/Mamey 35; Otras Fuentes 132</t>
        </is>
      </c>
      <c r="W4" t="inlineStr">
        <is>
          <t>https://www.bmcbec.com.co/sites/default/files/2021-04/Informe%20Mensual%20Marzo%202021.04.14.pdf</t>
        </is>
      </c>
    </row>
    <row r="5">
      <c r="A5" t="n">
        <v>3</v>
      </c>
      <c r="B5" t="inlineStr">
        <is>
          <t>2021-04</t>
        </is>
      </c>
      <c r="C5" t="n">
        <v>524</v>
      </c>
      <c r="D5" t="n">
        <v>124</v>
      </c>
      <c r="E5" t="n">
        <v>136</v>
      </c>
      <c r="F5" t="n">
        <v>203</v>
      </c>
      <c r="G5" t="n">
        <v>987</v>
      </c>
      <c r="H5" t="n">
        <v>5</v>
      </c>
      <c r="J5" t="n">
        <v>992</v>
      </c>
      <c r="K5" t="n">
        <v>874</v>
      </c>
      <c r="L5" t="n">
        <v>1223</v>
      </c>
      <c r="M5" t="n">
        <v>400</v>
      </c>
      <c r="N5" t="n">
        <v>27.95</v>
      </c>
      <c r="O5" t="n">
        <v>0.14</v>
      </c>
      <c r="Q5" t="n">
        <v>28.09</v>
      </c>
      <c r="R5" t="n">
        <v>846</v>
      </c>
      <c r="S5" t="n">
        <v>0</v>
      </c>
      <c r="T5" t="n">
        <v>1</v>
      </c>
      <c r="U5" t="inlineStr">
        <is>
          <t>text</t>
        </is>
      </c>
      <c r="V5" t="inlineStr">
        <is>
          <t>Cusiana 226; Cupiagua/Cupiagua Sur 235; Guajira (Chucupa/Ballena) 124; Floreña 63; Nelson 32; Clarinete/Pandereta 104; Gibraltar 36; Bonga/Mamey 34; Otras Fuentes 134</t>
        </is>
      </c>
      <c r="W5" t="inlineStr">
        <is>
          <t>https://www.bmcbec.com.co/sites/default/files/2021-05/Informe%20Mensual%20Abril%202021.pdf</t>
        </is>
      </c>
    </row>
    <row r="6">
      <c r="A6" t="n">
        <v>4</v>
      </c>
      <c r="B6" t="inlineStr">
        <is>
          <t>2021-05</t>
        </is>
      </c>
      <c r="C6" t="n">
        <v>458</v>
      </c>
      <c r="D6" t="n">
        <v>118</v>
      </c>
      <c r="E6" t="n">
        <v>147</v>
      </c>
      <c r="F6" t="n">
        <v>198</v>
      </c>
      <c r="G6" t="n">
        <v>921</v>
      </c>
      <c r="H6" t="n">
        <v>8</v>
      </c>
      <c r="J6" t="n">
        <v>929</v>
      </c>
      <c r="K6" t="n">
        <v>819</v>
      </c>
      <c r="L6" t="n">
        <v>1221</v>
      </c>
      <c r="M6" t="n">
        <v>400</v>
      </c>
      <c r="N6" t="n">
        <v>26.08</v>
      </c>
      <c r="O6" t="n">
        <v>0.23</v>
      </c>
      <c r="Q6" t="n">
        <v>26.31</v>
      </c>
      <c r="R6" t="n">
        <v>790</v>
      </c>
      <c r="S6" t="n">
        <v>0</v>
      </c>
      <c r="T6" t="n">
        <v>0</v>
      </c>
      <c r="U6" t="inlineStr">
        <is>
          <t>text</t>
        </is>
      </c>
      <c r="V6" t="inlineStr">
        <is>
          <t>Cusiana 173; Cupiagua/Cupiagua Sur 231; Guajira (Chucupa/Ballena) 118; Floreña 54; Nelson 32; Bloque VIM 5 115; Gibraltar 39; Bonga/Mamey 33; Otras Fuentes 126</t>
        </is>
      </c>
      <c r="W6" t="inlineStr">
        <is>
          <t>https://www.bmcbec.com.co/sites/default/files/2021-06/Informe%20Mensual%20Mayo%202021.pdf</t>
        </is>
      </c>
    </row>
    <row r="7">
      <c r="A7" t="n">
        <v>5</v>
      </c>
      <c r="B7" t="inlineStr">
        <is>
          <t>2021-06</t>
        </is>
      </c>
      <c r="C7" t="n">
        <v>534</v>
      </c>
      <c r="D7" t="n">
        <v>117</v>
      </c>
      <c r="E7" t="n">
        <v>142</v>
      </c>
      <c r="F7" t="n">
        <v>207</v>
      </c>
      <c r="G7" t="n">
        <v>1000</v>
      </c>
      <c r="H7" t="n">
        <v>4</v>
      </c>
      <c r="J7" t="n">
        <v>1004</v>
      </c>
      <c r="K7" t="n">
        <v>885</v>
      </c>
      <c r="L7" t="n">
        <v>1179</v>
      </c>
      <c r="M7" t="n">
        <v>400</v>
      </c>
      <c r="N7" t="n">
        <v>28.32</v>
      </c>
      <c r="O7" t="n">
        <v>0.11</v>
      </c>
      <c r="Q7" t="n">
        <v>28.43</v>
      </c>
      <c r="R7" t="n">
        <v>875</v>
      </c>
      <c r="S7" t="n">
        <v>0</v>
      </c>
      <c r="T7" t="n">
        <v>2</v>
      </c>
      <c r="U7" t="inlineStr">
        <is>
          <t>text</t>
        </is>
      </c>
      <c r="V7" t="inlineStr">
        <is>
          <t>Cusiana 242; Cupiagua/Cupiagua Sur 232; Guajira (Chucupa/Ballena) 117; Floreña 60; Nelson 42; Bloque VIM 5 100; Gibraltar 40; Bonga/Mamey 34; Otras Fuentes 135</t>
        </is>
      </c>
      <c r="W7" t="inlineStr">
        <is>
          <t>https://www.bmcbec.com.co/sites/default/files/2021-07/Informe%20Mensual%20junio.pdf</t>
        </is>
      </c>
    </row>
    <row r="8">
      <c r="A8" t="n">
        <v>6</v>
      </c>
      <c r="B8" t="inlineStr">
        <is>
          <t>2021-07</t>
        </is>
      </c>
      <c r="C8" t="n">
        <v>566</v>
      </c>
      <c r="D8" t="n">
        <v>117</v>
      </c>
      <c r="E8" t="n">
        <v>151</v>
      </c>
      <c r="F8" t="n">
        <v>200</v>
      </c>
      <c r="G8" t="n">
        <v>1034</v>
      </c>
      <c r="H8" t="n">
        <v>4</v>
      </c>
      <c r="J8" t="n">
        <v>1038</v>
      </c>
      <c r="K8" t="n">
        <v>928</v>
      </c>
      <c r="L8" t="n">
        <v>1178</v>
      </c>
      <c r="M8" t="n">
        <v>400</v>
      </c>
      <c r="N8" t="n">
        <v>29.28</v>
      </c>
      <c r="O8" t="n">
        <v>0.11</v>
      </c>
      <c r="Q8" t="n">
        <v>29.39</v>
      </c>
      <c r="R8" t="n">
        <v>892</v>
      </c>
      <c r="S8" t="n">
        <v>0</v>
      </c>
      <c r="T8" t="n">
        <v>1</v>
      </c>
      <c r="U8" t="inlineStr">
        <is>
          <t>text</t>
        </is>
      </c>
      <c r="V8" t="inlineStr">
        <is>
          <t>Cusiana 271; Cupiagua/Cupiagua Sur 239; Guajira (Chucupa/Ballena) 117; Floreña 56; Nelson 45; Bloque VIM 5 106; Gibraltar 30; Bonga/Mamey 34; Otras Fuentes 137</t>
        </is>
      </c>
      <c r="W8" t="inlineStr">
        <is>
          <t>https://www.bmcbec.com.co/sites/default/files/2021-08/Informe%20Mensual%20julio%2021.pdf</t>
        </is>
      </c>
    </row>
    <row r="9">
      <c r="A9" t="n">
        <v>7</v>
      </c>
      <c r="B9" t="inlineStr">
        <is>
          <t>2021-08</t>
        </is>
      </c>
      <c r="C9" t="n">
        <v>567</v>
      </c>
      <c r="D9" t="n">
        <v>118</v>
      </c>
      <c r="E9" t="n">
        <v>141</v>
      </c>
      <c r="F9" t="n">
        <v>184</v>
      </c>
      <c r="G9" t="n">
        <v>1010</v>
      </c>
      <c r="H9" t="n">
        <v>20</v>
      </c>
      <c r="J9" t="n">
        <v>1030</v>
      </c>
      <c r="K9" t="n">
        <v>903</v>
      </c>
      <c r="L9" t="n">
        <v>1178</v>
      </c>
      <c r="M9" t="n">
        <v>400</v>
      </c>
      <c r="N9" t="n">
        <v>28.6</v>
      </c>
      <c r="O9" t="n">
        <v>0.57</v>
      </c>
      <c r="Q9" t="n">
        <v>29.17</v>
      </c>
      <c r="R9" t="n">
        <v>874</v>
      </c>
      <c r="S9" t="n">
        <v>0</v>
      </c>
      <c r="T9" t="n">
        <v>0</v>
      </c>
      <c r="U9" t="inlineStr">
        <is>
          <t>text</t>
        </is>
      </c>
      <c r="V9" t="inlineStr">
        <is>
          <t>Cusiana 294; Cupiagua/Cupiagua Sur 207; Guajira (Chucupa/Ballena) 118; Floreña 66; Nelson 43; Bloque VIM 5 98; Gibraltar 1; Bonga/Mamey 31; Otras Fuentes 152</t>
        </is>
      </c>
      <c r="W9" t="inlineStr">
        <is>
          <t>https://www.bmcbec.com.co/sites/default/files/2021-09/Informe%20Mensual%20agosto.pdf</t>
        </is>
      </c>
    </row>
    <row r="10">
      <c r="A10" t="n">
        <v>8</v>
      </c>
      <c r="B10" t="inlineStr">
        <is>
          <t>2021-09</t>
        </is>
      </c>
      <c r="C10" t="n">
        <v>569</v>
      </c>
      <c r="D10" t="n">
        <v>132</v>
      </c>
      <c r="E10" t="n">
        <v>136</v>
      </c>
      <c r="F10" t="n">
        <v>189</v>
      </c>
      <c r="G10" t="n">
        <v>1026</v>
      </c>
      <c r="H10" t="n">
        <v>7</v>
      </c>
      <c r="J10" t="n">
        <v>1033</v>
      </c>
      <c r="K10" t="n">
        <v>907</v>
      </c>
      <c r="L10" t="n">
        <v>1179</v>
      </c>
      <c r="M10" t="n">
        <v>400</v>
      </c>
      <c r="N10" t="n">
        <v>29.05</v>
      </c>
      <c r="O10" t="n">
        <v>0.2</v>
      </c>
      <c r="Q10" t="n">
        <v>29.25</v>
      </c>
      <c r="R10" t="n">
        <v>887</v>
      </c>
      <c r="S10" t="n">
        <v>0</v>
      </c>
      <c r="T10" t="n">
        <v>0</v>
      </c>
      <c r="U10" t="inlineStr">
        <is>
          <t>text</t>
        </is>
      </c>
      <c r="V10" t="inlineStr">
        <is>
          <t>Cusiana 284; Cupiagua/Cupiagua Sur 217; Guajira (Chucupa/Ballena) 132; Floreña 68; Nelson 46; Bloque VIM 5 90; Gibraltar 0; Bonga/Mamey 28; Otras Fuentes 161</t>
        </is>
      </c>
      <c r="W10" t="inlineStr">
        <is>
          <t>https://www.bmcbec.com.co/sites/default/files/2021-10/Informe%20Mensual%20septiembre.pdf</t>
        </is>
      </c>
    </row>
    <row r="11">
      <c r="A11" t="n">
        <v>9</v>
      </c>
      <c r="B11" t="inlineStr">
        <is>
          <t>2021-10</t>
        </is>
      </c>
      <c r="C11" t="n">
        <v>582</v>
      </c>
      <c r="D11" t="n">
        <v>134</v>
      </c>
      <c r="E11" t="n">
        <v>122</v>
      </c>
      <c r="F11" t="n">
        <v>203</v>
      </c>
      <c r="G11" t="n">
        <v>1041</v>
      </c>
      <c r="H11" t="n">
        <v>1</v>
      </c>
      <c r="J11" t="n">
        <v>1042</v>
      </c>
      <c r="K11" t="n">
        <v>921</v>
      </c>
      <c r="L11" t="n">
        <v>1196</v>
      </c>
      <c r="M11" t="n">
        <v>400</v>
      </c>
      <c r="N11" t="n">
        <v>29.48</v>
      </c>
      <c r="O11" t="n">
        <v>0.03</v>
      </c>
      <c r="Q11" t="n">
        <v>29.51</v>
      </c>
      <c r="R11" t="n">
        <v>904</v>
      </c>
      <c r="S11" t="n">
        <v>0</v>
      </c>
      <c r="T11" t="n">
        <v>-1</v>
      </c>
      <c r="U11" t="inlineStr">
        <is>
          <t>text</t>
        </is>
      </c>
      <c r="V11" t="inlineStr">
        <is>
          <t>Cusiana 280; Cupiagua/Cupiagua Sur 237; Guajira (Chucupa/Ballena) 134; Floreña 65; Nelson 41; Bloque VIM 5 81; Gibraltar 0; Bonga/Mamey 35; Otras Fuentes 167</t>
        </is>
      </c>
      <c r="W11" t="inlineStr">
        <is>
          <t>https://www.bmcbec.com.co/sites/default/files/2021-11/Informe%20Mensual%20-%20Octubre%202021.pdf</t>
        </is>
      </c>
    </row>
    <row r="12">
      <c r="A12" t="n">
        <v>10</v>
      </c>
      <c r="B12" t="inlineStr">
        <is>
          <t>2021-11</t>
        </is>
      </c>
      <c r="C12" t="n">
        <v>596</v>
      </c>
      <c r="D12" t="n">
        <v>140</v>
      </c>
      <c r="E12" t="n">
        <v>116</v>
      </c>
      <c r="F12" t="n">
        <v>203</v>
      </c>
      <c r="G12" t="n">
        <v>1055</v>
      </c>
      <c r="H12" t="n">
        <v>0.7</v>
      </c>
      <c r="J12" t="n">
        <v>1056</v>
      </c>
      <c r="K12" t="n">
        <v>934</v>
      </c>
      <c r="L12" t="n">
        <v>1196</v>
      </c>
      <c r="M12" t="n">
        <v>400</v>
      </c>
      <c r="N12" t="n">
        <v>29.87</v>
      </c>
      <c r="O12" t="n">
        <v>0.02</v>
      </c>
      <c r="Q12" t="n">
        <v>29.9</v>
      </c>
      <c r="R12" t="n">
        <v>920</v>
      </c>
      <c r="S12" t="n">
        <v>-0.3</v>
      </c>
      <c r="T12" t="n">
        <v>0</v>
      </c>
      <c r="U12" t="inlineStr">
        <is>
          <t>text</t>
        </is>
      </c>
      <c r="V12" t="inlineStr">
        <is>
          <t>Cusiana 294; Cupiagua/Cupiagua Sur 239; Guajira (Chucupa/Ballena) 140; Floreña 63; Nelson 36; Bloque VIM 5 80; Gibraltar 0; Bonga/Mamey 35; Otras Fuentes 168</t>
        </is>
      </c>
      <c r="W12" t="inlineStr">
        <is>
          <t>https://www.bmcbec.com.co/sites/default/files/2021-12/Informe%20Mensual%202021.11.pdf</t>
        </is>
      </c>
    </row>
    <row r="13">
      <c r="A13" t="n">
        <v>11</v>
      </c>
      <c r="B13" t="inlineStr">
        <is>
          <t>2021-12</t>
        </is>
      </c>
      <c r="C13" t="n">
        <v>594</v>
      </c>
      <c r="D13" t="n">
        <v>134</v>
      </c>
      <c r="E13" t="n">
        <v>117</v>
      </c>
      <c r="F13" t="n">
        <v>225</v>
      </c>
      <c r="G13" t="n">
        <v>1070</v>
      </c>
      <c r="H13" t="n">
        <v>4</v>
      </c>
      <c r="J13" t="n">
        <v>1074</v>
      </c>
      <c r="K13" t="n">
        <v>954</v>
      </c>
      <c r="L13" t="n">
        <v>1205</v>
      </c>
      <c r="M13" t="n">
        <v>400</v>
      </c>
      <c r="N13" t="n">
        <v>30.3</v>
      </c>
      <c r="O13" t="n">
        <v>0.11</v>
      </c>
      <c r="Q13" t="n">
        <v>30.41</v>
      </c>
      <c r="R13" t="n">
        <v>940</v>
      </c>
      <c r="S13" t="n">
        <v>0</v>
      </c>
      <c r="T13" t="n">
        <v>0</v>
      </c>
      <c r="U13" t="inlineStr">
        <is>
          <t>text</t>
        </is>
      </c>
      <c r="V13" t="inlineStr">
        <is>
          <t>Cusiana 294; Cupiagua/Cupiagua Sur 239; Guajira (Chucupa/Ballena) 134; Floreña 61; Nelson 32; Bloque VIM 5 85; Gibraltar 22; Bonga/Mamey 35; Otras Fuentes 168</t>
        </is>
      </c>
      <c r="W13" t="inlineStr">
        <is>
          <t>https://www.bmcbec.com.co/sites/default/files/2022-01/Informe%20Mensual%20Diciembre%202021.pdf</t>
        </is>
      </c>
    </row>
    <row r="14">
      <c r="A14" t="n">
        <v>12</v>
      </c>
      <c r="B14" t="inlineStr">
        <is>
          <t>2022-01</t>
        </is>
      </c>
      <c r="C14" t="n">
        <v>555</v>
      </c>
      <c r="D14" t="n">
        <v>127</v>
      </c>
      <c r="E14" t="n">
        <v>107</v>
      </c>
      <c r="F14" t="n">
        <v>241</v>
      </c>
      <c r="G14" t="n">
        <v>1030</v>
      </c>
      <c r="H14" t="n">
        <v>0</v>
      </c>
      <c r="J14" t="n">
        <v>1030</v>
      </c>
      <c r="K14" t="n">
        <v>902</v>
      </c>
      <c r="L14" t="n">
        <v>1204</v>
      </c>
      <c r="M14" t="n">
        <v>400</v>
      </c>
      <c r="N14" t="n">
        <v>29.17</v>
      </c>
      <c r="O14" t="n">
        <v>0</v>
      </c>
      <c r="Q14" t="n">
        <v>29.17</v>
      </c>
      <c r="R14" t="n">
        <v>885</v>
      </c>
      <c r="S14" t="n">
        <v>0</v>
      </c>
      <c r="T14" t="n">
        <v>0</v>
      </c>
      <c r="U14" t="inlineStr">
        <is>
          <t>text</t>
        </is>
      </c>
      <c r="V14" t="inlineStr">
        <is>
          <t>Cusiana 284; Cupiagua/Cupiagua Sur 206; Guajira (Chucupa/Ballena) 127; Floreña 65; Nelson 25; Bloque VIM 5 82; Gibraltar 41; Bonga/Mamey 35; Otras Fuentes 165</t>
        </is>
      </c>
      <c r="W14" t="inlineStr">
        <is>
          <t>https://www.bmcbec.com.co/sites/default/files/2022-02/Informe%20Mensual%20ENERO%202022.pdf</t>
        </is>
      </c>
    </row>
    <row r="15">
      <c r="A15" t="n">
        <v>13</v>
      </c>
      <c r="B15" t="inlineStr">
        <is>
          <t>2022-02</t>
        </is>
      </c>
      <c r="C15" t="n">
        <v>594</v>
      </c>
      <c r="D15" t="n">
        <v>122</v>
      </c>
      <c r="E15" t="n">
        <v>118</v>
      </c>
      <c r="F15" t="n">
        <v>251</v>
      </c>
      <c r="G15" t="n">
        <v>1085</v>
      </c>
      <c r="H15" t="n">
        <v>0</v>
      </c>
      <c r="J15" t="n">
        <v>1085</v>
      </c>
      <c r="K15" t="n">
        <v>957</v>
      </c>
      <c r="L15" t="n">
        <v>1204</v>
      </c>
      <c r="M15" t="n">
        <v>400</v>
      </c>
      <c r="N15" t="n">
        <v>30.72</v>
      </c>
      <c r="O15" t="n">
        <v>0</v>
      </c>
      <c r="Q15" t="n">
        <v>30.72</v>
      </c>
      <c r="R15" t="n">
        <v>946</v>
      </c>
      <c r="S15" t="n">
        <v>0</v>
      </c>
      <c r="T15" t="n">
        <v>0</v>
      </c>
      <c r="U15" t="inlineStr">
        <is>
          <t>text</t>
        </is>
      </c>
      <c r="V15" t="inlineStr">
        <is>
          <t>Cusiana 290; Cupiagua/Cupiagua Sur 239; Guajira (Chucupa/Ballena) 122; Floreña 65; Nelson 17; Bloque VIM 5 101; Gibraltar 39; Bonga/Mamey 35; Otras Fuentes 177</t>
        </is>
      </c>
      <c r="W15" t="inlineStr">
        <is>
          <t>https://www.bmcbec.com.co/sites/default/files/2022-03/Informe%20Mensual%20FEBRERO%202022.pdf</t>
        </is>
      </c>
    </row>
    <row r="16">
      <c r="A16" t="n">
        <v>14</v>
      </c>
      <c r="B16" t="inlineStr">
        <is>
          <t>2022-03</t>
        </is>
      </c>
      <c r="C16" t="n">
        <v>593</v>
      </c>
      <c r="D16" t="n">
        <v>123</v>
      </c>
      <c r="E16" t="n">
        <v>111</v>
      </c>
      <c r="F16" t="n">
        <v>257</v>
      </c>
      <c r="G16" t="n">
        <v>1084</v>
      </c>
      <c r="H16" t="n">
        <v>0</v>
      </c>
      <c r="J16" t="n">
        <v>1084</v>
      </c>
      <c r="K16" t="n">
        <v>962</v>
      </c>
      <c r="L16" t="n">
        <v>1199</v>
      </c>
      <c r="M16" t="n">
        <v>400</v>
      </c>
      <c r="N16" t="n">
        <v>30.7</v>
      </c>
      <c r="O16" t="n">
        <v>0</v>
      </c>
      <c r="Q16" t="n">
        <v>30.7</v>
      </c>
      <c r="R16" t="n">
        <v>956</v>
      </c>
      <c r="S16" t="n">
        <v>0</v>
      </c>
      <c r="T16" t="n">
        <v>-1</v>
      </c>
      <c r="U16" t="inlineStr">
        <is>
          <t>text</t>
        </is>
      </c>
      <c r="V16" t="inlineStr">
        <is>
          <t>Cusiana 294; Cupiagua/Cupiagua Sur 238; Guajira (Chucupa/Ballena) 123; Floreña 61; Nelson 17; Bloque VIM 5 94; Gibraltar 38; Bonga/Mamey 35; Otras Fuentes 183</t>
        </is>
      </c>
      <c r="W16" t="inlineStr">
        <is>
          <t>https://www.bmcbec.com.co/sites/default/files/2022-04/Informe%20Mensual%20MARZO%202022.pdf</t>
        </is>
      </c>
    </row>
    <row r="17">
      <c r="A17" t="n">
        <v>15</v>
      </c>
      <c r="B17" t="inlineStr">
        <is>
          <t>2022-04</t>
        </is>
      </c>
      <c r="C17" t="n">
        <v>598</v>
      </c>
      <c r="D17" t="n">
        <v>128</v>
      </c>
      <c r="E17" t="n">
        <v>108</v>
      </c>
      <c r="F17" t="n">
        <v>248</v>
      </c>
      <c r="G17" t="n">
        <v>1082</v>
      </c>
      <c r="H17" t="n">
        <v>0</v>
      </c>
      <c r="J17" t="n">
        <v>1082</v>
      </c>
      <c r="K17" t="n">
        <v>955</v>
      </c>
      <c r="L17" t="n">
        <v>1236</v>
      </c>
      <c r="M17" t="n">
        <v>400</v>
      </c>
      <c r="N17" t="n">
        <v>30.64</v>
      </c>
      <c r="O17" t="n">
        <v>0</v>
      </c>
      <c r="Q17" t="n">
        <v>30.64</v>
      </c>
      <c r="R17" t="n">
        <v>953</v>
      </c>
      <c r="S17" t="n">
        <v>0</v>
      </c>
      <c r="T17" t="n">
        <v>-1</v>
      </c>
      <c r="U17" t="inlineStr">
        <is>
          <t>text</t>
        </is>
      </c>
      <c r="V17" t="inlineStr">
        <is>
          <t>Cusiana 296; Cupiagua/Cupiagua Sur 236; Guajira (Chucupa/Ballena) 128; Floreña 66; Nelson 13; Bloque VIM 5 95; Gibraltar 39; Bonga/Mamey 35; Otras Fuentes 173</t>
        </is>
      </c>
      <c r="W17" t="inlineStr">
        <is>
          <t>https://www.bmcbec.com.co/sites/default/files/2022-05/Informe%20Mensual%20Abril%202022.pdf</t>
        </is>
      </c>
    </row>
    <row r="18">
      <c r="A18" t="n">
        <v>16</v>
      </c>
      <c r="B18" t="inlineStr">
        <is>
          <t>2022-05</t>
        </is>
      </c>
      <c r="C18" t="n">
        <v>604</v>
      </c>
      <c r="D18" t="n">
        <v>134</v>
      </c>
      <c r="E18" t="n">
        <v>117</v>
      </c>
      <c r="F18" t="n">
        <v>246</v>
      </c>
      <c r="G18" t="n">
        <v>1101</v>
      </c>
      <c r="H18" t="n">
        <v>8</v>
      </c>
      <c r="J18" t="n">
        <v>1109</v>
      </c>
      <c r="K18" t="n">
        <v>977</v>
      </c>
      <c r="L18" t="n">
        <v>1176</v>
      </c>
      <c r="M18" t="n">
        <v>400</v>
      </c>
      <c r="N18" t="n">
        <v>31.18</v>
      </c>
      <c r="O18" t="n">
        <v>0.23</v>
      </c>
      <c r="Q18" t="n">
        <v>31.4</v>
      </c>
      <c r="R18" t="n">
        <v>970</v>
      </c>
      <c r="S18" t="n">
        <v>0</v>
      </c>
      <c r="T18" t="n">
        <v>0</v>
      </c>
      <c r="U18" t="inlineStr">
        <is>
          <t>text</t>
        </is>
      </c>
      <c r="V18" t="inlineStr">
        <is>
          <t>Cusiana 299; Cupiagua/Cupiagua Sur 238; Guajira (Chucupa/Ballena) 134; Floreña 67; Nelson 6; Bloque VIM 5 111; Gibraltar 39; Bonga/Mamey 35; Otras Fuentes 172</t>
        </is>
      </c>
      <c r="W18" t="inlineStr">
        <is>
          <t>https://www.bmcbec.com.co/sites/default/files/2022-09/5_Informe%20Mensual%20Mayo%202022.pdf</t>
        </is>
      </c>
    </row>
    <row r="19">
      <c r="A19" t="n">
        <v>17</v>
      </c>
      <c r="B19" t="inlineStr">
        <is>
          <t>2022-06</t>
        </is>
      </c>
      <c r="C19" t="n">
        <v>593</v>
      </c>
      <c r="D19" t="n">
        <v>121</v>
      </c>
      <c r="E19" t="n">
        <v>122</v>
      </c>
      <c r="F19" t="n">
        <v>259</v>
      </c>
      <c r="G19" t="n">
        <v>1095</v>
      </c>
      <c r="H19" t="n">
        <v>4</v>
      </c>
      <c r="J19" t="n">
        <v>1099</v>
      </c>
      <c r="K19" t="n">
        <v>961</v>
      </c>
      <c r="L19" t="n">
        <v>1172</v>
      </c>
      <c r="M19" t="n">
        <v>400</v>
      </c>
      <c r="N19" t="n">
        <v>31.01</v>
      </c>
      <c r="O19" t="n">
        <v>0.11</v>
      </c>
      <c r="Q19" t="n">
        <v>31.12</v>
      </c>
      <c r="R19" t="n">
        <v>944</v>
      </c>
      <c r="S19" t="n">
        <v>0</v>
      </c>
      <c r="T19" t="n">
        <v>0</v>
      </c>
      <c r="U19" t="inlineStr">
        <is>
          <t>text</t>
        </is>
      </c>
      <c r="V19" t="inlineStr">
        <is>
          <t>Cusiana 308; Cupiagua/Cupiagua Sur 217; Guajira (Chucupa/Ballena) 121; Floreña 68; Nelson 15; Bloque VIM 5 107; Gibraltar 40; Bonga/Mamey 34; Otras Fuentes 185</t>
        </is>
      </c>
      <c r="W19" t="inlineStr">
        <is>
          <t>https://www.bmcbec.com.co/sites/default/files/2022-09/6_Informe%20Mensual%20Junio%202022.pdf</t>
        </is>
      </c>
    </row>
    <row r="20">
      <c r="A20" t="n">
        <v>18</v>
      </c>
      <c r="B20" t="inlineStr">
        <is>
          <t>2022-07</t>
        </is>
      </c>
      <c r="C20" t="n">
        <v>605</v>
      </c>
      <c r="D20" t="n">
        <v>127</v>
      </c>
      <c r="E20" t="n">
        <v>127</v>
      </c>
      <c r="F20" t="n">
        <v>249</v>
      </c>
      <c r="G20" t="n">
        <v>1108</v>
      </c>
      <c r="H20" t="n">
        <v>13</v>
      </c>
      <c r="J20" t="n">
        <v>1121</v>
      </c>
      <c r="K20" t="n">
        <v>993</v>
      </c>
      <c r="L20" t="n">
        <v>1183</v>
      </c>
      <c r="M20" t="n">
        <v>400</v>
      </c>
      <c r="N20" t="n">
        <v>31.38</v>
      </c>
      <c r="O20" t="n">
        <v>0.37</v>
      </c>
      <c r="Q20" t="n">
        <v>31.74</v>
      </c>
      <c r="R20" t="n">
        <v>973</v>
      </c>
      <c r="S20" t="n">
        <v>0</v>
      </c>
      <c r="T20" t="n">
        <v>-3</v>
      </c>
      <c r="U20" t="inlineStr">
        <is>
          <t>text</t>
        </is>
      </c>
      <c r="V20" t="inlineStr">
        <is>
          <t>Cusiana /Cupiagua Sur 303; Cupiagua 241; Guajira (Chuchupa/Ballena) 127; Floreña 61; Nelson 20; Bloque VIM 5 107; Gibraltar 40; Bonga/Mamey 32; Otras Fuentes 174</t>
        </is>
      </c>
      <c r="W20" t="inlineStr">
        <is>
          <t>https://www.bmcbec.com.co/sites/default/files/2022-09/7_Informe%20Mensual%20Julio%202022.pdf</t>
        </is>
      </c>
    </row>
    <row r="21">
      <c r="A21" t="n">
        <v>19</v>
      </c>
      <c r="B21" t="inlineStr">
        <is>
          <t>2022-08</t>
        </is>
      </c>
      <c r="C21" t="n">
        <v>617</v>
      </c>
      <c r="D21" t="n">
        <v>128</v>
      </c>
      <c r="E21" t="n">
        <v>105</v>
      </c>
      <c r="F21" t="n">
        <v>242</v>
      </c>
      <c r="G21" t="n">
        <v>1092</v>
      </c>
      <c r="H21" t="n">
        <v>4</v>
      </c>
      <c r="J21" t="n">
        <v>1097</v>
      </c>
      <c r="K21" t="n">
        <v>960</v>
      </c>
      <c r="L21" t="n">
        <v>1199</v>
      </c>
      <c r="M21" t="n">
        <v>400</v>
      </c>
      <c r="N21" t="n">
        <v>30.92</v>
      </c>
      <c r="O21" t="n">
        <v>0.11</v>
      </c>
      <c r="Q21" t="n">
        <v>31.06</v>
      </c>
      <c r="R21" t="n">
        <v>946</v>
      </c>
      <c r="S21" t="n">
        <v>-1</v>
      </c>
      <c r="T21" t="n">
        <v>1</v>
      </c>
      <c r="U21" t="inlineStr">
        <is>
          <t>text</t>
        </is>
      </c>
      <c r="V21" t="inlineStr">
        <is>
          <t>Cusiana /Cupiagua Sur 300; Cupiagua 244; Guajira (Chuchupa/Ballena) 128; Floreña 73; Nelson 20; Bloque VIM 5 85; Gibraltar 41; Bonga/Mamey 35; Otras Fuentes 167</t>
        </is>
      </c>
      <c r="W21" t="inlineStr">
        <is>
          <t>https://www.bmcbec.com.co/sites/default/files/2023-01/8_Informe%20Mensual%20Agosto%202022.pdf</t>
        </is>
      </c>
    </row>
    <row r="22">
      <c r="A22" t="n">
        <v>20</v>
      </c>
      <c r="B22" t="inlineStr">
        <is>
          <t>2022-09</t>
        </is>
      </c>
      <c r="C22" t="n">
        <v>610</v>
      </c>
      <c r="D22" t="n">
        <v>124</v>
      </c>
      <c r="E22" t="n">
        <v>123</v>
      </c>
      <c r="F22" t="n">
        <v>245</v>
      </c>
      <c r="G22" t="n">
        <v>1102</v>
      </c>
      <c r="H22" t="n">
        <v>2</v>
      </c>
      <c r="J22" t="n">
        <v>1104</v>
      </c>
      <c r="K22" t="n">
        <v>971</v>
      </c>
      <c r="L22" t="n">
        <v>1196</v>
      </c>
      <c r="M22" t="n">
        <v>400</v>
      </c>
      <c r="N22" t="n">
        <v>31.21</v>
      </c>
      <c r="O22" t="n">
        <v>0.06</v>
      </c>
      <c r="Q22" t="n">
        <v>31.26</v>
      </c>
      <c r="R22" t="n">
        <v>952</v>
      </c>
      <c r="S22" t="n">
        <v>0</v>
      </c>
      <c r="T22" t="n">
        <v>0</v>
      </c>
      <c r="U22" t="inlineStr">
        <is>
          <t>text</t>
        </is>
      </c>
      <c r="V22" t="inlineStr">
        <is>
          <t>Cusiana /Cupiagua Sur 302; Cupiagua 239; Guajira (Chuchupa/Ballena) 124; Floreña 69; Nelson 23; Bloque VIM 5 100; Gibraltar 41; Bonga/Mamey 33; Otras Fuentes 171</t>
        </is>
      </c>
      <c r="W22" t="inlineStr">
        <is>
          <t>https://www.bmcbec.com.co/sites/default/files/2023-01/9_Informe%20Mensual%20Septiembre%202022.pdf</t>
        </is>
      </c>
    </row>
    <row r="23">
      <c r="A23" t="n">
        <v>21</v>
      </c>
      <c r="B23" t="inlineStr">
        <is>
          <t>2022-10</t>
        </is>
      </c>
      <c r="C23" t="n">
        <v>482</v>
      </c>
      <c r="D23" t="n">
        <v>113</v>
      </c>
      <c r="E23" t="n">
        <v>118</v>
      </c>
      <c r="F23" t="n">
        <v>249</v>
      </c>
      <c r="G23" t="n">
        <v>962</v>
      </c>
      <c r="H23" t="n">
        <v>4</v>
      </c>
      <c r="J23" t="n">
        <v>966</v>
      </c>
      <c r="K23" t="n">
        <v>829</v>
      </c>
      <c r="L23" t="n">
        <v>1211</v>
      </c>
      <c r="M23" t="n">
        <v>400</v>
      </c>
      <c r="N23" t="n">
        <v>27.24</v>
      </c>
      <c r="O23" t="n">
        <v>0.11</v>
      </c>
      <c r="Q23" t="n">
        <v>27.35</v>
      </c>
      <c r="R23" t="n">
        <v>830</v>
      </c>
      <c r="S23" t="n">
        <v>0</v>
      </c>
      <c r="T23" t="n">
        <v>0</v>
      </c>
      <c r="U23" t="inlineStr">
        <is>
          <t>text</t>
        </is>
      </c>
      <c r="V23" t="inlineStr">
        <is>
          <t>Cusiana /Cupiagua Sur 147; Cupiagua 264; Guajira (Chuchupa/Ballena) 113; Floreña 71; Nelson 22; Bloque VIM 5 96; Gibraltar 41; Bonga/Mamey 32; Otras Fuentes 176</t>
        </is>
      </c>
      <c r="W23" t="inlineStr">
        <is>
          <t>https://www.bmcbec.com.co/sites/default/files/2023-01/10_Informe%20Mensual%20Octubre%202022.pdf</t>
        </is>
      </c>
    </row>
    <row r="24">
      <c r="A24" t="n">
        <v>22</v>
      </c>
      <c r="B24" t="inlineStr">
        <is>
          <t>2022-11</t>
        </is>
      </c>
      <c r="C24" t="n">
        <v>600</v>
      </c>
      <c r="D24" t="n">
        <v>110</v>
      </c>
      <c r="E24" t="n">
        <v>110</v>
      </c>
      <c r="F24" t="n">
        <v>234</v>
      </c>
      <c r="G24" t="n">
        <v>1054</v>
      </c>
      <c r="H24" t="n">
        <v>0</v>
      </c>
      <c r="J24" t="n">
        <v>1054</v>
      </c>
      <c r="K24" t="n">
        <v>919</v>
      </c>
      <c r="L24" t="n">
        <v>1216</v>
      </c>
      <c r="M24" t="n">
        <v>400</v>
      </c>
      <c r="N24" t="n">
        <v>29.85</v>
      </c>
      <c r="O24" t="n">
        <v>0</v>
      </c>
      <c r="Q24" t="n">
        <v>29.85</v>
      </c>
      <c r="R24" t="n">
        <v>906</v>
      </c>
      <c r="S24" t="n">
        <v>0</v>
      </c>
      <c r="T24" t="n">
        <v>-1</v>
      </c>
      <c r="U24" t="inlineStr">
        <is>
          <t>text</t>
        </is>
      </c>
      <c r="V24" t="inlineStr">
        <is>
          <t>Cusiana /Cupiagua Sur 270; Cupiagua 263; Guajira (Chuchupa/Ballena) 110; Floreña 67; Nelson 21; Bloque VIM 5 89; Gibraltar 41; Bonga/Mamey 31; Otras Fuentes 161</t>
        </is>
      </c>
      <c r="W24" t="inlineStr">
        <is>
          <t>https://www.bmcbec.com.co/sites/default/files/2023-01/11_Informe%20Mensual%20Noviembre.pdf</t>
        </is>
      </c>
    </row>
    <row r="25">
      <c r="A25" t="n">
        <v>23</v>
      </c>
      <c r="B25" t="inlineStr">
        <is>
          <t>2022-12</t>
        </is>
      </c>
      <c r="C25" t="n">
        <v>574</v>
      </c>
      <c r="D25" t="n">
        <v>103</v>
      </c>
      <c r="E25" t="n">
        <v>128</v>
      </c>
      <c r="F25" t="n">
        <v>237</v>
      </c>
      <c r="G25" t="n">
        <v>1042</v>
      </c>
      <c r="H25" t="n">
        <v>3</v>
      </c>
      <c r="J25" t="n">
        <v>1045</v>
      </c>
      <c r="K25" t="n">
        <v>887</v>
      </c>
      <c r="L25" t="n">
        <v>1214</v>
      </c>
      <c r="M25" t="n">
        <v>400</v>
      </c>
      <c r="N25" t="n">
        <v>29.51</v>
      </c>
      <c r="O25" t="n">
        <v>0.08</v>
      </c>
      <c r="Q25" t="n">
        <v>29.59</v>
      </c>
      <c r="R25" t="n">
        <v>847</v>
      </c>
      <c r="S25" t="n">
        <v>0</v>
      </c>
      <c r="T25" t="n">
        <v>0</v>
      </c>
      <c r="U25" t="inlineStr">
        <is>
          <t>text</t>
        </is>
      </c>
      <c r="V25" t="inlineStr">
        <is>
          <t>Cusiana /Cupiagua Sur 276; Cupiagua 232; Guajira (Chuchupa/Ballena) 103; Floreña 66; Nelson 19; Bloque VIM 5 109; Gibraltar 39; Bonga/Mamey 33; Otras Fuentes 165</t>
        </is>
      </c>
      <c r="W25" t="inlineStr">
        <is>
          <t>https://www.bmcbec.com.co/sites/default/files/2023-03/12_Informe%20Mensual%20Diciembre.pdf</t>
        </is>
      </c>
    </row>
    <row r="26">
      <c r="A26" t="n">
        <v>24</v>
      </c>
      <c r="B26" t="inlineStr">
        <is>
          <t>2023-01</t>
        </is>
      </c>
      <c r="C26" t="n">
        <v>548</v>
      </c>
      <c r="D26" t="n">
        <v>108</v>
      </c>
      <c r="E26" t="n">
        <v>137</v>
      </c>
      <c r="F26" t="n">
        <v>232</v>
      </c>
      <c r="G26" t="n">
        <v>1025</v>
      </c>
      <c r="H26" t="n">
        <v>0</v>
      </c>
      <c r="J26" t="n">
        <v>1025</v>
      </c>
      <c r="K26" t="n">
        <v>865</v>
      </c>
      <c r="L26" t="n">
        <v>1213</v>
      </c>
      <c r="M26" t="n">
        <v>400</v>
      </c>
      <c r="N26" t="n">
        <v>29.02</v>
      </c>
      <c r="O26" t="n">
        <v>0</v>
      </c>
      <c r="Q26" t="n">
        <v>29.02</v>
      </c>
      <c r="R26" t="n">
        <v>831</v>
      </c>
      <c r="S26" t="n">
        <v>0</v>
      </c>
      <c r="T26" t="n">
        <v>0</v>
      </c>
      <c r="U26" t="inlineStr">
        <is>
          <t>text</t>
        </is>
      </c>
      <c r="V26" t="inlineStr">
        <is>
          <t>Cusiana /Cupiagua Sur 260; Cupiagua 221; Guajira (Chuchupa/Ballena) 108; Floreña 67; Nelson 16; Bloque VIM 5 121; Gibraltar 39; Bonga/Mamey 35; Otras Fuentes 158</t>
        </is>
      </c>
      <c r="W26" t="inlineStr">
        <is>
          <t>https://www.bmcbec.com.co/sites/default/files/2023-02/1_Informe%20Mensual%202023%20Enero.pdf</t>
        </is>
      </c>
    </row>
    <row r="27">
      <c r="A27" t="n">
        <v>25</v>
      </c>
      <c r="B27" t="inlineStr">
        <is>
          <t>2023-02</t>
        </is>
      </c>
      <c r="C27" t="n">
        <v>591</v>
      </c>
      <c r="D27" t="n">
        <v>107</v>
      </c>
      <c r="E27" t="n">
        <v>145</v>
      </c>
      <c r="F27" t="n">
        <v>236</v>
      </c>
      <c r="G27" t="n">
        <v>1079</v>
      </c>
      <c r="H27" t="n">
        <v>10</v>
      </c>
      <c r="J27" t="n">
        <v>1089</v>
      </c>
      <c r="K27" t="n">
        <v>933</v>
      </c>
      <c r="L27" t="n">
        <v>1208</v>
      </c>
      <c r="M27" t="n">
        <v>400</v>
      </c>
      <c r="N27" t="n">
        <v>30.55</v>
      </c>
      <c r="O27" t="n">
        <v>0.28</v>
      </c>
      <c r="Q27" t="n">
        <v>30.84</v>
      </c>
      <c r="R27" t="n">
        <v>911</v>
      </c>
      <c r="S27" t="n">
        <v>0</v>
      </c>
      <c r="T27" t="n">
        <v>0</v>
      </c>
      <c r="U27" t="inlineStr">
        <is>
          <t>text</t>
        </is>
      </c>
      <c r="V27" t="inlineStr">
        <is>
          <t>Cusiana /Cupiagua Sur 285; Cupiagua 235; Guajira (Chuchupa/Ballena) 107; Floreña 71; Nelson 15; Bloque VIM 5 130; Gibraltar 39; Bonga/Mamey 36; Otras Fuentes 161</t>
        </is>
      </c>
      <c r="W27" t="inlineStr">
        <is>
          <t>https://www.bmcbec.com.co/sites/default/files/2023-03/2_Informe%20Mensual%202023%20Febrero.pdf</t>
        </is>
      </c>
    </row>
    <row r="28">
      <c r="A28" t="n">
        <v>26</v>
      </c>
      <c r="B28" t="inlineStr">
        <is>
          <t>2023-03</t>
        </is>
      </c>
      <c r="C28" t="n">
        <v>584</v>
      </c>
      <c r="D28" t="n">
        <v>103</v>
      </c>
      <c r="E28" t="n">
        <v>130</v>
      </c>
      <c r="F28" t="n">
        <v>232</v>
      </c>
      <c r="G28" t="n">
        <v>1049</v>
      </c>
      <c r="H28" t="n">
        <v>0</v>
      </c>
      <c r="J28" t="n">
        <v>1049</v>
      </c>
      <c r="K28" t="n">
        <v>897</v>
      </c>
      <c r="L28" t="n">
        <v>1201</v>
      </c>
      <c r="M28" t="n">
        <v>400</v>
      </c>
      <c r="N28" t="n">
        <v>29.7</v>
      </c>
      <c r="O28" t="n">
        <v>0</v>
      </c>
      <c r="Q28" t="n">
        <v>29.7</v>
      </c>
      <c r="R28" t="n">
        <v>901</v>
      </c>
      <c r="S28" t="n">
        <v>0</v>
      </c>
      <c r="T28" t="n">
        <v>0</v>
      </c>
      <c r="U28" t="inlineStr">
        <is>
          <t>text</t>
        </is>
      </c>
      <c r="V28" t="inlineStr">
        <is>
          <t>Cusiana /Cupiagua Sur 273; Cupiagua 244; Guajira (Chuchupa/Ballena) 103; Floreña 67; Nelson 12; Bloque VIM 5 118; Gibraltar 29; Bonga/Mamey 35; Otras Fuentes 168</t>
        </is>
      </c>
      <c r="W28" t="inlineStr">
        <is>
          <t>https://www.bmcbec.com.co/sites/default/files/2023-04/Informe%20Mensual%202023%20Marzo.pdf</t>
        </is>
      </c>
    </row>
    <row r="29">
      <c r="A29" t="n">
        <v>27</v>
      </c>
      <c r="B29" t="inlineStr">
        <is>
          <t>2023-04</t>
        </is>
      </c>
      <c r="C29" t="n">
        <v>580</v>
      </c>
      <c r="D29" t="n">
        <v>91</v>
      </c>
      <c r="E29" t="n">
        <v>122</v>
      </c>
      <c r="F29" t="n">
        <v>214</v>
      </c>
      <c r="G29" t="n">
        <v>1007</v>
      </c>
      <c r="H29" t="n">
        <v>2</v>
      </c>
      <c r="J29" t="n">
        <v>1009</v>
      </c>
      <c r="K29" t="n">
        <v>895</v>
      </c>
      <c r="L29" t="n">
        <v>1201</v>
      </c>
      <c r="M29" t="n">
        <v>400</v>
      </c>
      <c r="N29" t="n">
        <v>28.52</v>
      </c>
      <c r="O29" t="n">
        <v>0.06</v>
      </c>
      <c r="Q29" t="n">
        <v>28.57</v>
      </c>
      <c r="R29" t="n">
        <v>893</v>
      </c>
      <c r="S29" t="n">
        <v>0</v>
      </c>
      <c r="T29" t="n">
        <v>0</v>
      </c>
      <c r="U29" t="inlineStr">
        <is>
          <t>text</t>
        </is>
      </c>
      <c r="V29" t="inlineStr">
        <is>
          <t>Cusiana /Cupiagua Sur 277; Cupiagua 245; Guajira (Chuchupa/Ballena) 91; Floreña 58; Nelson 12; Bloque VIM 5 110; Gibraltar 22; Bonga/Mamey 29; Otras Fuentes 163</t>
        </is>
      </c>
      <c r="W29" t="inlineStr">
        <is>
          <t>https://www.bmcbec.com.co/sites/default/files/2023-05/Informe%20Mensual%202023%20Abril_0.pdf</t>
        </is>
      </c>
    </row>
    <row r="30">
      <c r="A30" t="n">
        <v>28</v>
      </c>
      <c r="B30" t="inlineStr">
        <is>
          <t>2023-05</t>
        </is>
      </c>
      <c r="C30" t="n">
        <v>585</v>
      </c>
      <c r="D30" t="n">
        <v>101</v>
      </c>
      <c r="E30" t="n">
        <v>121</v>
      </c>
      <c r="F30" t="n">
        <v>248</v>
      </c>
      <c r="G30" t="n">
        <v>1055</v>
      </c>
      <c r="H30" t="n">
        <v>24</v>
      </c>
      <c r="J30" t="n">
        <v>1079</v>
      </c>
      <c r="K30" t="n">
        <v>941</v>
      </c>
      <c r="L30" t="n">
        <v>1166</v>
      </c>
      <c r="M30" t="n">
        <v>400</v>
      </c>
      <c r="N30" t="n">
        <v>29.87</v>
      </c>
      <c r="O30" t="n">
        <v>0.68</v>
      </c>
      <c r="Q30" t="n">
        <v>30.55</v>
      </c>
      <c r="R30" t="n">
        <v>929</v>
      </c>
      <c r="S30" t="n">
        <v>0</v>
      </c>
      <c r="T30" t="n">
        <v>0</v>
      </c>
      <c r="U30" t="inlineStr">
        <is>
          <t>text</t>
        </is>
      </c>
      <c r="V30" t="inlineStr">
        <is>
          <t>Cusiana /Cupiagua Sur 267; Cupiagua 247; Guajira (Chuchupa/Ballena) 101; Floreña 71; Nelson 14; Bloque VIM 5 107; Gibraltar 35; Bonga/Mamey 35; Otras Fuentes 178</t>
        </is>
      </c>
      <c r="W30" t="inlineStr">
        <is>
          <t>https://www.bmcbec.com.co/sites/default/files/2023-06/5_Informe%20Mensual%202023%20Mayo.pdf</t>
        </is>
      </c>
    </row>
    <row r="31">
      <c r="A31" t="n">
        <v>29</v>
      </c>
      <c r="B31" t="inlineStr">
        <is>
          <t>2023-06</t>
        </is>
      </c>
      <c r="C31" t="n">
        <v>588</v>
      </c>
      <c r="D31" t="n">
        <v>103</v>
      </c>
      <c r="E31" t="n">
        <v>109</v>
      </c>
      <c r="F31" t="n">
        <v>244</v>
      </c>
      <c r="G31" t="n">
        <v>1044</v>
      </c>
      <c r="H31" t="n">
        <v>42</v>
      </c>
      <c r="J31" t="n">
        <v>1086</v>
      </c>
      <c r="K31" t="n">
        <v>955</v>
      </c>
      <c r="L31" t="n">
        <v>1176</v>
      </c>
      <c r="M31" t="n">
        <v>400</v>
      </c>
      <c r="N31" t="n">
        <v>29.56</v>
      </c>
      <c r="O31" t="n">
        <v>1.19</v>
      </c>
      <c r="Q31" t="n">
        <v>30.75</v>
      </c>
      <c r="R31" t="n">
        <v>938</v>
      </c>
      <c r="S31" t="n">
        <v>0</v>
      </c>
      <c r="T31" t="n">
        <v>0</v>
      </c>
      <c r="U31" t="inlineStr">
        <is>
          <t>text</t>
        </is>
      </c>
      <c r="V31" t="inlineStr">
        <is>
          <t>Cusiana /Cupiagua Sur 282; Cupiagua 238; Guajira (Chuchupa/Ballena) 103; Floreña 68; Nelson 11; Bloque VIM 5 98; Gibraltar 25; Bonga/Mamey 36; Otras Fuentes 183</t>
        </is>
      </c>
      <c r="W31" t="inlineStr">
        <is>
          <t>https://www.bmcbec.com.co/sites/default/files/2023-07/Informe_Mensual_2023_Junio_2.pdf</t>
        </is>
      </c>
    </row>
    <row r="32">
      <c r="A32" t="n">
        <v>30</v>
      </c>
      <c r="B32" t="inlineStr">
        <is>
          <t>2023-07</t>
        </is>
      </c>
      <c r="C32" t="n">
        <v>595</v>
      </c>
      <c r="D32" t="n">
        <v>100</v>
      </c>
      <c r="E32" t="n">
        <v>119</v>
      </c>
      <c r="F32" t="n">
        <v>264</v>
      </c>
      <c r="G32" t="n">
        <v>1078</v>
      </c>
      <c r="H32" t="n">
        <v>6</v>
      </c>
      <c r="J32" t="n">
        <v>1084</v>
      </c>
      <c r="K32" t="n">
        <v>951</v>
      </c>
      <c r="L32" t="n">
        <v>1292</v>
      </c>
      <c r="M32" t="n">
        <v>400</v>
      </c>
      <c r="N32" t="n">
        <v>30.53</v>
      </c>
      <c r="O32" t="n">
        <v>0.17</v>
      </c>
      <c r="Q32" t="n">
        <v>30.7</v>
      </c>
      <c r="R32" t="n">
        <v>930</v>
      </c>
      <c r="S32" t="n">
        <v>0</v>
      </c>
      <c r="T32" t="n">
        <v>0</v>
      </c>
      <c r="U32" t="inlineStr">
        <is>
          <t>text</t>
        </is>
      </c>
      <c r="V32" t="inlineStr">
        <is>
          <t>Cusiana /Cupiagua Sur 277; Cupiagua 246; Guajira (Chuchupa/Ballena) 100; Floreña 72; Nelson 10; Bloque VIM 5 109; Gibraltar 41; Bonga/Mamey 36; Otras Fuentes 187</t>
        </is>
      </c>
      <c r="W32" t="inlineStr">
        <is>
          <t>https://www.bmcbec.com.co/sites/default/files/2023-08/7_Informe%20Mensual%202023%20Julio.pdf</t>
        </is>
      </c>
    </row>
    <row r="33">
      <c r="A33" t="n">
        <v>31</v>
      </c>
      <c r="B33" t="inlineStr">
        <is>
          <t>2023-08</t>
        </is>
      </c>
      <c r="C33" t="n">
        <v>600</v>
      </c>
      <c r="D33" t="n">
        <v>99</v>
      </c>
      <c r="E33" t="n">
        <v>118</v>
      </c>
      <c r="F33" t="n">
        <v>235</v>
      </c>
      <c r="G33" t="n">
        <v>1052</v>
      </c>
      <c r="H33" t="n">
        <v>60</v>
      </c>
      <c r="J33" t="n">
        <v>1112</v>
      </c>
      <c r="K33" t="n">
        <v>992</v>
      </c>
      <c r="L33" t="n">
        <v>1181</v>
      </c>
      <c r="M33" t="n">
        <v>400</v>
      </c>
      <c r="N33" t="n">
        <v>29.79</v>
      </c>
      <c r="O33" t="n">
        <v>1.7</v>
      </c>
      <c r="Q33" t="n">
        <v>31.49</v>
      </c>
      <c r="R33" t="n">
        <v>978</v>
      </c>
      <c r="S33" t="n">
        <v>0</v>
      </c>
      <c r="T33" t="n">
        <v>53</v>
      </c>
      <c r="U33" t="inlineStr">
        <is>
          <t>text</t>
        </is>
      </c>
      <c r="V33" t="inlineStr">
        <is>
          <t>Cusiana /Cupiagua Sur 277; Cupiagua 254; Guajira (Chuchupa/Ballena) 99; Floreña 69; Nelson 10; Bloque VIM 5 108; Gibraltar 38; Bonga/Mamey 32; Otras Fuentes 218</t>
        </is>
      </c>
      <c r="W33" t="inlineStr">
        <is>
          <t>https://www.bmcbec.com.co/sites/default/files/2023-09/Informe%20Mensual%202023%20Agosto_0.pdf</t>
        </is>
      </c>
    </row>
    <row r="34">
      <c r="A34" t="n">
        <v>32</v>
      </c>
      <c r="B34" t="inlineStr">
        <is>
          <t>2023-09</t>
        </is>
      </c>
      <c r="C34" t="n">
        <v>610</v>
      </c>
      <c r="D34" t="n">
        <v>99</v>
      </c>
      <c r="E34" t="n">
        <v>113</v>
      </c>
      <c r="F34" t="n">
        <v>227</v>
      </c>
      <c r="G34" t="n">
        <v>1049</v>
      </c>
      <c r="H34" t="n">
        <v>248</v>
      </c>
      <c r="J34" t="n">
        <v>1296</v>
      </c>
      <c r="K34" t="n">
        <v>1133</v>
      </c>
      <c r="L34" t="n">
        <v>1182</v>
      </c>
      <c r="M34" t="n">
        <v>400</v>
      </c>
      <c r="N34" t="n">
        <v>29.7</v>
      </c>
      <c r="O34" t="n">
        <v>7.02</v>
      </c>
      <c r="Q34" t="n">
        <v>36.7</v>
      </c>
      <c r="R34" t="n">
        <v>1097</v>
      </c>
      <c r="S34" t="n">
        <v>1</v>
      </c>
      <c r="T34" t="n">
        <v>0</v>
      </c>
      <c r="U34" t="inlineStr">
        <is>
          <t>text</t>
        </is>
      </c>
      <c r="V34" t="inlineStr">
        <is>
          <t>Cusiana /Cupiagua Sur 283; Cupiagua 253; Guajira (Chuchupa/Ballena) 99; Floreña 74; Nelson 9; Bloque VIM 5 104; Gibraltar 33; Bonga/Mamey 36; Otras Fuentes 158</t>
        </is>
      </c>
      <c r="W34" t="inlineStr">
        <is>
          <t>https://www.bmcbec.com.co/sites/default/files/2023-10/Informe%20Mensual%202023%20Septiembre.pdf</t>
        </is>
      </c>
    </row>
    <row r="35">
      <c r="A35" t="n">
        <v>33</v>
      </c>
      <c r="B35" t="inlineStr">
        <is>
          <t>2023-10</t>
        </is>
      </c>
      <c r="C35" t="n">
        <v>608</v>
      </c>
      <c r="D35" t="n">
        <v>96</v>
      </c>
      <c r="E35" t="n">
        <v>110</v>
      </c>
      <c r="F35" t="n">
        <v>241</v>
      </c>
      <c r="G35" t="n">
        <v>1055</v>
      </c>
      <c r="H35" t="n">
        <v>251</v>
      </c>
      <c r="J35" t="n">
        <v>1306</v>
      </c>
      <c r="K35" t="n">
        <v>1144</v>
      </c>
      <c r="L35" t="n">
        <v>1181</v>
      </c>
      <c r="M35" t="n">
        <v>400</v>
      </c>
      <c r="N35" t="n">
        <v>29.87</v>
      </c>
      <c r="O35" t="n">
        <v>7.11</v>
      </c>
      <c r="Q35" t="n">
        <v>36.98</v>
      </c>
      <c r="R35" t="n">
        <v>1101</v>
      </c>
      <c r="S35" t="n">
        <v>0</v>
      </c>
      <c r="T35" t="n">
        <v>1</v>
      </c>
      <c r="U35" t="inlineStr">
        <is>
          <t>OCR</t>
        </is>
      </c>
      <c r="V35" t="inlineStr">
        <is>
          <t>Cusiana /Cupiagua Sur 281; | Cupiagua 254; Guajira (Chuchupa/Ballena) 96; Floreña 73; Nelson 6; Bloque VIM 5 104; Gibraltar 40; Bonga/Mamey 36; | Otras Fuentes 166</t>
        </is>
      </c>
      <c r="W35" t="inlineStr">
        <is>
          <t>https://www.bmcbec.com.co/sites/default/files/2023-11/Informe%20Mensual%202023%20Octubre_0.pdf</t>
        </is>
      </c>
    </row>
    <row r="36">
      <c r="A36" t="n">
        <v>34</v>
      </c>
      <c r="B36" t="inlineStr">
        <is>
          <t>2023-11</t>
        </is>
      </c>
      <c r="C36" t="n">
        <v>582</v>
      </c>
      <c r="D36" t="n">
        <v>85</v>
      </c>
      <c r="E36" t="n">
        <v>119</v>
      </c>
      <c r="F36" t="n">
        <v>233</v>
      </c>
      <c r="G36" t="n">
        <v>1019</v>
      </c>
      <c r="H36" t="n">
        <v>106</v>
      </c>
      <c r="J36" t="n">
        <v>1125</v>
      </c>
      <c r="K36" t="n">
        <v>990</v>
      </c>
      <c r="L36" t="n">
        <v>1181</v>
      </c>
      <c r="M36" t="n">
        <v>400</v>
      </c>
      <c r="N36" t="n">
        <v>28.85</v>
      </c>
      <c r="O36" t="n">
        <v>3</v>
      </c>
      <c r="Q36" t="n">
        <v>31.86</v>
      </c>
      <c r="R36" t="n">
        <v>974</v>
      </c>
      <c r="S36" t="n">
        <v>0</v>
      </c>
      <c r="T36" t="n">
        <v>1</v>
      </c>
      <c r="U36" t="inlineStr">
        <is>
          <t>OCR</t>
        </is>
      </c>
      <c r="V36" t="inlineStr">
        <is>
          <t>Cusiana /Cupiagua Sur 275; Cupiagua 239; Guajira (Chuchupa/Ballena) 85; Floreña 68; Nelson 10; Bloque VIM 5 109; Gibraltar 41; Bonga/Mamey 36; Otras Fuentes 157</t>
        </is>
      </c>
      <c r="W36" t="inlineStr">
        <is>
          <t>https://www.bmcbec.com.co/sites/default/files/2023-12/Informe%20Mensual%202023%20Noviembre.pdf</t>
        </is>
      </c>
    </row>
    <row r="37">
      <c r="A37" t="n">
        <v>35</v>
      </c>
      <c r="B37" t="inlineStr">
        <is>
          <t>2023-12</t>
        </is>
      </c>
      <c r="C37" t="n">
        <v>557</v>
      </c>
      <c r="D37" t="n">
        <v>96</v>
      </c>
      <c r="E37" t="n">
        <v>118</v>
      </c>
      <c r="F37" t="n">
        <v>219</v>
      </c>
      <c r="G37" t="n">
        <v>990</v>
      </c>
      <c r="H37" t="n">
        <v>265</v>
      </c>
      <c r="J37" t="n">
        <v>1255</v>
      </c>
      <c r="K37" t="n">
        <v>1116</v>
      </c>
      <c r="L37" t="n">
        <v>1141</v>
      </c>
      <c r="M37" t="n">
        <v>400</v>
      </c>
      <c r="N37" t="n">
        <v>28.03</v>
      </c>
      <c r="O37" t="n">
        <v>7.5</v>
      </c>
      <c r="Q37" t="n">
        <v>35.54</v>
      </c>
      <c r="R37" t="n">
        <v>1079</v>
      </c>
      <c r="S37" t="n">
        <v>0</v>
      </c>
      <c r="T37" t="n">
        <v>0</v>
      </c>
      <c r="U37" t="inlineStr">
        <is>
          <t>OCR</t>
        </is>
      </c>
      <c r="V37" t="inlineStr">
        <is>
          <t>Cusiana /Cupiagua Sur 256; Cupiagua 227; Guajira (Chuchupa/Ballena) 96; Floreña 74; Nelson 13; Bloque VIM 5 105; Gibraltar 41; Bonga/Mamey 33; Otras Fuentes 145</t>
        </is>
      </c>
      <c r="W37" t="inlineStr">
        <is>
          <t>https://www.bmcbec.com.co/sites/default/files/2024-01/Informe%20Mensual%202023%20Diciembre_.pdf</t>
        </is>
      </c>
    </row>
    <row r="38">
      <c r="A38" t="n">
        <v>36</v>
      </c>
      <c r="B38" t="inlineStr">
        <is>
          <t>2024-01</t>
        </is>
      </c>
      <c r="C38" t="n">
        <v>497</v>
      </c>
      <c r="D38" t="n">
        <v>94</v>
      </c>
      <c r="E38" t="n">
        <v>119</v>
      </c>
      <c r="F38" t="n">
        <v>212</v>
      </c>
      <c r="G38" t="n">
        <v>922</v>
      </c>
      <c r="H38" t="n">
        <v>209</v>
      </c>
      <c r="J38" t="n">
        <v>1131</v>
      </c>
      <c r="K38" t="n">
        <v>1006</v>
      </c>
      <c r="L38" t="n">
        <v>1127</v>
      </c>
      <c r="M38" t="n">
        <v>400</v>
      </c>
      <c r="N38" t="n">
        <v>26.11</v>
      </c>
      <c r="O38" t="n">
        <v>5.92</v>
      </c>
      <c r="Q38" t="n">
        <v>32.03</v>
      </c>
      <c r="R38" t="n">
        <v>1004</v>
      </c>
      <c r="S38" t="n">
        <v>0</v>
      </c>
      <c r="T38" t="n">
        <v>2</v>
      </c>
      <c r="U38" t="inlineStr">
        <is>
          <t>OCR</t>
        </is>
      </c>
      <c r="V38" t="inlineStr">
        <is>
          <t>Cusiana /Cupiagua Sur 278; Cupiagua 151; Guajira (Chuchupa/Ballena) 94; Floreña 68; Nelson 20; Bloque VIM 5 99; Gibraltar 40; Bonga/Mamey 35; Otras Fuentes 139</t>
        </is>
      </c>
      <c r="W38" t="inlineStr">
        <is>
          <t>https://www.bmcbec.com.co/sites/default/files/2024-02/Informe%20Mensual%202024%20Enero_0.pdf</t>
        </is>
      </c>
    </row>
    <row r="39">
      <c r="A39" t="n">
        <v>37</v>
      </c>
      <c r="B39" t="inlineStr">
        <is>
          <t>2024-02</t>
        </is>
      </c>
      <c r="C39" t="n">
        <v>558</v>
      </c>
      <c r="D39" t="n">
        <v>90</v>
      </c>
      <c r="E39" t="n">
        <v>122</v>
      </c>
      <c r="F39" t="n">
        <v>212</v>
      </c>
      <c r="G39" t="n">
        <v>982</v>
      </c>
      <c r="H39" t="n">
        <v>221</v>
      </c>
      <c r="J39" t="n">
        <v>1203</v>
      </c>
      <c r="K39" t="n">
        <v>1094</v>
      </c>
      <c r="L39" t="n">
        <v>1127</v>
      </c>
      <c r="M39" t="n">
        <v>400</v>
      </c>
      <c r="N39" t="n">
        <v>27.81</v>
      </c>
      <c r="O39" t="n">
        <v>6.26</v>
      </c>
      <c r="Q39" t="n">
        <v>34.07</v>
      </c>
      <c r="R39" t="n">
        <v>1082</v>
      </c>
      <c r="S39" t="n">
        <v>0</v>
      </c>
      <c r="T39" t="n">
        <v>0</v>
      </c>
      <c r="U39" t="inlineStr">
        <is>
          <t>OCR</t>
        </is>
      </c>
      <c r="V39" t="inlineStr">
        <is>
          <t>Cusiana /Cupiagua Sur 269; Cupiagua 234; Guajira (Chuchupa/Ballena) 90; Floreña 55; Nelson 17; Bloque VIM 5+ 105; Gibraltar 40; Bonga/Mamey 35; Otras Fuentes 137</t>
        </is>
      </c>
      <c r="W39" t="inlineStr">
        <is>
          <t>https://www.bmcbec.com.co/sites/default/files/2024-03/Informe%20Mensual%202024%20Febrero.pdf</t>
        </is>
      </c>
    </row>
    <row r="40">
      <c r="A40" t="n">
        <v>38</v>
      </c>
      <c r="B40" t="inlineStr">
        <is>
          <t>2024-03</t>
        </is>
      </c>
      <c r="C40" t="n">
        <v>551</v>
      </c>
      <c r="D40" t="n">
        <v>90</v>
      </c>
      <c r="E40" t="n">
        <v>112</v>
      </c>
      <c r="F40" t="n">
        <v>220</v>
      </c>
      <c r="G40" t="n">
        <v>973</v>
      </c>
      <c r="H40" t="n">
        <v>357</v>
      </c>
      <c r="J40" t="n">
        <v>1330</v>
      </c>
      <c r="K40" t="n">
        <v>1217</v>
      </c>
      <c r="L40" t="n">
        <v>1119</v>
      </c>
      <c r="M40" t="n">
        <v>400</v>
      </c>
      <c r="N40" t="n">
        <v>27.55</v>
      </c>
      <c r="O40" t="n">
        <v>10.11</v>
      </c>
      <c r="Q40" t="n">
        <v>37.66</v>
      </c>
      <c r="R40" t="n">
        <v>1177</v>
      </c>
      <c r="S40" t="n">
        <v>0</v>
      </c>
      <c r="T40" t="n">
        <v>-1</v>
      </c>
      <c r="U40" t="inlineStr">
        <is>
          <t>OCR</t>
        </is>
      </c>
      <c r="V40" t="inlineStr">
        <is>
          <t>Cusiana /Cupiagua Sur 256; Cupiagua 237; Guajira (Chuchupa/Ballena) 90; Floreña 58; Nelson 15; Bloque VIM 5 97; Gibraltar 39; Bonga/Mamey 34; Otras Fuentes 146</t>
        </is>
      </c>
      <c r="W40" t="inlineStr">
        <is>
          <t>https://www.bmcbec.com.co/sites/default/files/2024-04/Informe%20Mensual%202024%20Marzo.pdf</t>
        </is>
      </c>
    </row>
    <row r="41">
      <c r="A41" t="n">
        <v>39</v>
      </c>
      <c r="B41" t="inlineStr">
        <is>
          <t>2024-04</t>
        </is>
      </c>
      <c r="C41" t="n">
        <v>549</v>
      </c>
      <c r="D41" t="n">
        <v>92</v>
      </c>
      <c r="E41" t="n">
        <v>111</v>
      </c>
      <c r="F41" t="n">
        <v>224</v>
      </c>
      <c r="G41" t="n">
        <v>976</v>
      </c>
      <c r="H41" t="n">
        <v>412</v>
      </c>
      <c r="J41" t="n">
        <v>1388</v>
      </c>
      <c r="K41" t="n">
        <v>1253</v>
      </c>
      <c r="L41" t="n">
        <v>1109</v>
      </c>
      <c r="M41" t="n">
        <v>400</v>
      </c>
      <c r="N41" t="n">
        <v>27.64</v>
      </c>
      <c r="O41" t="n">
        <v>11.67</v>
      </c>
      <c r="Q41" t="n">
        <v>39.3</v>
      </c>
      <c r="R41" t="n">
        <v>1236</v>
      </c>
      <c r="S41" t="n">
        <v>0</v>
      </c>
      <c r="T41" t="n">
        <v>1</v>
      </c>
      <c r="U41" t="inlineStr">
        <is>
          <t>text</t>
        </is>
      </c>
      <c r="V41" t="inlineStr">
        <is>
          <t>Cusiana /Cupiagua Sur 260; Cupiagua 231; Guajira (Chuchupa/Ballena) 92; Floreña 58; Nelson 13; Bloque VIM 5 98; Gibraltar 39; Bonga/Mamey 34; Otras Fuentes 152</t>
        </is>
      </c>
      <c r="W41" t="inlineStr">
        <is>
          <t>https://www.bmcbec.com.co/sites/default/files/2024-05/Informe%20Mensual%202024%20Abril_1.pdf</t>
        </is>
      </c>
    </row>
    <row r="42">
      <c r="A42" t="n">
        <v>40</v>
      </c>
      <c r="B42" t="inlineStr">
        <is>
          <t>2024-05</t>
        </is>
      </c>
      <c r="C42" t="n">
        <v>532</v>
      </c>
      <c r="D42" t="n">
        <v>90</v>
      </c>
      <c r="E42" t="n">
        <v>110</v>
      </c>
      <c r="F42" t="n">
        <v>237</v>
      </c>
      <c r="G42" t="n">
        <v>969</v>
      </c>
      <c r="H42" t="n">
        <v>54</v>
      </c>
      <c r="J42" t="n">
        <v>1023</v>
      </c>
      <c r="K42" t="n">
        <v>911</v>
      </c>
      <c r="L42" t="n">
        <v>1097</v>
      </c>
      <c r="M42" t="n">
        <v>400</v>
      </c>
      <c r="N42" t="n">
        <v>27.44</v>
      </c>
      <c r="O42" t="n">
        <v>1.53</v>
      </c>
      <c r="Q42" t="n">
        <v>28.97</v>
      </c>
      <c r="R42" t="n">
        <v>905</v>
      </c>
      <c r="S42" t="n">
        <v>0</v>
      </c>
      <c r="T42" t="n">
        <v>0</v>
      </c>
      <c r="U42" t="inlineStr">
        <is>
          <t>OCR</t>
        </is>
      </c>
      <c r="V42" t="inlineStr">
        <is>
          <t>Cusiana /Cupiagua Sur 240; Cupiagua 235; Guajira (Chuchupa/Ballena) 90; Floreña 57; Nelson 10; Bloque VIM 5+ 100; Gibraltar 40; Bonga/Mamey 35; Otras Fuentes 162</t>
        </is>
      </c>
      <c r="W42" t="inlineStr">
        <is>
          <t>https://www.bmcbec.com.co/sites/default/files/2024-06/Informe%20Mensual%202024%20Mayo.pdf</t>
        </is>
      </c>
    </row>
    <row r="43">
      <c r="A43" t="n">
        <v>41</v>
      </c>
      <c r="B43" t="inlineStr">
        <is>
          <t>2024-06</t>
        </is>
      </c>
      <c r="C43" t="n">
        <v>531</v>
      </c>
      <c r="D43" t="n">
        <v>90</v>
      </c>
      <c r="E43" t="n">
        <v>160</v>
      </c>
      <c r="F43" t="n">
        <v>188</v>
      </c>
      <c r="G43" t="n">
        <v>969</v>
      </c>
      <c r="H43" t="n">
        <v>37</v>
      </c>
      <c r="J43" t="n">
        <v>1006</v>
      </c>
      <c r="K43" t="n">
        <v>890</v>
      </c>
      <c r="L43" t="n">
        <v>1081</v>
      </c>
      <c r="M43" t="n">
        <v>400</v>
      </c>
      <c r="N43" t="n">
        <v>27.44</v>
      </c>
      <c r="O43" t="n">
        <v>1.05</v>
      </c>
      <c r="Q43" t="n">
        <v>28.49</v>
      </c>
      <c r="R43" t="n">
        <v>888</v>
      </c>
      <c r="S43" t="n">
        <v>0</v>
      </c>
      <c r="T43" t="n">
        <v>0</v>
      </c>
      <c r="U43" t="inlineStr">
        <is>
          <t>OCR</t>
        </is>
      </c>
      <c r="V43" t="inlineStr">
        <is>
          <t>Cusiana/Cupiagua Sur 239; Cupiagua 232; Floreña 60; Gibraltar 40; Otros Interior 36; Ballena 14; Chuchupa 76; Bloque VIM 5 100; Bloque VIM 21 48; Bloque Esperanza 12; Bonga/Mamey 31; Bullerengue 36; Otros Costa 8; Otros Campos Aislados 37</t>
        </is>
      </c>
      <c r="W43" t="inlineStr">
        <is>
          <t>https://www.bmcbec.com.co/sites/default/files/2024-07/Informe%20Mensual%202024%20Junio.pdf</t>
        </is>
      </c>
    </row>
    <row r="44">
      <c r="A44" t="n">
        <v>42</v>
      </c>
      <c r="B44" t="inlineStr">
        <is>
          <t>2024-07</t>
        </is>
      </c>
      <c r="C44" t="n">
        <v>536</v>
      </c>
      <c r="D44" t="n">
        <v>77</v>
      </c>
      <c r="E44" t="n">
        <v>161</v>
      </c>
      <c r="F44" t="n">
        <v>185</v>
      </c>
      <c r="G44" t="n">
        <v>959</v>
      </c>
      <c r="H44" t="n">
        <v>65</v>
      </c>
      <c r="J44" t="n">
        <v>1024</v>
      </c>
      <c r="K44" t="n">
        <v>910</v>
      </c>
      <c r="L44" t="n">
        <v>1019</v>
      </c>
      <c r="M44" t="n">
        <v>400</v>
      </c>
      <c r="N44" t="n">
        <v>27.16</v>
      </c>
      <c r="O44" t="n">
        <v>1.84</v>
      </c>
      <c r="Q44" t="n">
        <v>29</v>
      </c>
      <c r="R44" t="n">
        <v>905</v>
      </c>
      <c r="S44" t="n">
        <v>0</v>
      </c>
      <c r="T44" t="n">
        <v>-1</v>
      </c>
      <c r="U44" t="inlineStr">
        <is>
          <t>OCR</t>
        </is>
      </c>
      <c r="V44" t="inlineStr">
        <is>
          <t>Cusiana/Cupiagua Sur 255; Cupiagua 221; Floreña 60; Gibraltar 41; Otros Interior 32; Ballena 11; Chuchupa 66; Bloque VIM 5 90; Bloque VIM 21 57; Bloque Esperanza 14; Bonga/Mamey 32; Bullerengue 34; Otros Costa 6; Otros Campos Aislados 39</t>
        </is>
      </c>
      <c r="W44" t="inlineStr">
        <is>
          <t>https://www.bmcbec.com.co/sites/default/files/2024-08/Informe%20Mensual%202024%20Julio.pdf</t>
        </is>
      </c>
    </row>
    <row r="45">
      <c r="A45" t="n">
        <v>43</v>
      </c>
      <c r="B45" t="inlineStr">
        <is>
          <t>2024-08</t>
        </is>
      </c>
      <c r="C45" t="n">
        <v>535</v>
      </c>
      <c r="D45" t="n">
        <v>83</v>
      </c>
      <c r="E45" t="n">
        <v>167</v>
      </c>
      <c r="F45" t="n">
        <v>171</v>
      </c>
      <c r="G45" t="n">
        <v>956</v>
      </c>
      <c r="H45" t="n">
        <v>109</v>
      </c>
      <c r="J45" t="n">
        <v>1065</v>
      </c>
      <c r="K45" t="n">
        <v>955</v>
      </c>
      <c r="L45" t="n">
        <v>1001</v>
      </c>
      <c r="M45" t="n">
        <v>400</v>
      </c>
      <c r="N45" t="n">
        <v>27.07</v>
      </c>
      <c r="O45" t="n">
        <v>3.09</v>
      </c>
      <c r="Q45" t="n">
        <v>30.16</v>
      </c>
      <c r="R45" t="n">
        <v>948</v>
      </c>
      <c r="S45" t="n">
        <v>0</v>
      </c>
      <c r="T45" t="n">
        <v>1</v>
      </c>
      <c r="U45" t="inlineStr">
        <is>
          <t>OCR</t>
        </is>
      </c>
      <c r="V45" t="inlineStr">
        <is>
          <t>Cusiana/Cupiagua Sur 242; Cupiagua 234; Floreña 59; Gibraltar 36; Otros Interior 27; Ballena 12; Chuchupa 71; Bloque VIM 5 93; Bloque VIM 21 53; Bloque Esperanza 21; Bonga/Mamey 34; Bullerengue 31; Otros Costa 6; Otros Campos Aislados 38</t>
        </is>
      </c>
      <c r="W45" t="inlineStr">
        <is>
          <t>https://www.bmcbec.com.co/sites/default/files/2024-09/Informe%20Mensual%202024%20Agosto.pdf</t>
        </is>
      </c>
    </row>
    <row r="46">
      <c r="A46" t="n">
        <v>44</v>
      </c>
      <c r="B46" t="inlineStr">
        <is>
          <t>2024-09</t>
        </is>
      </c>
      <c r="C46" t="n">
        <v>526</v>
      </c>
      <c r="D46" t="n">
        <v>84</v>
      </c>
      <c r="E46" t="n">
        <v>140</v>
      </c>
      <c r="F46" t="n">
        <v>148</v>
      </c>
      <c r="G46" t="n">
        <v>898</v>
      </c>
      <c r="H46" t="n">
        <v>319</v>
      </c>
      <c r="J46" t="n">
        <v>1217</v>
      </c>
      <c r="K46" t="n">
        <v>1095</v>
      </c>
      <c r="L46" t="n">
        <v>987</v>
      </c>
      <c r="M46" t="n">
        <v>400</v>
      </c>
      <c r="N46" t="n">
        <v>25.43</v>
      </c>
      <c r="O46" t="n">
        <v>9.029999999999999</v>
      </c>
      <c r="Q46" t="n">
        <v>34.46</v>
      </c>
      <c r="R46" t="n">
        <v>1094</v>
      </c>
      <c r="S46" t="n">
        <v>0</v>
      </c>
      <c r="T46" t="n">
        <v>1</v>
      </c>
      <c r="U46" t="inlineStr">
        <is>
          <t>text</t>
        </is>
      </c>
      <c r="V46" t="inlineStr">
        <is>
          <t>Cusiana/Cupiagua sur 220; Cupiagua 248; Floreña 58; Gibraltar 18; María Conchita 15; Otros interior 6; Ballena 13; Chuchupa 71; Bloque VIM 5 83; Bloque VIM 21 43; Bloque Esperanza 14; Bonga/Mamey 33; Bullerengue 27; Otros costa 8; Otros campos aislados 42</t>
        </is>
      </c>
      <c r="W46" t="inlineStr">
        <is>
          <t>https://www.bmcbec.com.co/sites/default/files/2024-10/Informe%20Mensual%202024%20Septiembre.pdf</t>
        </is>
      </c>
    </row>
    <row r="47">
      <c r="A47" t="n">
        <v>45</v>
      </c>
      <c r="B47" t="inlineStr">
        <is>
          <t>2024-10</t>
        </is>
      </c>
      <c r="C47" t="n">
        <v>533</v>
      </c>
      <c r="D47" t="n">
        <v>82</v>
      </c>
      <c r="E47" t="n">
        <v>150</v>
      </c>
      <c r="F47" t="n">
        <v>155</v>
      </c>
      <c r="G47" t="n">
        <v>920</v>
      </c>
      <c r="H47" t="n">
        <v>415</v>
      </c>
      <c r="J47" t="n">
        <v>1336</v>
      </c>
      <c r="K47" t="n">
        <v>1197</v>
      </c>
      <c r="L47" t="n">
        <v>1018</v>
      </c>
      <c r="M47" t="n">
        <v>400</v>
      </c>
      <c r="N47" t="n">
        <v>26.05</v>
      </c>
      <c r="O47" t="n">
        <v>11.75</v>
      </c>
      <c r="Q47" t="n">
        <v>37.83</v>
      </c>
      <c r="R47" t="n">
        <v>1177</v>
      </c>
      <c r="S47" t="n">
        <v>-1</v>
      </c>
      <c r="T47" t="n">
        <v>0</v>
      </c>
      <c r="U47" t="inlineStr">
        <is>
          <t>text</t>
        </is>
      </c>
      <c r="V47" t="inlineStr">
        <is>
          <t>Cusiana/Cupiagua sur 217; Cupiagua 252; Floreña 64; Gibraltar 28; Istanbul 14; Otros interior 6; Ballena 13; Chuchupa 69; Bloque VIM 5 94; Bloque VIM 21 43; Bloque Esperanza 13; Bonga/Mamey 33; Bullerengue 24; Otros costa 8; Otros campos aislados 42</t>
        </is>
      </c>
      <c r="W47" t="inlineStr">
        <is>
          <t>https://www.bmcbec.com.co/sites/default/files/2024-11/Informe%20Mensual%202024%20Octubre.pdf</t>
        </is>
      </c>
    </row>
    <row r="48">
      <c r="A48" t="n">
        <v>46</v>
      </c>
      <c r="B48" t="inlineStr">
        <is>
          <t>2024-11</t>
        </is>
      </c>
      <c r="C48" t="n">
        <v>526</v>
      </c>
      <c r="D48" t="n">
        <v>79</v>
      </c>
      <c r="E48" t="n">
        <v>146</v>
      </c>
      <c r="F48" t="n">
        <v>157</v>
      </c>
      <c r="G48" t="n">
        <v>908</v>
      </c>
      <c r="H48" t="n">
        <v>209</v>
      </c>
      <c r="J48" t="n">
        <v>1117</v>
      </c>
      <c r="K48" t="n">
        <v>995</v>
      </c>
      <c r="L48" t="n">
        <v>1021</v>
      </c>
      <c r="M48" t="n">
        <v>400</v>
      </c>
      <c r="N48" t="n">
        <v>25.71</v>
      </c>
      <c r="O48" t="n">
        <v>5.92</v>
      </c>
      <c r="Q48" t="n">
        <v>31.63</v>
      </c>
      <c r="R48" t="n">
        <v>1000</v>
      </c>
      <c r="S48" t="n">
        <v>0</v>
      </c>
      <c r="T48" t="n">
        <v>-1</v>
      </c>
      <c r="U48" t="inlineStr">
        <is>
          <t>text</t>
        </is>
      </c>
      <c r="V48" t="inlineStr">
        <is>
          <t>Cusiana/Cupiagua sur 227; Cupiagua 234; Floreña 65; Gibraltar 31; Istanbul 14; Otros interior 3; Ballena 12; Chuchupa 67; Bloque VIM 5 94; Bloque VIM 21 36; Bloque Esperanza 16; Bonga/Mamey 33; Bullerengue 20; Otros costa 11; Otros campos aislados 44</t>
        </is>
      </c>
      <c r="W48" t="inlineStr">
        <is>
          <t>https://www.bmcbec.com.co/sites/default/files/2024-12/Informe%20Mensual%202024%20Noviembre.pdf</t>
        </is>
      </c>
    </row>
    <row r="49">
      <c r="A49" t="n">
        <v>47</v>
      </c>
      <c r="B49" t="inlineStr">
        <is>
          <t>2024-12</t>
        </is>
      </c>
      <c r="C49" t="n">
        <v>501</v>
      </c>
      <c r="D49" t="n">
        <v>77</v>
      </c>
      <c r="E49" t="n">
        <v>159</v>
      </c>
      <c r="F49" t="n">
        <v>141</v>
      </c>
      <c r="G49" t="n">
        <v>878</v>
      </c>
      <c r="H49" t="n">
        <v>296</v>
      </c>
      <c r="J49" t="n">
        <v>1174</v>
      </c>
      <c r="K49" t="n">
        <v>1058</v>
      </c>
      <c r="L49" t="n">
        <v>1014</v>
      </c>
      <c r="M49" t="n">
        <v>400</v>
      </c>
      <c r="N49" t="n">
        <v>24.86</v>
      </c>
      <c r="O49" t="n">
        <v>8.380000000000001</v>
      </c>
      <c r="Q49" t="n">
        <v>33.24</v>
      </c>
      <c r="R49" t="n">
        <v>1050</v>
      </c>
      <c r="S49" t="n">
        <v>0</v>
      </c>
      <c r="T49" t="n">
        <v>1</v>
      </c>
      <c r="U49" t="inlineStr">
        <is>
          <t>text</t>
        </is>
      </c>
      <c r="V49" t="inlineStr">
        <is>
          <t>Cusiana/Cupiagua sur 219; Cupiagua 220; Floreña 62; Gibraltar 33; Istanbul 11; Otros interior 3; Ballena 11; Chuchupa 66; Bloque VIM 5 92; Bloque VIM 21 37; Bloque Esperanza 30; Bonga/Mamey 34; Bullerengue 18; Otros costa 11; Otros campos aislados 32</t>
        </is>
      </c>
      <c r="W49" t="inlineStr">
        <is>
          <t>https://www.bmcbec.com.co/sites/default/files/2025-01/Informe%20Mensual%202024%20Diciembre_0.pdf</t>
        </is>
      </c>
    </row>
    <row r="50">
      <c r="A50" t="n">
        <v>48</v>
      </c>
      <c r="B50" t="inlineStr">
        <is>
          <t>2025-01</t>
        </is>
      </c>
      <c r="C50" t="n">
        <v>468</v>
      </c>
      <c r="D50" t="n">
        <v>75</v>
      </c>
      <c r="E50" t="n">
        <v>131</v>
      </c>
      <c r="F50" t="n">
        <v>121</v>
      </c>
      <c r="G50" t="n">
        <v>795</v>
      </c>
      <c r="H50" t="n">
        <v>181</v>
      </c>
      <c r="J50" t="n">
        <v>976</v>
      </c>
      <c r="K50" t="n">
        <v>866</v>
      </c>
      <c r="L50" t="n">
        <v>965</v>
      </c>
      <c r="M50" t="n">
        <v>440</v>
      </c>
      <c r="N50" t="n">
        <v>22.51</v>
      </c>
      <c r="O50" t="n">
        <v>5.13</v>
      </c>
      <c r="Q50" t="n">
        <v>27.64</v>
      </c>
      <c r="R50" t="n">
        <v>869</v>
      </c>
      <c r="S50" t="n">
        <v>0</v>
      </c>
      <c r="T50" t="n">
        <v>-1</v>
      </c>
      <c r="U50" t="inlineStr">
        <is>
          <t>text</t>
        </is>
      </c>
      <c r="V50" t="inlineStr">
        <is>
          <t>Cusiana/Cupiagua sur 218; Cupiagua 190; Floreña 60; Gibraltar 11; Istanbul 11; Otros interior 5; Ballena 11; Chuchupa 64; Bloque VIM 5 83; Bloque VIM 21 29; Bloque Esperanza 19; Bonga/Mamey 33; Bullerengue 17; Otros costa 9; Otros campos aislados 34</t>
        </is>
      </c>
      <c r="W50" t="inlineStr">
        <is>
          <t>https://www.bmcbec.com.co/sites/default/files/2025-02/Informe%20Mensual%202025%20Enero_0.pdf</t>
        </is>
      </c>
    </row>
    <row r="51">
      <c r="A51" t="n">
        <v>49</v>
      </c>
      <c r="B51" t="inlineStr">
        <is>
          <t>2025-02</t>
        </is>
      </c>
      <c r="C51" t="n">
        <v>472</v>
      </c>
      <c r="D51" t="n">
        <v>73</v>
      </c>
      <c r="E51" t="n">
        <v>123</v>
      </c>
      <c r="F51" t="n">
        <v>140</v>
      </c>
      <c r="G51" t="n">
        <v>808</v>
      </c>
      <c r="H51" t="n">
        <v>159</v>
      </c>
      <c r="J51" t="n">
        <v>967</v>
      </c>
      <c r="K51" t="n">
        <v>863</v>
      </c>
      <c r="L51" t="n">
        <v>958</v>
      </c>
      <c r="M51" t="n">
        <v>440</v>
      </c>
      <c r="N51" t="n">
        <v>22.88</v>
      </c>
      <c r="O51" t="n">
        <v>4.5</v>
      </c>
      <c r="Q51" t="n">
        <v>27.38</v>
      </c>
      <c r="R51" t="n">
        <v>867</v>
      </c>
      <c r="S51" t="n">
        <v>0</v>
      </c>
      <c r="T51" t="n">
        <v>1</v>
      </c>
      <c r="U51" t="inlineStr">
        <is>
          <t>text</t>
        </is>
      </c>
      <c r="V51" t="inlineStr">
        <is>
          <t>Cusiana/Cupiagua sur 221; Cupiagua 192; Floreña 59; Gibraltar 33; Istanbul 10; Otros interior 5; Ballena 12; Chuchupa 61; Bloque VIM 5 82; Bloque VIM 21 24; Bloque Esperanza 17; Bonga/Mamey 33; Bullerengue 16; Otros costa 10; Otros campos aislados 34</t>
        </is>
      </c>
      <c r="W51" t="inlineStr">
        <is>
          <t>https://www.bmcbec.com.co/sites/default/files/2025-03/Informe%20Mensual%202025%20Febrero.pdf</t>
        </is>
      </c>
    </row>
    <row r="52">
      <c r="A52" t="n">
        <v>50</v>
      </c>
      <c r="B52" t="inlineStr">
        <is>
          <t>2025-03</t>
        </is>
      </c>
      <c r="C52" t="n">
        <v>457</v>
      </c>
      <c r="D52" t="n">
        <v>74</v>
      </c>
      <c r="E52" t="n">
        <v>124</v>
      </c>
      <c r="F52" t="n">
        <v>142</v>
      </c>
      <c r="G52" t="n">
        <v>797</v>
      </c>
      <c r="H52" t="n">
        <v>163</v>
      </c>
      <c r="J52" t="n">
        <v>960</v>
      </c>
      <c r="K52" t="n">
        <v>862</v>
      </c>
      <c r="L52" t="n">
        <v>951</v>
      </c>
      <c r="M52" t="n">
        <v>440</v>
      </c>
      <c r="N52" t="n">
        <v>22.57</v>
      </c>
      <c r="O52" t="n">
        <v>4.62</v>
      </c>
      <c r="Q52" t="n">
        <v>27.18</v>
      </c>
      <c r="R52" t="n">
        <v>862</v>
      </c>
      <c r="S52" t="n">
        <v>0</v>
      </c>
      <c r="T52" t="n">
        <v>-1</v>
      </c>
      <c r="U52" t="inlineStr">
        <is>
          <t>text</t>
        </is>
      </c>
      <c r="V52" t="inlineStr">
        <is>
          <t>Cusiana/Cupiagua sur 223; Cupiagua 176; Floreña 58; Gibraltar 38; Istanbul 10; Otros interior 5; Ballena 13; Chuchupa 61; Bloque VIM 5 81; Bloque VIM 21 35; Bloque Esperanza 8; Bonga/Mamey 33; Bullerengue 14; Otros costa 10; Otros campos aislados 31</t>
        </is>
      </c>
      <c r="W52" t="inlineStr">
        <is>
          <t>https://www.bmcbec.com.co/sites/default/files/2025-04/Informe%20Mensual%202025%20Marzo.pdf</t>
        </is>
      </c>
    </row>
    <row r="53">
      <c r="A53" t="n">
        <v>51</v>
      </c>
      <c r="B53" t="inlineStr">
        <is>
          <t>2025-04</t>
        </is>
      </c>
      <c r="C53" t="n">
        <v>464</v>
      </c>
      <c r="D53" t="n">
        <v>72</v>
      </c>
      <c r="E53" t="n">
        <v>122</v>
      </c>
      <c r="F53" t="n">
        <v>129</v>
      </c>
      <c r="G53" t="n">
        <v>787</v>
      </c>
      <c r="H53" t="n">
        <v>184</v>
      </c>
      <c r="J53" t="n">
        <v>970</v>
      </c>
      <c r="K53" t="n">
        <v>875</v>
      </c>
      <c r="L53" t="n">
        <v>945</v>
      </c>
      <c r="M53" t="n">
        <v>440</v>
      </c>
      <c r="N53" t="n">
        <v>22.29</v>
      </c>
      <c r="O53" t="n">
        <v>5.21</v>
      </c>
      <c r="Q53" t="n">
        <v>27.47</v>
      </c>
      <c r="R53" t="n">
        <v>871</v>
      </c>
      <c r="S53" t="n">
        <v>1</v>
      </c>
      <c r="T53" t="n">
        <v>0</v>
      </c>
      <c r="U53" t="inlineStr">
        <is>
          <t>text</t>
        </is>
      </c>
      <c r="V53" t="inlineStr">
        <is>
          <t>Cusiana/Cupiagua sur 222; Cupiagua 184; Floreña 58; Gibraltar 24; Istanbul 9; Otros interior 5; Ballena 13; Chuchupa 59; Bloque VIM 5 76; Bloque VIM 21 37; Bloque Esperanza 9; Bonga/Mamey 32; Bullerengue 13; Otros costa 19; Otros campos aislados 27</t>
        </is>
      </c>
      <c r="W53" t="inlineStr">
        <is>
          <t>https://www.bmcbec.com.co/sites/default/files/2025-05/Informe%20Mensual%202025%20Abril.pdf</t>
        </is>
      </c>
    </row>
    <row r="54">
      <c r="A54" t="n">
        <v>52</v>
      </c>
      <c r="B54" t="inlineStr">
        <is>
          <t>2025-05</t>
        </is>
      </c>
      <c r="C54" t="n">
        <v>463</v>
      </c>
      <c r="D54" t="n">
        <v>66</v>
      </c>
      <c r="E54" t="n">
        <v>115</v>
      </c>
      <c r="F54" t="n">
        <v>143</v>
      </c>
      <c r="G54" t="n">
        <v>787</v>
      </c>
      <c r="H54" t="n">
        <v>185</v>
      </c>
      <c r="J54" t="n">
        <v>971</v>
      </c>
      <c r="K54" t="n">
        <v>867</v>
      </c>
      <c r="L54" t="n">
        <v>875</v>
      </c>
      <c r="M54" t="n">
        <v>440</v>
      </c>
      <c r="N54" t="n">
        <v>22.29</v>
      </c>
      <c r="O54" t="n">
        <v>5.24</v>
      </c>
      <c r="Q54" t="n">
        <v>27.5</v>
      </c>
      <c r="R54" t="n">
        <v>870</v>
      </c>
      <c r="S54" t="n">
        <v>1</v>
      </c>
      <c r="T54" t="n">
        <v>0</v>
      </c>
      <c r="U54" t="inlineStr">
        <is>
          <t>text</t>
        </is>
      </c>
      <c r="V54" t="inlineStr">
        <is>
          <t>Cupiagua, Cupiagua sur, Cusiana y Pauto sur 401; Floreña 62; Gibraltar 31; Istanbul 9; Otros interior 5; Ballena 12; Chuchupa 54; Bloque VIM 5 73; Bloque VIM 21 34; Bloque Esperanza 8; Bonga/Mamey 30; Bullerengue 13; Otros costa 22; Otros campos aislados 33</t>
        </is>
      </c>
      <c r="W54" t="inlineStr">
        <is>
          <t>https://www.bmcbec.com.co/sites/default/files/2025-06/Informe%20Mensual%202025%20Mayo.pdf</t>
        </is>
      </c>
    </row>
    <row r="55">
      <c r="A55" t="n">
        <v>53</v>
      </c>
      <c r="B55" t="inlineStr">
        <is>
          <t>2025-06</t>
        </is>
      </c>
      <c r="C55" t="n">
        <v>451</v>
      </c>
      <c r="D55" t="n">
        <v>65</v>
      </c>
      <c r="E55" t="n">
        <v>113</v>
      </c>
      <c r="F55" t="n">
        <v>152</v>
      </c>
      <c r="G55" t="n">
        <v>781</v>
      </c>
      <c r="H55" t="n">
        <v>197</v>
      </c>
      <c r="J55" t="n">
        <v>978</v>
      </c>
      <c r="K55" t="n">
        <v>869</v>
      </c>
      <c r="L55" t="n">
        <v>879</v>
      </c>
      <c r="M55" t="n">
        <v>440</v>
      </c>
      <c r="N55" t="n">
        <v>22.12</v>
      </c>
      <c r="O55" t="n">
        <v>5.58</v>
      </c>
      <c r="Q55" t="n">
        <v>27.69</v>
      </c>
      <c r="R55" t="n">
        <v>862</v>
      </c>
      <c r="S55" t="n">
        <v>0</v>
      </c>
      <c r="T55" t="n">
        <v>2</v>
      </c>
      <c r="U55" t="inlineStr">
        <is>
          <t>text</t>
        </is>
      </c>
      <c r="V55" t="inlineStr">
        <is>
          <t>Cupiagua, Cupiagua sur, Cusiana y Pauto sur 392; Floreña 59; Gibraltar 36; Istanbul 9; Otros interior 4; Ballena 12; Chuchupa 53; Bloque VIM 5 76; Bloque VIM 21 29; Bloque Esperanza 8; Bonga/Mamey 31; Bullerengue 11; Otros costa 20; Otros campos aislados 43</t>
        </is>
      </c>
      <c r="W55" t="inlineStr">
        <is>
          <t>https://www.bmcbec.com.co/sites/default/files/2025-07/Informe%20Mensual%202025%20Junio.pdf</t>
        </is>
      </c>
    </row>
    <row r="56">
      <c r="A56" t="n">
        <v>54</v>
      </c>
      <c r="B56" t="inlineStr">
        <is>
          <t>2025-07</t>
        </is>
      </c>
      <c r="C56" t="n">
        <v>455</v>
      </c>
      <c r="D56" t="n">
        <v>70</v>
      </c>
      <c r="E56" t="n">
        <v>115</v>
      </c>
      <c r="F56" t="n">
        <v>150</v>
      </c>
      <c r="G56" t="n">
        <v>790</v>
      </c>
      <c r="H56" t="n">
        <v>205</v>
      </c>
      <c r="J56" t="n">
        <v>996</v>
      </c>
      <c r="K56" t="n">
        <v>888</v>
      </c>
      <c r="L56" t="n">
        <v>915</v>
      </c>
      <c r="M56" t="n">
        <v>440</v>
      </c>
      <c r="N56" t="n">
        <v>22.37</v>
      </c>
      <c r="O56" t="n">
        <v>5.8</v>
      </c>
      <c r="Q56" t="n">
        <v>28.2</v>
      </c>
      <c r="R56" t="n">
        <v>887</v>
      </c>
      <c r="S56" t="n">
        <v>-1</v>
      </c>
      <c r="T56" t="n">
        <v>2</v>
      </c>
      <c r="U56" t="inlineStr">
        <is>
          <t>text</t>
        </is>
      </c>
      <c r="V56" t="inlineStr">
        <is>
          <t>Cupiagua, Cupiagua sur, Cusiana y Pauto sur 398; Floreña 57; Gibraltar 32; Istanbul 9; Otros interior 4; Ballena 12; Chuchupa 58; Bloque VIM 5 73; Bloque VIM 21 30; Bloque Esperanza 12; Bonga/Mamey 28; Bullerengue 10; Otros costa 27; Otros campos aislados 42</t>
        </is>
      </c>
      <c r="W56" t="inlineStr">
        <is>
          <t>https://www.bmcbec.com.co/sites/default/files/2025-08/Informe%20Mensual%202025%20Julio.pdf</t>
        </is>
      </c>
    </row>
    <row r="57">
      <c r="A57" t="n">
        <v>55</v>
      </c>
      <c r="B57" t="inlineStr">
        <is>
          <t>2025-08</t>
        </is>
      </c>
      <c r="C57" t="n">
        <v>453</v>
      </c>
      <c r="D57" t="n">
        <v>70</v>
      </c>
      <c r="E57" t="n">
        <v>124</v>
      </c>
      <c r="F57" t="n">
        <v>150</v>
      </c>
      <c r="G57" t="n">
        <v>797</v>
      </c>
      <c r="H57" t="n">
        <v>158</v>
      </c>
      <c r="J57" t="n">
        <v>956</v>
      </c>
      <c r="K57" t="n">
        <v>845</v>
      </c>
      <c r="L57" t="n">
        <v>911</v>
      </c>
      <c r="M57" t="n">
        <v>440</v>
      </c>
      <c r="N57" t="n">
        <v>22.57</v>
      </c>
      <c r="O57" t="n">
        <v>4.47</v>
      </c>
      <c r="Q57" t="n">
        <v>27.07</v>
      </c>
      <c r="R57" t="n">
        <v>859</v>
      </c>
      <c r="S57" t="n">
        <v>-1</v>
      </c>
      <c r="T57" t="n">
        <v>-1</v>
      </c>
      <c r="U57" t="inlineStr">
        <is>
          <t>text</t>
        </is>
      </c>
      <c r="V57" t="inlineStr">
        <is>
          <t>Cupiagua, Cupiagua sur, Cusiana y Pauto sur 397; Floreña 56; Gibraltar 24; Istanbul 6; Otros interior 3; Ballena 13; Chuchupa 57; Bloque VIM 5 84; Bloque VIM 21 33; Bloque Esperanza 7; Bonga/Mamey 30; Bullerengue 9; Otros costa 33; Otros campos aislados 44</t>
        </is>
      </c>
      <c r="W57" t="inlineStr">
        <is>
          <t>https://www.bmcbec.com.co/sites/default/files/2025-09/Informe%20Mensual%202025%20Agosto.pdf</t>
        </is>
      </c>
    </row>
    <row r="58">
      <c r="A58" t="n">
        <v>56</v>
      </c>
      <c r="B58" t="inlineStr">
        <is>
          <t>2025-09</t>
        </is>
      </c>
      <c r="C58" t="n">
        <v>453</v>
      </c>
      <c r="D58" t="n">
        <v>71</v>
      </c>
      <c r="E58" t="n">
        <v>123</v>
      </c>
      <c r="F58" t="n">
        <v>161</v>
      </c>
      <c r="G58" t="n">
        <v>808</v>
      </c>
      <c r="H58" t="n">
        <v>184</v>
      </c>
      <c r="J58" t="n">
        <v>992</v>
      </c>
      <c r="K58" t="n">
        <v>880</v>
      </c>
      <c r="L58" t="n">
        <v>904</v>
      </c>
      <c r="M58" t="n">
        <v>465</v>
      </c>
      <c r="N58" t="n">
        <v>22.88</v>
      </c>
      <c r="O58" t="n">
        <v>5.21</v>
      </c>
      <c r="Q58" t="n">
        <v>28.09</v>
      </c>
      <c r="R58" t="n">
        <v>889</v>
      </c>
      <c r="S58" t="n">
        <v>0</v>
      </c>
      <c r="T58" t="n">
        <v>1</v>
      </c>
      <c r="U58" t="inlineStr">
        <is>
          <t>text</t>
        </is>
      </c>
      <c r="V58" t="inlineStr">
        <is>
          <t>Cupiagua, Cupiagua sur, Cusiana y Pauto sur 399; Floreña 54; Gibraltar 35; Istanbul 5; Otros interior 4; Ballena 13; Chuchupa 58; Bloque VIM 5 88; Bloque VIM 21 30; Bloque Esperanza 5; Bonga/Mamey 29; Bullerengue 8; Otros costa 35; Otros campos aislados 46</t>
        </is>
      </c>
      <c r="W58" t="inlineStr">
        <is>
          <t>https://www.bmcbec.com.co/sites/default/files/2025-10/Informe%20Mensual%202025%20Septiembre.pdf</t>
        </is>
      </c>
    </row>
    <row r="59">
      <c r="A59" t="n">
        <v>57</v>
      </c>
      <c r="B59" t="inlineStr">
        <is>
          <t>2025-10</t>
        </is>
      </c>
      <c r="C59" t="n">
        <v>452</v>
      </c>
      <c r="D59" t="n">
        <v>62</v>
      </c>
      <c r="E59" t="n">
        <v>117</v>
      </c>
      <c r="F59" t="n">
        <v>160</v>
      </c>
      <c r="G59" t="n">
        <v>791</v>
      </c>
      <c r="H59" t="n">
        <v>145</v>
      </c>
      <c r="J59" t="n">
        <v>936</v>
      </c>
      <c r="K59" t="n">
        <v>840</v>
      </c>
      <c r="L59" t="n">
        <v>926</v>
      </c>
      <c r="M59" t="n">
        <v>465</v>
      </c>
      <c r="N59" t="n">
        <v>22.4</v>
      </c>
      <c r="O59" t="n">
        <v>4.11</v>
      </c>
      <c r="Q59" t="n">
        <v>26.5</v>
      </c>
      <c r="R59" t="n">
        <v>844</v>
      </c>
      <c r="S59" t="n">
        <v>0</v>
      </c>
      <c r="T59" t="n">
        <v>-1</v>
      </c>
      <c r="U59" t="inlineStr">
        <is>
          <t>text</t>
        </is>
      </c>
      <c r="V59" t="inlineStr">
        <is>
          <t>Cupiagua, Cupiagua sur, Cusiana y Pauto sur 410; Floreña 42; Gibraltar 34; Istanbul 6; Otros interior 3; Ballena 11; Chuchupa 51; Bloque VIM 5 78; Bloque VIM 21 34; Bloque Esperanza 5; Bonga/Mamey 28; Bullerengue 7; Otros costa 35; Otros campos aislados 46</t>
        </is>
      </c>
      <c r="W59" t="inlineStr">
        <is>
          <t>https://www.bmcbec.com.co/sites/default/files/2025-11/Informe%20Mensual%202025%20Octubre.pdf</t>
        </is>
      </c>
    </row>
    <row r="60">
      <c r="A60" t="n">
        <v>58</v>
      </c>
      <c r="B60" t="inlineStr">
        <is>
          <t>2025-11</t>
        </is>
      </c>
      <c r="C60" t="n">
        <v>436</v>
      </c>
      <c r="D60" t="n">
        <v>69</v>
      </c>
      <c r="E60" t="n">
        <v>100</v>
      </c>
      <c r="F60" t="n">
        <v>152</v>
      </c>
      <c r="G60" t="n">
        <v>757</v>
      </c>
      <c r="H60" t="n">
        <v>191</v>
      </c>
      <c r="J60" t="n">
        <v>947</v>
      </c>
      <c r="K60" t="n">
        <v>851</v>
      </c>
      <c r="L60" t="n">
        <v>918</v>
      </c>
      <c r="M60" t="n">
        <v>465</v>
      </c>
      <c r="N60" t="n">
        <v>21.44</v>
      </c>
      <c r="O60" t="n">
        <v>5.41</v>
      </c>
      <c r="Q60" t="n">
        <v>26.82</v>
      </c>
      <c r="R60" t="n">
        <v>841</v>
      </c>
      <c r="S60" t="n">
        <v>1</v>
      </c>
      <c r="T60" t="n">
        <v>0</v>
      </c>
      <c r="U60" t="inlineStr">
        <is>
          <t>text</t>
        </is>
      </c>
      <c r="V60" t="inlineStr">
        <is>
          <t>Cupiagua, Cupiagua sur, Cusiana y Pauto sur 390; Floreña 46; Gibraltar 33; Istanbul 12; Otros interior 3; Ballena 12; Chuchupa 57; Bloque VIM 5 59; Bloque VIM 21 37; Bloque Esperanza 4; Bonga/Mamey 27; Bullerengue 7; Otros costa 26; Otros campos aislados 44</t>
        </is>
      </c>
      <c r="W60" t="inlineStr">
        <is>
          <t>https://www.bmcbec.com.co/sites/default/files/2026-01/Informe%20Mensual%202025%20noviembre.pdf</t>
        </is>
      </c>
    </row>
    <row r="61">
      <c r="A61" t="n">
        <v>59</v>
      </c>
      <c r="B61" t="inlineStr">
        <is>
          <t>2025-12</t>
        </is>
      </c>
      <c r="C61" t="n">
        <v>385</v>
      </c>
      <c r="D61" t="n">
        <v>68</v>
      </c>
      <c r="E61" t="n">
        <v>84</v>
      </c>
      <c r="F61" t="n">
        <v>140</v>
      </c>
      <c r="G61" t="n">
        <v>677</v>
      </c>
      <c r="H61" t="n">
        <v>194</v>
      </c>
      <c r="J61" t="n">
        <v>871</v>
      </c>
      <c r="K61" t="n">
        <v>779</v>
      </c>
      <c r="L61" t="n">
        <v>914</v>
      </c>
      <c r="M61" t="n">
        <v>465</v>
      </c>
      <c r="N61" t="n">
        <v>19.17</v>
      </c>
      <c r="O61" t="n">
        <v>5.49</v>
      </c>
      <c r="Q61" t="n">
        <v>24.66</v>
      </c>
      <c r="R61" t="n">
        <v>770</v>
      </c>
      <c r="S61" t="n">
        <v>0</v>
      </c>
      <c r="T61" t="n">
        <v>-1</v>
      </c>
      <c r="U61" t="inlineStr">
        <is>
          <t>text</t>
        </is>
      </c>
      <c r="V61" t="inlineStr">
        <is>
          <t>Cupiagua, Cupiagua sur, Cusiana y Pauto sur 342; Floreña 43; Gibraltar 26; Istanbul 7; Otros interior 3; Ballena 12; Chuchupa 56; Bloque VIM 5 51; Bloque VIM 21 28; Bloque Esperanza 5; Bonga/Mamey 26; Bullerengue 6; Otros costa 29; Otros campos aislados 42</t>
        </is>
      </c>
      <c r="W61" t="inlineStr">
        <is>
          <t>https://www.bmcbec.com.co/sites/default/files/2026-01/Informe%20Mensual%202025%20diciembre.pdf</t>
        </is>
      </c>
    </row>
    <row r="62">
      <c r="A62" t="n">
        <v>60</v>
      </c>
      <c r="B62" t="inlineStr">
        <is>
          <t>2026-01</t>
        </is>
      </c>
      <c r="C62" t="n">
        <v>380</v>
      </c>
      <c r="D62" t="n">
        <v>68</v>
      </c>
      <c r="E62" t="n">
        <v>78</v>
      </c>
      <c r="F62" t="n">
        <v>141</v>
      </c>
      <c r="G62" t="n">
        <v>667</v>
      </c>
      <c r="H62" t="n">
        <v>182</v>
      </c>
      <c r="J62" t="n">
        <v>849</v>
      </c>
      <c r="K62" t="n">
        <v>754</v>
      </c>
      <c r="L62" t="n">
        <v>857</v>
      </c>
      <c r="M62" t="n">
        <v>465</v>
      </c>
      <c r="N62" t="n">
        <v>18.89</v>
      </c>
      <c r="O62" t="n">
        <v>5.15</v>
      </c>
      <c r="Q62" t="n">
        <v>24.04</v>
      </c>
      <c r="R62" t="n">
        <v>773</v>
      </c>
      <c r="S62" t="n">
        <v>0</v>
      </c>
      <c r="T62" t="n">
        <v>1</v>
      </c>
      <c r="U62" t="inlineStr">
        <is>
          <t>text</t>
        </is>
      </c>
      <c r="V62" t="inlineStr">
        <is>
          <t>Piedemonte llanero 380; Gibraltar 28; Istanbul 10; Otros campos interior 35; Arrecife 12; Bloque VIM 5, 21 y esperanza 78; Ballena y Chuchupa 68; Bonga/Mamey 26; Bullerengue 6; Mágico 14; Otros campos costa 11</t>
        </is>
      </c>
      <c r="W62" t="inlineStr">
        <is>
          <t>https://www.bmcbec.com.co/sites/default/files/2026-02/Informe%20Mensual%202026%20Enero%20%281%29.pdf</t>
        </is>
      </c>
    </row>
    <row r="63">
      <c r="A63" t="n">
        <v>61</v>
      </c>
      <c r="B63" t="inlineStr">
        <is>
          <t>2026-02</t>
        </is>
      </c>
      <c r="C63" t="n">
        <v>414</v>
      </c>
      <c r="D63" t="n">
        <v>67</v>
      </c>
      <c r="E63" t="n">
        <v>71</v>
      </c>
      <c r="F63" t="n">
        <v>134</v>
      </c>
      <c r="G63" t="n">
        <v>686</v>
      </c>
      <c r="H63" t="n">
        <v>203</v>
      </c>
      <c r="J63" t="n">
        <v>889</v>
      </c>
      <c r="K63" t="n">
        <v>800</v>
      </c>
      <c r="L63" t="n">
        <v>848</v>
      </c>
      <c r="M63" t="n">
        <v>465</v>
      </c>
      <c r="N63" t="n">
        <v>19.43</v>
      </c>
      <c r="O63" t="n">
        <v>5.75</v>
      </c>
      <c r="Q63" t="n">
        <v>25.17</v>
      </c>
      <c r="R63" t="n">
        <v>813</v>
      </c>
      <c r="S63" t="n">
        <v>0</v>
      </c>
      <c r="T63" t="n">
        <v>0</v>
      </c>
      <c r="U63" t="inlineStr">
        <is>
          <t>text</t>
        </is>
      </c>
      <c r="V63" t="inlineStr">
        <is>
          <t>Piedemonte llanero 414; Gibraltar 22; Istanbul 11; Otros campos interior 36; Arrecife 12; Bloque VIM 5, 21 y esperanza 71; Ballena y Chuchupa 67; Bonga/Mamey 25; Bullerengue 6; Mágico 10; Otros campos costa 12</t>
        </is>
      </c>
      <c r="W63" t="inlineStr">
        <is>
          <t>https://www.bmcbec.com.co/sites/default/files/2026-03/Informe%20Mensual%202026%20Febrero.pdf</t>
        </is>
      </c>
    </row>
    <row r="64">
      <c r="A64" t="n">
        <v>62</v>
      </c>
      <c r="B64" t="inlineStr">
        <is>
          <t>2026-03</t>
        </is>
      </c>
      <c r="C64" t="n">
        <v>410</v>
      </c>
      <c r="D64" t="n">
        <v>64</v>
      </c>
      <c r="E64" t="n">
        <v>70</v>
      </c>
      <c r="F64" t="n">
        <v>138</v>
      </c>
      <c r="G64" t="n">
        <v>682</v>
      </c>
      <c r="H64" t="n">
        <v>213</v>
      </c>
      <c r="J64" t="n">
        <v>895</v>
      </c>
      <c r="K64" t="n">
        <v>802</v>
      </c>
      <c r="L64" t="n">
        <v>841</v>
      </c>
      <c r="M64" t="n">
        <v>465</v>
      </c>
      <c r="N64" t="n">
        <v>19.31</v>
      </c>
      <c r="O64" t="n">
        <v>6.03</v>
      </c>
      <c r="Q64" t="n">
        <v>25.34</v>
      </c>
      <c r="R64" t="n">
        <v>786</v>
      </c>
      <c r="S64" t="n">
        <v>0</v>
      </c>
      <c r="T64" t="n">
        <v>-1</v>
      </c>
      <c r="U64" t="inlineStr">
        <is>
          <t>text</t>
        </is>
      </c>
      <c r="V64" t="inlineStr">
        <is>
          <t>Piedemonte llanero 410; Gibraltar 29; Istanbul 9; Otros campos interior 35; Arrecife 13; Bloque VIM 5, 21 y esperanza 70; Ballena y Chuchupa 64; Bonga/Mamey 24; Bullerengue 5; Mágico 5; Otros campos costa 17</t>
        </is>
      </c>
      <c r="W64" t="inlineStr">
        <is>
          <t>https://www.bmcbec.com.co/sites/default/files/2026-04/Informe%20Mensual%202026%20Marzo.pdf</t>
        </is>
      </c>
    </row>
    <row r="65">
      <c r="A65" t="n">
        <v>63</v>
      </c>
      <c r="B65" t="inlineStr">
        <is>
          <t>2026-04</t>
        </is>
      </c>
      <c r="C65" t="n">
        <v>392</v>
      </c>
      <c r="D65" t="n">
        <v>66</v>
      </c>
      <c r="E65" t="n">
        <v>75</v>
      </c>
      <c r="F65" t="n">
        <v>134</v>
      </c>
      <c r="G65" t="n">
        <v>667</v>
      </c>
      <c r="H65" t="n">
        <v>227</v>
      </c>
      <c r="J65" t="n">
        <v>894</v>
      </c>
      <c r="K65" t="n">
        <v>815</v>
      </c>
      <c r="L65" t="n">
        <v>798</v>
      </c>
      <c r="M65" t="n">
        <v>465</v>
      </c>
      <c r="N65" t="n">
        <v>18.89</v>
      </c>
      <c r="O65" t="n">
        <v>6.43</v>
      </c>
      <c r="Q65" t="n">
        <v>25.32</v>
      </c>
      <c r="R65" t="n">
        <v>807</v>
      </c>
      <c r="S65" t="n">
        <v>0</v>
      </c>
      <c r="T65" t="n">
        <v>1</v>
      </c>
      <c r="U65" t="inlineStr">
        <is>
          <t>text</t>
        </is>
      </c>
      <c r="V65" t="inlineStr">
        <is>
          <t>Piedemonte llanero 392; Gibraltar 30; Istanbul 9; Otros campos interior 35; Arrecife 13; Bloque VIM 5, 21 y esperanza 75; Ballena y Chuchupa 66; Bonga/Mamey 24; Bullerengue 5; Mágico 3; Otros campos costa 16</t>
        </is>
      </c>
      <c r="W65" t="inlineStr">
        <is>
          <t>https://www.bmcbec.com.co/sites/default/files/2026-05/Informe%20Mensual%202026%20Abril.pdf</t>
        </is>
      </c>
    </row>
    <row r="66">
      <c r="A66" t="n">
        <v>64</v>
      </c>
      <c r="B66" t="inlineStr">
        <is>
          <t>2026-05</t>
        </is>
      </c>
      <c r="C66" t="n">
        <v>419</v>
      </c>
      <c r="D66" t="n">
        <v>67</v>
      </c>
      <c r="E66" t="n">
        <v>71</v>
      </c>
      <c r="F66" t="n">
        <v>130</v>
      </c>
      <c r="G66" t="n">
        <v>687</v>
      </c>
      <c r="H66" t="n">
        <v>283</v>
      </c>
      <c r="J66" t="n">
        <v>970</v>
      </c>
      <c r="K66" t="n">
        <v>872</v>
      </c>
      <c r="L66" t="n">
        <v>793</v>
      </c>
      <c r="M66" t="n">
        <v>465</v>
      </c>
      <c r="N66" t="n">
        <v>19.45</v>
      </c>
      <c r="O66" t="n">
        <v>8.01</v>
      </c>
      <c r="Q66" t="n">
        <v>27.47</v>
      </c>
      <c r="R66" t="n">
        <v>860</v>
      </c>
      <c r="S66" t="n">
        <v>0</v>
      </c>
      <c r="T66" t="n">
        <v>2</v>
      </c>
      <c r="U66" t="inlineStr">
        <is>
          <t>text</t>
        </is>
      </c>
      <c r="V66" t="inlineStr">
        <is>
          <t>Piedemonte llanero 419; Gibraltar 28; Istanbul 8; Otros campos interior 36; Arrecife 13; Bloque VIM 5, 21 y esperanza 71; Ballena y Chuchupa 67; Bonga/Mamey 15; Bullerengue 5; Mágico 3; Otros campos costa 24</t>
        </is>
      </c>
      <c r="W66" t="inlineStr">
        <is>
          <t>https://www.bmcbec.com.co/sites/default/files/2026-06/Informe%20Mensual%202026%20Mayo.pdf</t>
        </is>
      </c>
    </row>
    <row r="67">
      <c r="A67" t="n">
        <v>65</v>
      </c>
      <c r="B67" t="inlineStr">
        <is>
          <t>2026-06</t>
        </is>
      </c>
      <c r="C67" t="n">
        <v>408</v>
      </c>
      <c r="D67" t="n">
        <v>60</v>
      </c>
      <c r="E67" t="n">
        <v>66</v>
      </c>
      <c r="F67" t="n">
        <v>148</v>
      </c>
      <c r="G67" t="n">
        <v>682</v>
      </c>
      <c r="H67" t="n">
        <v>300</v>
      </c>
      <c r="J67" t="n">
        <v>983</v>
      </c>
      <c r="K67" t="n">
        <v>884</v>
      </c>
      <c r="L67" t="n">
        <v>791</v>
      </c>
      <c r="M67" t="n">
        <v>465</v>
      </c>
      <c r="N67" t="n">
        <v>19.31</v>
      </c>
      <c r="O67" t="n">
        <v>8.5</v>
      </c>
      <c r="Q67" t="n">
        <v>27.84</v>
      </c>
      <c r="R67" t="n">
        <v>878</v>
      </c>
      <c r="S67" t="n">
        <v>-1</v>
      </c>
      <c r="T67" t="n">
        <v>0</v>
      </c>
      <c r="U67" t="inlineStr">
        <is>
          <t>text</t>
        </is>
      </c>
      <c r="V67" t="inlineStr">
        <is>
          <t>Piedemonte llanero 408; Gibraltar 29; Istanbul 15; Otros campos interior 36; Arrecife 13; Bloque VIM 5, 21 y esperanza 66; Ballena y Chuchupa 60; Bonga/Mamey 24; Bullerengue 5; Mágico 15; Otros campos costa 11</t>
        </is>
      </c>
      <c r="W67" t="inlineStr">
        <is>
          <t>https://www.bmcbec.com.co/sites/default/files/2026-07/Informe%20Mensual%202026%20Junio.pdf</t>
        </is>
      </c>
    </row>
    <row r="68">
      <c r="A68" t="n">
        <v>66</v>
      </c>
      <c r="B68" t="inlineStr">
        <is>
          <t>2026-07</t>
        </is>
      </c>
      <c r="C68" t="n">
        <v>426</v>
      </c>
      <c r="D68" t="n">
        <v>66</v>
      </c>
      <c r="E68" t="n">
        <v>61</v>
      </c>
      <c r="F68" t="n">
        <v>159</v>
      </c>
      <c r="G68" t="n">
        <v>712</v>
      </c>
      <c r="H68" t="n">
        <v>317</v>
      </c>
      <c r="J68" t="n">
        <v>1029</v>
      </c>
      <c r="K68" t="n">
        <v>932</v>
      </c>
      <c r="L68" t="n">
        <v>817</v>
      </c>
      <c r="M68" t="n">
        <v>465</v>
      </c>
      <c r="N68" t="n">
        <v>20.16</v>
      </c>
      <c r="O68" t="n">
        <v>8.98</v>
      </c>
      <c r="Q68" t="n">
        <v>29.14</v>
      </c>
      <c r="R68" t="n">
        <v>910</v>
      </c>
      <c r="S68" t="n">
        <v>0</v>
      </c>
      <c r="T68" t="n">
        <v>1</v>
      </c>
      <c r="U68" t="inlineStr">
        <is>
          <t>text</t>
        </is>
      </c>
      <c r="V68" t="inlineStr">
        <is>
          <t>Piedemonte llanero 426; Gibraltar 30; Istanbul 15; Otros campos interior 38; Arrecife 11; Bloque VIM 5, 21 y esperanza 61; Ballena y Chuchupa 66; Bonga/Mamey 23; Bullerengue 5; Mágico 26; Otros campos costa 12</t>
        </is>
      </c>
      <c r="W68" t="inlineStr">
        <is>
          <t>https://www.bmcbec.com.co/sites/default/files/2026-08/Informe%20Mensual%202026%20Julio.pdf</t>
        </is>
      </c>
    </row>
    <row r="69">
      <c r="A69" t="n">
        <v>67</v>
      </c>
      <c r="B69" t="inlineStr">
        <is>
          <t>2026-08</t>
        </is>
      </c>
      <c r="C69" t="n">
        <v>426</v>
      </c>
      <c r="D69" t="n">
        <v>65</v>
      </c>
      <c r="E69" t="n">
        <v>59</v>
      </c>
      <c r="F69" t="n">
        <v>153</v>
      </c>
      <c r="G69" t="n">
        <v>703</v>
      </c>
      <c r="H69" t="n">
        <v>359</v>
      </c>
      <c r="J69" t="n">
        <v>1062</v>
      </c>
      <c r="K69" t="n">
        <v>959</v>
      </c>
      <c r="L69" t="n">
        <v>826</v>
      </c>
      <c r="M69" t="n">
        <v>475</v>
      </c>
      <c r="N69" t="n">
        <v>19.91</v>
      </c>
      <c r="O69" t="n">
        <v>10.17</v>
      </c>
      <c r="Q69" t="n">
        <v>30.07</v>
      </c>
      <c r="R69" t="n">
        <v>950</v>
      </c>
      <c r="S69" t="n">
        <v>0</v>
      </c>
      <c r="T69" t="n">
        <v>1</v>
      </c>
      <c r="U69" t="inlineStr">
        <is>
          <t>text</t>
        </is>
      </c>
      <c r="V69" t="inlineStr">
        <is>
          <t>Piedemonte llanero 426; Gibraltar 29; Istanbul 17; Otros campos interior 36; Arrecife 9; Bloque VIM 5, 21 y esperanza 59; Ballena y Chuchupa 65; Bonga/Mamey 22; Bullerengue 5; Mágico 25; Otros campos costa 11</t>
        </is>
      </c>
      <c r="W69" t="inlineStr">
        <is>
          <t>https://www.bmcbec.com.co/sites/default/files/2026-09/Informe%20Mensual%202026%20Agosto.pdf</t>
        </is>
      </c>
    </row>
    <row r="70">
      <c r="A70" t="n">
        <v>68</v>
      </c>
      <c r="B70" t="inlineStr">
        <is>
          <t>2026-09</t>
        </is>
      </c>
      <c r="C70" t="n">
        <v>418</v>
      </c>
      <c r="D70" t="n">
        <v>64</v>
      </c>
      <c r="E70" t="n">
        <v>52</v>
      </c>
      <c r="F70" t="n">
        <v>150</v>
      </c>
      <c r="G70" t="n">
        <v>684</v>
      </c>
      <c r="H70" t="n">
        <v>437</v>
      </c>
      <c r="J70" t="n">
        <v>1121</v>
      </c>
      <c r="K70" t="n">
        <v>1019</v>
      </c>
      <c r="L70" t="n">
        <v>819</v>
      </c>
      <c r="M70" t="n">
        <v>475</v>
      </c>
      <c r="N70" t="n">
        <v>19.37</v>
      </c>
      <c r="O70" t="n">
        <v>12.37</v>
      </c>
      <c r="Q70" t="n">
        <v>31.74</v>
      </c>
      <c r="R70" t="n">
        <v>1008</v>
      </c>
      <c r="S70" t="n">
        <v>0</v>
      </c>
      <c r="T70" t="n">
        <v>1</v>
      </c>
      <c r="U70" t="inlineStr">
        <is>
          <t>text</t>
        </is>
      </c>
      <c r="V70" t="inlineStr">
        <is>
          <t>Piedemonte llanero 418; Gibraltar 27; Istanbul 16; Otros campos interior 38; Arrecife 9; Bloque VIM 5, 21 y esperanza 52; Ballena y Chuchupa 64; Bonga/Mamey 21; Bullerengue 5; Mágico 24; Otros campos costa 11</t>
        </is>
      </c>
      <c r="W70" t="inlineStr">
        <is>
          <t>https://www.bmcbec.com.co/sites/default/files/2026-10/Informe%20Mensual%20Septiembre%202026.pdf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2026-10-28T01:26:51Z</dcterms:created>
  <dcterms:modified xsi:type="dcterms:W3CDTF">2026-10-28T01:26:52Z</dcterms:modified>
</cp:coreProperties>
</file>