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 - Nameplate" sheetId="2" state="visible" r:id="rId2"/>
    <sheet name="Chart - Additions" sheetId="3" state="visible" r:id="rId3"/>
    <sheet name="Projects" sheetId="4" state="visible" r:id="rId4"/>
    <sheet name="History" sheetId="5" state="visible" r:id="rId5"/>
    <sheet name="Capacity by month" sheetId="6" state="visible" r:id="rId6"/>
    <sheet name="By country" sheetId="7" state="visible" r:id="rId7"/>
    <sheet name="Additions by year" sheetId="8" state="visible" r:id="rId8"/>
    <sheet name="Placement" sheetId="9" state="visible" r:id="rId9"/>
    <sheet name="Sources" sheetId="10" state="visible" r:id="rId10"/>
    <sheet name="Cross-check" sheetId="11" state="visible" r:id="rId11"/>
    <sheet name="Tried" sheetId="12" state="visible" r:id="rId12"/>
    <sheet name="Releases" sheetId="13" state="visible" r:id="rId13"/>
    <sheet name="EIA rows" sheetId="14" state="visible" r:id="rId14"/>
    <sheet name="Ramp calc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Global LNG liquefaction nameplate, mtpa: operating (solid), under construction + FID (mid), planned (light)</a:t>
            </a:r>
          </a:p>
        </rich>
      </tx>
      <overlay val="0"/>
    </title>
    <plotArea>
      <areaChart>
        <grouping val="stacked"/>
        <ser>
          <idx val="0"/>
          <order val="0"/>
          <tx>
            <strRef>
              <f>'Chart - Nameplate'!B1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Nameplate'!$B$2:$B$121</f>
            </numRef>
          </val>
        </ser>
        <ser>
          <idx val="1"/>
          <order val="1"/>
          <tx>
            <strRef>
              <f>'Chart - Nameplate'!C1</f>
            </strRef>
          </tx>
          <spPr>
            <a:solidFill>
              <a:srgbClr val="8E2C57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Nameplate'!$C$2:$C$121</f>
            </numRef>
          </val>
        </ser>
        <ser>
          <idx val="2"/>
          <order val="2"/>
          <tx>
            <strRef>
              <f>'Chart - Nameplate'!D1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Nameplate'!$D$2:$D$121</f>
            </numRef>
          </val>
        </ser>
        <ser>
          <idx val="3"/>
          <order val="3"/>
          <tx>
            <strRef>
              <f>'Chart - Nameplate'!E1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Nameplate'!$E$2:$E$121</f>
            </numRef>
          </val>
        </ser>
        <ser>
          <idx val="4"/>
          <order val="4"/>
          <tx>
            <strRef>
              <f>'Chart - Nameplate'!F1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Nameplate'!$F$2:$F$121</f>
            </numRef>
          </val>
        </ser>
        <ser>
          <idx val="5"/>
          <order val="5"/>
          <tx>
            <strRef>
              <f>'Chart - Nameplate'!G1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Nameplate'!$G$2:$G$121</f>
            </numRef>
          </val>
        </ser>
        <ser>
          <idx val="6"/>
          <order val="6"/>
          <tx>
            <strRef>
              <f>'Chart - Nameplate'!H1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Nameplate'!$H$2:$H$121</f>
            </numRef>
          </val>
        </ser>
        <ser>
          <idx val="7"/>
          <order val="7"/>
          <tx>
            <strRef>
              <f>'Chart - Nameplate'!I1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Nameplate'!$I$2:$I$121</f>
            </numRef>
          </val>
        </ser>
        <ser>
          <idx val="8"/>
          <order val="8"/>
          <tx>
            <strRef>
              <f>'Chart - Nameplate'!J1</f>
            </strRef>
          </tx>
          <spPr>
            <a:solidFill>
              <a:srgbClr val="89B4E8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Nameplate'!$J$2:$J$121</f>
            </numRef>
          </val>
        </ser>
        <ser>
          <idx val="9"/>
          <order val="9"/>
          <tx>
            <strRef>
              <f>'Chart - Nameplate'!K1</f>
            </strRef>
          </tx>
          <spPr>
            <a:solidFill>
              <a:srgbClr val="C08AA2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Nameplate'!$K$2:$K$121</f>
            </numRef>
          </val>
        </ser>
        <ser>
          <idx val="10"/>
          <order val="10"/>
          <tx>
            <strRef>
              <f>'Chart - Nameplate'!L1</f>
            </strRef>
          </tx>
          <spPr>
            <a:solidFill>
              <a:srgbClr val="F5CB72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Nameplate'!$L$2:$L$121</f>
            </numRef>
          </val>
        </ser>
        <ser>
          <idx val="11"/>
          <order val="11"/>
          <tx>
            <strRef>
              <f>'Chart - Nameplate'!M1</f>
            </strRef>
          </tx>
          <spPr>
            <a:solidFill>
              <a:srgbClr val="81D3B5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Nameplate'!$M$2:$M$121</f>
            </numRef>
          </val>
        </ser>
        <ser>
          <idx val="12"/>
          <order val="12"/>
          <tx>
            <strRef>
              <f>'Chart - Nameplate'!N1</f>
            </strRef>
          </tx>
          <spPr>
            <a:solidFill>
              <a:srgbClr val="72BA72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Nameplate'!$N$2:$N$121</f>
            </numRef>
          </val>
        </ser>
        <ser>
          <idx val="13"/>
          <order val="13"/>
          <tx>
            <strRef>
              <f>'Chart - Nameplate'!O1</f>
            </strRef>
          </tx>
          <spPr>
            <a:solidFill>
              <a:srgbClr val="AF9C89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Nameplate'!$O$2:$O$121</f>
            </numRef>
          </val>
        </ser>
        <ser>
          <idx val="14"/>
          <order val="14"/>
          <tx>
            <strRef>
              <f>'Chart - Nameplate'!P1</f>
            </strRef>
          </tx>
          <spPr>
            <a:solidFill>
              <a:srgbClr val="F4AB8F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Nameplate'!$P$2:$P$121</f>
            </numRef>
          </val>
        </ser>
        <ser>
          <idx val="15"/>
          <order val="15"/>
          <tx>
            <strRef>
              <f>'Chart - Nameplate'!Q1</f>
            </strRef>
          </tx>
          <spPr>
            <a:solidFill>
              <a:srgbClr val="C7C7C7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Nameplate'!$Q$2:$Q$121</f>
            </numRef>
          </val>
        </ser>
        <ser>
          <idx val="16"/>
          <order val="16"/>
          <tx>
            <strRef>
              <f>'Chart - Nameplate'!R1</f>
            </strRef>
          </tx>
          <spPr>
            <a:solidFill>
              <a:srgbClr val="C9DDF4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Nameplate'!$R$2:$R$121</f>
            </numRef>
          </val>
        </ser>
        <ser>
          <idx val="17"/>
          <order val="17"/>
          <tx>
            <strRef>
              <f>'Chart - Nameplate'!S1</f>
            </strRef>
          </tx>
          <spPr>
            <a:solidFill>
              <a:srgbClr val="E2CAD5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Nameplate'!$S$2:$S$121</f>
            </numRef>
          </val>
        </ser>
        <ser>
          <idx val="18"/>
          <order val="18"/>
          <tx>
            <strRef>
              <f>'Chart - Nameplate'!T1</f>
            </strRef>
          </tx>
          <spPr>
            <a:solidFill>
              <a:srgbClr val="FAE7BF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Nameplate'!$T$2:$T$121</f>
            </numRef>
          </val>
        </ser>
        <ser>
          <idx val="19"/>
          <order val="19"/>
          <tx>
            <strRef>
              <f>'Chart - Nameplate'!U1</f>
            </strRef>
          </tx>
          <spPr>
            <a:solidFill>
              <a:srgbClr val="C6EBDD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Nameplate'!$U$2:$U$121</f>
            </numRef>
          </val>
        </ser>
        <ser>
          <idx val="20"/>
          <order val="20"/>
          <tx>
            <strRef>
              <f>'Chart - Nameplate'!V1</f>
            </strRef>
          </tx>
          <spPr>
            <a:solidFill>
              <a:srgbClr val="BFE0BF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Nameplate'!$V$2:$V$121</f>
            </numRef>
          </val>
        </ser>
        <ser>
          <idx val="21"/>
          <order val="21"/>
          <tx>
            <strRef>
              <f>'Chart - Nameplate'!W1</f>
            </strRef>
          </tx>
          <spPr>
            <a:solidFill>
              <a:srgbClr val="DAD2C9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Nameplate'!$W$2:$W$121</f>
            </numRef>
          </val>
        </ser>
        <ser>
          <idx val="22"/>
          <order val="22"/>
          <tx>
            <strRef>
              <f>'Chart - Nameplate'!X1</f>
            </strRef>
          </tx>
          <spPr>
            <a:solidFill>
              <a:srgbClr val="FAD9CC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Nameplate'!$X$2:$X$121</f>
            </numRef>
          </val>
        </ser>
        <ser>
          <idx val="23"/>
          <order val="23"/>
          <tx>
            <strRef>
              <f>'Chart - Nameplate'!Y1</f>
            </strRef>
          </tx>
          <spPr>
            <a:solidFill>
              <a:srgbClr val="E5E5E5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Nameplate'!$Y$2:$Y$121</f>
            </numRef>
          </val>
        </ser>
        <ser>
          <idx val="24"/>
          <order val="24"/>
          <tx>
            <strRef>
              <f>'Chart - Nameplate'!Z1</f>
            </strRef>
          </tx>
          <spPr>
            <a:solidFill>
              <a:srgbClr val="4D4D4D"/>
            </a:solidFill>
            <a:ln>
              <a:noFill/>
              <a:prstDash val="solid"/>
            </a:ln>
          </spPr>
          <cat>
            <numRef>
              <f>'Chart - Nameplate'!$A$2:$A$121</f>
            </numRef>
          </cat>
          <val>
            <numRef>
              <f>'Chart - Nameplate'!$Z$2:$Z$121</f>
            </numRef>
          </val>
        </ser>
        <axId val="10"/>
        <axId val="100"/>
      </area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6"/>
        <tickMarkSkip val="6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mtpa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Global LNG liquefaction capacity additions by year, mtpa (sourced start dates; undated projects excluded)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Additions'!B1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 - Additions'!$A$2:$A$11</f>
            </numRef>
          </cat>
          <val>
            <numRef>
              <f>'Chart - Additions'!$B$2:$B$11</f>
            </numRef>
          </val>
        </ser>
        <ser>
          <idx val="1"/>
          <order val="1"/>
          <tx>
            <strRef>
              <f>'Chart - Additions'!C1</f>
            </strRef>
          </tx>
          <spPr>
            <a:solidFill>
              <a:srgbClr val="8E2C57"/>
            </a:solidFill>
            <a:ln>
              <a:noFill/>
              <a:prstDash val="solid"/>
            </a:ln>
          </spPr>
          <cat>
            <numRef>
              <f>'Chart - Additions'!$A$2:$A$11</f>
            </numRef>
          </cat>
          <val>
            <numRef>
              <f>'Chart - Additions'!$C$2:$C$11</f>
            </numRef>
          </val>
        </ser>
        <ser>
          <idx val="2"/>
          <order val="2"/>
          <tx>
            <strRef>
              <f>'Chart - Additions'!D1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Additions'!$A$2:$A$11</f>
            </numRef>
          </cat>
          <val>
            <numRef>
              <f>'Chart - Additions'!$D$2:$D$11</f>
            </numRef>
          </val>
        </ser>
        <ser>
          <idx val="3"/>
          <order val="3"/>
          <tx>
            <strRef>
              <f>'Chart - Additions'!E1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Additions'!$A$2:$A$11</f>
            </numRef>
          </cat>
          <val>
            <numRef>
              <f>'Chart - Additions'!$E$2:$E$11</f>
            </numRef>
          </val>
        </ser>
        <ser>
          <idx val="4"/>
          <order val="4"/>
          <tx>
            <strRef>
              <f>'Chart - Additions'!F1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 - Additions'!$A$2:$A$11</f>
            </numRef>
          </cat>
          <val>
            <numRef>
              <f>'Chart - Additions'!$F$2:$F$11</f>
            </numRef>
          </val>
        </ser>
        <ser>
          <idx val="5"/>
          <order val="5"/>
          <tx>
            <strRef>
              <f>'Chart - Additions'!G1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 - Additions'!$A$2:$A$11</f>
            </numRef>
          </cat>
          <val>
            <numRef>
              <f>'Chart - Additions'!$G$2:$G$11</f>
            </numRef>
          </val>
        </ser>
        <ser>
          <idx val="6"/>
          <order val="6"/>
          <tx>
            <strRef>
              <f>'Chart - Additions'!H1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 - Additions'!$A$2:$A$11</f>
            </numRef>
          </cat>
          <val>
            <numRef>
              <f>'Chart - Additions'!$H$2:$H$11</f>
            </numRef>
          </val>
        </ser>
        <ser>
          <idx val="7"/>
          <order val="7"/>
          <tx>
            <strRef>
              <f>'Chart - Additions'!I1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 - Additions'!$A$2:$A$11</f>
            </numRef>
          </cat>
          <val>
            <numRef>
              <f>'Chart - Additions'!$I$2:$I$11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mtpa added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27</col>
      <colOff>0</colOff>
      <row>1</row>
      <rowOff>0</rowOff>
    </from>
    <ext cx="1224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Global LNG liquefaction capacity - 'Global supply' section of the master future-capacity table</t>
        </is>
      </c>
    </row>
    <row r="4">
      <c r="A4" s="1" t="inlineStr">
        <is>
          <t>Purpose</t>
        </is>
      </c>
    </row>
    <row r="5">
      <c r="A5" t="inlineStr">
        <is>
          <t>Nameplate liquefaction capacity by plant / train (existing), and every project under construction, at FID or planned, with the expected start, plus closures. It feeds the Europe LNG-need forecast: the supply side the balancing item draws on.</t>
        </is>
      </c>
    </row>
    <row r="7">
      <c r="A7" s="1" t="inlineStr">
        <is>
          <t>Units</t>
        </is>
      </c>
    </row>
    <row r="8">
      <c r="A8" t="inlineStr">
        <is>
          <t>capacity_value is in mtpa as published (million tonnes of LNG per year). capacity_bcfd is DERIVED: 1 mtpa = 1.36 bcm/y of gas (DISR REQ note c) = 1.36 x 35.3147 / 365.25 = 0.1315 Bcf/d. The US figures are EIA baseload nameplate (peak in the notes); other countries are nominal capacity as published.</t>
        </is>
      </c>
    </row>
    <row r="9">
      <c r="A9" t="inlineStr">
        <is>
          <t>Nameplate is not output: US plants run above baseload nameplate, Qatar and the UAE export through the Strait of Hormuz (disrupted in 2026), Russian volumes are sanctioned, Nigerian and Trinidad plants are feedgas-limited.</t>
        </is>
      </c>
    </row>
    <row r="11">
      <c r="A11" s="1" t="inlineStr">
        <is>
          <t>Sheets</t>
        </is>
      </c>
    </row>
    <row r="12">
      <c r="A12" t="inlineStr">
        <is>
          <t>Projects: the shared row schema (one row per plant / train / project; status OPERATING is an extension of the schema's status list for existing capacity; all other statuses are the schema's).</t>
        </is>
      </c>
    </row>
    <row r="13">
      <c r="A13" t="inlineStr">
        <is>
          <t>History: every change of status / expected_online / capacity_value of a row between runs (old -&gt; new, date seen).</t>
        </is>
      </c>
    </row>
    <row r="14">
      <c r="A14" t="inlineStr">
        <is>
          <t>Capacity by month: Jan 2021 - Dec 2030 nameplate by status, no ramp-up. Yellow cell = ramp months (ASSUMPTION), used only in the 'with ramp' columns.</t>
        </is>
      </c>
    </row>
    <row r="15">
      <c r="A15" t="inlineStr">
        <is>
          <t>By country: nameplate now and in Dec 2030 by status, per host country. Additions by year: per chart group, additions and closures. Placement: how each project's start month was fixed.</t>
        </is>
      </c>
    </row>
    <row r="16">
      <c r="A16" t="inlineStr">
        <is>
          <t>Sources / Cross-check / Tried / Releases: documents used; GIIGNL and press figures beside the official totals; what was tried or is not sourced; change detection on every source file. EIA rows: the parsed EIA workbook (history store for the US rows).</t>
        </is>
      </c>
    </row>
    <row r="18">
      <c r="A18" s="1" t="inlineStr">
        <is>
          <t>Rules</t>
        </is>
      </c>
    </row>
    <row r="19">
      <c r="A19" t="inlineStr">
        <is>
          <t>A number comes from a document that was opened in full; search snippets are never used. Raw official / operator figures first (EIA, DISR, QatarEnergy, operator releases and reports). GIIGNL's 2026 Annual Report supplies a number only where no official figure was opened, and then it is named as the source_publisher and in the notes; elsewhere GIIGNL is a cross-check ('Cross-check' sheet).</t>
        </is>
      </c>
    </row>
    <row r="20">
      <c r="A20" t="inlineStr">
        <is>
          <t>A project with no expected date in an opened source is NOT in the dated monthly series: it is carried in the 'undated' columns (By country, Capacity by month).</t>
        </is>
      </c>
    </row>
    <row r="21">
      <c r="A21" t="inlineStr">
        <is>
          <t>Date placement when a source gives only a period: year -&gt; July, H1 -&gt; April, H2 -&gt; October, quarter -&gt; middle month. A source date already past in the run month is shown from the run month.</t>
        </is>
      </c>
    </row>
    <row r="22">
      <c r="A22" t="inlineStr">
        <is>
          <t>Statuses: OPERATING / COMMISSIONED_RECENT count as operating from their start month. SUSPENDED existing capacity (damaged or shut) is 'Offline'. CLOSED capacity leaves the operating total at its end month.</t>
        </is>
      </c>
    </row>
    <row r="23">
      <c r="A23" t="inlineStr">
        <is>
          <t>Charts: native Excel stacked charts on 'Chart - Nameplate' and 'Chart - Additions' (redrawn every run, no borders, mmm/yy), PNGs in output/PNG Charts.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United States - operating</t>
        </is>
      </c>
      <c r="C1" s="5" t="inlineStr">
        <is>
          <t>Qatar - operating</t>
        </is>
      </c>
      <c r="D1" s="5" t="inlineStr">
        <is>
          <t>Australia - operating</t>
        </is>
      </c>
      <c r="E1" s="5" t="inlineStr">
        <is>
          <t>Canada - operating</t>
        </is>
      </c>
      <c r="F1" s="5" t="inlineStr">
        <is>
          <t>Mexico - operating</t>
        </is>
      </c>
      <c r="G1" s="5" t="inlineStr">
        <is>
          <t>Russia - operating</t>
        </is>
      </c>
      <c r="H1" s="5" t="inlineStr">
        <is>
          <t>Africa - operating</t>
        </is>
      </c>
      <c r="I1" s="5" t="inlineStr">
        <is>
          <t>Other - operating</t>
        </is>
      </c>
      <c r="J1" s="5" t="inlineStr">
        <is>
          <t>United States - UC + FID</t>
        </is>
      </c>
      <c r="K1" s="5" t="inlineStr">
        <is>
          <t>Qatar - UC + FID</t>
        </is>
      </c>
      <c r="L1" s="5" t="inlineStr">
        <is>
          <t>Australia - UC + FID</t>
        </is>
      </c>
      <c r="M1" s="5" t="inlineStr">
        <is>
          <t>Canada - UC + FID</t>
        </is>
      </c>
      <c r="N1" s="5" t="inlineStr">
        <is>
          <t>Mexico - UC + FID</t>
        </is>
      </c>
      <c r="O1" s="5" t="inlineStr">
        <is>
          <t>Russia - UC + FID</t>
        </is>
      </c>
      <c r="P1" s="5" t="inlineStr">
        <is>
          <t>Africa - UC + FID</t>
        </is>
      </c>
      <c r="Q1" s="5" t="inlineStr">
        <is>
          <t>Other - UC + FID</t>
        </is>
      </c>
      <c r="R1" s="5" t="inlineStr">
        <is>
          <t>United States - planned (dated)</t>
        </is>
      </c>
      <c r="S1" s="5" t="inlineStr">
        <is>
          <t>Qatar - planned (dated)</t>
        </is>
      </c>
      <c r="T1" s="5" t="inlineStr">
        <is>
          <t>Australia - planned (dated)</t>
        </is>
      </c>
      <c r="U1" s="5" t="inlineStr">
        <is>
          <t>Canada - planned (dated)</t>
        </is>
      </c>
      <c r="V1" s="5" t="inlineStr">
        <is>
          <t>Mexico - planned (dated)</t>
        </is>
      </c>
      <c r="W1" s="5" t="inlineStr">
        <is>
          <t>Russia - planned (dated)</t>
        </is>
      </c>
      <c r="X1" s="5" t="inlineStr">
        <is>
          <t>Africa - planned (dated)</t>
        </is>
      </c>
      <c r="Y1" s="5" t="inlineStr">
        <is>
          <t>Other - planned (dated)</t>
        </is>
      </c>
      <c r="Z1" s="5" t="inlineStr">
        <is>
          <t>Offline (damaged / shut-in)</t>
        </is>
      </c>
    </row>
    <row r="2">
      <c r="A2" s="8" t="n">
        <v>44197</v>
      </c>
      <c r="B2" t="n">
        <v>72.31</v>
      </c>
      <c r="C2" t="n">
        <v>77</v>
      </c>
      <c r="D2" t="n">
        <v>87.8</v>
      </c>
      <c r="E2" t="n">
        <v>0.3</v>
      </c>
      <c r="F2" t="n">
        <v>0</v>
      </c>
      <c r="G2" t="n">
        <v>29.1</v>
      </c>
      <c r="H2" t="n">
        <v>70.8</v>
      </c>
      <c r="I2" t="n">
        <v>110.1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10.2</v>
      </c>
    </row>
    <row r="3">
      <c r="A3" s="8" t="n">
        <v>44228</v>
      </c>
      <c r="B3" t="n">
        <v>72.31</v>
      </c>
      <c r="C3" t="n">
        <v>77</v>
      </c>
      <c r="D3" t="n">
        <v>87.8</v>
      </c>
      <c r="E3" t="n">
        <v>0.3</v>
      </c>
      <c r="F3" t="n">
        <v>0</v>
      </c>
      <c r="G3" t="n">
        <v>29.1</v>
      </c>
      <c r="H3" t="n">
        <v>70.8</v>
      </c>
      <c r="I3" t="n">
        <v>110.1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10.2</v>
      </c>
    </row>
    <row r="4">
      <c r="A4" s="8" t="n">
        <v>44256</v>
      </c>
      <c r="B4" t="n">
        <v>72.31</v>
      </c>
      <c r="C4" t="n">
        <v>77</v>
      </c>
      <c r="D4" t="n">
        <v>87.8</v>
      </c>
      <c r="E4" t="n">
        <v>0.3</v>
      </c>
      <c r="F4" t="n">
        <v>0</v>
      </c>
      <c r="G4" t="n">
        <v>29.1</v>
      </c>
      <c r="H4" t="n">
        <v>70.8</v>
      </c>
      <c r="I4" t="n">
        <v>110.1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10.2</v>
      </c>
    </row>
    <row r="5">
      <c r="A5" s="8" t="n">
        <v>44287</v>
      </c>
      <c r="B5" t="n">
        <v>72.31</v>
      </c>
      <c r="C5" t="n">
        <v>77</v>
      </c>
      <c r="D5" t="n">
        <v>87.8</v>
      </c>
      <c r="E5" t="n">
        <v>0.3</v>
      </c>
      <c r="F5" t="n">
        <v>0</v>
      </c>
      <c r="G5" t="n">
        <v>29.1</v>
      </c>
      <c r="H5" t="n">
        <v>70.8</v>
      </c>
      <c r="I5" t="n">
        <v>110.1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10.2</v>
      </c>
    </row>
    <row r="6">
      <c r="A6" s="8" t="n">
        <v>44317</v>
      </c>
      <c r="B6" t="n">
        <v>72.31</v>
      </c>
      <c r="C6" t="n">
        <v>77</v>
      </c>
      <c r="D6" t="n">
        <v>87.8</v>
      </c>
      <c r="E6" t="n">
        <v>0.3</v>
      </c>
      <c r="F6" t="n">
        <v>0</v>
      </c>
      <c r="G6" t="n">
        <v>29.1</v>
      </c>
      <c r="H6" t="n">
        <v>70.8</v>
      </c>
      <c r="I6" t="n">
        <v>110.1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10.2</v>
      </c>
    </row>
    <row r="7">
      <c r="A7" s="8" t="n">
        <v>44348</v>
      </c>
      <c r="B7" t="n">
        <v>72.31</v>
      </c>
      <c r="C7" t="n">
        <v>77</v>
      </c>
      <c r="D7" t="n">
        <v>87.8</v>
      </c>
      <c r="E7" t="n">
        <v>0.3</v>
      </c>
      <c r="F7" t="n">
        <v>0</v>
      </c>
      <c r="G7" t="n">
        <v>29.1</v>
      </c>
      <c r="H7" t="n">
        <v>70.8</v>
      </c>
      <c r="I7" t="n">
        <v>110.1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10.2</v>
      </c>
    </row>
    <row r="8">
      <c r="A8" s="8" t="n">
        <v>44378</v>
      </c>
      <c r="B8" t="n">
        <v>72.31</v>
      </c>
      <c r="C8" t="n">
        <v>77</v>
      </c>
      <c r="D8" t="n">
        <v>87.8</v>
      </c>
      <c r="E8" t="n">
        <v>0.3</v>
      </c>
      <c r="F8" t="n">
        <v>0</v>
      </c>
      <c r="G8" t="n">
        <v>29.1</v>
      </c>
      <c r="H8" t="n">
        <v>70.8</v>
      </c>
      <c r="I8" t="n">
        <v>110.1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10.2</v>
      </c>
    </row>
    <row r="9">
      <c r="A9" s="8" t="n">
        <v>44409</v>
      </c>
      <c r="B9" t="n">
        <v>72.31</v>
      </c>
      <c r="C9" t="n">
        <v>77</v>
      </c>
      <c r="D9" t="n">
        <v>87.8</v>
      </c>
      <c r="E9" t="n">
        <v>0.3</v>
      </c>
      <c r="F9" t="n">
        <v>0</v>
      </c>
      <c r="G9" t="n">
        <v>29.1</v>
      </c>
      <c r="H9" t="n">
        <v>70.8</v>
      </c>
      <c r="I9" t="n">
        <v>110.1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10.2</v>
      </c>
    </row>
    <row r="10">
      <c r="A10" s="8" t="n">
        <v>44440</v>
      </c>
      <c r="B10" t="n">
        <v>72.31</v>
      </c>
      <c r="C10" t="n">
        <v>77</v>
      </c>
      <c r="D10" t="n">
        <v>87.8</v>
      </c>
      <c r="E10" t="n">
        <v>0.3</v>
      </c>
      <c r="F10" t="n">
        <v>0</v>
      </c>
      <c r="G10" t="n">
        <v>29.1</v>
      </c>
      <c r="H10" t="n">
        <v>70.8</v>
      </c>
      <c r="I10" t="n">
        <v>110.1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10.2</v>
      </c>
    </row>
    <row r="11">
      <c r="A11" s="8" t="n">
        <v>44470</v>
      </c>
      <c r="B11" t="n">
        <v>72.31</v>
      </c>
      <c r="C11" t="n">
        <v>77</v>
      </c>
      <c r="D11" t="n">
        <v>87.8</v>
      </c>
      <c r="E11" t="n">
        <v>0.3</v>
      </c>
      <c r="F11" t="n">
        <v>0</v>
      </c>
      <c r="G11" t="n">
        <v>29.1</v>
      </c>
      <c r="H11" t="n">
        <v>70.8</v>
      </c>
      <c r="I11" t="n">
        <v>110.1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10.2</v>
      </c>
    </row>
    <row r="12">
      <c r="A12" s="8" t="n">
        <v>44501</v>
      </c>
      <c r="B12" t="n">
        <v>72.31</v>
      </c>
      <c r="C12" t="n">
        <v>77</v>
      </c>
      <c r="D12" t="n">
        <v>87.8</v>
      </c>
      <c r="E12" t="n">
        <v>0.3</v>
      </c>
      <c r="F12" t="n">
        <v>0</v>
      </c>
      <c r="G12" t="n">
        <v>29.1</v>
      </c>
      <c r="H12" t="n">
        <v>70.8</v>
      </c>
      <c r="I12" t="n">
        <v>110.1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10.2</v>
      </c>
    </row>
    <row r="13">
      <c r="A13" s="8" t="n">
        <v>44531</v>
      </c>
      <c r="B13" t="n">
        <v>76.81</v>
      </c>
      <c r="C13" t="n">
        <v>77</v>
      </c>
      <c r="D13" t="n">
        <v>87.8</v>
      </c>
      <c r="E13" t="n">
        <v>0.3</v>
      </c>
      <c r="F13" t="n">
        <v>0</v>
      </c>
      <c r="G13" t="n">
        <v>29.1</v>
      </c>
      <c r="H13" t="n">
        <v>70.8</v>
      </c>
      <c r="I13" t="n">
        <v>110.1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10.2</v>
      </c>
    </row>
    <row r="14">
      <c r="A14" s="8" t="n">
        <v>44562</v>
      </c>
      <c r="B14" t="n">
        <v>76.81</v>
      </c>
      <c r="C14" t="n">
        <v>77</v>
      </c>
      <c r="D14" t="n">
        <v>87.8</v>
      </c>
      <c r="E14" t="n">
        <v>0.3</v>
      </c>
      <c r="F14" t="n">
        <v>0</v>
      </c>
      <c r="G14" t="n">
        <v>29.1</v>
      </c>
      <c r="H14" t="n">
        <v>70.8</v>
      </c>
      <c r="I14" t="n">
        <v>110.1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10.2</v>
      </c>
    </row>
    <row r="15">
      <c r="A15" s="8" t="n">
        <v>44593</v>
      </c>
      <c r="B15" t="n">
        <v>76.81</v>
      </c>
      <c r="C15" t="n">
        <v>77</v>
      </c>
      <c r="D15" t="n">
        <v>87.8</v>
      </c>
      <c r="E15" t="n">
        <v>0.3</v>
      </c>
      <c r="F15" t="n">
        <v>0</v>
      </c>
      <c r="G15" t="n">
        <v>29.1</v>
      </c>
      <c r="H15" t="n">
        <v>70.8</v>
      </c>
      <c r="I15" t="n">
        <v>110.1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10.2</v>
      </c>
    </row>
    <row r="16">
      <c r="A16" s="8" t="n">
        <v>44621</v>
      </c>
      <c r="B16" t="n">
        <v>81.81</v>
      </c>
      <c r="C16" t="n">
        <v>77</v>
      </c>
      <c r="D16" t="n">
        <v>87.8</v>
      </c>
      <c r="E16" t="n">
        <v>0.3</v>
      </c>
      <c r="F16" t="n">
        <v>0</v>
      </c>
      <c r="G16" t="n">
        <v>29.1</v>
      </c>
      <c r="H16" t="n">
        <v>70.8</v>
      </c>
      <c r="I16" t="n">
        <v>110.1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10.2</v>
      </c>
    </row>
    <row r="17">
      <c r="A17" s="8" t="n">
        <v>44652</v>
      </c>
      <c r="B17" t="n">
        <v>81.81</v>
      </c>
      <c r="C17" t="n">
        <v>77</v>
      </c>
      <c r="D17" t="n">
        <v>87.8</v>
      </c>
      <c r="E17" t="n">
        <v>0.3</v>
      </c>
      <c r="F17" t="n">
        <v>0</v>
      </c>
      <c r="G17" t="n">
        <v>29.1</v>
      </c>
      <c r="H17" t="n">
        <v>70.8</v>
      </c>
      <c r="I17" t="n">
        <v>110.1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10.2</v>
      </c>
    </row>
    <row r="18">
      <c r="A18" s="8" t="n">
        <v>44682</v>
      </c>
      <c r="B18" t="n">
        <v>81.81</v>
      </c>
      <c r="C18" t="n">
        <v>77</v>
      </c>
      <c r="D18" t="n">
        <v>87.8</v>
      </c>
      <c r="E18" t="n">
        <v>0.3</v>
      </c>
      <c r="F18" t="n">
        <v>0</v>
      </c>
      <c r="G18" t="n">
        <v>29.1</v>
      </c>
      <c r="H18" t="n">
        <v>70.8</v>
      </c>
      <c r="I18" t="n">
        <v>110.1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10.2</v>
      </c>
    </row>
    <row r="19">
      <c r="A19" s="8" t="n">
        <v>44713</v>
      </c>
      <c r="B19" t="n">
        <v>81.81</v>
      </c>
      <c r="C19" t="n">
        <v>77</v>
      </c>
      <c r="D19" t="n">
        <v>87.8</v>
      </c>
      <c r="E19" t="n">
        <v>0.3</v>
      </c>
      <c r="F19" t="n">
        <v>0</v>
      </c>
      <c r="G19" t="n">
        <v>29.1</v>
      </c>
      <c r="H19" t="n">
        <v>70.8</v>
      </c>
      <c r="I19" t="n">
        <v>110.1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10.2</v>
      </c>
    </row>
    <row r="20">
      <c r="A20" s="8" t="n">
        <v>44743</v>
      </c>
      <c r="B20" t="n">
        <v>81.81</v>
      </c>
      <c r="C20" t="n">
        <v>77</v>
      </c>
      <c r="D20" t="n">
        <v>87.8</v>
      </c>
      <c r="E20" t="n">
        <v>0.3</v>
      </c>
      <c r="F20" t="n">
        <v>0</v>
      </c>
      <c r="G20" t="n">
        <v>30.6</v>
      </c>
      <c r="H20" t="n">
        <v>74.2</v>
      </c>
      <c r="I20" t="n">
        <v>110.1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10.2</v>
      </c>
    </row>
    <row r="21">
      <c r="A21" s="8" t="n">
        <v>44774</v>
      </c>
      <c r="B21" t="n">
        <v>81.81</v>
      </c>
      <c r="C21" t="n">
        <v>77</v>
      </c>
      <c r="D21" t="n">
        <v>87.8</v>
      </c>
      <c r="E21" t="n">
        <v>0.3</v>
      </c>
      <c r="F21" t="n">
        <v>0</v>
      </c>
      <c r="G21" t="n">
        <v>30.6</v>
      </c>
      <c r="H21" t="n">
        <v>74.2</v>
      </c>
      <c r="I21" t="n">
        <v>110.1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10.2</v>
      </c>
    </row>
    <row r="22">
      <c r="A22" s="8" t="n">
        <v>44805</v>
      </c>
      <c r="B22" t="n">
        <v>86.81</v>
      </c>
      <c r="C22" t="n">
        <v>77</v>
      </c>
      <c r="D22" t="n">
        <v>87.8</v>
      </c>
      <c r="E22" t="n">
        <v>0.3</v>
      </c>
      <c r="F22" t="n">
        <v>0</v>
      </c>
      <c r="G22" t="n">
        <v>30.6</v>
      </c>
      <c r="H22" t="n">
        <v>74.2</v>
      </c>
      <c r="I22" t="n">
        <v>110.1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10.2</v>
      </c>
    </row>
    <row r="23">
      <c r="A23" s="8" t="n">
        <v>44835</v>
      </c>
      <c r="B23" t="n">
        <v>86.81</v>
      </c>
      <c r="C23" t="n">
        <v>77</v>
      </c>
      <c r="D23" t="n">
        <v>87.8</v>
      </c>
      <c r="E23" t="n">
        <v>0.3</v>
      </c>
      <c r="F23" t="n">
        <v>0</v>
      </c>
      <c r="G23" t="n">
        <v>30.6</v>
      </c>
      <c r="H23" t="n">
        <v>74.2</v>
      </c>
      <c r="I23" t="n">
        <v>110.1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10.2</v>
      </c>
    </row>
    <row r="24">
      <c r="A24" s="8" t="n">
        <v>44866</v>
      </c>
      <c r="B24" t="n">
        <v>86.81</v>
      </c>
      <c r="C24" t="n">
        <v>77</v>
      </c>
      <c r="D24" t="n">
        <v>87.8</v>
      </c>
      <c r="E24" t="n">
        <v>0.3</v>
      </c>
      <c r="F24" t="n">
        <v>0</v>
      </c>
      <c r="G24" t="n">
        <v>30.6</v>
      </c>
      <c r="H24" t="n">
        <v>74.2</v>
      </c>
      <c r="I24" t="n">
        <v>110.1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10.2</v>
      </c>
    </row>
    <row r="25">
      <c r="A25" s="8" t="n">
        <v>44896</v>
      </c>
      <c r="B25" t="n">
        <v>86.81</v>
      </c>
      <c r="C25" t="n">
        <v>77</v>
      </c>
      <c r="D25" t="n">
        <v>87.8</v>
      </c>
      <c r="E25" t="n">
        <v>0.3</v>
      </c>
      <c r="F25" t="n">
        <v>0</v>
      </c>
      <c r="G25" t="n">
        <v>30.6</v>
      </c>
      <c r="H25" t="n">
        <v>74.2</v>
      </c>
      <c r="I25" t="n">
        <v>110.1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10.2</v>
      </c>
    </row>
    <row r="26">
      <c r="A26" s="8" t="n">
        <v>44927</v>
      </c>
      <c r="B26" t="n">
        <v>86.81</v>
      </c>
      <c r="C26" t="n">
        <v>77</v>
      </c>
      <c r="D26" t="n">
        <v>87.8</v>
      </c>
      <c r="E26" t="n">
        <v>0.3</v>
      </c>
      <c r="F26" t="n">
        <v>0</v>
      </c>
      <c r="G26" t="n">
        <v>30.6</v>
      </c>
      <c r="H26" t="n">
        <v>74.2</v>
      </c>
      <c r="I26" t="n">
        <v>110.1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10.2</v>
      </c>
    </row>
    <row r="27">
      <c r="A27" s="8" t="n">
        <v>44958</v>
      </c>
      <c r="B27" t="n">
        <v>86.81</v>
      </c>
      <c r="C27" t="n">
        <v>77</v>
      </c>
      <c r="D27" t="n">
        <v>87.8</v>
      </c>
      <c r="E27" t="n">
        <v>0.3</v>
      </c>
      <c r="F27" t="n">
        <v>0</v>
      </c>
      <c r="G27" t="n">
        <v>30.6</v>
      </c>
      <c r="H27" t="n">
        <v>74.2</v>
      </c>
      <c r="I27" t="n">
        <v>110.1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10.2</v>
      </c>
    </row>
    <row r="28">
      <c r="A28" s="8" t="n">
        <v>44986</v>
      </c>
      <c r="B28" t="n">
        <v>86.81</v>
      </c>
      <c r="C28" t="n">
        <v>77</v>
      </c>
      <c r="D28" t="n">
        <v>87.8</v>
      </c>
      <c r="E28" t="n">
        <v>0.3</v>
      </c>
      <c r="F28" t="n">
        <v>0</v>
      </c>
      <c r="G28" t="n">
        <v>30.6</v>
      </c>
      <c r="H28" t="n">
        <v>74.2</v>
      </c>
      <c r="I28" t="n">
        <v>110.1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10.2</v>
      </c>
    </row>
    <row r="29">
      <c r="A29" s="8" t="n">
        <v>45017</v>
      </c>
      <c r="B29" t="n">
        <v>86.81</v>
      </c>
      <c r="C29" t="n">
        <v>77</v>
      </c>
      <c r="D29" t="n">
        <v>87.8</v>
      </c>
      <c r="E29" t="n">
        <v>0.3</v>
      </c>
      <c r="F29" t="n">
        <v>0</v>
      </c>
      <c r="G29" t="n">
        <v>30.6</v>
      </c>
      <c r="H29" t="n">
        <v>74.2</v>
      </c>
      <c r="I29" t="n">
        <v>110.1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10.2</v>
      </c>
    </row>
    <row r="30">
      <c r="A30" s="8" t="n">
        <v>45047</v>
      </c>
      <c r="B30" t="n">
        <v>86.81</v>
      </c>
      <c r="C30" t="n">
        <v>77</v>
      </c>
      <c r="D30" t="n">
        <v>87.8</v>
      </c>
      <c r="E30" t="n">
        <v>0.3</v>
      </c>
      <c r="F30" t="n">
        <v>0</v>
      </c>
      <c r="G30" t="n">
        <v>30.6</v>
      </c>
      <c r="H30" t="n">
        <v>74.2</v>
      </c>
      <c r="I30" t="n">
        <v>110.1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10.2</v>
      </c>
    </row>
    <row r="31">
      <c r="A31" s="8" t="n">
        <v>45078</v>
      </c>
      <c r="B31" t="n">
        <v>86.81</v>
      </c>
      <c r="C31" t="n">
        <v>77</v>
      </c>
      <c r="D31" t="n">
        <v>87.8</v>
      </c>
      <c r="E31" t="n">
        <v>0.3</v>
      </c>
      <c r="F31" t="n">
        <v>0</v>
      </c>
      <c r="G31" t="n">
        <v>30.6</v>
      </c>
      <c r="H31" t="n">
        <v>74.2</v>
      </c>
      <c r="I31" t="n">
        <v>110.1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10.2</v>
      </c>
    </row>
    <row r="32">
      <c r="A32" s="8" t="n">
        <v>45108</v>
      </c>
      <c r="B32" t="n">
        <v>86.81</v>
      </c>
      <c r="C32" t="n">
        <v>77</v>
      </c>
      <c r="D32" t="n">
        <v>87.8</v>
      </c>
      <c r="E32" t="n">
        <v>0.3</v>
      </c>
      <c r="F32" t="n">
        <v>0</v>
      </c>
      <c r="G32" t="n">
        <v>30.6</v>
      </c>
      <c r="H32" t="n">
        <v>74.2</v>
      </c>
      <c r="I32" t="n">
        <v>110.1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10.2</v>
      </c>
    </row>
    <row r="33">
      <c r="A33" s="8" t="n">
        <v>45139</v>
      </c>
      <c r="B33" t="n">
        <v>86.81</v>
      </c>
      <c r="C33" t="n">
        <v>77</v>
      </c>
      <c r="D33" t="n">
        <v>87.8</v>
      </c>
      <c r="E33" t="n">
        <v>0.3</v>
      </c>
      <c r="F33" t="n">
        <v>0</v>
      </c>
      <c r="G33" t="n">
        <v>30.6</v>
      </c>
      <c r="H33" t="n">
        <v>74.2</v>
      </c>
      <c r="I33" t="n">
        <v>110.1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10.2</v>
      </c>
    </row>
    <row r="34">
      <c r="A34" s="8" t="n">
        <v>45170</v>
      </c>
      <c r="B34" t="n">
        <v>86.81</v>
      </c>
      <c r="C34" t="n">
        <v>77</v>
      </c>
      <c r="D34" t="n">
        <v>87.8</v>
      </c>
      <c r="E34" t="n">
        <v>0.3</v>
      </c>
      <c r="F34" t="n">
        <v>0</v>
      </c>
      <c r="G34" t="n">
        <v>30.6</v>
      </c>
      <c r="H34" t="n">
        <v>74.2</v>
      </c>
      <c r="I34" t="n">
        <v>110.1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10.2</v>
      </c>
    </row>
    <row r="35">
      <c r="A35" s="8" t="n">
        <v>45200</v>
      </c>
      <c r="B35" t="n">
        <v>86.81</v>
      </c>
      <c r="C35" t="n">
        <v>77</v>
      </c>
      <c r="D35" t="n">
        <v>87.8</v>
      </c>
      <c r="E35" t="n">
        <v>0.3</v>
      </c>
      <c r="F35" t="n">
        <v>0</v>
      </c>
      <c r="G35" t="n">
        <v>30.6</v>
      </c>
      <c r="H35" t="n">
        <v>74.2</v>
      </c>
      <c r="I35" t="n">
        <v>110.1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10.2</v>
      </c>
    </row>
    <row r="36">
      <c r="A36" s="8" t="n">
        <v>45231</v>
      </c>
      <c r="B36" t="n">
        <v>86.81</v>
      </c>
      <c r="C36" t="n">
        <v>77</v>
      </c>
      <c r="D36" t="n">
        <v>87.8</v>
      </c>
      <c r="E36" t="n">
        <v>0.3</v>
      </c>
      <c r="F36" t="n">
        <v>0</v>
      </c>
      <c r="G36" t="n">
        <v>30.6</v>
      </c>
      <c r="H36" t="n">
        <v>74.2</v>
      </c>
      <c r="I36" t="n">
        <v>110.1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10.2</v>
      </c>
    </row>
    <row r="37">
      <c r="A37" s="8" t="n">
        <v>45261</v>
      </c>
      <c r="B37" t="n">
        <v>86.81</v>
      </c>
      <c r="C37" t="n">
        <v>77</v>
      </c>
      <c r="D37" t="n">
        <v>87.8</v>
      </c>
      <c r="E37" t="n">
        <v>0.3</v>
      </c>
      <c r="F37" t="n">
        <v>0</v>
      </c>
      <c r="G37" t="n">
        <v>30.6</v>
      </c>
      <c r="H37" t="n">
        <v>74.2</v>
      </c>
      <c r="I37" t="n">
        <v>110.1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10.2</v>
      </c>
    </row>
    <row r="38">
      <c r="A38" s="8" t="n">
        <v>45292</v>
      </c>
      <c r="B38" t="n">
        <v>86.81</v>
      </c>
      <c r="C38" t="n">
        <v>77</v>
      </c>
      <c r="D38" t="n">
        <v>87.8</v>
      </c>
      <c r="E38" t="n">
        <v>0.3</v>
      </c>
      <c r="F38" t="n">
        <v>0</v>
      </c>
      <c r="G38" t="n">
        <v>30.6</v>
      </c>
      <c r="H38" t="n">
        <v>74.2</v>
      </c>
      <c r="I38" t="n">
        <v>110.1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10.2</v>
      </c>
    </row>
    <row r="39">
      <c r="A39" s="8" t="n">
        <v>45323</v>
      </c>
      <c r="B39" t="n">
        <v>86.81</v>
      </c>
      <c r="C39" t="n">
        <v>77</v>
      </c>
      <c r="D39" t="n">
        <v>87.8</v>
      </c>
      <c r="E39" t="n">
        <v>0.3</v>
      </c>
      <c r="F39" t="n">
        <v>0</v>
      </c>
      <c r="G39" t="n">
        <v>30.6</v>
      </c>
      <c r="H39" t="n">
        <v>74.2</v>
      </c>
      <c r="I39" t="n">
        <v>110.1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10.2</v>
      </c>
    </row>
    <row r="40">
      <c r="A40" s="8" t="n">
        <v>45352</v>
      </c>
      <c r="B40" t="n">
        <v>86.81</v>
      </c>
      <c r="C40" t="n">
        <v>77</v>
      </c>
      <c r="D40" t="n">
        <v>87.8</v>
      </c>
      <c r="E40" t="n">
        <v>0.3</v>
      </c>
      <c r="F40" t="n">
        <v>0</v>
      </c>
      <c r="G40" t="n">
        <v>30.6</v>
      </c>
      <c r="H40" t="n">
        <v>74.2</v>
      </c>
      <c r="I40" t="n">
        <v>110.1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10.2</v>
      </c>
    </row>
    <row r="41">
      <c r="A41" s="8" t="n">
        <v>45383</v>
      </c>
      <c r="B41" t="n">
        <v>86.81</v>
      </c>
      <c r="C41" t="n">
        <v>77</v>
      </c>
      <c r="D41" t="n">
        <v>87.8</v>
      </c>
      <c r="E41" t="n">
        <v>0.3</v>
      </c>
      <c r="F41" t="n">
        <v>0</v>
      </c>
      <c r="G41" t="n">
        <v>30.6</v>
      </c>
      <c r="H41" t="n">
        <v>74.2</v>
      </c>
      <c r="I41" t="n">
        <v>110.1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10.2</v>
      </c>
    </row>
    <row r="42">
      <c r="A42" s="8" t="n">
        <v>45413</v>
      </c>
      <c r="B42" t="n">
        <v>86.81</v>
      </c>
      <c r="C42" t="n">
        <v>77</v>
      </c>
      <c r="D42" t="n">
        <v>87.8</v>
      </c>
      <c r="E42" t="n">
        <v>0.3</v>
      </c>
      <c r="F42" t="n">
        <v>0</v>
      </c>
      <c r="G42" t="n">
        <v>30.6</v>
      </c>
      <c r="H42" t="n">
        <v>74.2</v>
      </c>
      <c r="I42" t="n">
        <v>110.1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10.2</v>
      </c>
    </row>
    <row r="43">
      <c r="A43" s="8" t="n">
        <v>45444</v>
      </c>
      <c r="B43" t="n">
        <v>86.81</v>
      </c>
      <c r="C43" t="n">
        <v>77</v>
      </c>
      <c r="D43" t="n">
        <v>87.8</v>
      </c>
      <c r="E43" t="n">
        <v>0.3</v>
      </c>
      <c r="F43" t="n">
        <v>0</v>
      </c>
      <c r="G43" t="n">
        <v>30.6</v>
      </c>
      <c r="H43" t="n">
        <v>74.2</v>
      </c>
      <c r="I43" t="n">
        <v>110.1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10.2</v>
      </c>
    </row>
    <row r="44">
      <c r="A44" s="8" t="n">
        <v>45474</v>
      </c>
      <c r="B44" t="n">
        <v>86.81</v>
      </c>
      <c r="C44" t="n">
        <v>77</v>
      </c>
      <c r="D44" t="n">
        <v>87.8</v>
      </c>
      <c r="E44" t="n">
        <v>0.3</v>
      </c>
      <c r="F44" t="n">
        <v>1.4</v>
      </c>
      <c r="G44" t="n">
        <v>37.2</v>
      </c>
      <c r="H44" t="n">
        <v>74.8</v>
      </c>
      <c r="I44" t="n">
        <v>110.1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10.2</v>
      </c>
    </row>
    <row r="45">
      <c r="A45" s="8" t="n">
        <v>45505</v>
      </c>
      <c r="B45" t="n">
        <v>86.81</v>
      </c>
      <c r="C45" t="n">
        <v>77</v>
      </c>
      <c r="D45" t="n">
        <v>87.8</v>
      </c>
      <c r="E45" t="n">
        <v>0.3</v>
      </c>
      <c r="F45" t="n">
        <v>1.4</v>
      </c>
      <c r="G45" t="n">
        <v>37.2</v>
      </c>
      <c r="H45" t="n">
        <v>74.8</v>
      </c>
      <c r="I45" t="n">
        <v>110.1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10.2</v>
      </c>
    </row>
    <row r="46">
      <c r="A46" s="8" t="n">
        <v>45536</v>
      </c>
      <c r="B46" t="n">
        <v>86.81</v>
      </c>
      <c r="C46" t="n">
        <v>77</v>
      </c>
      <c r="D46" t="n">
        <v>87.8</v>
      </c>
      <c r="E46" t="n">
        <v>0.3</v>
      </c>
      <c r="F46" t="n">
        <v>1.4</v>
      </c>
      <c r="G46" t="n">
        <v>37.2</v>
      </c>
      <c r="H46" t="n">
        <v>74.8</v>
      </c>
      <c r="I46" t="n">
        <v>110.1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10.2</v>
      </c>
    </row>
    <row r="47">
      <c r="A47" s="8" t="n">
        <v>45566</v>
      </c>
      <c r="B47" t="n">
        <v>86.81</v>
      </c>
      <c r="C47" t="n">
        <v>77</v>
      </c>
      <c r="D47" t="n">
        <v>87.8</v>
      </c>
      <c r="E47" t="n">
        <v>0.3</v>
      </c>
      <c r="F47" t="n">
        <v>1.4</v>
      </c>
      <c r="G47" t="n">
        <v>37.2</v>
      </c>
      <c r="H47" t="n">
        <v>74.8</v>
      </c>
      <c r="I47" t="n">
        <v>110.1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10.2</v>
      </c>
    </row>
    <row r="48">
      <c r="A48" s="8" t="n">
        <v>45597</v>
      </c>
      <c r="B48" t="n">
        <v>86.81</v>
      </c>
      <c r="C48" t="n">
        <v>77</v>
      </c>
      <c r="D48" t="n">
        <v>87.8</v>
      </c>
      <c r="E48" t="n">
        <v>0.3</v>
      </c>
      <c r="F48" t="n">
        <v>1.4</v>
      </c>
      <c r="G48" t="n">
        <v>37.2</v>
      </c>
      <c r="H48" t="n">
        <v>74.8</v>
      </c>
      <c r="I48" t="n">
        <v>110.1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10.2</v>
      </c>
    </row>
    <row r="49">
      <c r="A49" s="8" t="n">
        <v>45627</v>
      </c>
      <c r="B49" t="n">
        <v>96.70999999999999</v>
      </c>
      <c r="C49" t="n">
        <v>77</v>
      </c>
      <c r="D49" t="n">
        <v>87.8</v>
      </c>
      <c r="E49" t="n">
        <v>0.3</v>
      </c>
      <c r="F49" t="n">
        <v>1.4</v>
      </c>
      <c r="G49" t="n">
        <v>37.2</v>
      </c>
      <c r="H49" t="n">
        <v>74.8</v>
      </c>
      <c r="I49" t="n">
        <v>110.1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10.2</v>
      </c>
    </row>
    <row r="50">
      <c r="A50" s="8" t="n">
        <v>45658</v>
      </c>
      <c r="B50" t="n">
        <v>96.70999999999999</v>
      </c>
      <c r="C50" t="n">
        <v>77</v>
      </c>
      <c r="D50" t="n">
        <v>87.8</v>
      </c>
      <c r="E50" t="n">
        <v>0.3</v>
      </c>
      <c r="F50" t="n">
        <v>1.4</v>
      </c>
      <c r="G50" t="n">
        <v>37.2</v>
      </c>
      <c r="H50" t="n">
        <v>74.8</v>
      </c>
      <c r="I50" t="n">
        <v>110.1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10.2</v>
      </c>
    </row>
    <row r="51">
      <c r="A51" s="8" t="n">
        <v>45689</v>
      </c>
      <c r="B51" t="n">
        <v>96.70999999999999</v>
      </c>
      <c r="C51" t="n">
        <v>77</v>
      </c>
      <c r="D51" t="n">
        <v>87.8</v>
      </c>
      <c r="E51" t="n">
        <v>0.3</v>
      </c>
      <c r="F51" t="n">
        <v>1.4</v>
      </c>
      <c r="G51" t="n">
        <v>37.2</v>
      </c>
      <c r="H51" t="n">
        <v>74.8</v>
      </c>
      <c r="I51" t="n">
        <v>110.1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10.2</v>
      </c>
    </row>
    <row r="52">
      <c r="A52" s="8" t="n">
        <v>45717</v>
      </c>
      <c r="B52" t="n">
        <v>96.70999999999999</v>
      </c>
      <c r="C52" t="n">
        <v>77</v>
      </c>
      <c r="D52" t="n">
        <v>87.8</v>
      </c>
      <c r="E52" t="n">
        <v>0.3</v>
      </c>
      <c r="F52" t="n">
        <v>1.4</v>
      </c>
      <c r="G52" t="n">
        <v>37.2</v>
      </c>
      <c r="H52" t="n">
        <v>74.8</v>
      </c>
      <c r="I52" t="n">
        <v>110.1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10.2</v>
      </c>
    </row>
    <row r="53">
      <c r="A53" s="8" t="n">
        <v>45748</v>
      </c>
      <c r="B53" t="n">
        <v>96.70999999999999</v>
      </c>
      <c r="C53" t="n">
        <v>77</v>
      </c>
      <c r="D53" t="n">
        <v>87.8</v>
      </c>
      <c r="E53" t="n">
        <v>0.3</v>
      </c>
      <c r="F53" t="n">
        <v>1.4</v>
      </c>
      <c r="G53" t="n">
        <v>37.2</v>
      </c>
      <c r="H53" t="n">
        <v>74.8</v>
      </c>
      <c r="I53" t="n">
        <v>110.1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10.2</v>
      </c>
    </row>
    <row r="54">
      <c r="A54" s="8" t="n">
        <v>45778</v>
      </c>
      <c r="B54" t="n">
        <v>96.70999999999999</v>
      </c>
      <c r="C54" t="n">
        <v>77</v>
      </c>
      <c r="D54" t="n">
        <v>87.8</v>
      </c>
      <c r="E54" t="n">
        <v>0.3</v>
      </c>
      <c r="F54" t="n">
        <v>1.4</v>
      </c>
      <c r="G54" t="n">
        <v>37.2</v>
      </c>
      <c r="H54" t="n">
        <v>74.8</v>
      </c>
      <c r="I54" t="n">
        <v>110.1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10.2</v>
      </c>
    </row>
    <row r="55">
      <c r="A55" s="8" t="n">
        <v>45809</v>
      </c>
      <c r="B55" t="n">
        <v>96.70999999999999</v>
      </c>
      <c r="C55" t="n">
        <v>77</v>
      </c>
      <c r="D55" t="n">
        <v>87.8</v>
      </c>
      <c r="E55" t="n">
        <v>0.3</v>
      </c>
      <c r="F55" t="n">
        <v>1.4</v>
      </c>
      <c r="G55" t="n">
        <v>37.2</v>
      </c>
      <c r="H55" t="n">
        <v>74.8</v>
      </c>
      <c r="I55" t="n">
        <v>110.1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10.2</v>
      </c>
    </row>
    <row r="56">
      <c r="A56" s="8" t="n">
        <v>45839</v>
      </c>
      <c r="B56" t="n">
        <v>102.426</v>
      </c>
      <c r="C56" t="n">
        <v>77</v>
      </c>
      <c r="D56" t="n">
        <v>85.2</v>
      </c>
      <c r="E56" t="n">
        <v>14.3</v>
      </c>
      <c r="F56" t="n">
        <v>1.4</v>
      </c>
      <c r="G56" t="n">
        <v>43.8</v>
      </c>
      <c r="H56" t="n">
        <v>77.09999999999999</v>
      </c>
      <c r="I56" t="n">
        <v>110.1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10.2</v>
      </c>
    </row>
    <row r="57">
      <c r="A57" s="8" t="n">
        <v>45870</v>
      </c>
      <c r="B57" t="n">
        <v>102.426</v>
      </c>
      <c r="C57" t="n">
        <v>77</v>
      </c>
      <c r="D57" t="n">
        <v>85.2</v>
      </c>
      <c r="E57" t="n">
        <v>14.3</v>
      </c>
      <c r="F57" t="n">
        <v>1.4</v>
      </c>
      <c r="G57" t="n">
        <v>43.8</v>
      </c>
      <c r="H57" t="n">
        <v>77.09999999999999</v>
      </c>
      <c r="I57" t="n">
        <v>110.1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10.2</v>
      </c>
    </row>
    <row r="58">
      <c r="A58" s="8" t="n">
        <v>45901</v>
      </c>
      <c r="B58" t="n">
        <v>112.326</v>
      </c>
      <c r="C58" t="n">
        <v>77</v>
      </c>
      <c r="D58" t="n">
        <v>85.2</v>
      </c>
      <c r="E58" t="n">
        <v>14.3</v>
      </c>
      <c r="F58" t="n">
        <v>1.4</v>
      </c>
      <c r="G58" t="n">
        <v>43.8</v>
      </c>
      <c r="H58" t="n">
        <v>77.09999999999999</v>
      </c>
      <c r="I58" t="n">
        <v>110.1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10.2</v>
      </c>
    </row>
    <row r="59">
      <c r="A59" s="8" t="n">
        <v>45931</v>
      </c>
      <c r="B59" t="n">
        <v>112.326</v>
      </c>
      <c r="C59" t="n">
        <v>77</v>
      </c>
      <c r="D59" t="n">
        <v>85.2</v>
      </c>
      <c r="E59" t="n">
        <v>14.3</v>
      </c>
      <c r="F59" t="n">
        <v>1.4</v>
      </c>
      <c r="G59" t="n">
        <v>43.8</v>
      </c>
      <c r="H59" t="n">
        <v>77.09999999999999</v>
      </c>
      <c r="I59" t="n">
        <v>110.1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10.2</v>
      </c>
    </row>
    <row r="60">
      <c r="A60" s="8" t="n">
        <v>45962</v>
      </c>
      <c r="B60" t="n">
        <v>112.326</v>
      </c>
      <c r="C60" t="n">
        <v>77</v>
      </c>
      <c r="D60" t="n">
        <v>85.2</v>
      </c>
      <c r="E60" t="n">
        <v>14.3</v>
      </c>
      <c r="F60" t="n">
        <v>1.4</v>
      </c>
      <c r="G60" t="n">
        <v>43.8</v>
      </c>
      <c r="H60" t="n">
        <v>77.09999999999999</v>
      </c>
      <c r="I60" t="n">
        <v>110.1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10.2</v>
      </c>
    </row>
    <row r="61">
      <c r="A61" s="8" t="n">
        <v>45992</v>
      </c>
      <c r="B61" t="n">
        <v>112.326</v>
      </c>
      <c r="C61" t="n">
        <v>77</v>
      </c>
      <c r="D61" t="n">
        <v>85.2</v>
      </c>
      <c r="E61" t="n">
        <v>14.3</v>
      </c>
      <c r="F61" t="n">
        <v>1.4</v>
      </c>
      <c r="G61" t="n">
        <v>43.8</v>
      </c>
      <c r="H61" t="n">
        <v>77.09999999999999</v>
      </c>
      <c r="I61" t="n">
        <v>110.1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10.2</v>
      </c>
    </row>
    <row r="62">
      <c r="A62" s="8" t="n">
        <v>46023</v>
      </c>
      <c r="B62" t="n">
        <v>112.326</v>
      </c>
      <c r="C62" t="n">
        <v>77</v>
      </c>
      <c r="D62" t="n">
        <v>85.2</v>
      </c>
      <c r="E62" t="n">
        <v>14.3</v>
      </c>
      <c r="F62" t="n">
        <v>1.4</v>
      </c>
      <c r="G62" t="n">
        <v>43.8</v>
      </c>
      <c r="H62" t="n">
        <v>77.09999999999999</v>
      </c>
      <c r="I62" t="n">
        <v>110.1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10.2</v>
      </c>
    </row>
    <row r="63">
      <c r="A63" s="8" t="n">
        <v>46054</v>
      </c>
      <c r="B63" t="n">
        <v>112.326</v>
      </c>
      <c r="C63" t="n">
        <v>77</v>
      </c>
      <c r="D63" t="n">
        <v>85.2</v>
      </c>
      <c r="E63" t="n">
        <v>14.3</v>
      </c>
      <c r="F63" t="n">
        <v>1.4</v>
      </c>
      <c r="G63" t="n">
        <v>43.8</v>
      </c>
      <c r="H63" t="n">
        <v>79.5</v>
      </c>
      <c r="I63" t="n">
        <v>110.1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10.2</v>
      </c>
    </row>
    <row r="64">
      <c r="A64" s="8" t="n">
        <v>46082</v>
      </c>
      <c r="B64" t="n">
        <v>113.755</v>
      </c>
      <c r="C64" t="n">
        <v>64.2</v>
      </c>
      <c r="D64" t="n">
        <v>85.2</v>
      </c>
      <c r="E64" t="n">
        <v>14.3</v>
      </c>
      <c r="F64" t="n">
        <v>1.4</v>
      </c>
      <c r="G64" t="n">
        <v>43.8</v>
      </c>
      <c r="H64" t="n">
        <v>79.5</v>
      </c>
      <c r="I64" t="n">
        <v>110.1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23</v>
      </c>
    </row>
    <row r="65">
      <c r="A65" s="8" t="n">
        <v>46113</v>
      </c>
      <c r="B65" t="n">
        <v>118.955</v>
      </c>
      <c r="C65" t="n">
        <v>64.2</v>
      </c>
      <c r="D65" t="n">
        <v>85.2</v>
      </c>
      <c r="E65" t="n">
        <v>14.3</v>
      </c>
      <c r="F65" t="n">
        <v>1.4</v>
      </c>
      <c r="G65" t="n">
        <v>43.8</v>
      </c>
      <c r="H65" t="n">
        <v>79.5</v>
      </c>
      <c r="I65" t="n">
        <v>110.1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23</v>
      </c>
    </row>
    <row r="66">
      <c r="A66" s="8" t="n">
        <v>46143</v>
      </c>
      <c r="B66" t="n">
        <v>118.955</v>
      </c>
      <c r="C66" t="n">
        <v>64.2</v>
      </c>
      <c r="D66" t="n">
        <v>85.2</v>
      </c>
      <c r="E66" t="n">
        <v>14.3</v>
      </c>
      <c r="F66" t="n">
        <v>1.4</v>
      </c>
      <c r="G66" t="n">
        <v>43.8</v>
      </c>
      <c r="H66" t="n">
        <v>79.5</v>
      </c>
      <c r="I66" t="n">
        <v>110.1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23</v>
      </c>
    </row>
    <row r="67">
      <c r="A67" s="8" t="n">
        <v>46174</v>
      </c>
      <c r="B67" t="n">
        <v>120.384</v>
      </c>
      <c r="C67" t="n">
        <v>64.2</v>
      </c>
      <c r="D67" t="n">
        <v>85.2</v>
      </c>
      <c r="E67" t="n">
        <v>14.3</v>
      </c>
      <c r="F67" t="n">
        <v>1.4</v>
      </c>
      <c r="G67" t="n">
        <v>43.8</v>
      </c>
      <c r="H67" t="n">
        <v>79.5</v>
      </c>
      <c r="I67" t="n">
        <v>110.1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23</v>
      </c>
    </row>
    <row r="68">
      <c r="A68" s="8" t="n">
        <v>46204</v>
      </c>
      <c r="B68" t="n">
        <v>120.384</v>
      </c>
      <c r="C68" t="n">
        <v>64.2</v>
      </c>
      <c r="D68" t="n">
        <v>85.2</v>
      </c>
      <c r="E68" t="n">
        <v>14.3</v>
      </c>
      <c r="F68" t="n">
        <v>4.65</v>
      </c>
      <c r="G68" t="n">
        <v>43.8</v>
      </c>
      <c r="H68" t="n">
        <v>77.09999999999999</v>
      </c>
      <c r="I68" t="n">
        <v>110.1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23</v>
      </c>
    </row>
    <row r="69">
      <c r="A69" s="8" t="n">
        <v>46235</v>
      </c>
      <c r="B69" t="n">
        <v>120.384</v>
      </c>
      <c r="C69" t="n">
        <v>64.2</v>
      </c>
      <c r="D69" t="n">
        <v>85.2</v>
      </c>
      <c r="E69" t="n">
        <v>14.3</v>
      </c>
      <c r="F69" t="n">
        <v>4.65</v>
      </c>
      <c r="G69" t="n">
        <v>43.8</v>
      </c>
      <c r="H69" t="n">
        <v>77.09999999999999</v>
      </c>
      <c r="I69" t="n">
        <v>110.1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23</v>
      </c>
    </row>
    <row r="70">
      <c r="A70" s="8" t="n">
        <v>46266</v>
      </c>
      <c r="B70" t="n">
        <v>120.384</v>
      </c>
      <c r="C70" t="n">
        <v>64.2</v>
      </c>
      <c r="D70" t="n">
        <v>85.2</v>
      </c>
      <c r="E70" t="n">
        <v>14.3</v>
      </c>
      <c r="F70" t="n">
        <v>4.65</v>
      </c>
      <c r="G70" t="n">
        <v>43.8</v>
      </c>
      <c r="H70" t="n">
        <v>77.09999999999999</v>
      </c>
      <c r="I70" t="n">
        <v>110.1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23</v>
      </c>
    </row>
    <row r="71">
      <c r="A71" s="8" t="n">
        <v>46296</v>
      </c>
      <c r="B71" t="n">
        <v>120.384</v>
      </c>
      <c r="C71" t="n">
        <v>64.2</v>
      </c>
      <c r="D71" t="n">
        <v>85.2</v>
      </c>
      <c r="E71" t="n">
        <v>14.3</v>
      </c>
      <c r="F71" t="n">
        <v>4.65</v>
      </c>
      <c r="G71" t="n">
        <v>43.8</v>
      </c>
      <c r="H71" t="n">
        <v>77.09999999999999</v>
      </c>
      <c r="I71" t="n">
        <v>110.1</v>
      </c>
      <c r="J71" t="n">
        <v>5.2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23</v>
      </c>
    </row>
    <row r="72">
      <c r="A72" s="8" t="n">
        <v>46327</v>
      </c>
      <c r="B72" t="n">
        <v>120.384</v>
      </c>
      <c r="C72" t="n">
        <v>64.2</v>
      </c>
      <c r="D72" t="n">
        <v>85.2</v>
      </c>
      <c r="E72" t="n">
        <v>14.3</v>
      </c>
      <c r="F72" t="n">
        <v>4.65</v>
      </c>
      <c r="G72" t="n">
        <v>43.8</v>
      </c>
      <c r="H72" t="n">
        <v>77.09999999999999</v>
      </c>
      <c r="I72" t="n">
        <v>110.1</v>
      </c>
      <c r="J72" t="n">
        <v>6.629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23</v>
      </c>
    </row>
    <row r="73">
      <c r="A73" s="8" t="n">
        <v>46357</v>
      </c>
      <c r="B73" t="n">
        <v>120.384</v>
      </c>
      <c r="C73" t="n">
        <v>64.2</v>
      </c>
      <c r="D73" t="n">
        <v>85.2</v>
      </c>
      <c r="E73" t="n">
        <v>14.3</v>
      </c>
      <c r="F73" t="n">
        <v>4.65</v>
      </c>
      <c r="G73" t="n">
        <v>43.8</v>
      </c>
      <c r="H73" t="n">
        <v>77.09999999999999</v>
      </c>
      <c r="I73" t="n">
        <v>110.1</v>
      </c>
      <c r="J73" t="n">
        <v>6.629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23</v>
      </c>
    </row>
    <row r="74">
      <c r="A74" s="8" t="n">
        <v>46388</v>
      </c>
      <c r="B74" t="n">
        <v>120.384</v>
      </c>
      <c r="C74" t="n">
        <v>64.2</v>
      </c>
      <c r="D74" t="n">
        <v>85.2</v>
      </c>
      <c r="E74" t="n">
        <v>14.3</v>
      </c>
      <c r="F74" t="n">
        <v>4.65</v>
      </c>
      <c r="G74" t="n">
        <v>43.8</v>
      </c>
      <c r="H74" t="n">
        <v>77.09999999999999</v>
      </c>
      <c r="I74" t="n">
        <v>110.1</v>
      </c>
      <c r="J74" t="n">
        <v>6.629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23</v>
      </c>
    </row>
    <row r="75">
      <c r="A75" s="8" t="n">
        <v>46419</v>
      </c>
      <c r="B75" t="n">
        <v>120.384</v>
      </c>
      <c r="C75" t="n">
        <v>64.2</v>
      </c>
      <c r="D75" t="n">
        <v>85.2</v>
      </c>
      <c r="E75" t="n">
        <v>14.3</v>
      </c>
      <c r="F75" t="n">
        <v>4.65</v>
      </c>
      <c r="G75" t="n">
        <v>43.8</v>
      </c>
      <c r="H75" t="n">
        <v>77.09999999999999</v>
      </c>
      <c r="I75" t="n">
        <v>110.1</v>
      </c>
      <c r="J75" t="n">
        <v>6.629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23</v>
      </c>
    </row>
    <row r="76">
      <c r="A76" s="8" t="n">
        <v>46447</v>
      </c>
      <c r="B76" t="n">
        <v>120.384</v>
      </c>
      <c r="C76" t="n">
        <v>64.2</v>
      </c>
      <c r="D76" t="n">
        <v>85.2</v>
      </c>
      <c r="E76" t="n">
        <v>14.3</v>
      </c>
      <c r="F76" t="n">
        <v>4.65</v>
      </c>
      <c r="G76" t="n">
        <v>43.8</v>
      </c>
      <c r="H76" t="n">
        <v>77.09999999999999</v>
      </c>
      <c r="I76" t="n">
        <v>110.1</v>
      </c>
      <c r="J76" t="n">
        <v>6.629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23</v>
      </c>
    </row>
    <row r="77">
      <c r="A77" s="8" t="n">
        <v>46478</v>
      </c>
      <c r="B77" t="n">
        <v>120.384</v>
      </c>
      <c r="C77" t="n">
        <v>64.2</v>
      </c>
      <c r="D77" t="n">
        <v>85.2</v>
      </c>
      <c r="E77" t="n">
        <v>14.3</v>
      </c>
      <c r="F77" t="n">
        <v>4.65</v>
      </c>
      <c r="G77" t="n">
        <v>43.8</v>
      </c>
      <c r="H77" t="n">
        <v>77.09999999999999</v>
      </c>
      <c r="I77" t="n">
        <v>110.1</v>
      </c>
      <c r="J77" t="n">
        <v>11.829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23</v>
      </c>
    </row>
    <row r="78">
      <c r="A78" s="8" t="n">
        <v>46508</v>
      </c>
      <c r="B78" t="n">
        <v>120.384</v>
      </c>
      <c r="C78" t="n">
        <v>64.2</v>
      </c>
      <c r="D78" t="n">
        <v>85.2</v>
      </c>
      <c r="E78" t="n">
        <v>14.3</v>
      </c>
      <c r="F78" t="n">
        <v>4.65</v>
      </c>
      <c r="G78" t="n">
        <v>43.8</v>
      </c>
      <c r="H78" t="n">
        <v>77.09999999999999</v>
      </c>
      <c r="I78" t="n">
        <v>110.1</v>
      </c>
      <c r="J78" t="n">
        <v>11.829</v>
      </c>
      <c r="K78" t="n">
        <v>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23</v>
      </c>
    </row>
    <row r="79">
      <c r="A79" s="8" t="n">
        <v>46539</v>
      </c>
      <c r="B79" t="n">
        <v>120.384</v>
      </c>
      <c r="C79" t="n">
        <v>64.2</v>
      </c>
      <c r="D79" t="n">
        <v>85.2</v>
      </c>
      <c r="E79" t="n">
        <v>14.3</v>
      </c>
      <c r="F79" t="n">
        <v>4.65</v>
      </c>
      <c r="G79" t="n">
        <v>43.8</v>
      </c>
      <c r="H79" t="n">
        <v>77.09999999999999</v>
      </c>
      <c r="I79" t="n">
        <v>110.1</v>
      </c>
      <c r="J79" t="n">
        <v>11.829</v>
      </c>
      <c r="K79" t="n">
        <v>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23</v>
      </c>
    </row>
    <row r="80">
      <c r="A80" s="8" t="n">
        <v>46569</v>
      </c>
      <c r="B80" t="n">
        <v>120.384</v>
      </c>
      <c r="C80" t="n">
        <v>64.2</v>
      </c>
      <c r="D80" t="n">
        <v>85.2</v>
      </c>
      <c r="E80" t="n">
        <v>14.3</v>
      </c>
      <c r="F80" t="n">
        <v>4.65</v>
      </c>
      <c r="G80" t="n">
        <v>43.8</v>
      </c>
      <c r="H80" t="n">
        <v>77.09999999999999</v>
      </c>
      <c r="I80" t="n">
        <v>110.1</v>
      </c>
      <c r="J80" t="n">
        <v>34.629</v>
      </c>
      <c r="K80" t="n">
        <v>8</v>
      </c>
      <c r="L80" t="n">
        <v>0</v>
      </c>
      <c r="M80" t="n">
        <v>2.1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23</v>
      </c>
    </row>
    <row r="81">
      <c r="A81" s="8" t="n">
        <v>46600</v>
      </c>
      <c r="B81" t="n">
        <v>120.384</v>
      </c>
      <c r="C81" t="n">
        <v>64.2</v>
      </c>
      <c r="D81" t="n">
        <v>85.2</v>
      </c>
      <c r="E81" t="n">
        <v>14.3</v>
      </c>
      <c r="F81" t="n">
        <v>4.65</v>
      </c>
      <c r="G81" t="n">
        <v>43.8</v>
      </c>
      <c r="H81" t="n">
        <v>77.09999999999999</v>
      </c>
      <c r="I81" t="n">
        <v>110.1</v>
      </c>
      <c r="J81" t="n">
        <v>34.629</v>
      </c>
      <c r="K81" t="n">
        <v>8</v>
      </c>
      <c r="L81" t="n">
        <v>0</v>
      </c>
      <c r="M81" t="n">
        <v>2.1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23</v>
      </c>
    </row>
    <row r="82">
      <c r="A82" s="8" t="n">
        <v>46631</v>
      </c>
      <c r="B82" t="n">
        <v>120.384</v>
      </c>
      <c r="C82" t="n">
        <v>64.2</v>
      </c>
      <c r="D82" t="n">
        <v>85.2</v>
      </c>
      <c r="E82" t="n">
        <v>14.3</v>
      </c>
      <c r="F82" t="n">
        <v>4.65</v>
      </c>
      <c r="G82" t="n">
        <v>43.8</v>
      </c>
      <c r="H82" t="n">
        <v>77.09999999999999</v>
      </c>
      <c r="I82" t="n">
        <v>110.1</v>
      </c>
      <c r="J82" t="n">
        <v>34.629</v>
      </c>
      <c r="K82" t="n">
        <v>8</v>
      </c>
      <c r="L82" t="n">
        <v>0</v>
      </c>
      <c r="M82" t="n">
        <v>2.1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23</v>
      </c>
    </row>
    <row r="83">
      <c r="A83" s="8" t="n">
        <v>46661</v>
      </c>
      <c r="B83" t="n">
        <v>120.384</v>
      </c>
      <c r="C83" t="n">
        <v>64.2</v>
      </c>
      <c r="D83" t="n">
        <v>85.2</v>
      </c>
      <c r="E83" t="n">
        <v>14.3</v>
      </c>
      <c r="F83" t="n">
        <v>4.65</v>
      </c>
      <c r="G83" t="n">
        <v>43.8</v>
      </c>
      <c r="H83" t="n">
        <v>77.09999999999999</v>
      </c>
      <c r="I83" t="n">
        <v>110.1</v>
      </c>
      <c r="J83" t="n">
        <v>49.029</v>
      </c>
      <c r="K83" t="n">
        <v>8</v>
      </c>
      <c r="L83" t="n">
        <v>0</v>
      </c>
      <c r="M83" t="n">
        <v>2.1</v>
      </c>
      <c r="N83" t="n">
        <v>0</v>
      </c>
      <c r="O83" t="n">
        <v>0</v>
      </c>
      <c r="P83" t="n">
        <v>0</v>
      </c>
      <c r="Q83" t="n">
        <v>2.45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23</v>
      </c>
    </row>
    <row r="84">
      <c r="A84" s="8" t="n">
        <v>46692</v>
      </c>
      <c r="B84" t="n">
        <v>120.384</v>
      </c>
      <c r="C84" t="n">
        <v>64.2</v>
      </c>
      <c r="D84" t="n">
        <v>85.2</v>
      </c>
      <c r="E84" t="n">
        <v>14.3</v>
      </c>
      <c r="F84" t="n">
        <v>4.65</v>
      </c>
      <c r="G84" t="n">
        <v>43.8</v>
      </c>
      <c r="H84" t="n">
        <v>77.09999999999999</v>
      </c>
      <c r="I84" t="n">
        <v>110.1</v>
      </c>
      <c r="J84" t="n">
        <v>49.029</v>
      </c>
      <c r="K84" t="n">
        <v>8</v>
      </c>
      <c r="L84" t="n">
        <v>0</v>
      </c>
      <c r="M84" t="n">
        <v>2.1</v>
      </c>
      <c r="N84" t="n">
        <v>0</v>
      </c>
      <c r="O84" t="n">
        <v>0</v>
      </c>
      <c r="P84" t="n">
        <v>0</v>
      </c>
      <c r="Q84" t="n">
        <v>2.45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23</v>
      </c>
    </row>
    <row r="85">
      <c r="A85" s="8" t="n">
        <v>46722</v>
      </c>
      <c r="B85" t="n">
        <v>120.384</v>
      </c>
      <c r="C85" t="n">
        <v>64.2</v>
      </c>
      <c r="D85" t="n">
        <v>85.2</v>
      </c>
      <c r="E85" t="n">
        <v>14.3</v>
      </c>
      <c r="F85" t="n">
        <v>4.65</v>
      </c>
      <c r="G85" t="n">
        <v>43.8</v>
      </c>
      <c r="H85" t="n">
        <v>77.09999999999999</v>
      </c>
      <c r="I85" t="n">
        <v>110.1</v>
      </c>
      <c r="J85" t="n">
        <v>49.029</v>
      </c>
      <c r="K85" t="n">
        <v>8</v>
      </c>
      <c r="L85" t="n">
        <v>0</v>
      </c>
      <c r="M85" t="n">
        <v>2.1</v>
      </c>
      <c r="N85" t="n">
        <v>0</v>
      </c>
      <c r="O85" t="n">
        <v>0</v>
      </c>
      <c r="P85" t="n">
        <v>0</v>
      </c>
      <c r="Q85" t="n">
        <v>2.45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23</v>
      </c>
    </row>
    <row r="86">
      <c r="A86" s="8" t="n">
        <v>46753</v>
      </c>
      <c r="B86" t="n">
        <v>120.384</v>
      </c>
      <c r="C86" t="n">
        <v>64.2</v>
      </c>
      <c r="D86" t="n">
        <v>85.2</v>
      </c>
      <c r="E86" t="n">
        <v>14.3</v>
      </c>
      <c r="F86" t="n">
        <v>4.65</v>
      </c>
      <c r="G86" t="n">
        <v>43.8</v>
      </c>
      <c r="H86" t="n">
        <v>77.09999999999999</v>
      </c>
      <c r="I86" t="n">
        <v>110.1</v>
      </c>
      <c r="J86" t="n">
        <v>49.029</v>
      </c>
      <c r="K86" t="n">
        <v>8</v>
      </c>
      <c r="L86" t="n">
        <v>0</v>
      </c>
      <c r="M86" t="n">
        <v>2.1</v>
      </c>
      <c r="N86" t="n">
        <v>0</v>
      </c>
      <c r="O86" t="n">
        <v>0</v>
      </c>
      <c r="P86" t="n">
        <v>0</v>
      </c>
      <c r="Q86" t="n">
        <v>2.45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23</v>
      </c>
    </row>
    <row r="87">
      <c r="A87" s="8" t="n">
        <v>46784</v>
      </c>
      <c r="B87" t="n">
        <v>120.384</v>
      </c>
      <c r="C87" t="n">
        <v>64.2</v>
      </c>
      <c r="D87" t="n">
        <v>85.2</v>
      </c>
      <c r="E87" t="n">
        <v>14.3</v>
      </c>
      <c r="F87" t="n">
        <v>4.65</v>
      </c>
      <c r="G87" t="n">
        <v>43.8</v>
      </c>
      <c r="H87" t="n">
        <v>77.09999999999999</v>
      </c>
      <c r="I87" t="n">
        <v>110.1</v>
      </c>
      <c r="J87" t="n">
        <v>49.029</v>
      </c>
      <c r="K87" t="n">
        <v>8</v>
      </c>
      <c r="L87" t="n">
        <v>0</v>
      </c>
      <c r="M87" t="n">
        <v>2.1</v>
      </c>
      <c r="N87" t="n">
        <v>0</v>
      </c>
      <c r="O87" t="n">
        <v>0</v>
      </c>
      <c r="P87" t="n">
        <v>0</v>
      </c>
      <c r="Q87" t="n">
        <v>2.45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23</v>
      </c>
    </row>
    <row r="88">
      <c r="A88" s="8" t="n">
        <v>46813</v>
      </c>
      <c r="B88" t="n">
        <v>120.384</v>
      </c>
      <c r="C88" t="n">
        <v>64.2</v>
      </c>
      <c r="D88" t="n">
        <v>85.2</v>
      </c>
      <c r="E88" t="n">
        <v>14.3</v>
      </c>
      <c r="F88" t="n">
        <v>4.65</v>
      </c>
      <c r="G88" t="n">
        <v>43.8</v>
      </c>
      <c r="H88" t="n">
        <v>77.09999999999999</v>
      </c>
      <c r="I88" t="n">
        <v>110.1</v>
      </c>
      <c r="J88" t="n">
        <v>49.029</v>
      </c>
      <c r="K88" t="n">
        <v>8</v>
      </c>
      <c r="L88" t="n">
        <v>0</v>
      </c>
      <c r="M88" t="n">
        <v>2.1</v>
      </c>
      <c r="N88" t="n">
        <v>0</v>
      </c>
      <c r="O88" t="n">
        <v>0</v>
      </c>
      <c r="P88" t="n">
        <v>0</v>
      </c>
      <c r="Q88" t="n">
        <v>2.45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23</v>
      </c>
    </row>
    <row r="89">
      <c r="A89" s="8" t="n">
        <v>46844</v>
      </c>
      <c r="B89" t="n">
        <v>120.384</v>
      </c>
      <c r="C89" t="n">
        <v>64.2</v>
      </c>
      <c r="D89" t="n">
        <v>85.2</v>
      </c>
      <c r="E89" t="n">
        <v>14.3</v>
      </c>
      <c r="F89" t="n">
        <v>4.65</v>
      </c>
      <c r="G89" t="n">
        <v>43.8</v>
      </c>
      <c r="H89" t="n">
        <v>77.09999999999999</v>
      </c>
      <c r="I89" t="n">
        <v>110.1</v>
      </c>
      <c r="J89" t="n">
        <v>49.029</v>
      </c>
      <c r="K89" t="n">
        <v>8</v>
      </c>
      <c r="L89" t="n">
        <v>0</v>
      </c>
      <c r="M89" t="n">
        <v>2.1</v>
      </c>
      <c r="N89" t="n">
        <v>0</v>
      </c>
      <c r="O89" t="n">
        <v>0</v>
      </c>
      <c r="P89" t="n">
        <v>0</v>
      </c>
      <c r="Q89" t="n">
        <v>2.45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23</v>
      </c>
    </row>
    <row r="90">
      <c r="A90" s="8" t="n">
        <v>46874</v>
      </c>
      <c r="B90" t="n">
        <v>120.384</v>
      </c>
      <c r="C90" t="n">
        <v>64.2</v>
      </c>
      <c r="D90" t="n">
        <v>85.2</v>
      </c>
      <c r="E90" t="n">
        <v>14.3</v>
      </c>
      <c r="F90" t="n">
        <v>4.65</v>
      </c>
      <c r="G90" t="n">
        <v>43.8</v>
      </c>
      <c r="H90" t="n">
        <v>77.09999999999999</v>
      </c>
      <c r="I90" t="n">
        <v>110.1</v>
      </c>
      <c r="J90" t="n">
        <v>49.029</v>
      </c>
      <c r="K90" t="n">
        <v>8</v>
      </c>
      <c r="L90" t="n">
        <v>0</v>
      </c>
      <c r="M90" t="n">
        <v>2.1</v>
      </c>
      <c r="N90" t="n">
        <v>0</v>
      </c>
      <c r="O90" t="n">
        <v>0</v>
      </c>
      <c r="P90" t="n">
        <v>0</v>
      </c>
      <c r="Q90" t="n">
        <v>2.45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23</v>
      </c>
    </row>
    <row r="91">
      <c r="A91" s="8" t="n">
        <v>46905</v>
      </c>
      <c r="B91" t="n">
        <v>120.384</v>
      </c>
      <c r="C91" t="n">
        <v>64.2</v>
      </c>
      <c r="D91" t="n">
        <v>85.2</v>
      </c>
      <c r="E91" t="n">
        <v>14.3</v>
      </c>
      <c r="F91" t="n">
        <v>4.65</v>
      </c>
      <c r="G91" t="n">
        <v>43.8</v>
      </c>
      <c r="H91" t="n">
        <v>77.09999999999999</v>
      </c>
      <c r="I91" t="n">
        <v>110.1</v>
      </c>
      <c r="J91" t="n">
        <v>49.029</v>
      </c>
      <c r="K91" t="n">
        <v>8</v>
      </c>
      <c r="L91" t="n">
        <v>0</v>
      </c>
      <c r="M91" t="n">
        <v>2.1</v>
      </c>
      <c r="N91" t="n">
        <v>0</v>
      </c>
      <c r="O91" t="n">
        <v>0</v>
      </c>
      <c r="P91" t="n">
        <v>0</v>
      </c>
      <c r="Q91" t="n">
        <v>2.45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23</v>
      </c>
    </row>
    <row r="92">
      <c r="A92" s="8" t="n">
        <v>46935</v>
      </c>
      <c r="B92" t="n">
        <v>120.384</v>
      </c>
      <c r="C92" t="n">
        <v>64.2</v>
      </c>
      <c r="D92" t="n">
        <v>85.2</v>
      </c>
      <c r="E92" t="n">
        <v>14.3</v>
      </c>
      <c r="F92" t="n">
        <v>4.65</v>
      </c>
      <c r="G92" t="n">
        <v>43.8</v>
      </c>
      <c r="H92" t="n">
        <v>77.09999999999999</v>
      </c>
      <c r="I92" t="n">
        <v>110.1</v>
      </c>
      <c r="J92" t="n">
        <v>57.409</v>
      </c>
      <c r="K92" t="n">
        <v>8</v>
      </c>
      <c r="L92" t="n">
        <v>0</v>
      </c>
      <c r="M92" t="n">
        <v>2.1</v>
      </c>
      <c r="N92" t="n">
        <v>0</v>
      </c>
      <c r="O92" t="n">
        <v>0</v>
      </c>
      <c r="P92" t="n">
        <v>3.6</v>
      </c>
      <c r="Q92" t="n">
        <v>13.05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23</v>
      </c>
    </row>
    <row r="93">
      <c r="A93" s="8" t="n">
        <v>46966</v>
      </c>
      <c r="B93" t="n">
        <v>120.384</v>
      </c>
      <c r="C93" t="n">
        <v>64.2</v>
      </c>
      <c r="D93" t="n">
        <v>85.2</v>
      </c>
      <c r="E93" t="n">
        <v>14.3</v>
      </c>
      <c r="F93" t="n">
        <v>4.65</v>
      </c>
      <c r="G93" t="n">
        <v>43.8</v>
      </c>
      <c r="H93" t="n">
        <v>77.09999999999999</v>
      </c>
      <c r="I93" t="n">
        <v>110.1</v>
      </c>
      <c r="J93" t="n">
        <v>57.409</v>
      </c>
      <c r="K93" t="n">
        <v>8</v>
      </c>
      <c r="L93" t="n">
        <v>0</v>
      </c>
      <c r="M93" t="n">
        <v>2.1</v>
      </c>
      <c r="N93" t="n">
        <v>0</v>
      </c>
      <c r="O93" t="n">
        <v>0</v>
      </c>
      <c r="P93" t="n">
        <v>3.6</v>
      </c>
      <c r="Q93" t="n">
        <v>13.05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23</v>
      </c>
    </row>
    <row r="94">
      <c r="A94" s="8" t="n">
        <v>46997</v>
      </c>
      <c r="B94" t="n">
        <v>120.384</v>
      </c>
      <c r="C94" t="n">
        <v>64.2</v>
      </c>
      <c r="D94" t="n">
        <v>85.2</v>
      </c>
      <c r="E94" t="n">
        <v>14.3</v>
      </c>
      <c r="F94" t="n">
        <v>4.65</v>
      </c>
      <c r="G94" t="n">
        <v>43.8</v>
      </c>
      <c r="H94" t="n">
        <v>77.09999999999999</v>
      </c>
      <c r="I94" t="n">
        <v>110.1</v>
      </c>
      <c r="J94" t="n">
        <v>57.409</v>
      </c>
      <c r="K94" t="n">
        <v>8</v>
      </c>
      <c r="L94" t="n">
        <v>0</v>
      </c>
      <c r="M94" t="n">
        <v>2.1</v>
      </c>
      <c r="N94" t="n">
        <v>0</v>
      </c>
      <c r="O94" t="n">
        <v>0</v>
      </c>
      <c r="P94" t="n">
        <v>3.6</v>
      </c>
      <c r="Q94" t="n">
        <v>13.05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23</v>
      </c>
    </row>
    <row r="95">
      <c r="A95" s="8" t="n">
        <v>47027</v>
      </c>
      <c r="B95" t="n">
        <v>120.384</v>
      </c>
      <c r="C95" t="n">
        <v>64.2</v>
      </c>
      <c r="D95" t="n">
        <v>85.2</v>
      </c>
      <c r="E95" t="n">
        <v>14.3</v>
      </c>
      <c r="F95" t="n">
        <v>4.65</v>
      </c>
      <c r="G95" t="n">
        <v>43.8</v>
      </c>
      <c r="H95" t="n">
        <v>77.09999999999999</v>
      </c>
      <c r="I95" t="n">
        <v>110.1</v>
      </c>
      <c r="J95" t="n">
        <v>57.409</v>
      </c>
      <c r="K95" t="n">
        <v>8</v>
      </c>
      <c r="L95" t="n">
        <v>0</v>
      </c>
      <c r="M95" t="n">
        <v>2.1</v>
      </c>
      <c r="N95" t="n">
        <v>0</v>
      </c>
      <c r="O95" t="n">
        <v>0</v>
      </c>
      <c r="P95" t="n">
        <v>3.6</v>
      </c>
      <c r="Q95" t="n">
        <v>16.55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23</v>
      </c>
    </row>
    <row r="96">
      <c r="A96" s="8" t="n">
        <v>47058</v>
      </c>
      <c r="B96" t="n">
        <v>120.384</v>
      </c>
      <c r="C96" t="n">
        <v>64.2</v>
      </c>
      <c r="D96" t="n">
        <v>85.2</v>
      </c>
      <c r="E96" t="n">
        <v>14.3</v>
      </c>
      <c r="F96" t="n">
        <v>4.65</v>
      </c>
      <c r="G96" t="n">
        <v>43.8</v>
      </c>
      <c r="H96" t="n">
        <v>77.09999999999999</v>
      </c>
      <c r="I96" t="n">
        <v>110.1</v>
      </c>
      <c r="J96" t="n">
        <v>57.409</v>
      </c>
      <c r="K96" t="n">
        <v>8</v>
      </c>
      <c r="L96" t="n">
        <v>0</v>
      </c>
      <c r="M96" t="n">
        <v>2.1</v>
      </c>
      <c r="N96" t="n">
        <v>0</v>
      </c>
      <c r="O96" t="n">
        <v>0</v>
      </c>
      <c r="P96" t="n">
        <v>3.6</v>
      </c>
      <c r="Q96" t="n">
        <v>16.55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23</v>
      </c>
    </row>
    <row r="97">
      <c r="A97" s="8" t="n">
        <v>47088</v>
      </c>
      <c r="B97" t="n">
        <v>120.384</v>
      </c>
      <c r="C97" t="n">
        <v>64.2</v>
      </c>
      <c r="D97" t="n">
        <v>85.2</v>
      </c>
      <c r="E97" t="n">
        <v>14.3</v>
      </c>
      <c r="F97" t="n">
        <v>4.65</v>
      </c>
      <c r="G97" t="n">
        <v>43.8</v>
      </c>
      <c r="H97" t="n">
        <v>77.09999999999999</v>
      </c>
      <c r="I97" t="n">
        <v>110.1</v>
      </c>
      <c r="J97" t="n">
        <v>57.409</v>
      </c>
      <c r="K97" t="n">
        <v>8</v>
      </c>
      <c r="L97" t="n">
        <v>0</v>
      </c>
      <c r="M97" t="n">
        <v>2.1</v>
      </c>
      <c r="N97" t="n">
        <v>0</v>
      </c>
      <c r="O97" t="n">
        <v>0</v>
      </c>
      <c r="P97" t="n">
        <v>3.6</v>
      </c>
      <c r="Q97" t="n">
        <v>16.55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23</v>
      </c>
    </row>
    <row r="98">
      <c r="A98" s="8" t="n">
        <v>47119</v>
      </c>
      <c r="B98" t="n">
        <v>120.384</v>
      </c>
      <c r="C98" t="n">
        <v>64.2</v>
      </c>
      <c r="D98" t="n">
        <v>85.2</v>
      </c>
      <c r="E98" t="n">
        <v>14.3</v>
      </c>
      <c r="F98" t="n">
        <v>4.65</v>
      </c>
      <c r="G98" t="n">
        <v>43.8</v>
      </c>
      <c r="H98" t="n">
        <v>77.09999999999999</v>
      </c>
      <c r="I98" t="n">
        <v>110.1</v>
      </c>
      <c r="J98" t="n">
        <v>57.409</v>
      </c>
      <c r="K98" t="n">
        <v>8</v>
      </c>
      <c r="L98" t="n">
        <v>0</v>
      </c>
      <c r="M98" t="n">
        <v>2.1</v>
      </c>
      <c r="N98" t="n">
        <v>0</v>
      </c>
      <c r="O98" t="n">
        <v>0</v>
      </c>
      <c r="P98" t="n">
        <v>3.6</v>
      </c>
      <c r="Q98" t="n">
        <v>16.55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23</v>
      </c>
    </row>
    <row r="99">
      <c r="A99" s="8" t="n">
        <v>47150</v>
      </c>
      <c r="B99" t="n">
        <v>120.384</v>
      </c>
      <c r="C99" t="n">
        <v>64.2</v>
      </c>
      <c r="D99" t="n">
        <v>85.2</v>
      </c>
      <c r="E99" t="n">
        <v>14.3</v>
      </c>
      <c r="F99" t="n">
        <v>4.65</v>
      </c>
      <c r="G99" t="n">
        <v>43.8</v>
      </c>
      <c r="H99" t="n">
        <v>77.09999999999999</v>
      </c>
      <c r="I99" t="n">
        <v>110.1</v>
      </c>
      <c r="J99" t="n">
        <v>57.409</v>
      </c>
      <c r="K99" t="n">
        <v>8</v>
      </c>
      <c r="L99" t="n">
        <v>0</v>
      </c>
      <c r="M99" t="n">
        <v>2.1</v>
      </c>
      <c r="N99" t="n">
        <v>0</v>
      </c>
      <c r="O99" t="n">
        <v>0</v>
      </c>
      <c r="P99" t="n">
        <v>3.6</v>
      </c>
      <c r="Q99" t="n">
        <v>16.55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23</v>
      </c>
    </row>
    <row r="100">
      <c r="A100" s="8" t="n">
        <v>47178</v>
      </c>
      <c r="B100" t="n">
        <v>120.384</v>
      </c>
      <c r="C100" t="n">
        <v>64.2</v>
      </c>
      <c r="D100" t="n">
        <v>85.2</v>
      </c>
      <c r="E100" t="n">
        <v>14.3</v>
      </c>
      <c r="F100" t="n">
        <v>4.65</v>
      </c>
      <c r="G100" t="n">
        <v>43.8</v>
      </c>
      <c r="H100" t="n">
        <v>77.09999999999999</v>
      </c>
      <c r="I100" t="n">
        <v>110.1</v>
      </c>
      <c r="J100" t="n">
        <v>57.409</v>
      </c>
      <c r="K100" t="n">
        <v>8</v>
      </c>
      <c r="L100" t="n">
        <v>0</v>
      </c>
      <c r="M100" t="n">
        <v>2.1</v>
      </c>
      <c r="N100" t="n">
        <v>0</v>
      </c>
      <c r="O100" t="n">
        <v>0</v>
      </c>
      <c r="P100" t="n">
        <v>3.6</v>
      </c>
      <c r="Q100" t="n">
        <v>16.55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23</v>
      </c>
    </row>
    <row r="101">
      <c r="A101" s="8" t="n">
        <v>47209</v>
      </c>
      <c r="B101" t="n">
        <v>120.384</v>
      </c>
      <c r="C101" t="n">
        <v>64.2</v>
      </c>
      <c r="D101" t="n">
        <v>85.2</v>
      </c>
      <c r="E101" t="n">
        <v>14.3</v>
      </c>
      <c r="F101" t="n">
        <v>4.65</v>
      </c>
      <c r="G101" t="n">
        <v>43.8</v>
      </c>
      <c r="H101" t="n">
        <v>77.09999999999999</v>
      </c>
      <c r="I101" t="n">
        <v>110.1</v>
      </c>
      <c r="J101" t="n">
        <v>63.009</v>
      </c>
      <c r="K101" t="n">
        <v>8</v>
      </c>
      <c r="L101" t="n">
        <v>0</v>
      </c>
      <c r="M101" t="n">
        <v>2.1</v>
      </c>
      <c r="N101" t="n">
        <v>0</v>
      </c>
      <c r="O101" t="n">
        <v>0</v>
      </c>
      <c r="P101" t="n">
        <v>3.6</v>
      </c>
      <c r="Q101" t="n">
        <v>16.55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23</v>
      </c>
    </row>
    <row r="102">
      <c r="A102" s="8" t="n">
        <v>47239</v>
      </c>
      <c r="B102" t="n">
        <v>120.384</v>
      </c>
      <c r="C102" t="n">
        <v>64.2</v>
      </c>
      <c r="D102" t="n">
        <v>85.2</v>
      </c>
      <c r="E102" t="n">
        <v>14.3</v>
      </c>
      <c r="F102" t="n">
        <v>4.65</v>
      </c>
      <c r="G102" t="n">
        <v>43.8</v>
      </c>
      <c r="H102" t="n">
        <v>77.09999999999999</v>
      </c>
      <c r="I102" t="n">
        <v>110.1</v>
      </c>
      <c r="J102" t="n">
        <v>63.009</v>
      </c>
      <c r="K102" t="n">
        <v>8</v>
      </c>
      <c r="L102" t="n">
        <v>0</v>
      </c>
      <c r="M102" t="n">
        <v>2.1</v>
      </c>
      <c r="N102" t="n">
        <v>0</v>
      </c>
      <c r="O102" t="n">
        <v>0</v>
      </c>
      <c r="P102" t="n">
        <v>3.6</v>
      </c>
      <c r="Q102" t="n">
        <v>16.55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23</v>
      </c>
    </row>
    <row r="103">
      <c r="A103" s="8" t="n">
        <v>47270</v>
      </c>
      <c r="B103" t="n">
        <v>120.384</v>
      </c>
      <c r="C103" t="n">
        <v>64.2</v>
      </c>
      <c r="D103" t="n">
        <v>85.2</v>
      </c>
      <c r="E103" t="n">
        <v>14.3</v>
      </c>
      <c r="F103" t="n">
        <v>4.65</v>
      </c>
      <c r="G103" t="n">
        <v>43.8</v>
      </c>
      <c r="H103" t="n">
        <v>77.09999999999999</v>
      </c>
      <c r="I103" t="n">
        <v>110.1</v>
      </c>
      <c r="J103" t="n">
        <v>63.009</v>
      </c>
      <c r="K103" t="n">
        <v>8</v>
      </c>
      <c r="L103" t="n">
        <v>0</v>
      </c>
      <c r="M103" t="n">
        <v>2.1</v>
      </c>
      <c r="N103" t="n">
        <v>0</v>
      </c>
      <c r="O103" t="n">
        <v>0</v>
      </c>
      <c r="P103" t="n">
        <v>3.6</v>
      </c>
      <c r="Q103" t="n">
        <v>16.55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23</v>
      </c>
    </row>
    <row r="104">
      <c r="A104" s="8" t="n">
        <v>47300</v>
      </c>
      <c r="B104" t="n">
        <v>120.384</v>
      </c>
      <c r="C104" t="n">
        <v>64.2</v>
      </c>
      <c r="D104" t="n">
        <v>85.2</v>
      </c>
      <c r="E104" t="n">
        <v>14.3</v>
      </c>
      <c r="F104" t="n">
        <v>4.65</v>
      </c>
      <c r="G104" t="n">
        <v>43.8</v>
      </c>
      <c r="H104" t="n">
        <v>77.09999999999999</v>
      </c>
      <c r="I104" t="n">
        <v>110.1</v>
      </c>
      <c r="J104" t="n">
        <v>79.569</v>
      </c>
      <c r="K104" t="n">
        <v>8</v>
      </c>
      <c r="L104" t="n">
        <v>0</v>
      </c>
      <c r="M104" t="n">
        <v>2.1</v>
      </c>
      <c r="N104" t="n">
        <v>0</v>
      </c>
      <c r="O104" t="n">
        <v>0</v>
      </c>
      <c r="P104" t="n">
        <v>16.72</v>
      </c>
      <c r="Q104" t="n">
        <v>20.05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23</v>
      </c>
    </row>
    <row r="105">
      <c r="A105" s="8" t="n">
        <v>47331</v>
      </c>
      <c r="B105" t="n">
        <v>120.384</v>
      </c>
      <c r="C105" t="n">
        <v>64.2</v>
      </c>
      <c r="D105" t="n">
        <v>85.2</v>
      </c>
      <c r="E105" t="n">
        <v>14.3</v>
      </c>
      <c r="F105" t="n">
        <v>4.65</v>
      </c>
      <c r="G105" t="n">
        <v>43.8</v>
      </c>
      <c r="H105" t="n">
        <v>77.09999999999999</v>
      </c>
      <c r="I105" t="n">
        <v>110.1</v>
      </c>
      <c r="J105" t="n">
        <v>79.569</v>
      </c>
      <c r="K105" t="n">
        <v>8</v>
      </c>
      <c r="L105" t="n">
        <v>0</v>
      </c>
      <c r="M105" t="n">
        <v>2.1</v>
      </c>
      <c r="N105" t="n">
        <v>0</v>
      </c>
      <c r="O105" t="n">
        <v>0</v>
      </c>
      <c r="P105" t="n">
        <v>16.72</v>
      </c>
      <c r="Q105" t="n">
        <v>20.05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23</v>
      </c>
    </row>
    <row r="106">
      <c r="A106" s="8" t="n">
        <v>47362</v>
      </c>
      <c r="B106" t="n">
        <v>120.384</v>
      </c>
      <c r="C106" t="n">
        <v>64.2</v>
      </c>
      <c r="D106" t="n">
        <v>85.2</v>
      </c>
      <c r="E106" t="n">
        <v>14.3</v>
      </c>
      <c r="F106" t="n">
        <v>4.65</v>
      </c>
      <c r="G106" t="n">
        <v>43.8</v>
      </c>
      <c r="H106" t="n">
        <v>77.09999999999999</v>
      </c>
      <c r="I106" t="n">
        <v>110.1</v>
      </c>
      <c r="J106" t="n">
        <v>79.569</v>
      </c>
      <c r="K106" t="n">
        <v>8</v>
      </c>
      <c r="L106" t="n">
        <v>0</v>
      </c>
      <c r="M106" t="n">
        <v>2.1</v>
      </c>
      <c r="N106" t="n">
        <v>0</v>
      </c>
      <c r="O106" t="n">
        <v>0</v>
      </c>
      <c r="P106" t="n">
        <v>16.72</v>
      </c>
      <c r="Q106" t="n">
        <v>20.05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23</v>
      </c>
    </row>
    <row r="107">
      <c r="A107" s="8" t="n">
        <v>47392</v>
      </c>
      <c r="B107" t="n">
        <v>120.384</v>
      </c>
      <c r="C107" t="n">
        <v>64.2</v>
      </c>
      <c r="D107" t="n">
        <v>85.2</v>
      </c>
      <c r="E107" t="n">
        <v>14.3</v>
      </c>
      <c r="F107" t="n">
        <v>4.65</v>
      </c>
      <c r="G107" t="n">
        <v>43.8</v>
      </c>
      <c r="H107" t="n">
        <v>77.09999999999999</v>
      </c>
      <c r="I107" t="n">
        <v>110.1</v>
      </c>
      <c r="J107" t="n">
        <v>79.569</v>
      </c>
      <c r="K107" t="n">
        <v>8</v>
      </c>
      <c r="L107" t="n">
        <v>0</v>
      </c>
      <c r="M107" t="n">
        <v>2.1</v>
      </c>
      <c r="N107" t="n">
        <v>0</v>
      </c>
      <c r="O107" t="n">
        <v>0</v>
      </c>
      <c r="P107" t="n">
        <v>16.72</v>
      </c>
      <c r="Q107" t="n">
        <v>20.05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23</v>
      </c>
    </row>
    <row r="108">
      <c r="A108" s="8" t="n">
        <v>47423</v>
      </c>
      <c r="B108" t="n">
        <v>120.384</v>
      </c>
      <c r="C108" t="n">
        <v>64.2</v>
      </c>
      <c r="D108" t="n">
        <v>85.2</v>
      </c>
      <c r="E108" t="n">
        <v>14.3</v>
      </c>
      <c r="F108" t="n">
        <v>4.65</v>
      </c>
      <c r="G108" t="n">
        <v>43.8</v>
      </c>
      <c r="H108" t="n">
        <v>77.09999999999999</v>
      </c>
      <c r="I108" t="n">
        <v>110.1</v>
      </c>
      <c r="J108" t="n">
        <v>79.569</v>
      </c>
      <c r="K108" t="n">
        <v>8</v>
      </c>
      <c r="L108" t="n">
        <v>0</v>
      </c>
      <c r="M108" t="n">
        <v>2.1</v>
      </c>
      <c r="N108" t="n">
        <v>0</v>
      </c>
      <c r="O108" t="n">
        <v>0</v>
      </c>
      <c r="P108" t="n">
        <v>16.72</v>
      </c>
      <c r="Q108" t="n">
        <v>20.05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23</v>
      </c>
    </row>
    <row r="109">
      <c r="A109" s="8" t="n">
        <v>47453</v>
      </c>
      <c r="B109" t="n">
        <v>120.384</v>
      </c>
      <c r="C109" t="n">
        <v>64.2</v>
      </c>
      <c r="D109" t="n">
        <v>85.2</v>
      </c>
      <c r="E109" t="n">
        <v>14.3</v>
      </c>
      <c r="F109" t="n">
        <v>4.65</v>
      </c>
      <c r="G109" t="n">
        <v>43.8</v>
      </c>
      <c r="H109" t="n">
        <v>77.09999999999999</v>
      </c>
      <c r="I109" t="n">
        <v>110.1</v>
      </c>
      <c r="J109" t="n">
        <v>79.569</v>
      </c>
      <c r="K109" t="n">
        <v>8</v>
      </c>
      <c r="L109" t="n">
        <v>0</v>
      </c>
      <c r="M109" t="n">
        <v>2.1</v>
      </c>
      <c r="N109" t="n">
        <v>0</v>
      </c>
      <c r="O109" t="n">
        <v>0</v>
      </c>
      <c r="P109" t="n">
        <v>16.72</v>
      </c>
      <c r="Q109" t="n">
        <v>20.05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23</v>
      </c>
    </row>
    <row r="110">
      <c r="A110" s="8" t="n">
        <v>47484</v>
      </c>
      <c r="B110" t="n">
        <v>120.384</v>
      </c>
      <c r="C110" t="n">
        <v>64.2</v>
      </c>
      <c r="D110" t="n">
        <v>85.2</v>
      </c>
      <c r="E110" t="n">
        <v>14.3</v>
      </c>
      <c r="F110" t="n">
        <v>4.65</v>
      </c>
      <c r="G110" t="n">
        <v>43.8</v>
      </c>
      <c r="H110" t="n">
        <v>77.09999999999999</v>
      </c>
      <c r="I110" t="n">
        <v>110.1</v>
      </c>
      <c r="J110" t="n">
        <v>79.569</v>
      </c>
      <c r="K110" t="n">
        <v>8</v>
      </c>
      <c r="L110" t="n">
        <v>0</v>
      </c>
      <c r="M110" t="n">
        <v>2.1</v>
      </c>
      <c r="N110" t="n">
        <v>0</v>
      </c>
      <c r="O110" t="n">
        <v>0</v>
      </c>
      <c r="P110" t="n">
        <v>16.72</v>
      </c>
      <c r="Q110" t="n">
        <v>20.05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23</v>
      </c>
    </row>
    <row r="111">
      <c r="A111" s="8" t="n">
        <v>47515</v>
      </c>
      <c r="B111" t="n">
        <v>120.384</v>
      </c>
      <c r="C111" t="n">
        <v>64.2</v>
      </c>
      <c r="D111" t="n">
        <v>85.2</v>
      </c>
      <c r="E111" t="n">
        <v>14.3</v>
      </c>
      <c r="F111" t="n">
        <v>4.65</v>
      </c>
      <c r="G111" t="n">
        <v>43.8</v>
      </c>
      <c r="H111" t="n">
        <v>77.09999999999999</v>
      </c>
      <c r="I111" t="n">
        <v>110.1</v>
      </c>
      <c r="J111" t="n">
        <v>79.569</v>
      </c>
      <c r="K111" t="n">
        <v>8</v>
      </c>
      <c r="L111" t="n">
        <v>0</v>
      </c>
      <c r="M111" t="n">
        <v>2.1</v>
      </c>
      <c r="N111" t="n">
        <v>0</v>
      </c>
      <c r="O111" t="n">
        <v>0</v>
      </c>
      <c r="P111" t="n">
        <v>16.72</v>
      </c>
      <c r="Q111" t="n">
        <v>20.05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23</v>
      </c>
    </row>
    <row r="112">
      <c r="A112" s="8" t="n">
        <v>47543</v>
      </c>
      <c r="B112" t="n">
        <v>120.384</v>
      </c>
      <c r="C112" t="n">
        <v>64.2</v>
      </c>
      <c r="D112" t="n">
        <v>85.2</v>
      </c>
      <c r="E112" t="n">
        <v>14.3</v>
      </c>
      <c r="F112" t="n">
        <v>4.65</v>
      </c>
      <c r="G112" t="n">
        <v>43.8</v>
      </c>
      <c r="H112" t="n">
        <v>77.09999999999999</v>
      </c>
      <c r="I112" t="n">
        <v>110.1</v>
      </c>
      <c r="J112" t="n">
        <v>79.569</v>
      </c>
      <c r="K112" t="n">
        <v>8</v>
      </c>
      <c r="L112" t="n">
        <v>0</v>
      </c>
      <c r="M112" t="n">
        <v>2.1</v>
      </c>
      <c r="N112" t="n">
        <v>0</v>
      </c>
      <c r="O112" t="n">
        <v>0</v>
      </c>
      <c r="P112" t="n">
        <v>16.72</v>
      </c>
      <c r="Q112" t="n">
        <v>20.05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23</v>
      </c>
    </row>
    <row r="113">
      <c r="A113" s="8" t="n">
        <v>47574</v>
      </c>
      <c r="B113" t="n">
        <v>120.384</v>
      </c>
      <c r="C113" t="n">
        <v>64.2</v>
      </c>
      <c r="D113" t="n">
        <v>85.2</v>
      </c>
      <c r="E113" t="n">
        <v>14.3</v>
      </c>
      <c r="F113" t="n">
        <v>4.65</v>
      </c>
      <c r="G113" t="n">
        <v>43.8</v>
      </c>
      <c r="H113" t="n">
        <v>77.09999999999999</v>
      </c>
      <c r="I113" t="n">
        <v>110.1</v>
      </c>
      <c r="J113" t="n">
        <v>79.569</v>
      </c>
      <c r="K113" t="n">
        <v>8</v>
      </c>
      <c r="L113" t="n">
        <v>0</v>
      </c>
      <c r="M113" t="n">
        <v>2.1</v>
      </c>
      <c r="N113" t="n">
        <v>0</v>
      </c>
      <c r="O113" t="n">
        <v>0</v>
      </c>
      <c r="P113" t="n">
        <v>16.72</v>
      </c>
      <c r="Q113" t="n">
        <v>20.05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23</v>
      </c>
    </row>
    <row r="114">
      <c r="A114" s="8" t="n">
        <v>47604</v>
      </c>
      <c r="B114" t="n">
        <v>120.384</v>
      </c>
      <c r="C114" t="n">
        <v>64.2</v>
      </c>
      <c r="D114" t="n">
        <v>85.2</v>
      </c>
      <c r="E114" t="n">
        <v>14.3</v>
      </c>
      <c r="F114" t="n">
        <v>4.65</v>
      </c>
      <c r="G114" t="n">
        <v>43.8</v>
      </c>
      <c r="H114" t="n">
        <v>77.09999999999999</v>
      </c>
      <c r="I114" t="n">
        <v>110.1</v>
      </c>
      <c r="J114" t="n">
        <v>79.569</v>
      </c>
      <c r="K114" t="n">
        <v>8</v>
      </c>
      <c r="L114" t="n">
        <v>0</v>
      </c>
      <c r="M114" t="n">
        <v>2.1</v>
      </c>
      <c r="N114" t="n">
        <v>0</v>
      </c>
      <c r="O114" t="n">
        <v>0</v>
      </c>
      <c r="P114" t="n">
        <v>16.72</v>
      </c>
      <c r="Q114" t="n">
        <v>20.05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23</v>
      </c>
    </row>
    <row r="115">
      <c r="A115" s="8" t="n">
        <v>47635</v>
      </c>
      <c r="B115" t="n">
        <v>120.384</v>
      </c>
      <c r="C115" t="n">
        <v>64.2</v>
      </c>
      <c r="D115" t="n">
        <v>85.2</v>
      </c>
      <c r="E115" t="n">
        <v>14.3</v>
      </c>
      <c r="F115" t="n">
        <v>4.65</v>
      </c>
      <c r="G115" t="n">
        <v>43.8</v>
      </c>
      <c r="H115" t="n">
        <v>77.09999999999999</v>
      </c>
      <c r="I115" t="n">
        <v>110.1</v>
      </c>
      <c r="J115" t="n">
        <v>79.569</v>
      </c>
      <c r="K115" t="n">
        <v>8</v>
      </c>
      <c r="L115" t="n">
        <v>0</v>
      </c>
      <c r="M115" t="n">
        <v>2.1</v>
      </c>
      <c r="N115" t="n">
        <v>0</v>
      </c>
      <c r="O115" t="n">
        <v>0</v>
      </c>
      <c r="P115" t="n">
        <v>16.72</v>
      </c>
      <c r="Q115" t="n">
        <v>20.05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23</v>
      </c>
    </row>
    <row r="116">
      <c r="A116" s="8" t="n">
        <v>47665</v>
      </c>
      <c r="B116" t="n">
        <v>120.384</v>
      </c>
      <c r="C116" t="n">
        <v>64.2</v>
      </c>
      <c r="D116" t="n">
        <v>85.2</v>
      </c>
      <c r="E116" t="n">
        <v>14.3</v>
      </c>
      <c r="F116" t="n">
        <v>4.65</v>
      </c>
      <c r="G116" t="n">
        <v>43.8</v>
      </c>
      <c r="H116" t="n">
        <v>77.09999999999999</v>
      </c>
      <c r="I116" t="n">
        <v>110.1</v>
      </c>
      <c r="J116" t="n">
        <v>97.369</v>
      </c>
      <c r="K116" t="n">
        <v>8</v>
      </c>
      <c r="L116" t="n">
        <v>0</v>
      </c>
      <c r="M116" t="n">
        <v>2.1</v>
      </c>
      <c r="N116" t="n">
        <v>0</v>
      </c>
      <c r="O116" t="n">
        <v>0</v>
      </c>
      <c r="P116" t="n">
        <v>16.72</v>
      </c>
      <c r="Q116" t="n">
        <v>20.05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23</v>
      </c>
    </row>
    <row r="117">
      <c r="A117" s="8" t="n">
        <v>47696</v>
      </c>
      <c r="B117" t="n">
        <v>120.384</v>
      </c>
      <c r="C117" t="n">
        <v>64.2</v>
      </c>
      <c r="D117" t="n">
        <v>85.2</v>
      </c>
      <c r="E117" t="n">
        <v>14.3</v>
      </c>
      <c r="F117" t="n">
        <v>4.65</v>
      </c>
      <c r="G117" t="n">
        <v>43.8</v>
      </c>
      <c r="H117" t="n">
        <v>77.09999999999999</v>
      </c>
      <c r="I117" t="n">
        <v>110.1</v>
      </c>
      <c r="J117" t="n">
        <v>97.369</v>
      </c>
      <c r="K117" t="n">
        <v>8</v>
      </c>
      <c r="L117" t="n">
        <v>0</v>
      </c>
      <c r="M117" t="n">
        <v>2.1</v>
      </c>
      <c r="N117" t="n">
        <v>0</v>
      </c>
      <c r="O117" t="n">
        <v>0</v>
      </c>
      <c r="P117" t="n">
        <v>16.72</v>
      </c>
      <c r="Q117" t="n">
        <v>20.05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23</v>
      </c>
    </row>
    <row r="118">
      <c r="A118" s="8" t="n">
        <v>47727</v>
      </c>
      <c r="B118" t="n">
        <v>120.384</v>
      </c>
      <c r="C118" t="n">
        <v>64.2</v>
      </c>
      <c r="D118" t="n">
        <v>85.2</v>
      </c>
      <c r="E118" t="n">
        <v>14.3</v>
      </c>
      <c r="F118" t="n">
        <v>4.65</v>
      </c>
      <c r="G118" t="n">
        <v>43.8</v>
      </c>
      <c r="H118" t="n">
        <v>77.09999999999999</v>
      </c>
      <c r="I118" t="n">
        <v>110.1</v>
      </c>
      <c r="J118" t="n">
        <v>97.369</v>
      </c>
      <c r="K118" t="n">
        <v>8</v>
      </c>
      <c r="L118" t="n">
        <v>0</v>
      </c>
      <c r="M118" t="n">
        <v>2.1</v>
      </c>
      <c r="N118" t="n">
        <v>0</v>
      </c>
      <c r="O118" t="n">
        <v>0</v>
      </c>
      <c r="P118" t="n">
        <v>16.72</v>
      </c>
      <c r="Q118" t="n">
        <v>20.05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23</v>
      </c>
    </row>
    <row r="119">
      <c r="A119" s="8" t="n">
        <v>47757</v>
      </c>
      <c r="B119" t="n">
        <v>120.384</v>
      </c>
      <c r="C119" t="n">
        <v>64.2</v>
      </c>
      <c r="D119" t="n">
        <v>85.2</v>
      </c>
      <c r="E119" t="n">
        <v>14.3</v>
      </c>
      <c r="F119" t="n">
        <v>4.65</v>
      </c>
      <c r="G119" t="n">
        <v>43.8</v>
      </c>
      <c r="H119" t="n">
        <v>77.09999999999999</v>
      </c>
      <c r="I119" t="n">
        <v>110.1</v>
      </c>
      <c r="J119" t="n">
        <v>97.369</v>
      </c>
      <c r="K119" t="n">
        <v>8</v>
      </c>
      <c r="L119" t="n">
        <v>0</v>
      </c>
      <c r="M119" t="n">
        <v>2.1</v>
      </c>
      <c r="N119" t="n">
        <v>0</v>
      </c>
      <c r="O119" t="n">
        <v>0</v>
      </c>
      <c r="P119" t="n">
        <v>16.72</v>
      </c>
      <c r="Q119" t="n">
        <v>20.05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23</v>
      </c>
    </row>
    <row r="120">
      <c r="A120" s="8" t="n">
        <v>47788</v>
      </c>
      <c r="B120" t="n">
        <v>120.384</v>
      </c>
      <c r="C120" t="n">
        <v>64.2</v>
      </c>
      <c r="D120" t="n">
        <v>85.2</v>
      </c>
      <c r="E120" t="n">
        <v>14.3</v>
      </c>
      <c r="F120" t="n">
        <v>4.65</v>
      </c>
      <c r="G120" t="n">
        <v>43.8</v>
      </c>
      <c r="H120" t="n">
        <v>77.09999999999999</v>
      </c>
      <c r="I120" t="n">
        <v>110.1</v>
      </c>
      <c r="J120" t="n">
        <v>97.369</v>
      </c>
      <c r="K120" t="n">
        <v>8</v>
      </c>
      <c r="L120" t="n">
        <v>0</v>
      </c>
      <c r="M120" t="n">
        <v>2.1</v>
      </c>
      <c r="N120" t="n">
        <v>0</v>
      </c>
      <c r="O120" t="n">
        <v>0</v>
      </c>
      <c r="P120" t="n">
        <v>16.72</v>
      </c>
      <c r="Q120" t="n">
        <v>20.05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23</v>
      </c>
    </row>
    <row r="121">
      <c r="A121" s="8" t="n">
        <v>47818</v>
      </c>
      <c r="B121" t="n">
        <v>120.384</v>
      </c>
      <c r="C121" t="n">
        <v>64.2</v>
      </c>
      <c r="D121" t="n">
        <v>85.2</v>
      </c>
      <c r="E121" t="n">
        <v>14.3</v>
      </c>
      <c r="F121" t="n">
        <v>4.65</v>
      </c>
      <c r="G121" t="n">
        <v>43.8</v>
      </c>
      <c r="H121" t="n">
        <v>77.09999999999999</v>
      </c>
      <c r="I121" t="n">
        <v>110.1</v>
      </c>
      <c r="J121" t="n">
        <v>97.369</v>
      </c>
      <c r="K121" t="n">
        <v>8</v>
      </c>
      <c r="L121" t="n">
        <v>0</v>
      </c>
      <c r="M121" t="n">
        <v>2.1</v>
      </c>
      <c r="N121" t="n">
        <v>0</v>
      </c>
      <c r="O121" t="n">
        <v>0</v>
      </c>
      <c r="P121" t="n">
        <v>16.72</v>
      </c>
      <c r="Q121" t="n">
        <v>20.05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Year</t>
        </is>
      </c>
      <c r="B1" s="5" t="inlineStr">
        <is>
          <t>United States</t>
        </is>
      </c>
      <c r="C1" s="5" t="inlineStr">
        <is>
          <t>Qatar</t>
        </is>
      </c>
      <c r="D1" s="5" t="inlineStr">
        <is>
          <t>Australia</t>
        </is>
      </c>
      <c r="E1" s="5" t="inlineStr">
        <is>
          <t>Canada</t>
        </is>
      </c>
      <c r="F1" s="5" t="inlineStr">
        <is>
          <t>Mexico</t>
        </is>
      </c>
      <c r="G1" s="5" t="inlineStr">
        <is>
          <t>Russia</t>
        </is>
      </c>
      <c r="H1" s="5" t="inlineStr">
        <is>
          <t>Africa</t>
        </is>
      </c>
      <c r="I1" s="5" t="inlineStr">
        <is>
          <t>Other</t>
        </is>
      </c>
    </row>
    <row r="2">
      <c r="A2" t="inlineStr">
        <is>
          <t>2021</t>
        </is>
      </c>
      <c r="B2" t="n">
        <v>4.5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2022</t>
        </is>
      </c>
      <c r="B3" t="n">
        <v>10</v>
      </c>
      <c r="C3" t="n">
        <v>0</v>
      </c>
      <c r="D3" t="n">
        <v>0</v>
      </c>
      <c r="E3" t="n">
        <v>0</v>
      </c>
      <c r="F3" t="n">
        <v>0</v>
      </c>
      <c r="G3" t="n">
        <v>1.5</v>
      </c>
      <c r="H3" t="n">
        <v>3.4</v>
      </c>
      <c r="I3" t="n">
        <v>0</v>
      </c>
    </row>
    <row r="4">
      <c r="A4" t="inlineStr">
        <is>
          <t>2023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2024</t>
        </is>
      </c>
      <c r="B5" t="n">
        <v>9.9</v>
      </c>
      <c r="C5" t="n">
        <v>0</v>
      </c>
      <c r="D5" t="n">
        <v>0</v>
      </c>
      <c r="E5" t="n">
        <v>0</v>
      </c>
      <c r="F5" t="n">
        <v>1.4</v>
      </c>
      <c r="G5" t="n">
        <v>6.6</v>
      </c>
      <c r="H5" t="n">
        <v>0.6</v>
      </c>
      <c r="I5" t="n">
        <v>0</v>
      </c>
    </row>
    <row r="6">
      <c r="A6" t="inlineStr">
        <is>
          <t>2025</t>
        </is>
      </c>
      <c r="B6" t="n">
        <v>15.616</v>
      </c>
      <c r="C6" t="n">
        <v>0</v>
      </c>
      <c r="D6" t="n">
        <v>0</v>
      </c>
      <c r="E6" t="n">
        <v>14</v>
      </c>
      <c r="F6" t="n">
        <v>0</v>
      </c>
      <c r="G6" t="n">
        <v>6.6</v>
      </c>
      <c r="H6" t="n">
        <v>2.3</v>
      </c>
      <c r="I6" t="n">
        <v>0</v>
      </c>
    </row>
    <row r="7">
      <c r="A7" t="inlineStr">
        <is>
          <t>2026</t>
        </is>
      </c>
      <c r="B7" t="n">
        <v>14.687</v>
      </c>
      <c r="C7" t="n">
        <v>0</v>
      </c>
      <c r="D7" t="n">
        <v>0</v>
      </c>
      <c r="E7" t="n">
        <v>0</v>
      </c>
      <c r="F7" t="n">
        <v>3.25</v>
      </c>
      <c r="G7" t="n">
        <v>0</v>
      </c>
      <c r="H7" t="n">
        <v>2.4</v>
      </c>
      <c r="I7" t="n">
        <v>0</v>
      </c>
    </row>
    <row r="8">
      <c r="A8" t="inlineStr">
        <is>
          <t>2027</t>
        </is>
      </c>
      <c r="B8" t="n">
        <v>42.4</v>
      </c>
      <c r="C8" t="n">
        <v>8</v>
      </c>
      <c r="D8" t="n">
        <v>0</v>
      </c>
      <c r="E8" t="n">
        <v>2.1</v>
      </c>
      <c r="F8" t="n">
        <v>0</v>
      </c>
      <c r="G8" t="n">
        <v>0</v>
      </c>
      <c r="H8" t="n">
        <v>0</v>
      </c>
      <c r="I8" t="n">
        <v>2.45</v>
      </c>
    </row>
    <row r="9">
      <c r="A9" t="inlineStr">
        <is>
          <t>2028</t>
        </is>
      </c>
      <c r="B9" t="n">
        <v>8.380000000000001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3.6</v>
      </c>
      <c r="I9" t="n">
        <v>14.1</v>
      </c>
    </row>
    <row r="10">
      <c r="A10" t="inlineStr">
        <is>
          <t>2029</t>
        </is>
      </c>
      <c r="B10" t="n">
        <v>22.16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13.12</v>
      </c>
      <c r="I10" t="n">
        <v>3.5</v>
      </c>
    </row>
    <row r="11">
      <c r="A11" t="inlineStr">
        <is>
          <t>2030</t>
        </is>
      </c>
      <c r="B11" t="n">
        <v>17.8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2" customWidth="1" min="16" max="16"/>
    <col width="60" customWidth="1" min="17" max="17"/>
    <col width="50" customWidth="1" min="18" max="18"/>
    <col width="16" customWidth="1" min="19" max="19"/>
    <col width="60" customWidth="1" min="20" max="20"/>
    <col width="60" customWidth="1" min="21" max="21"/>
  </cols>
  <sheetData>
    <row r="1">
      <c r="A1" s="5" t="inlineStr">
        <is>
          <t>region</t>
        </is>
      </c>
      <c r="B1" s="5" t="inlineStr">
        <is>
          <t>country</t>
        </is>
      </c>
      <c r="C1" s="5" t="inlineStr">
        <is>
          <t>asset_type</t>
        </is>
      </c>
      <c r="D1" s="5" t="inlineStr">
        <is>
          <t>project</t>
        </is>
      </c>
      <c r="E1" s="5" t="inlineStr">
        <is>
          <t>operator</t>
        </is>
      </c>
      <c r="F1" s="5" t="inlineStr">
        <is>
          <t>fuel_or_type</t>
        </is>
      </c>
      <c r="G1" s="5" t="inlineStr">
        <is>
          <t>capacity_value</t>
        </is>
      </c>
      <c r="H1" s="5" t="inlineStr">
        <is>
          <t>capacity_unit</t>
        </is>
      </c>
      <c r="I1" s="5" t="inlineStr">
        <is>
          <t>capacity_mw</t>
        </is>
      </c>
      <c r="J1" s="5" t="inlineStr">
        <is>
          <t>capacity_bcfd</t>
        </is>
      </c>
      <c r="K1" s="5" t="inlineStr">
        <is>
          <t>status</t>
        </is>
      </c>
      <c r="L1" s="5" t="inlineStr">
        <is>
          <t>expected_online</t>
        </is>
      </c>
      <c r="M1" s="5" t="inlineStr">
        <is>
          <t>online_date_basis</t>
        </is>
      </c>
      <c r="N1" s="5" t="inlineStr">
        <is>
          <t>first_seen</t>
        </is>
      </c>
      <c r="O1" s="5" t="inlineStr">
        <is>
          <t>last_seen</t>
        </is>
      </c>
      <c r="P1" s="5" t="inlineStr">
        <is>
          <t>source_publisher</t>
        </is>
      </c>
      <c r="Q1" s="5" t="inlineStr">
        <is>
          <t>source_document</t>
        </is>
      </c>
      <c r="R1" s="5" t="inlineStr">
        <is>
          <t>source_url</t>
        </is>
      </c>
      <c r="S1" s="5" t="inlineStr">
        <is>
          <t>as_of_date</t>
        </is>
      </c>
      <c r="T1" s="5" t="inlineStr">
        <is>
          <t>evidence</t>
        </is>
      </c>
      <c r="U1" s="5" t="inlineStr">
        <is>
          <t>notes</t>
        </is>
      </c>
    </row>
    <row r="2">
      <c r="A2" t="inlineStr">
        <is>
          <t>Global supply</t>
        </is>
      </c>
      <c r="B2" t="inlineStr">
        <is>
          <t>United States</t>
        </is>
      </c>
      <c r="C2" t="inlineStr">
        <is>
          <t>liquefaction_train</t>
        </is>
      </c>
      <c r="D2" t="inlineStr">
        <is>
          <t>Sabine Pass Train 1</t>
        </is>
      </c>
      <c r="E2" t="inlineStr">
        <is>
          <t>Cheniere Energy</t>
        </is>
      </c>
      <c r="F2" t="inlineStr">
        <is>
          <t>liquefaction</t>
        </is>
      </c>
      <c r="G2" t="n">
        <v>4.5</v>
      </c>
      <c r="H2" t="inlineStr">
        <is>
          <t>mtpa</t>
        </is>
      </c>
      <c r="J2" t="n">
        <v>0.5917</v>
      </c>
      <c r="K2" t="inlineStr">
        <is>
          <t>OPERATING</t>
        </is>
      </c>
      <c r="L2" t="inlineStr">
        <is>
          <t>2016-02</t>
        </is>
      </c>
      <c r="M2" t="inlineStr">
        <is>
          <t>SOURCED_MONTH</t>
        </is>
      </c>
      <c r="N2" t="inlineStr">
        <is>
          <t>2026-10-12</t>
        </is>
      </c>
      <c r="O2" t="inlineStr">
        <is>
          <t>2026-10-12</t>
        </is>
      </c>
      <c r="P2" t="inlineStr">
        <is>
          <t>U.S. Energy Information Administration</t>
        </is>
      </c>
      <c r="Q2" t="inlineStr">
        <is>
          <t>U.S. Liquefaction Capacity workbook (U.S.liquefactioncapacity_2026_Q3.xlsx; release 2026-10-01)</t>
        </is>
      </c>
      <c r="R2" t="inlineStr">
        <is>
          <t>https://www.eia.gov/naturalgas/importsexports/liquefactioncapacity/U.S.liquefactioncapacity_2026_Q3.xlsx</t>
        </is>
      </c>
      <c r="S2" t="inlineStr">
        <is>
          <t>2026-10-01</t>
        </is>
      </c>
      <c r="T2" t="inlineStr">
        <is>
          <t>SOURCED</t>
        </is>
      </c>
      <c r="U2" t="inlineStr">
        <is>
          <t>EIA status 'Commercial operation'; in-service '2016-02-01'. Baseload nameplate 4.50 mtpa; EIA peak nameplate 5.76 mtpa (EIA's own Mtpa where marked ^ else its Bcf/d conversion). [capacity_bcfd DERIVED: mtpa x 1.36 bcm/y x 35.3147 / 365.25 = 0.1315 Bcf/d per mtpa]</t>
        </is>
      </c>
    </row>
    <row r="3">
      <c r="A3" t="inlineStr">
        <is>
          <t>Global supply</t>
        </is>
      </c>
      <c r="B3" t="inlineStr">
        <is>
          <t>United States</t>
        </is>
      </c>
      <c r="C3" t="inlineStr">
        <is>
          <t>liquefaction_train</t>
        </is>
      </c>
      <c r="D3" t="inlineStr">
        <is>
          <t>Sabine Pass Train 2</t>
        </is>
      </c>
      <c r="E3" t="inlineStr">
        <is>
          <t>Cheniere Energy</t>
        </is>
      </c>
      <c r="F3" t="inlineStr">
        <is>
          <t>liquefaction</t>
        </is>
      </c>
      <c r="G3" t="n">
        <v>4.5</v>
      </c>
      <c r="H3" t="inlineStr">
        <is>
          <t>mtpa</t>
        </is>
      </c>
      <c r="J3" t="n">
        <v>0.5917</v>
      </c>
      <c r="K3" t="inlineStr">
        <is>
          <t>OPERATING</t>
        </is>
      </c>
      <c r="L3" t="inlineStr">
        <is>
          <t>2016-08</t>
        </is>
      </c>
      <c r="M3" t="inlineStr">
        <is>
          <t>SOURCED_MONTH</t>
        </is>
      </c>
      <c r="N3" t="inlineStr">
        <is>
          <t>2026-10-12</t>
        </is>
      </c>
      <c r="O3" t="inlineStr">
        <is>
          <t>2026-10-12</t>
        </is>
      </c>
      <c r="P3" t="inlineStr">
        <is>
          <t>U.S. Energy Information Administration</t>
        </is>
      </c>
      <c r="Q3" t="inlineStr">
        <is>
          <t>U.S. Liquefaction Capacity workbook (U.S.liquefactioncapacity_2026_Q3.xlsx; release 2026-10-01)</t>
        </is>
      </c>
      <c r="R3" t="inlineStr">
        <is>
          <t>https://www.eia.gov/naturalgas/importsexports/liquefactioncapacity/U.S.liquefactioncapacity_2026_Q3.xlsx</t>
        </is>
      </c>
      <c r="S3" t="inlineStr">
        <is>
          <t>2026-10-01</t>
        </is>
      </c>
      <c r="T3" t="inlineStr">
        <is>
          <t>SOURCED</t>
        </is>
      </c>
      <c r="U3" t="inlineStr">
        <is>
          <t>EIA status 'Commercial operation'; in-service '2016-08-01'. Baseload nameplate 4.50 mtpa; EIA peak nameplate 5.76 mtpa (EIA's own Mtpa where marked ^ else its Bcf/d conversion). [capacity_bcfd DERIVED: mtpa x 1.36 bcm/y x 35.3147 / 365.25 = 0.1315 Bcf/d per mtpa]</t>
        </is>
      </c>
    </row>
    <row r="4">
      <c r="A4" t="inlineStr">
        <is>
          <t>Global supply</t>
        </is>
      </c>
      <c r="B4" t="inlineStr">
        <is>
          <t>United States</t>
        </is>
      </c>
      <c r="C4" t="inlineStr">
        <is>
          <t>liquefaction_train</t>
        </is>
      </c>
      <c r="D4" t="inlineStr">
        <is>
          <t>Sabine Pass Train 3</t>
        </is>
      </c>
      <c r="E4" t="inlineStr">
        <is>
          <t>Cheniere Energy</t>
        </is>
      </c>
      <c r="F4" t="inlineStr">
        <is>
          <t>liquefaction</t>
        </is>
      </c>
      <c r="G4" t="n">
        <v>4.5</v>
      </c>
      <c r="H4" t="inlineStr">
        <is>
          <t>mtpa</t>
        </is>
      </c>
      <c r="J4" t="n">
        <v>0.5917</v>
      </c>
      <c r="K4" t="inlineStr">
        <is>
          <t>OPERATING</t>
        </is>
      </c>
      <c r="L4" t="inlineStr">
        <is>
          <t>2017-01</t>
        </is>
      </c>
      <c r="M4" t="inlineStr">
        <is>
          <t>SOURCED_MONTH</t>
        </is>
      </c>
      <c r="N4" t="inlineStr">
        <is>
          <t>2026-10-12</t>
        </is>
      </c>
      <c r="O4" t="inlineStr">
        <is>
          <t>2026-10-12</t>
        </is>
      </c>
      <c r="P4" t="inlineStr">
        <is>
          <t>U.S. Energy Information Administration</t>
        </is>
      </c>
      <c r="Q4" t="inlineStr">
        <is>
          <t>U.S. Liquefaction Capacity workbook (U.S.liquefactioncapacity_2026_Q3.xlsx; release 2026-10-01)</t>
        </is>
      </c>
      <c r="R4" t="inlineStr">
        <is>
          <t>https://www.eia.gov/naturalgas/importsexports/liquefactioncapacity/U.S.liquefactioncapacity_2026_Q3.xlsx</t>
        </is>
      </c>
      <c r="S4" t="inlineStr">
        <is>
          <t>2026-10-01</t>
        </is>
      </c>
      <c r="T4" t="inlineStr">
        <is>
          <t>SOURCED</t>
        </is>
      </c>
      <c r="U4" t="inlineStr">
        <is>
          <t>EIA status 'Commercial operation'; in-service '2017-01-01'. Baseload nameplate 4.50 mtpa; EIA peak nameplate 5.76 mtpa (EIA's own Mtpa where marked ^ else its Bcf/d conversion). [capacity_bcfd DERIVED: mtpa x 1.36 bcm/y x 35.3147 / 365.25 = 0.1315 Bcf/d per mtpa]</t>
        </is>
      </c>
    </row>
    <row r="5">
      <c r="A5" t="inlineStr">
        <is>
          <t>Global supply</t>
        </is>
      </c>
      <c r="B5" t="inlineStr">
        <is>
          <t>United States</t>
        </is>
      </c>
      <c r="C5" t="inlineStr">
        <is>
          <t>liquefaction_train</t>
        </is>
      </c>
      <c r="D5" t="inlineStr">
        <is>
          <t>Sabine Pass Train 4</t>
        </is>
      </c>
      <c r="E5" t="inlineStr">
        <is>
          <t>Cheniere Energy</t>
        </is>
      </c>
      <c r="F5" t="inlineStr">
        <is>
          <t>liquefaction</t>
        </is>
      </c>
      <c r="G5" t="n">
        <v>4.5</v>
      </c>
      <c r="H5" t="inlineStr">
        <is>
          <t>mtpa</t>
        </is>
      </c>
      <c r="J5" t="n">
        <v>0.5917</v>
      </c>
      <c r="K5" t="inlineStr">
        <is>
          <t>OPERATING</t>
        </is>
      </c>
      <c r="L5" t="inlineStr">
        <is>
          <t>2017-08</t>
        </is>
      </c>
      <c r="M5" t="inlineStr">
        <is>
          <t>SOURCED_MONTH</t>
        </is>
      </c>
      <c r="N5" t="inlineStr">
        <is>
          <t>2026-10-12</t>
        </is>
      </c>
      <c r="O5" t="inlineStr">
        <is>
          <t>2026-10-12</t>
        </is>
      </c>
      <c r="P5" t="inlineStr">
        <is>
          <t>U.S. Energy Information Administration</t>
        </is>
      </c>
      <c r="Q5" t="inlineStr">
        <is>
          <t>U.S. Liquefaction Capacity workbook (U.S.liquefactioncapacity_2026_Q3.xlsx; release 2026-10-01)</t>
        </is>
      </c>
      <c r="R5" t="inlineStr">
        <is>
          <t>https://www.eia.gov/naturalgas/importsexports/liquefactioncapacity/U.S.liquefactioncapacity_2026_Q3.xlsx</t>
        </is>
      </c>
      <c r="S5" t="inlineStr">
        <is>
          <t>2026-10-01</t>
        </is>
      </c>
      <c r="T5" t="inlineStr">
        <is>
          <t>SOURCED</t>
        </is>
      </c>
      <c r="U5" t="inlineStr">
        <is>
          <t>EIA status 'Commercial operation'; in-service '2017-08-01'. Baseload nameplate 4.50 mtpa; EIA peak nameplate 5.76 mtpa (EIA's own Mtpa where marked ^ else its Bcf/d conversion). [capacity_bcfd DERIVED: mtpa x 1.36 bcm/y x 35.3147 / 365.25 = 0.1315 Bcf/d per mtpa]</t>
        </is>
      </c>
    </row>
    <row r="6">
      <c r="A6" t="inlineStr">
        <is>
          <t>Global supply</t>
        </is>
      </c>
      <c r="B6" t="inlineStr">
        <is>
          <t>United States</t>
        </is>
      </c>
      <c r="C6" t="inlineStr">
        <is>
          <t>liquefaction_train</t>
        </is>
      </c>
      <c r="D6" t="inlineStr">
        <is>
          <t>Sabine Pass Train 5</t>
        </is>
      </c>
      <c r="E6" t="inlineStr">
        <is>
          <t>Cheniere Energy</t>
        </is>
      </c>
      <c r="F6" t="inlineStr">
        <is>
          <t>liquefaction</t>
        </is>
      </c>
      <c r="G6" t="n">
        <v>4.5</v>
      </c>
      <c r="H6" t="inlineStr">
        <is>
          <t>mtpa</t>
        </is>
      </c>
      <c r="J6" t="n">
        <v>0.5917</v>
      </c>
      <c r="K6" t="inlineStr">
        <is>
          <t>OPERATING</t>
        </is>
      </c>
      <c r="L6" t="inlineStr">
        <is>
          <t>2018-11</t>
        </is>
      </c>
      <c r="M6" t="inlineStr">
        <is>
          <t>SOURCED_MONTH</t>
        </is>
      </c>
      <c r="N6" t="inlineStr">
        <is>
          <t>2026-10-12</t>
        </is>
      </c>
      <c r="O6" t="inlineStr">
        <is>
          <t>2026-10-12</t>
        </is>
      </c>
      <c r="P6" t="inlineStr">
        <is>
          <t>U.S. Energy Information Administration</t>
        </is>
      </c>
      <c r="Q6" t="inlineStr">
        <is>
          <t>U.S. Liquefaction Capacity workbook (U.S.liquefactioncapacity_2026_Q3.xlsx; release 2026-10-01)</t>
        </is>
      </c>
      <c r="R6" t="inlineStr">
        <is>
          <t>https://www.eia.gov/naturalgas/importsexports/liquefactioncapacity/U.S.liquefactioncapacity_2026_Q3.xlsx</t>
        </is>
      </c>
      <c r="S6" t="inlineStr">
        <is>
          <t>2026-10-01</t>
        </is>
      </c>
      <c r="T6" t="inlineStr">
        <is>
          <t>SOURCED</t>
        </is>
      </c>
      <c r="U6" t="inlineStr">
        <is>
          <t>EIA status 'Commercial operation'; in-service '2018-11-01'. Baseload nameplate 4.50 mtpa; EIA peak nameplate 5.76 mtpa (EIA's own Mtpa where marked ^ else its Bcf/d conversion). [capacity_bcfd DERIVED: mtpa x 1.36 bcm/y x 35.3147 / 365.25 = 0.1315 Bcf/d per mtpa]</t>
        </is>
      </c>
    </row>
    <row r="7">
      <c r="A7" t="inlineStr">
        <is>
          <t>Global supply</t>
        </is>
      </c>
      <c r="B7" t="inlineStr">
        <is>
          <t>United States</t>
        </is>
      </c>
      <c r="C7" t="inlineStr">
        <is>
          <t>liquefaction_train</t>
        </is>
      </c>
      <c r="D7" t="inlineStr">
        <is>
          <t>Sabine Pass Train 6</t>
        </is>
      </c>
      <c r="E7" t="inlineStr">
        <is>
          <t>Cheniere Energy</t>
        </is>
      </c>
      <c r="F7" t="inlineStr">
        <is>
          <t>liquefaction</t>
        </is>
      </c>
      <c r="G7" t="n">
        <v>4.5</v>
      </c>
      <c r="H7" t="inlineStr">
        <is>
          <t>mtpa</t>
        </is>
      </c>
      <c r="J7" t="n">
        <v>0.5917</v>
      </c>
      <c r="K7" t="inlineStr">
        <is>
          <t>OPERATING</t>
        </is>
      </c>
      <c r="L7" t="inlineStr">
        <is>
          <t>2021-12</t>
        </is>
      </c>
      <c r="M7" t="inlineStr">
        <is>
          <t>SOURCED_MONTH</t>
        </is>
      </c>
      <c r="N7" t="inlineStr">
        <is>
          <t>2026-10-12</t>
        </is>
      </c>
      <c r="O7" t="inlineStr">
        <is>
          <t>2026-10-12</t>
        </is>
      </c>
      <c r="P7" t="inlineStr">
        <is>
          <t>U.S. Energy Information Administration</t>
        </is>
      </c>
      <c r="Q7" t="inlineStr">
        <is>
          <t>U.S. Liquefaction Capacity workbook (U.S.liquefactioncapacity_2026_Q3.xlsx; release 2026-10-01)</t>
        </is>
      </c>
      <c r="R7" t="inlineStr">
        <is>
          <t>https://www.eia.gov/naturalgas/importsexports/liquefactioncapacity/U.S.liquefactioncapacity_2026_Q3.xlsx</t>
        </is>
      </c>
      <c r="S7" t="inlineStr">
        <is>
          <t>2026-10-01</t>
        </is>
      </c>
      <c r="T7" t="inlineStr">
        <is>
          <t>SOURCED</t>
        </is>
      </c>
      <c r="U7" t="inlineStr">
        <is>
          <t>EIA status 'Commercial operation'; in-service '2021-12-01'. Baseload nameplate 4.50 mtpa; EIA peak nameplate 5.76 mtpa (EIA's own Mtpa where marked ^ else its Bcf/d conversion). [capacity_bcfd DERIVED: mtpa x 1.36 bcm/y x 35.3147 / 365.25 = 0.1315 Bcf/d per mtpa]</t>
        </is>
      </c>
    </row>
    <row r="8">
      <c r="A8" t="inlineStr">
        <is>
          <t>Global supply</t>
        </is>
      </c>
      <c r="B8" t="inlineStr">
        <is>
          <t>United States</t>
        </is>
      </c>
      <c r="C8" t="inlineStr">
        <is>
          <t>liquefaction_train</t>
        </is>
      </c>
      <c r="D8" t="inlineStr">
        <is>
          <t>Cove Point Train 1</t>
        </is>
      </c>
      <c r="E8" t="inlineStr">
        <is>
          <t>Berkshire Hathaway BHE GT&amp;S</t>
        </is>
      </c>
      <c r="F8" t="inlineStr">
        <is>
          <t>liquefaction</t>
        </is>
      </c>
      <c r="G8" t="n">
        <v>5.25</v>
      </c>
      <c r="H8" t="inlineStr">
        <is>
          <t>mtpa</t>
        </is>
      </c>
      <c r="J8" t="n">
        <v>0.6904</v>
      </c>
      <c r="K8" t="inlineStr">
        <is>
          <t>OPERATING</t>
        </is>
      </c>
      <c r="L8" t="inlineStr">
        <is>
          <t>2018-03</t>
        </is>
      </c>
      <c r="M8" t="inlineStr">
        <is>
          <t>SOURCED_MONTH</t>
        </is>
      </c>
      <c r="N8" t="inlineStr">
        <is>
          <t>2026-10-12</t>
        </is>
      </c>
      <c r="O8" t="inlineStr">
        <is>
          <t>2026-10-12</t>
        </is>
      </c>
      <c r="P8" t="inlineStr">
        <is>
          <t>U.S. Energy Information Administration</t>
        </is>
      </c>
      <c r="Q8" t="inlineStr">
        <is>
          <t>U.S. Liquefaction Capacity workbook (U.S.liquefactioncapacity_2026_Q3.xlsx; release 2026-10-01)</t>
        </is>
      </c>
      <c r="R8" t="inlineStr">
        <is>
          <t>https://www.eia.gov/naturalgas/importsexports/liquefactioncapacity/U.S.liquefactioncapacity_2026_Q3.xlsx</t>
        </is>
      </c>
      <c r="S8" t="inlineStr">
        <is>
          <t>2026-10-01</t>
        </is>
      </c>
      <c r="T8" t="inlineStr">
        <is>
          <t>SOURCED</t>
        </is>
      </c>
      <c r="U8" t="inlineStr">
        <is>
          <t>EIA status 'Commercial operation'; in-service '2018-03-01'. Baseload nameplate 5.25 mtpa; EIA peak nameplate 5.75 mtpa (EIA's own Mtpa where marked ^ else its Bcf/d conversion). [capacity_bcfd DERIVED: mtpa x 1.36 bcm/y x 35.3147 / 365.25 = 0.1315 Bcf/d per mtpa]</t>
        </is>
      </c>
    </row>
    <row r="9">
      <c r="A9" t="inlineStr">
        <is>
          <t>Global supply</t>
        </is>
      </c>
      <c r="B9" t="inlineStr">
        <is>
          <t>United States</t>
        </is>
      </c>
      <c r="C9" t="inlineStr">
        <is>
          <t>liquefaction_train</t>
        </is>
      </c>
      <c r="D9" t="inlineStr">
        <is>
          <t>Elba Island Trains 1-5A</t>
        </is>
      </c>
      <c r="E9" t="inlineStr">
        <is>
          <t>Kinder Morgan</t>
        </is>
      </c>
      <c r="F9" t="inlineStr">
        <is>
          <t>liquefaction</t>
        </is>
      </c>
      <c r="G9" t="n">
        <v>1.25</v>
      </c>
      <c r="H9" t="inlineStr">
        <is>
          <t>mtpa</t>
        </is>
      </c>
      <c r="J9" t="n">
        <v>0.1644</v>
      </c>
      <c r="K9" t="inlineStr">
        <is>
          <t>OPERATING</t>
        </is>
      </c>
      <c r="L9" t="inlineStr">
        <is>
          <t>2019-09</t>
        </is>
      </c>
      <c r="M9" t="inlineStr">
        <is>
          <t>SOURCED_MONTH</t>
        </is>
      </c>
      <c r="N9" t="inlineStr">
        <is>
          <t>2026-10-12</t>
        </is>
      </c>
      <c r="O9" t="inlineStr">
        <is>
          <t>2026-10-12</t>
        </is>
      </c>
      <c r="P9" t="inlineStr">
        <is>
          <t>U.S. Energy Information Administration</t>
        </is>
      </c>
      <c r="Q9" t="inlineStr">
        <is>
          <t>U.S. Liquefaction Capacity workbook (U.S.liquefactioncapacity_2026_Q3.xlsx; release 2026-10-01)</t>
        </is>
      </c>
      <c r="R9" t="inlineStr">
        <is>
          <t>https://www.eia.gov/naturalgas/importsexports/liquefactioncapacity/U.S.liquefactioncapacity_2026_Q3.xlsx</t>
        </is>
      </c>
      <c r="S9" t="inlineStr">
        <is>
          <t>2026-10-01</t>
        </is>
      </c>
      <c r="T9" t="inlineStr">
        <is>
          <t>SOURCED</t>
        </is>
      </c>
      <c r="U9" t="inlineStr">
        <is>
          <t>EIA status 'Commercial operation'; in-service '2019-09-01'. Baseload nameplate 1.25 mtpa; EIA peak nameplate 1.45 mtpa (EIA's own Mtpa where marked ^ else its Bcf/d conversion). [capacity_bcfd DERIVED: mtpa x 1.36 bcm/y x 35.3147 / 365.25 = 0.1315 Bcf/d per mtpa]</t>
        </is>
      </c>
    </row>
    <row r="10">
      <c r="A10" t="inlineStr">
        <is>
          <t>Global supply</t>
        </is>
      </c>
      <c r="B10" t="inlineStr">
        <is>
          <t>United States</t>
        </is>
      </c>
      <c r="C10" t="inlineStr">
        <is>
          <t>liquefaction_train</t>
        </is>
      </c>
      <c r="D10" t="inlineStr">
        <is>
          <t>Elba Island Trains 6-10A</t>
        </is>
      </c>
      <c r="E10" t="inlineStr">
        <is>
          <t>Kinder Morgan</t>
        </is>
      </c>
      <c r="F10" t="inlineStr">
        <is>
          <t>liquefaction</t>
        </is>
      </c>
      <c r="G10" t="n">
        <v>1.25</v>
      </c>
      <c r="H10" t="inlineStr">
        <is>
          <t>mtpa</t>
        </is>
      </c>
      <c r="J10" t="n">
        <v>0.1644</v>
      </c>
      <c r="K10" t="inlineStr">
        <is>
          <t>OPERATING</t>
        </is>
      </c>
      <c r="L10" t="inlineStr">
        <is>
          <t>2020-05</t>
        </is>
      </c>
      <c r="M10" t="inlineStr">
        <is>
          <t>SOURCED_MONTH</t>
        </is>
      </c>
      <c r="N10" t="inlineStr">
        <is>
          <t>2026-10-12</t>
        </is>
      </c>
      <c r="O10" t="inlineStr">
        <is>
          <t>2026-10-12</t>
        </is>
      </c>
      <c r="P10" t="inlineStr">
        <is>
          <t>U.S. Energy Information Administration</t>
        </is>
      </c>
      <c r="Q10" t="inlineStr">
        <is>
          <t>U.S. Liquefaction Capacity workbook (U.S.liquefactioncapacity_2026_Q3.xlsx; release 2026-10-01)</t>
        </is>
      </c>
      <c r="R10" t="inlineStr">
        <is>
          <t>https://www.eia.gov/naturalgas/importsexports/liquefactioncapacity/U.S.liquefactioncapacity_2026_Q3.xlsx</t>
        </is>
      </c>
      <c r="S10" t="inlineStr">
        <is>
          <t>2026-10-01</t>
        </is>
      </c>
      <c r="T10" t="inlineStr">
        <is>
          <t>SOURCED</t>
        </is>
      </c>
      <c r="U10" t="inlineStr">
        <is>
          <t>EIA status 'Commercial operation'; in-service '2020-05-01'. Baseload nameplate 1.25 mtpa; EIA peak nameplate 1.45 mtpa (EIA's own Mtpa where marked ^ else its Bcf/d conversion). [capacity_bcfd DERIVED: mtpa x 1.36 bcm/y x 35.3147 / 365.25 = 0.1315 Bcf/d per mtpa]</t>
        </is>
      </c>
    </row>
    <row r="11">
      <c r="A11" t="inlineStr">
        <is>
          <t>Global supply</t>
        </is>
      </c>
      <c r="B11" t="inlineStr">
        <is>
          <t>United States</t>
        </is>
      </c>
      <c r="C11" t="inlineStr">
        <is>
          <t>liquefaction_train</t>
        </is>
      </c>
      <c r="D11" t="inlineStr">
        <is>
          <t>Corpus Christi Train 1</t>
        </is>
      </c>
      <c r="E11" t="inlineStr">
        <is>
          <t>Cheniere Energy</t>
        </is>
      </c>
      <c r="F11" t="inlineStr">
        <is>
          <t>liquefaction</t>
        </is>
      </c>
      <c r="G11" t="n">
        <v>4.52</v>
      </c>
      <c r="H11" t="inlineStr">
        <is>
          <t>mtpa</t>
        </is>
      </c>
      <c r="J11" t="n">
        <v>0.5944</v>
      </c>
      <c r="K11" t="inlineStr">
        <is>
          <t>OPERATING</t>
        </is>
      </c>
      <c r="L11" t="inlineStr">
        <is>
          <t>2018-12</t>
        </is>
      </c>
      <c r="M11" t="inlineStr">
        <is>
          <t>SOURCED_MONTH</t>
        </is>
      </c>
      <c r="N11" t="inlineStr">
        <is>
          <t>2026-10-12</t>
        </is>
      </c>
      <c r="O11" t="inlineStr">
        <is>
          <t>2026-10-12</t>
        </is>
      </c>
      <c r="P11" t="inlineStr">
        <is>
          <t>U.S. Energy Information Administration</t>
        </is>
      </c>
      <c r="Q11" t="inlineStr">
        <is>
          <t>U.S. Liquefaction Capacity workbook (U.S.liquefactioncapacity_2026_Q3.xlsx; release 2026-10-01)</t>
        </is>
      </c>
      <c r="R11" t="inlineStr">
        <is>
          <t>https://www.eia.gov/naturalgas/importsexports/liquefactioncapacity/U.S.liquefactioncapacity_2026_Q3.xlsx</t>
        </is>
      </c>
      <c r="S11" t="inlineStr">
        <is>
          <t>2026-10-01</t>
        </is>
      </c>
      <c r="T11" t="inlineStr">
        <is>
          <t>SOURCED</t>
        </is>
      </c>
      <c r="U11" t="inlineStr">
        <is>
          <t>EIA status 'Commercial operation'; in-service '2018-12-01'. Baseload nameplate 4.52 mtpa; EIA peak nameplate 6.07 mtpa (EIA's own Mtpa where marked ^ else its Bcf/d conversion). [capacity_bcfd DERIVED: mtpa x 1.36 bcm/y x 35.3147 / 365.25 = 0.1315 Bcf/d per mtpa]</t>
        </is>
      </c>
    </row>
    <row r="12">
      <c r="A12" t="inlineStr">
        <is>
          <t>Global supply</t>
        </is>
      </c>
      <c r="B12" t="inlineStr">
        <is>
          <t>United States</t>
        </is>
      </c>
      <c r="C12" t="inlineStr">
        <is>
          <t>liquefaction_train</t>
        </is>
      </c>
      <c r="D12" t="inlineStr">
        <is>
          <t>Corpus Christi Train 2</t>
        </is>
      </c>
      <c r="E12" t="inlineStr">
        <is>
          <t>Cheniere Energy</t>
        </is>
      </c>
      <c r="F12" t="inlineStr">
        <is>
          <t>liquefaction</t>
        </is>
      </c>
      <c r="G12" t="n">
        <v>4.52</v>
      </c>
      <c r="H12" t="inlineStr">
        <is>
          <t>mtpa</t>
        </is>
      </c>
      <c r="J12" t="n">
        <v>0.5944</v>
      </c>
      <c r="K12" t="inlineStr">
        <is>
          <t>OPERATING</t>
        </is>
      </c>
      <c r="L12" t="inlineStr">
        <is>
          <t>2019-07</t>
        </is>
      </c>
      <c r="M12" t="inlineStr">
        <is>
          <t>SOURCED_MONTH</t>
        </is>
      </c>
      <c r="N12" t="inlineStr">
        <is>
          <t>2026-10-12</t>
        </is>
      </c>
      <c r="O12" t="inlineStr">
        <is>
          <t>2026-10-12</t>
        </is>
      </c>
      <c r="P12" t="inlineStr">
        <is>
          <t>U.S. Energy Information Administration</t>
        </is>
      </c>
      <c r="Q12" t="inlineStr">
        <is>
          <t>U.S. Liquefaction Capacity workbook (U.S.liquefactioncapacity_2026_Q3.xlsx; release 2026-10-01)</t>
        </is>
      </c>
      <c r="R12" t="inlineStr">
        <is>
          <t>https://www.eia.gov/naturalgas/importsexports/liquefactioncapacity/U.S.liquefactioncapacity_2026_Q3.xlsx</t>
        </is>
      </c>
      <c r="S12" t="inlineStr">
        <is>
          <t>2026-10-01</t>
        </is>
      </c>
      <c r="T12" t="inlineStr">
        <is>
          <t>SOURCED</t>
        </is>
      </c>
      <c r="U12" t="inlineStr">
        <is>
          <t>EIA status 'Commercial operation'; in-service '2019-07-01'. Baseload nameplate 4.52 mtpa; EIA peak nameplate 6.07 mtpa (EIA's own Mtpa where marked ^ else its Bcf/d conversion). [capacity_bcfd DERIVED: mtpa x 1.36 bcm/y x 35.3147 / 365.25 = 0.1315 Bcf/d per mtpa]</t>
        </is>
      </c>
    </row>
    <row r="13">
      <c r="A13" t="inlineStr">
        <is>
          <t>Global supply</t>
        </is>
      </c>
      <c r="B13" t="inlineStr">
        <is>
          <t>United States</t>
        </is>
      </c>
      <c r="C13" t="inlineStr">
        <is>
          <t>liquefaction_train</t>
        </is>
      </c>
      <c r="D13" t="inlineStr">
        <is>
          <t>Corpus Christi Train 3</t>
        </is>
      </c>
      <c r="E13" t="inlineStr">
        <is>
          <t>Cheniere Energy</t>
        </is>
      </c>
      <c r="F13" t="inlineStr">
        <is>
          <t>liquefaction</t>
        </is>
      </c>
      <c r="G13" t="n">
        <v>4.52</v>
      </c>
      <c r="H13" t="inlineStr">
        <is>
          <t>mtpa</t>
        </is>
      </c>
      <c r="J13" t="n">
        <v>0.5944</v>
      </c>
      <c r="K13" t="inlineStr">
        <is>
          <t>OPERATING</t>
        </is>
      </c>
      <c r="L13" t="inlineStr">
        <is>
          <t>2020-12</t>
        </is>
      </c>
      <c r="M13" t="inlineStr">
        <is>
          <t>SOURCED_MONTH</t>
        </is>
      </c>
      <c r="N13" t="inlineStr">
        <is>
          <t>2026-10-12</t>
        </is>
      </c>
      <c r="O13" t="inlineStr">
        <is>
          <t>2026-10-12</t>
        </is>
      </c>
      <c r="P13" t="inlineStr">
        <is>
          <t>U.S. Energy Information Administration</t>
        </is>
      </c>
      <c r="Q13" t="inlineStr">
        <is>
          <t>U.S. Liquefaction Capacity workbook (U.S.liquefactioncapacity_2026_Q3.xlsx; release 2026-10-01)</t>
        </is>
      </c>
      <c r="R13" t="inlineStr">
        <is>
          <t>https://www.eia.gov/naturalgas/importsexports/liquefactioncapacity/U.S.liquefactioncapacity_2026_Q3.xlsx</t>
        </is>
      </c>
      <c r="S13" t="inlineStr">
        <is>
          <t>2026-10-01</t>
        </is>
      </c>
      <c r="T13" t="inlineStr">
        <is>
          <t>SOURCED</t>
        </is>
      </c>
      <c r="U13" t="inlineStr">
        <is>
          <t>EIA status 'Commercial operation'; in-service '2020-12-01'. Baseload nameplate 4.52 mtpa; EIA peak nameplate 6.07 mtpa (EIA's own Mtpa where marked ^ else its Bcf/d conversion). [capacity_bcfd DERIVED: mtpa x 1.36 bcm/y x 35.3147 / 365.25 = 0.1315 Bcf/d per mtpa]</t>
        </is>
      </c>
    </row>
    <row r="14">
      <c r="A14" t="inlineStr">
        <is>
          <t>Global supply</t>
        </is>
      </c>
      <c r="B14" t="inlineStr">
        <is>
          <t>United States</t>
        </is>
      </c>
      <c r="C14" t="inlineStr">
        <is>
          <t>liquefaction_train</t>
        </is>
      </c>
      <c r="D14" t="inlineStr">
        <is>
          <t>Cameron Train 1B</t>
        </is>
      </c>
      <c r="E14" t="inlineStr">
        <is>
          <t>Sempra LNG</t>
        </is>
      </c>
      <c r="F14" t="inlineStr">
        <is>
          <t>liquefaction</t>
        </is>
      </c>
      <c r="G14" t="n">
        <v>4.5</v>
      </c>
      <c r="H14" t="inlineStr">
        <is>
          <t>mtpa</t>
        </is>
      </c>
      <c r="J14" t="n">
        <v>0.5917</v>
      </c>
      <c r="K14" t="inlineStr">
        <is>
          <t>OPERATING</t>
        </is>
      </c>
      <c r="L14" t="inlineStr">
        <is>
          <t>2019-05</t>
        </is>
      </c>
      <c r="M14" t="inlineStr">
        <is>
          <t>SOURCED_MONTH</t>
        </is>
      </c>
      <c r="N14" t="inlineStr">
        <is>
          <t>2026-10-12</t>
        </is>
      </c>
      <c r="O14" t="inlineStr">
        <is>
          <t>2026-10-12</t>
        </is>
      </c>
      <c r="P14" t="inlineStr">
        <is>
          <t>U.S. Energy Information Administration</t>
        </is>
      </c>
      <c r="Q14" t="inlineStr">
        <is>
          <t>U.S. Liquefaction Capacity workbook (U.S.liquefactioncapacity_2026_Q3.xlsx; release 2026-10-01)</t>
        </is>
      </c>
      <c r="R14" t="inlineStr">
        <is>
          <t>https://www.eia.gov/naturalgas/importsexports/liquefactioncapacity/U.S.liquefactioncapacity_2026_Q3.xlsx</t>
        </is>
      </c>
      <c r="S14" t="inlineStr">
        <is>
          <t>2026-10-01</t>
        </is>
      </c>
      <c r="T14" t="inlineStr">
        <is>
          <t>SOURCED</t>
        </is>
      </c>
      <c r="U14" t="inlineStr">
        <is>
          <t>EIA status 'Commercial operation'; in-service '2019-05-01'. Baseload nameplate 4.50 mtpa; EIA peak nameplate 4.99 mtpa (EIA's own Mtpa where marked ^ else its Bcf/d conversion). [capacity_bcfd DERIVED: mtpa x 1.36 bcm/y x 35.3147 / 365.25 = 0.1315 Bcf/d per mtpa]</t>
        </is>
      </c>
    </row>
    <row r="15">
      <c r="A15" t="inlineStr">
        <is>
          <t>Global supply</t>
        </is>
      </c>
      <c r="B15" t="inlineStr">
        <is>
          <t>United States</t>
        </is>
      </c>
      <c r="C15" t="inlineStr">
        <is>
          <t>liquefaction_train</t>
        </is>
      </c>
      <c r="D15" t="inlineStr">
        <is>
          <t>Cameron Train 2B</t>
        </is>
      </c>
      <c r="E15" t="inlineStr">
        <is>
          <t>Sempra LNG</t>
        </is>
      </c>
      <c r="F15" t="inlineStr">
        <is>
          <t>liquefaction</t>
        </is>
      </c>
      <c r="G15" t="n">
        <v>4.5</v>
      </c>
      <c r="H15" t="inlineStr">
        <is>
          <t>mtpa</t>
        </is>
      </c>
      <c r="J15" t="n">
        <v>0.5917</v>
      </c>
      <c r="K15" t="inlineStr">
        <is>
          <t>OPERATING</t>
        </is>
      </c>
      <c r="L15" t="inlineStr">
        <is>
          <t>2019-12</t>
        </is>
      </c>
      <c r="M15" t="inlineStr">
        <is>
          <t>SOURCED_MONTH</t>
        </is>
      </c>
      <c r="N15" t="inlineStr">
        <is>
          <t>2026-10-12</t>
        </is>
      </c>
      <c r="O15" t="inlineStr">
        <is>
          <t>2026-10-12</t>
        </is>
      </c>
      <c r="P15" t="inlineStr">
        <is>
          <t>U.S. Energy Information Administration</t>
        </is>
      </c>
      <c r="Q15" t="inlineStr">
        <is>
          <t>U.S. Liquefaction Capacity workbook (U.S.liquefactioncapacity_2026_Q3.xlsx; release 2026-10-01)</t>
        </is>
      </c>
      <c r="R15" t="inlineStr">
        <is>
          <t>https://www.eia.gov/naturalgas/importsexports/liquefactioncapacity/U.S.liquefactioncapacity_2026_Q3.xlsx</t>
        </is>
      </c>
      <c r="S15" t="inlineStr">
        <is>
          <t>2026-10-01</t>
        </is>
      </c>
      <c r="T15" t="inlineStr">
        <is>
          <t>SOURCED</t>
        </is>
      </c>
      <c r="U15" t="inlineStr">
        <is>
          <t>EIA status 'Commercial operation'; in-service '2019-12-01'. Baseload nameplate 4.50 mtpa; EIA peak nameplate 4.99 mtpa (EIA's own Mtpa where marked ^ else its Bcf/d conversion). [capacity_bcfd DERIVED: mtpa x 1.36 bcm/y x 35.3147 / 365.25 = 0.1315 Bcf/d per mtpa]</t>
        </is>
      </c>
    </row>
    <row r="16">
      <c r="A16" t="inlineStr">
        <is>
          <t>Global supply</t>
        </is>
      </c>
      <c r="B16" t="inlineStr">
        <is>
          <t>United States</t>
        </is>
      </c>
      <c r="C16" t="inlineStr">
        <is>
          <t>liquefaction_train</t>
        </is>
      </c>
      <c r="D16" t="inlineStr">
        <is>
          <t>Cameron Train 3B</t>
        </is>
      </c>
      <c r="E16" t="inlineStr">
        <is>
          <t>Sempra LNG</t>
        </is>
      </c>
      <c r="F16" t="inlineStr">
        <is>
          <t>liquefaction</t>
        </is>
      </c>
      <c r="G16" t="n">
        <v>4.5</v>
      </c>
      <c r="H16" t="inlineStr">
        <is>
          <t>mtpa</t>
        </is>
      </c>
      <c r="J16" t="n">
        <v>0.5917</v>
      </c>
      <c r="K16" t="inlineStr">
        <is>
          <t>OPERATING</t>
        </is>
      </c>
      <c r="L16" t="inlineStr">
        <is>
          <t>2020-08</t>
        </is>
      </c>
      <c r="M16" t="inlineStr">
        <is>
          <t>SOURCED_MONTH</t>
        </is>
      </c>
      <c r="N16" t="inlineStr">
        <is>
          <t>2026-10-12</t>
        </is>
      </c>
      <c r="O16" t="inlineStr">
        <is>
          <t>2026-10-12</t>
        </is>
      </c>
      <c r="P16" t="inlineStr">
        <is>
          <t>U.S. Energy Information Administration</t>
        </is>
      </c>
      <c r="Q16" t="inlineStr">
        <is>
          <t>U.S. Liquefaction Capacity workbook (U.S.liquefactioncapacity_2026_Q3.xlsx; release 2026-10-01)</t>
        </is>
      </c>
      <c r="R16" t="inlineStr">
        <is>
          <t>https://www.eia.gov/naturalgas/importsexports/liquefactioncapacity/U.S.liquefactioncapacity_2026_Q3.xlsx</t>
        </is>
      </c>
      <c r="S16" t="inlineStr">
        <is>
          <t>2026-10-01</t>
        </is>
      </c>
      <c r="T16" t="inlineStr">
        <is>
          <t>SOURCED</t>
        </is>
      </c>
      <c r="U16" t="inlineStr">
        <is>
          <t>EIA status 'Commercial operation'; in-service '2020-08-01'. Baseload nameplate 4.50 mtpa; EIA peak nameplate 4.99 mtpa (EIA's own Mtpa where marked ^ else its Bcf/d conversion). [capacity_bcfd DERIVED: mtpa x 1.36 bcm/y x 35.3147 / 365.25 = 0.1315 Bcf/d per mtpa]</t>
        </is>
      </c>
    </row>
    <row r="17">
      <c r="A17" t="inlineStr">
        <is>
          <t>Global supply</t>
        </is>
      </c>
      <c r="B17" t="inlineStr">
        <is>
          <t>United States</t>
        </is>
      </c>
      <c r="C17" t="inlineStr">
        <is>
          <t>liquefaction_train</t>
        </is>
      </c>
      <c r="D17" t="inlineStr">
        <is>
          <t>Freeport Train 1</t>
        </is>
      </c>
      <c r="E17" t="inlineStr">
        <is>
          <t>Freeport LNG Development, L.P.</t>
        </is>
      </c>
      <c r="F17" t="inlineStr">
        <is>
          <t>liquefaction</t>
        </is>
      </c>
      <c r="G17" t="n">
        <v>5</v>
      </c>
      <c r="H17" t="inlineStr">
        <is>
          <t>mtpa</t>
        </is>
      </c>
      <c r="J17" t="n">
        <v>0.6575</v>
      </c>
      <c r="K17" t="inlineStr">
        <is>
          <t>OPERATING</t>
        </is>
      </c>
      <c r="L17" t="inlineStr">
        <is>
          <t>2019-09</t>
        </is>
      </c>
      <c r="M17" t="inlineStr">
        <is>
          <t>SOURCED_MONTH</t>
        </is>
      </c>
      <c r="N17" t="inlineStr">
        <is>
          <t>2026-10-12</t>
        </is>
      </c>
      <c r="O17" t="inlineStr">
        <is>
          <t>2026-10-12</t>
        </is>
      </c>
      <c r="P17" t="inlineStr">
        <is>
          <t>U.S. Energy Information Administration</t>
        </is>
      </c>
      <c r="Q17" t="inlineStr">
        <is>
          <t>U.S. Liquefaction Capacity workbook (U.S.liquefactioncapacity_2026_Q3.xlsx; release 2026-10-01)</t>
        </is>
      </c>
      <c r="R17" t="inlineStr">
        <is>
          <t>https://www.eia.gov/naturalgas/importsexports/liquefactioncapacity/U.S.liquefactioncapacity_2026_Q3.xlsx</t>
        </is>
      </c>
      <c r="S17" t="inlineStr">
        <is>
          <t>2026-10-01</t>
        </is>
      </c>
      <c r="T17" t="inlineStr">
        <is>
          <t>SOURCED</t>
        </is>
      </c>
      <c r="U17" t="inlineStr">
        <is>
          <t>EIA status 'Commercial operation'; in-service '2019-09-01'. Baseload nameplate 5.00 mtpa; EIA peak nameplate 6.02 mtpa (EIA's own Mtpa where marked ^ else its Bcf/d conversion). [capacity_bcfd DERIVED: mtpa x 1.36 bcm/y x 35.3147 / 365.25 = 0.1315 Bcf/d per mtpa]</t>
        </is>
      </c>
    </row>
    <row r="18">
      <c r="A18" t="inlineStr">
        <is>
          <t>Global supply</t>
        </is>
      </c>
      <c r="B18" t="inlineStr">
        <is>
          <t>United States</t>
        </is>
      </c>
      <c r="C18" t="inlineStr">
        <is>
          <t>liquefaction_train</t>
        </is>
      </c>
      <c r="D18" t="inlineStr">
        <is>
          <t>Freeport Train 2</t>
        </is>
      </c>
      <c r="E18" t="inlineStr">
        <is>
          <t>Freeport LNG Development, L.P.</t>
        </is>
      </c>
      <c r="F18" t="inlineStr">
        <is>
          <t>liquefaction</t>
        </is>
      </c>
      <c r="G18" t="n">
        <v>5</v>
      </c>
      <c r="H18" t="inlineStr">
        <is>
          <t>mtpa</t>
        </is>
      </c>
      <c r="J18" t="n">
        <v>0.6575</v>
      </c>
      <c r="K18" t="inlineStr">
        <is>
          <t>OPERATING</t>
        </is>
      </c>
      <c r="L18" t="inlineStr">
        <is>
          <t>2019-12</t>
        </is>
      </c>
      <c r="M18" t="inlineStr">
        <is>
          <t>SOURCED_MONTH</t>
        </is>
      </c>
      <c r="N18" t="inlineStr">
        <is>
          <t>2026-10-12</t>
        </is>
      </c>
      <c r="O18" t="inlineStr">
        <is>
          <t>2026-10-12</t>
        </is>
      </c>
      <c r="P18" t="inlineStr">
        <is>
          <t>U.S. Energy Information Administration</t>
        </is>
      </c>
      <c r="Q18" t="inlineStr">
        <is>
          <t>U.S. Liquefaction Capacity workbook (U.S.liquefactioncapacity_2026_Q3.xlsx; release 2026-10-01)</t>
        </is>
      </c>
      <c r="R18" t="inlineStr">
        <is>
          <t>https://www.eia.gov/naturalgas/importsexports/liquefactioncapacity/U.S.liquefactioncapacity_2026_Q3.xlsx</t>
        </is>
      </c>
      <c r="S18" t="inlineStr">
        <is>
          <t>2026-10-01</t>
        </is>
      </c>
      <c r="T18" t="inlineStr">
        <is>
          <t>SOURCED</t>
        </is>
      </c>
      <c r="U18" t="inlineStr">
        <is>
          <t>EIA status 'Commercial operation'; in-service '2019-12-01'. Baseload nameplate 5.00 mtpa; EIA peak nameplate 6.02 mtpa (EIA's own Mtpa where marked ^ else its Bcf/d conversion). [capacity_bcfd DERIVED: mtpa x 1.36 bcm/y x 35.3147 / 365.25 = 0.1315 Bcf/d per mtpa]</t>
        </is>
      </c>
    </row>
    <row r="19">
      <c r="A19" t="inlineStr">
        <is>
          <t>Global supply</t>
        </is>
      </c>
      <c r="B19" t="inlineStr">
        <is>
          <t>United States</t>
        </is>
      </c>
      <c r="C19" t="inlineStr">
        <is>
          <t>liquefaction_train</t>
        </is>
      </c>
      <c r="D19" t="inlineStr">
        <is>
          <t>Freeport Train 3</t>
        </is>
      </c>
      <c r="E19" t="inlineStr">
        <is>
          <t>Freeport LNG Development, L.P.</t>
        </is>
      </c>
      <c r="F19" t="inlineStr">
        <is>
          <t>liquefaction</t>
        </is>
      </c>
      <c r="G19" t="n">
        <v>5</v>
      </c>
      <c r="H19" t="inlineStr">
        <is>
          <t>mtpa</t>
        </is>
      </c>
      <c r="J19" t="n">
        <v>0.6575</v>
      </c>
      <c r="K19" t="inlineStr">
        <is>
          <t>OPERATING</t>
        </is>
      </c>
      <c r="L19" t="inlineStr">
        <is>
          <t>2020-03</t>
        </is>
      </c>
      <c r="M19" t="inlineStr">
        <is>
          <t>SOURCED_MONTH</t>
        </is>
      </c>
      <c r="N19" t="inlineStr">
        <is>
          <t>2026-10-12</t>
        </is>
      </c>
      <c r="O19" t="inlineStr">
        <is>
          <t>2026-10-12</t>
        </is>
      </c>
      <c r="P19" t="inlineStr">
        <is>
          <t>U.S. Energy Information Administration</t>
        </is>
      </c>
      <c r="Q19" t="inlineStr">
        <is>
          <t>U.S. Liquefaction Capacity workbook (U.S.liquefactioncapacity_2026_Q3.xlsx; release 2026-10-01)</t>
        </is>
      </c>
      <c r="R19" t="inlineStr">
        <is>
          <t>https://www.eia.gov/naturalgas/importsexports/liquefactioncapacity/U.S.liquefactioncapacity_2026_Q3.xlsx</t>
        </is>
      </c>
      <c r="S19" t="inlineStr">
        <is>
          <t>2026-10-01</t>
        </is>
      </c>
      <c r="T19" t="inlineStr">
        <is>
          <t>SOURCED</t>
        </is>
      </c>
      <c r="U19" t="inlineStr">
        <is>
          <t>EIA status 'Commercial operation'; in-service '2020-03-01'. Baseload nameplate 5.00 mtpa; EIA peak nameplate 6.02 mtpa (EIA's own Mtpa where marked ^ else its Bcf/d conversion). [capacity_bcfd DERIVED: mtpa x 1.36 bcm/y x 35.3147 / 365.25 = 0.1315 Bcf/d per mtpa]</t>
        </is>
      </c>
    </row>
    <row r="20">
      <c r="A20" t="inlineStr">
        <is>
          <t>Global supply</t>
        </is>
      </c>
      <c r="B20" t="inlineStr">
        <is>
          <t>United States</t>
        </is>
      </c>
      <c r="C20" t="inlineStr">
        <is>
          <t>liquefaction_train</t>
        </is>
      </c>
      <c r="D20" t="inlineStr">
        <is>
          <t>Calcasieu Pass Trains 1-9C</t>
        </is>
      </c>
      <c r="E20" t="inlineStr">
        <is>
          <t>Venture Global LNG, Inc.</t>
        </is>
      </c>
      <c r="F20" t="inlineStr">
        <is>
          <t>liquefaction</t>
        </is>
      </c>
      <c r="G20" t="n">
        <v>5</v>
      </c>
      <c r="H20" t="inlineStr">
        <is>
          <t>mtpa</t>
        </is>
      </c>
      <c r="J20" t="n">
        <v>0.6575</v>
      </c>
      <c r="K20" t="inlineStr">
        <is>
          <t>OPERATING</t>
        </is>
      </c>
      <c r="L20" t="inlineStr">
        <is>
          <t>2022-03</t>
        </is>
      </c>
      <c r="M20" t="inlineStr">
        <is>
          <t>SOURCED_MONTH</t>
        </is>
      </c>
      <c r="N20" t="inlineStr">
        <is>
          <t>2026-10-12</t>
        </is>
      </c>
      <c r="O20" t="inlineStr">
        <is>
          <t>2026-10-12</t>
        </is>
      </c>
      <c r="P20" t="inlineStr">
        <is>
          <t>U.S. Energy Information Administration</t>
        </is>
      </c>
      <c r="Q20" t="inlineStr">
        <is>
          <t>U.S. Liquefaction Capacity workbook (U.S.liquefactioncapacity_2026_Q3.xlsx; release 2026-10-01)</t>
        </is>
      </c>
      <c r="R20" t="inlineStr">
        <is>
          <t>https://www.eia.gov/naturalgas/importsexports/liquefactioncapacity/U.S.liquefactioncapacity_2026_Q3.xlsx</t>
        </is>
      </c>
      <c r="S20" t="inlineStr">
        <is>
          <t>2026-10-01</t>
        </is>
      </c>
      <c r="T20" t="inlineStr">
        <is>
          <t>SOURCED</t>
        </is>
      </c>
      <c r="U20" t="inlineStr">
        <is>
          <t>EIA status 'Commercial operation'; in-service '2022-03-01'. Baseload nameplate 5.00 mtpa; EIA peak nameplate 6.20 mtpa (EIA's own Mtpa where marked ^ else its Bcf/d conversion). [capacity_bcfd DERIVED: mtpa x 1.36 bcm/y x 35.3147 / 365.25 = 0.1315 Bcf/d per mtpa]</t>
        </is>
      </c>
    </row>
    <row r="21">
      <c r="A21" t="inlineStr">
        <is>
          <t>Global supply</t>
        </is>
      </c>
      <c r="B21" t="inlineStr">
        <is>
          <t>United States</t>
        </is>
      </c>
      <c r="C21" t="inlineStr">
        <is>
          <t>liquefaction_train</t>
        </is>
      </c>
      <c r="D21" t="inlineStr">
        <is>
          <t>Calcasieu Pass Trains 10-18C</t>
        </is>
      </c>
      <c r="E21" t="inlineStr">
        <is>
          <t>Venture Global LNG, Inc.</t>
        </is>
      </c>
      <c r="F21" t="inlineStr">
        <is>
          <t>liquefaction</t>
        </is>
      </c>
      <c r="G21" t="n">
        <v>5</v>
      </c>
      <c r="H21" t="inlineStr">
        <is>
          <t>mtpa</t>
        </is>
      </c>
      <c r="J21" t="n">
        <v>0.6575</v>
      </c>
      <c r="K21" t="inlineStr">
        <is>
          <t>OPERATING</t>
        </is>
      </c>
      <c r="L21" t="inlineStr">
        <is>
          <t>2022-09</t>
        </is>
      </c>
      <c r="M21" t="inlineStr">
        <is>
          <t>SOURCED_MONTH</t>
        </is>
      </c>
      <c r="N21" t="inlineStr">
        <is>
          <t>2026-10-12</t>
        </is>
      </c>
      <c r="O21" t="inlineStr">
        <is>
          <t>2026-10-12</t>
        </is>
      </c>
      <c r="P21" t="inlineStr">
        <is>
          <t>U.S. Energy Information Administration</t>
        </is>
      </c>
      <c r="Q21" t="inlineStr">
        <is>
          <t>U.S. Liquefaction Capacity workbook (U.S.liquefactioncapacity_2026_Q3.xlsx; release 2026-10-01)</t>
        </is>
      </c>
      <c r="R21" t="inlineStr">
        <is>
          <t>https://www.eia.gov/naturalgas/importsexports/liquefactioncapacity/U.S.liquefactioncapacity_2026_Q3.xlsx</t>
        </is>
      </c>
      <c r="S21" t="inlineStr">
        <is>
          <t>2026-10-01</t>
        </is>
      </c>
      <c r="T21" t="inlineStr">
        <is>
          <t>SOURCED</t>
        </is>
      </c>
      <c r="U21" t="inlineStr">
        <is>
          <t>EIA status 'Commercial operation'; in-service '2022-09-01'. Baseload nameplate 5.00 mtpa; EIA peak nameplate 6.20 mtpa (EIA's own Mtpa where marked ^ else its Bcf/d conversion). [capacity_bcfd DERIVED: mtpa x 1.36 bcm/y x 35.3147 / 365.25 = 0.1315 Bcf/d per mtpa]</t>
        </is>
      </c>
    </row>
    <row r="22">
      <c r="A22" t="inlineStr">
        <is>
          <t>Global supply</t>
        </is>
      </c>
      <c r="B22" t="inlineStr">
        <is>
          <t>United States</t>
        </is>
      </c>
      <c r="C22" t="inlineStr">
        <is>
          <t>liquefaction_train</t>
        </is>
      </c>
      <c r="D22" t="inlineStr">
        <is>
          <t>Plaquemines LNG Phase 1 Trains 1-18E</t>
        </is>
      </c>
      <c r="E22" t="inlineStr">
        <is>
          <t>Venture Global LNG</t>
        </is>
      </c>
      <c r="F22" t="inlineStr">
        <is>
          <t>liquefaction</t>
        </is>
      </c>
      <c r="G22" t="n">
        <v>9.9</v>
      </c>
      <c r="H22" t="inlineStr">
        <is>
          <t>mtpa</t>
        </is>
      </c>
      <c r="J22" t="n">
        <v>1.3019</v>
      </c>
      <c r="K22" t="inlineStr">
        <is>
          <t>OPERATING</t>
        </is>
      </c>
      <c r="L22" t="inlineStr">
        <is>
          <t>2024-12</t>
        </is>
      </c>
      <c r="M22" t="inlineStr">
        <is>
          <t>SOURCED_MONTH</t>
        </is>
      </c>
      <c r="N22" t="inlineStr">
        <is>
          <t>2026-10-12</t>
        </is>
      </c>
      <c r="O22" t="inlineStr">
        <is>
          <t>2026-10-12</t>
        </is>
      </c>
      <c r="P22" t="inlineStr">
        <is>
          <t>U.S. Energy Information Administration</t>
        </is>
      </c>
      <c r="Q22" t="inlineStr">
        <is>
          <t>U.S. Liquefaction Capacity workbook (U.S.liquefactioncapacity_2026_Q3.xlsx; release 2026-10-01)</t>
        </is>
      </c>
      <c r="R22" t="inlineStr">
        <is>
          <t>https://www.eia.gov/naturalgas/importsexports/liquefactioncapacity/U.S.liquefactioncapacity_2026_Q3.xlsx</t>
        </is>
      </c>
      <c r="S22" t="inlineStr">
        <is>
          <t>2026-10-01</t>
        </is>
      </c>
      <c r="T22" t="inlineStr">
        <is>
          <t>SOURCED</t>
        </is>
      </c>
      <c r="U22" t="inlineStr">
        <is>
          <t>EIA status 'Commissioning'; in-service '2024-12-01'. Baseload nameplate 9.90 mtpa; EIA peak nameplate 13.33 mtpa (EIA's own Mtpa where marked ^ else its Bcf/d conversion). [capacity_bcfd DERIVED: mtpa x 1.36 bcm/y x 35.3147 / 365.25 = 0.1315 Bcf/d per mtpa]</t>
        </is>
      </c>
    </row>
    <row r="23">
      <c r="A23" t="inlineStr">
        <is>
          <t>Global supply</t>
        </is>
      </c>
      <c r="B23" t="inlineStr">
        <is>
          <t>United States</t>
        </is>
      </c>
      <c r="C23" t="inlineStr">
        <is>
          <t>liquefaction_train</t>
        </is>
      </c>
      <c r="D23" t="inlineStr">
        <is>
          <t>Plaquemines LNG Phase 2 Trains 19-36E</t>
        </is>
      </c>
      <c r="E23" t="inlineStr">
        <is>
          <t>Venture Global LNG</t>
        </is>
      </c>
      <c r="F23" t="inlineStr">
        <is>
          <t>liquefaction</t>
        </is>
      </c>
      <c r="G23" t="n">
        <v>9.9</v>
      </c>
      <c r="H23" t="inlineStr">
        <is>
          <t>mtpa</t>
        </is>
      </c>
      <c r="J23" t="n">
        <v>1.3019</v>
      </c>
      <c r="K23" t="inlineStr">
        <is>
          <t>COMMISSIONED_RECENT</t>
        </is>
      </c>
      <c r="L23" t="inlineStr">
        <is>
          <t>2025-09</t>
        </is>
      </c>
      <c r="M23" t="inlineStr">
        <is>
          <t>SOURCED_MONTH</t>
        </is>
      </c>
      <c r="N23" t="inlineStr">
        <is>
          <t>2026-10-12</t>
        </is>
      </c>
      <c r="O23" t="inlineStr">
        <is>
          <t>2026-10-12</t>
        </is>
      </c>
      <c r="P23" t="inlineStr">
        <is>
          <t>U.S. Energy Information Administration</t>
        </is>
      </c>
      <c r="Q23" t="inlineStr">
        <is>
          <t>U.S. Liquefaction Capacity workbook (U.S.liquefactioncapacity_2026_Q3.xlsx; release 2026-10-01)</t>
        </is>
      </c>
      <c r="R23" t="inlineStr">
        <is>
          <t>https://www.eia.gov/naturalgas/importsexports/liquefactioncapacity/U.S.liquefactioncapacity_2026_Q3.xlsx</t>
        </is>
      </c>
      <c r="S23" t="inlineStr">
        <is>
          <t>2026-10-01</t>
        </is>
      </c>
      <c r="T23" t="inlineStr">
        <is>
          <t>SOURCED</t>
        </is>
      </c>
      <c r="U23" t="inlineStr">
        <is>
          <t>EIA status 'Commissioning'; in-service '2025-09-01'. Baseload nameplate 9.90 mtpa; EIA peak nameplate 13.82 mtpa (EIA's own Mtpa where marked ^ else its Bcf/d conversion). [capacity_bcfd DERIVED: mtpa x 1.36 bcm/y x 35.3147 / 365.25 = 0.1315 Bcf/d per mtpa]</t>
        </is>
      </c>
    </row>
    <row r="24">
      <c r="A24" t="inlineStr">
        <is>
          <t>Global supply</t>
        </is>
      </c>
      <c r="B24" t="inlineStr">
        <is>
          <t>United States</t>
        </is>
      </c>
      <c r="C24" t="inlineStr">
        <is>
          <t>liquefaction_train</t>
        </is>
      </c>
      <c r="D24" t="inlineStr">
        <is>
          <t>Corpus Christi Stage 3 Midscale Train 1</t>
        </is>
      </c>
      <c r="E24" t="inlineStr">
        <is>
          <t>Cheniere Energy</t>
        </is>
      </c>
      <c r="F24" t="inlineStr">
        <is>
          <t>liquefaction</t>
        </is>
      </c>
      <c r="G24" t="n">
        <v>1.429</v>
      </c>
      <c r="H24" t="inlineStr">
        <is>
          <t>mtpa</t>
        </is>
      </c>
      <c r="J24" t="n">
        <v>0.1879</v>
      </c>
      <c r="K24" t="inlineStr">
        <is>
          <t>COMMISSIONED_RECENT</t>
        </is>
      </c>
      <c r="L24" t="inlineStr">
        <is>
          <t>2025</t>
        </is>
      </c>
      <c r="M24" t="inlineStr">
        <is>
          <t>SOURCED_YEAR</t>
        </is>
      </c>
      <c r="N24" t="inlineStr">
        <is>
          <t>2026-10-12</t>
        </is>
      </c>
      <c r="O24" t="inlineStr">
        <is>
          <t>2026-10-12</t>
        </is>
      </c>
      <c r="P24" t="inlineStr">
        <is>
          <t>U.S. Energy Information Administration; Cheniere Energy</t>
        </is>
      </c>
      <c r="Q24" t="inlineStr">
        <is>
          <t>U.S. Liquefaction Capacity workbook (U.S.liquefactioncapacity_2026_Q3.xlsx; release 2026-10-01); Cheniere Reports Second Quarter 2026 Results (6 Aug 2026)</t>
        </is>
      </c>
      <c r="R24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S24" t="inlineStr">
        <is>
          <t>2026-10-01</t>
        </is>
      </c>
      <c r="T24" t="inlineStr">
        <is>
          <t>DERIVED</t>
        </is>
      </c>
      <c r="U24" t="inlineStr">
        <is>
          <t>Cheniere Q2 2026: substantial completion of Trains 1-4 in 2025 (month per train not stated); EIA: first LNG Dec 2024 / in service Feb 2025.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25">
      <c r="A25" t="inlineStr">
        <is>
          <t>Global supply</t>
        </is>
      </c>
      <c r="B25" t="inlineStr">
        <is>
          <t>United States</t>
        </is>
      </c>
      <c r="C25" t="inlineStr">
        <is>
          <t>liquefaction_train</t>
        </is>
      </c>
      <c r="D25" t="inlineStr">
        <is>
          <t>Corpus Christi Stage 3 Midscale Train 2</t>
        </is>
      </c>
      <c r="E25" t="inlineStr">
        <is>
          <t>Cheniere Energy</t>
        </is>
      </c>
      <c r="F25" t="inlineStr">
        <is>
          <t>liquefaction</t>
        </is>
      </c>
      <c r="G25" t="n">
        <v>1.429</v>
      </c>
      <c r="H25" t="inlineStr">
        <is>
          <t>mtpa</t>
        </is>
      </c>
      <c r="J25" t="n">
        <v>0.1879</v>
      </c>
      <c r="K25" t="inlineStr">
        <is>
          <t>COMMISSIONED_RECENT</t>
        </is>
      </c>
      <c r="L25" t="inlineStr">
        <is>
          <t>2025</t>
        </is>
      </c>
      <c r="M25" t="inlineStr">
        <is>
          <t>SOURCED_YEAR</t>
        </is>
      </c>
      <c r="N25" t="inlineStr">
        <is>
          <t>2026-10-12</t>
        </is>
      </c>
      <c r="O25" t="inlineStr">
        <is>
          <t>2026-10-12</t>
        </is>
      </c>
      <c r="P25" t="inlineStr">
        <is>
          <t>U.S. Energy Information Administration; Cheniere Energy</t>
        </is>
      </c>
      <c r="Q25" t="inlineStr">
        <is>
          <t>U.S. Liquefaction Capacity workbook (U.S.liquefactioncapacity_2026_Q3.xlsx; release 2026-10-01); Cheniere Reports Second Quarter 2026 Results (6 Aug 2026)</t>
        </is>
      </c>
      <c r="R25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S25" t="inlineStr">
        <is>
          <t>2026-10-01</t>
        </is>
      </c>
      <c r="T25" t="inlineStr">
        <is>
          <t>DERIVED</t>
        </is>
      </c>
      <c r="U25" t="inlineStr">
        <is>
          <t>as Train 1.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26">
      <c r="A26" t="inlineStr">
        <is>
          <t>Global supply</t>
        </is>
      </c>
      <c r="B26" t="inlineStr">
        <is>
          <t>United States</t>
        </is>
      </c>
      <c r="C26" t="inlineStr">
        <is>
          <t>liquefaction_train</t>
        </is>
      </c>
      <c r="D26" t="inlineStr">
        <is>
          <t>Corpus Christi Stage 3 Midscale Train 3</t>
        </is>
      </c>
      <c r="E26" t="inlineStr">
        <is>
          <t>Cheniere Energy</t>
        </is>
      </c>
      <c r="F26" t="inlineStr">
        <is>
          <t>liquefaction</t>
        </is>
      </c>
      <c r="G26" t="n">
        <v>1.429</v>
      </c>
      <c r="H26" t="inlineStr">
        <is>
          <t>mtpa</t>
        </is>
      </c>
      <c r="J26" t="n">
        <v>0.1879</v>
      </c>
      <c r="K26" t="inlineStr">
        <is>
          <t>COMMISSIONED_RECENT</t>
        </is>
      </c>
      <c r="L26" t="inlineStr">
        <is>
          <t>2025</t>
        </is>
      </c>
      <c r="M26" t="inlineStr">
        <is>
          <t>SOURCED_YEAR</t>
        </is>
      </c>
      <c r="N26" t="inlineStr">
        <is>
          <t>2026-10-12</t>
        </is>
      </c>
      <c r="O26" t="inlineStr">
        <is>
          <t>2026-10-12</t>
        </is>
      </c>
      <c r="P26" t="inlineStr">
        <is>
          <t>U.S. Energy Information Administration; Cheniere Energy</t>
        </is>
      </c>
      <c r="Q26" t="inlineStr">
        <is>
          <t>U.S. Liquefaction Capacity workbook (U.S.liquefactioncapacity_2026_Q3.xlsx; release 2026-10-01); Cheniere Reports Second Quarter 2026 Results (6 Aug 2026)</t>
        </is>
      </c>
      <c r="R26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S26" t="inlineStr">
        <is>
          <t>2026-10-01</t>
        </is>
      </c>
      <c r="T26" t="inlineStr">
        <is>
          <t>DERIVED</t>
        </is>
      </c>
      <c r="U26" t="inlineStr">
        <is>
          <t>as Train 1.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27">
      <c r="A27" t="inlineStr">
        <is>
          <t>Global supply</t>
        </is>
      </c>
      <c r="B27" t="inlineStr">
        <is>
          <t>United States</t>
        </is>
      </c>
      <c r="C27" t="inlineStr">
        <is>
          <t>liquefaction_train</t>
        </is>
      </c>
      <c r="D27" t="inlineStr">
        <is>
          <t>Corpus Christi Stage 3 Midscale Train 4</t>
        </is>
      </c>
      <c r="E27" t="inlineStr">
        <is>
          <t>Cheniere Energy</t>
        </is>
      </c>
      <c r="F27" t="inlineStr">
        <is>
          <t>liquefaction</t>
        </is>
      </c>
      <c r="G27" t="n">
        <v>1.429</v>
      </c>
      <c r="H27" t="inlineStr">
        <is>
          <t>mtpa</t>
        </is>
      </c>
      <c r="J27" t="n">
        <v>0.1879</v>
      </c>
      <c r="K27" t="inlineStr">
        <is>
          <t>COMMISSIONED_RECENT</t>
        </is>
      </c>
      <c r="L27" t="inlineStr">
        <is>
          <t>2025</t>
        </is>
      </c>
      <c r="M27" t="inlineStr">
        <is>
          <t>SOURCED_YEAR</t>
        </is>
      </c>
      <c r="N27" t="inlineStr">
        <is>
          <t>2026-10-12</t>
        </is>
      </c>
      <c r="O27" t="inlineStr">
        <is>
          <t>2026-10-12</t>
        </is>
      </c>
      <c r="P27" t="inlineStr">
        <is>
          <t>U.S. Energy Information Administration; Cheniere Energy</t>
        </is>
      </c>
      <c r="Q27" t="inlineStr">
        <is>
          <t>U.S. Liquefaction Capacity workbook (U.S.liquefactioncapacity_2026_Q3.xlsx; release 2026-10-01); Cheniere Reports Second Quarter 2026 Results (6 Aug 2026)</t>
        </is>
      </c>
      <c r="R27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S27" t="inlineStr">
        <is>
          <t>2026-10-01</t>
        </is>
      </c>
      <c r="T27" t="inlineStr">
        <is>
          <t>DERIVED</t>
        </is>
      </c>
      <c r="U27" t="inlineStr">
        <is>
          <t>as Train 1.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28">
      <c r="A28" t="inlineStr">
        <is>
          <t>Global supply</t>
        </is>
      </c>
      <c r="B28" t="inlineStr">
        <is>
          <t>United States</t>
        </is>
      </c>
      <c r="C28" t="inlineStr">
        <is>
          <t>liquefaction_train</t>
        </is>
      </c>
      <c r="D28" t="inlineStr">
        <is>
          <t>Corpus Christi Stage 3 Midscale Train 5</t>
        </is>
      </c>
      <c r="E28" t="inlineStr">
        <is>
          <t>Cheniere Energy</t>
        </is>
      </c>
      <c r="F28" t="inlineStr">
        <is>
          <t>liquefaction</t>
        </is>
      </c>
      <c r="G28" t="n">
        <v>1.429</v>
      </c>
      <c r="H28" t="inlineStr">
        <is>
          <t>mtpa</t>
        </is>
      </c>
      <c r="J28" t="n">
        <v>0.1879</v>
      </c>
      <c r="K28" t="inlineStr">
        <is>
          <t>COMMISSIONED_RECENT</t>
        </is>
      </c>
      <c r="L28" t="inlineStr">
        <is>
          <t>2026-03</t>
        </is>
      </c>
      <c r="M28" t="inlineStr">
        <is>
          <t>SOURCED_MONTH</t>
        </is>
      </c>
      <c r="N28" t="inlineStr">
        <is>
          <t>2026-10-12</t>
        </is>
      </c>
      <c r="O28" t="inlineStr">
        <is>
          <t>2026-10-12</t>
        </is>
      </c>
      <c r="P28" t="inlineStr">
        <is>
          <t>U.S. Energy Information Administration; Cheniere Energy</t>
        </is>
      </c>
      <c r="Q28" t="inlineStr">
        <is>
          <t>U.S. Liquefaction Capacity workbook (U.S.liquefactioncapacity_2026_Q3.xlsx; release 2026-10-01); Cheniere Reports Second Quarter 2026 Results (6 Aug 2026)</t>
        </is>
      </c>
      <c r="R28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S28" t="inlineStr">
        <is>
          <t>2026-10-01</t>
        </is>
      </c>
      <c r="T28" t="inlineStr">
        <is>
          <t>DERIVED</t>
        </is>
      </c>
      <c r="U28" t="inlineStr">
        <is>
          <t>Cheniere Q2 2026: substantial completion March 2026.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29">
      <c r="A29" t="inlineStr">
        <is>
          <t>Global supply</t>
        </is>
      </c>
      <c r="B29" t="inlineStr">
        <is>
          <t>United States</t>
        </is>
      </c>
      <c r="C29" t="inlineStr">
        <is>
          <t>liquefaction_train</t>
        </is>
      </c>
      <c r="D29" t="inlineStr">
        <is>
          <t>Corpus Christi Stage 3 Midscale Train 6</t>
        </is>
      </c>
      <c r="E29" t="inlineStr">
        <is>
          <t>Cheniere Energy</t>
        </is>
      </c>
      <c r="F29" t="inlineStr">
        <is>
          <t>liquefaction</t>
        </is>
      </c>
      <c r="G29" t="n">
        <v>1.429</v>
      </c>
      <c r="H29" t="inlineStr">
        <is>
          <t>mtpa</t>
        </is>
      </c>
      <c r="J29" t="n">
        <v>0.1879</v>
      </c>
      <c r="K29" t="inlineStr">
        <is>
          <t>COMMISSIONED_RECENT</t>
        </is>
      </c>
      <c r="L29" t="inlineStr">
        <is>
          <t>2026-06</t>
        </is>
      </c>
      <c r="M29" t="inlineStr">
        <is>
          <t>SOURCED_MONTH</t>
        </is>
      </c>
      <c r="N29" t="inlineStr">
        <is>
          <t>2026-10-12</t>
        </is>
      </c>
      <c r="O29" t="inlineStr">
        <is>
          <t>2026-10-12</t>
        </is>
      </c>
      <c r="P29" t="inlineStr">
        <is>
          <t>U.S. Energy Information Administration; Cheniere Energy</t>
        </is>
      </c>
      <c r="Q29" t="inlineStr">
        <is>
          <t>U.S. Liquefaction Capacity workbook (U.S.liquefactioncapacity_2026_Q3.xlsx; release 2026-10-01); Cheniere Reports Second Quarter 2026 Results (6 Aug 2026)</t>
        </is>
      </c>
      <c r="R29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S29" t="inlineStr">
        <is>
          <t>2026-10-01</t>
        </is>
      </c>
      <c r="T29" t="inlineStr">
        <is>
          <t>DERIVED</t>
        </is>
      </c>
      <c r="U29" t="inlineStr">
        <is>
          <t>Cheniere Q2 2026: substantial completion June 2026.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30">
      <c r="A30" t="inlineStr">
        <is>
          <t>Global supply</t>
        </is>
      </c>
      <c r="B30" t="inlineStr">
        <is>
          <t>United States</t>
        </is>
      </c>
      <c r="C30" t="inlineStr">
        <is>
          <t>liquefaction_train</t>
        </is>
      </c>
      <c r="D30" t="inlineStr">
        <is>
          <t>Corpus Christi Stage 3 Midscale Train 7</t>
        </is>
      </c>
      <c r="E30" t="inlineStr">
        <is>
          <t>Cheniere Energy</t>
        </is>
      </c>
      <c r="F30" t="inlineStr">
        <is>
          <t>liquefaction</t>
        </is>
      </c>
      <c r="G30" t="n">
        <v>1.429</v>
      </c>
      <c r="H30" t="inlineStr">
        <is>
          <t>mtpa</t>
        </is>
      </c>
      <c r="J30" t="n">
        <v>0.1879</v>
      </c>
      <c r="K30" t="inlineStr">
        <is>
          <t>UNDER_CONSTRUCTION</t>
        </is>
      </c>
      <c r="L30" t="inlineStr">
        <is>
          <t>2026</t>
        </is>
      </c>
      <c r="M30" t="inlineStr">
        <is>
          <t>SOURCED_QUARTER</t>
        </is>
      </c>
      <c r="N30" t="inlineStr">
        <is>
          <t>2026-10-12</t>
        </is>
      </c>
      <c r="O30" t="inlineStr">
        <is>
          <t>2026-10-12</t>
        </is>
      </c>
      <c r="P30" t="inlineStr">
        <is>
          <t>U.S. Energy Information Administration; Cheniere Energy</t>
        </is>
      </c>
      <c r="Q30" t="inlineStr">
        <is>
          <t>U.S. Liquefaction Capacity workbook (U.S.liquefactioncapacity_2026_Q3.xlsx; release 2026-10-01); Cheniere Reports Second Quarter 2026 Results (6 Aug 2026)</t>
        </is>
      </c>
      <c r="R30" t="inlineStr">
        <is>
          <t>https://www.eia.gov/naturalgas/importsexports/liquefactioncapacity/U.S.liquefactioncapacity_2026_Q3.xlsx ; https://lngir.cheniere.com/_assets/_75dc2c9a1fb706f14e67cee93b0e9e5a/cheniere/news/2026-08-06_Cheniere_Reports_Second_Quarter_2026_Results_and_343.pdf</t>
        </is>
      </c>
      <c r="S30" t="inlineStr">
        <is>
          <t>2026-10-01</t>
        </is>
      </c>
      <c r="T30" t="inlineStr">
        <is>
          <t>DERIVED</t>
        </is>
      </c>
      <c r="U30" t="inlineStr">
        <is>
          <t>Cheniere Q2 2026 (6 Aug): first LNG expected imminently, substantial completion expected in the fall of 2026. Stage 3 = 7 midscale trains, 10.00 mtpa baseload in EIA; per train 1.429 mtpa DERIVED (EIA note: 1.43 mtpa per train). Cheniere Q2 2026: Sabine Pass + Corpus Christi ~55 mtpa in operation. EIA peak for the stage 16.22 mtpa. [capacity_bcfd DERIVED: mtpa x 1.36 bcm/y x 35.3147 / 365.25 = 0.1315 Bcf/d per mtpa]</t>
        </is>
      </c>
    </row>
    <row r="31">
      <c r="A31" t="inlineStr">
        <is>
          <t>Global supply</t>
        </is>
      </c>
      <c r="B31" t="inlineStr">
        <is>
          <t>United States</t>
        </is>
      </c>
      <c r="C31" t="inlineStr">
        <is>
          <t>liquefaction_train</t>
        </is>
      </c>
      <c r="D31" t="inlineStr">
        <is>
          <t>Corpus Christi Liquefaction Midscale Trains 8-9G</t>
        </is>
      </c>
      <c r="E31" t="inlineStr">
        <is>
          <t>Corpus Christi Liquefaction, LLC</t>
        </is>
      </c>
      <c r="F31" t="inlineStr">
        <is>
          <t>liquefaction</t>
        </is>
      </c>
      <c r="G31" t="n">
        <v>2.98</v>
      </c>
      <c r="H31" t="inlineStr">
        <is>
          <t>mtpa</t>
        </is>
      </c>
      <c r="J31" t="n">
        <v>0.3919</v>
      </c>
      <c r="K31" t="inlineStr">
        <is>
          <t>UNDER_CONSTRUCTION</t>
        </is>
      </c>
      <c r="L31" t="inlineStr">
        <is>
          <t>2028</t>
        </is>
      </c>
      <c r="M31" t="inlineStr">
        <is>
          <t>SOURCED_YEAR</t>
        </is>
      </c>
      <c r="N31" t="inlineStr">
        <is>
          <t>2026-10-12</t>
        </is>
      </c>
      <c r="O31" t="inlineStr">
        <is>
          <t>2026-10-12</t>
        </is>
      </c>
      <c r="P31" t="inlineStr">
        <is>
          <t>U.S. Energy Information Administration</t>
        </is>
      </c>
      <c r="Q31" t="inlineStr">
        <is>
          <t>U.S. Liquefaction Capacity workbook (U.S.liquefactioncapacity_2026_Q3.xlsx; release 2026-10-01)</t>
        </is>
      </c>
      <c r="R31" t="inlineStr">
        <is>
          <t>https://www.eia.gov/naturalgas/importsexports/liquefactioncapacity/U.S.liquefactioncapacity_2026_Q3.xlsx</t>
        </is>
      </c>
      <c r="S31" t="inlineStr">
        <is>
          <t>2026-10-01</t>
        </is>
      </c>
      <c r="T31" t="inlineStr">
        <is>
          <t>SOURCED</t>
        </is>
      </c>
      <c r="U31" t="inlineStr">
        <is>
          <t>EIA status 'Under Construction'; in-service '2028'. Baseload nameplate 2.98 mtpa; EIA peak nameplate 4.63 mtpa (EIA's own Mtpa where marked ^ else its Bcf/d conversion). [capacity_bcfd DERIVED: mtpa x 1.36 bcm/y x 35.3147 / 365.25 = 0.1315 Bcf/d per mtpa]</t>
        </is>
      </c>
    </row>
    <row r="32">
      <c r="A32" t="inlineStr">
        <is>
          <t>Global supply</t>
        </is>
      </c>
      <c r="B32" t="inlineStr">
        <is>
          <t>United States</t>
        </is>
      </c>
      <c r="C32" t="inlineStr">
        <is>
          <t>liquefaction_train</t>
        </is>
      </c>
      <c r="D32" t="inlineStr">
        <is>
          <t>Golden Pass Train 1D</t>
        </is>
      </c>
      <c r="E32" t="inlineStr">
        <is>
          <t>Qatar Petroleum, ExxonMobil</t>
        </is>
      </c>
      <c r="F32" t="inlineStr">
        <is>
          <t>liquefaction</t>
        </is>
      </c>
      <c r="G32" t="n">
        <v>5.2</v>
      </c>
      <c r="H32" t="inlineStr">
        <is>
          <t>mtpa</t>
        </is>
      </c>
      <c r="J32" t="n">
        <v>0.6838</v>
      </c>
      <c r="K32" t="inlineStr">
        <is>
          <t>COMMISSIONED_RECENT</t>
        </is>
      </c>
      <c r="L32" t="inlineStr">
        <is>
          <t>2026-04</t>
        </is>
      </c>
      <c r="M32" t="inlineStr">
        <is>
          <t>SOURCED_MONTH</t>
        </is>
      </c>
      <c r="N32" t="inlineStr">
        <is>
          <t>2026-10-12</t>
        </is>
      </c>
      <c r="O32" t="inlineStr">
        <is>
          <t>2026-10-12</t>
        </is>
      </c>
      <c r="P32" t="inlineStr">
        <is>
          <t>U.S. Energy Information Administration</t>
        </is>
      </c>
      <c r="Q32" t="inlineStr">
        <is>
          <t>U.S. Liquefaction Capacity workbook (U.S.liquefactioncapacity_2026_Q3.xlsx; release 2026-10-01)</t>
        </is>
      </c>
      <c r="R32" t="inlineStr">
        <is>
          <t>https://www.eia.gov/naturalgas/importsexports/liquefactioncapacity/U.S.liquefactioncapacity_2026_Q3.xlsx</t>
        </is>
      </c>
      <c r="S32" t="inlineStr">
        <is>
          <t>2026-10-01</t>
        </is>
      </c>
      <c r="T32" t="inlineStr">
        <is>
          <t>SOURCED</t>
        </is>
      </c>
      <c r="U32" t="inlineStr">
        <is>
          <t>EIA status 'Commissioning'; in-service '2026-04-01'. Baseload nameplate 5.20 mtpa; EIA peak nameplate 6.03 mtpa (EIA's own Mtpa where marked ^ else its Bcf/d conversion). [capacity_bcfd DERIVED: mtpa x 1.36 bcm/y x 35.3147 / 365.25 = 0.1315 Bcf/d per mtpa]</t>
        </is>
      </c>
    </row>
    <row r="33">
      <c r="A33" t="inlineStr">
        <is>
          <t>Global supply</t>
        </is>
      </c>
      <c r="B33" t="inlineStr">
        <is>
          <t>United States</t>
        </is>
      </c>
      <c r="C33" t="inlineStr">
        <is>
          <t>liquefaction_train</t>
        </is>
      </c>
      <c r="D33" t="inlineStr">
        <is>
          <t>Golden Pass Train 2D</t>
        </is>
      </c>
      <c r="E33" t="inlineStr">
        <is>
          <t>Qatar Petroleum, ExxonMobil</t>
        </is>
      </c>
      <c r="F33" t="inlineStr">
        <is>
          <t>liquefaction</t>
        </is>
      </c>
      <c r="G33" t="n">
        <v>5.2</v>
      </c>
      <c r="H33" t="inlineStr">
        <is>
          <t>mtpa</t>
        </is>
      </c>
      <c r="J33" t="n">
        <v>0.6838</v>
      </c>
      <c r="K33" t="inlineStr">
        <is>
          <t>UNDER_CONSTRUCTION</t>
        </is>
      </c>
      <c r="L33" t="inlineStr">
        <is>
          <t>2026</t>
        </is>
      </c>
      <c r="M33" t="inlineStr">
        <is>
          <t>SOURCED_YEAR</t>
        </is>
      </c>
      <c r="N33" t="inlineStr">
        <is>
          <t>2026-10-12</t>
        </is>
      </c>
      <c r="O33" t="inlineStr">
        <is>
          <t>2026-10-12</t>
        </is>
      </c>
      <c r="P33" t="inlineStr">
        <is>
          <t>U.S. Energy Information Administration</t>
        </is>
      </c>
      <c r="Q33" t="inlineStr">
        <is>
          <t>U.S. Liquefaction Capacity workbook (U.S.liquefactioncapacity_2026_Q3.xlsx; release 2026-10-01)</t>
        </is>
      </c>
      <c r="R33" t="inlineStr">
        <is>
          <t>https://www.eia.gov/naturalgas/importsexports/liquefactioncapacity/U.S.liquefactioncapacity_2026_Q3.xlsx</t>
        </is>
      </c>
      <c r="S33" t="inlineStr">
        <is>
          <t>2026-10-01</t>
        </is>
      </c>
      <c r="T33" t="inlineStr">
        <is>
          <t>SOURCED</t>
        </is>
      </c>
      <c r="U33" t="inlineStr">
        <is>
          <t>EIA status 'Under construction'; in-service '2H2026'. Baseload nameplate 5.20 mtpa; EIA peak nameplate 6.03 mtpa (EIA's own Mtpa where marked ^ else its Bcf/d conversion). 2H/1H dates are half-years. [capacity_bcfd DERIVED: mtpa x 1.36 bcm/y x 35.3147 / 365.25 = 0.1315 Bcf/d per mtpa]</t>
        </is>
      </c>
    </row>
    <row r="34">
      <c r="A34" t="inlineStr">
        <is>
          <t>Global supply</t>
        </is>
      </c>
      <c r="B34" t="inlineStr">
        <is>
          <t>United States</t>
        </is>
      </c>
      <c r="C34" t="inlineStr">
        <is>
          <t>liquefaction_train</t>
        </is>
      </c>
      <c r="D34" t="inlineStr">
        <is>
          <t>Golden Pass Train 3D</t>
        </is>
      </c>
      <c r="E34" t="inlineStr">
        <is>
          <t>Qatar Petroleum, ExxonMobil</t>
        </is>
      </c>
      <c r="F34" t="inlineStr">
        <is>
          <t>liquefaction</t>
        </is>
      </c>
      <c r="G34" t="n">
        <v>5.2</v>
      </c>
      <c r="H34" t="inlineStr">
        <is>
          <t>mtpa</t>
        </is>
      </c>
      <c r="J34" t="n">
        <v>0.6838</v>
      </c>
      <c r="K34" t="inlineStr">
        <is>
          <t>UNDER_CONSTRUCTION</t>
        </is>
      </c>
      <c r="L34" t="inlineStr">
        <is>
          <t>2027</t>
        </is>
      </c>
      <c r="M34" t="inlineStr">
        <is>
          <t>SOURCED_YEAR</t>
        </is>
      </c>
      <c r="N34" t="inlineStr">
        <is>
          <t>2026-10-12</t>
        </is>
      </c>
      <c r="O34" t="inlineStr">
        <is>
          <t>2026-10-12</t>
        </is>
      </c>
      <c r="P34" t="inlineStr">
        <is>
          <t>U.S. Energy Information Administration</t>
        </is>
      </c>
      <c r="Q34" t="inlineStr">
        <is>
          <t>U.S. Liquefaction Capacity workbook (U.S.liquefactioncapacity_2026_Q3.xlsx; release 2026-10-01)</t>
        </is>
      </c>
      <c r="R34" t="inlineStr">
        <is>
          <t>https://www.eia.gov/naturalgas/importsexports/liquefactioncapacity/U.S.liquefactioncapacity_2026_Q3.xlsx</t>
        </is>
      </c>
      <c r="S34" t="inlineStr">
        <is>
          <t>2026-10-01</t>
        </is>
      </c>
      <c r="T34" t="inlineStr">
        <is>
          <t>SOURCED</t>
        </is>
      </c>
      <c r="U34" t="inlineStr">
        <is>
          <t>EIA status 'Under construction'; in-service '1H2027'. Baseload nameplate 5.20 mtpa; EIA peak nameplate 6.03 mtpa (EIA's own Mtpa where marked ^ else its Bcf/d conversion). 2H/1H dates are half-years. [capacity_bcfd DERIVED: mtpa x 1.36 bcm/y x 35.3147 / 365.25 = 0.1315 Bcf/d per mtpa]</t>
        </is>
      </c>
    </row>
    <row r="35">
      <c r="A35" t="inlineStr">
        <is>
          <t>Global supply</t>
        </is>
      </c>
      <c r="B35" t="inlineStr">
        <is>
          <t>United States</t>
        </is>
      </c>
      <c r="C35" t="inlineStr">
        <is>
          <t>liquefaction_train</t>
        </is>
      </c>
      <c r="D35" t="inlineStr">
        <is>
          <t>Port Arthur LNG Phase 1 Trains 1-2</t>
        </is>
      </c>
      <c r="E35" t="inlineStr">
        <is>
          <t>Sempra Energy</t>
        </is>
      </c>
      <c r="F35" t="inlineStr">
        <is>
          <t>liquefaction</t>
        </is>
      </c>
      <c r="G35" t="n">
        <v>12</v>
      </c>
      <c r="H35" t="inlineStr">
        <is>
          <t>mtpa</t>
        </is>
      </c>
      <c r="J35" t="n">
        <v>1.578</v>
      </c>
      <c r="K35" t="inlineStr">
        <is>
          <t>UNDER_CONSTRUCTION</t>
        </is>
      </c>
      <c r="L35" t="inlineStr">
        <is>
          <t>2027</t>
        </is>
      </c>
      <c r="M35" t="inlineStr">
        <is>
          <t>SOURCED_YEAR</t>
        </is>
      </c>
      <c r="N35" t="inlineStr">
        <is>
          <t>2026-10-12</t>
        </is>
      </c>
      <c r="O35" t="inlineStr">
        <is>
          <t>2026-10-12</t>
        </is>
      </c>
      <c r="P35" t="inlineStr">
        <is>
          <t>U.S. Energy Information Administration</t>
        </is>
      </c>
      <c r="Q35" t="inlineStr">
        <is>
          <t>U.S. Liquefaction Capacity workbook (U.S.liquefactioncapacity_2026_Q3.xlsx; release 2026-10-01)</t>
        </is>
      </c>
      <c r="R35" t="inlineStr">
        <is>
          <t>https://www.eia.gov/naturalgas/importsexports/liquefactioncapacity/U.S.liquefactioncapacity_2026_Q3.xlsx</t>
        </is>
      </c>
      <c r="S35" t="inlineStr">
        <is>
          <t>2026-10-01</t>
        </is>
      </c>
      <c r="T35" t="inlineStr">
        <is>
          <t>SOURCED</t>
        </is>
      </c>
      <c r="U35" t="inlineStr">
        <is>
          <t>EIA status 'Under construction'; in-service '2027'. Baseload nameplate 12.00 mtpa; EIA peak nameplate 13.50 mtpa (EIA's own Mtpa where marked ^ else its Bcf/d conversion). [capacity_bcfd DERIVED: mtpa x 1.36 bcm/y x 35.3147 / 365.25 = 0.1315 Bcf/d per mtpa]</t>
        </is>
      </c>
    </row>
    <row r="36">
      <c r="A36" t="inlineStr">
        <is>
          <t>Global supply</t>
        </is>
      </c>
      <c r="B36" t="inlineStr">
        <is>
          <t>United States</t>
        </is>
      </c>
      <c r="C36" t="inlineStr">
        <is>
          <t>liquefaction_train</t>
        </is>
      </c>
      <c r="D36" t="inlineStr">
        <is>
          <t>Port Arthur LNG Phase 2 Trains 3-4</t>
        </is>
      </c>
      <c r="E36" t="inlineStr">
        <is>
          <t>Sempra Energy</t>
        </is>
      </c>
      <c r="F36" t="inlineStr">
        <is>
          <t>liquefaction</t>
        </is>
      </c>
      <c r="G36" t="n">
        <v>12</v>
      </c>
      <c r="H36" t="inlineStr">
        <is>
          <t>mtpa</t>
        </is>
      </c>
      <c r="J36" t="n">
        <v>1.578</v>
      </c>
      <c r="K36" t="inlineStr">
        <is>
          <t>UNDER_CONSTRUCTION</t>
        </is>
      </c>
      <c r="L36" t="inlineStr">
        <is>
          <t>2031</t>
        </is>
      </c>
      <c r="M36" t="inlineStr">
        <is>
          <t>SOURCED_YEAR</t>
        </is>
      </c>
      <c r="N36" t="inlineStr">
        <is>
          <t>2026-10-12</t>
        </is>
      </c>
      <c r="O36" t="inlineStr">
        <is>
          <t>2026-10-12</t>
        </is>
      </c>
      <c r="P36" t="inlineStr">
        <is>
          <t>U.S. Energy Information Administration</t>
        </is>
      </c>
      <c r="Q36" t="inlineStr">
        <is>
          <t>U.S. Liquefaction Capacity workbook (U.S.liquefactioncapacity_2026_Q3.xlsx; release 2026-10-01)</t>
        </is>
      </c>
      <c r="R36" t="inlineStr">
        <is>
          <t>https://www.eia.gov/naturalgas/importsexports/liquefactioncapacity/U.S.liquefactioncapacity_2026_Q3.xlsx</t>
        </is>
      </c>
      <c r="S36" t="inlineStr">
        <is>
          <t>2026-10-01</t>
        </is>
      </c>
      <c r="T36" t="inlineStr">
        <is>
          <t>SOURCED</t>
        </is>
      </c>
      <c r="U36" t="inlineStr">
        <is>
          <t>EIA status 'Under construction'; in-service '2031'. Baseload nameplate 12.00 mtpa; EIA peak nameplate 13.50 mtpa (EIA's own Mtpa where marked ^ else its Bcf/d conversion). [capacity_bcfd DERIVED: mtpa x 1.36 bcm/y x 35.3147 / 365.25 = 0.1315 Bcf/d per mtpa]</t>
        </is>
      </c>
    </row>
    <row r="37">
      <c r="A37" t="inlineStr">
        <is>
          <t>Global supply</t>
        </is>
      </c>
      <c r="B37" t="inlineStr">
        <is>
          <t>United States</t>
        </is>
      </c>
      <c r="C37" t="inlineStr">
        <is>
          <t>liquefaction_train</t>
        </is>
      </c>
      <c r="D37" t="inlineStr">
        <is>
          <t>Rio Grande LNG Phase 1 Train 1I</t>
        </is>
      </c>
      <c r="E37" t="inlineStr">
        <is>
          <t>NextDecade Corporation</t>
        </is>
      </c>
      <c r="F37" t="inlineStr">
        <is>
          <t>liquefaction</t>
        </is>
      </c>
      <c r="G37" t="n">
        <v>5.4</v>
      </c>
      <c r="H37" t="inlineStr">
        <is>
          <t>mtpa</t>
        </is>
      </c>
      <c r="J37" t="n">
        <v>0.7101</v>
      </c>
      <c r="K37" t="inlineStr">
        <is>
          <t>UNDER_CONSTRUCTION</t>
        </is>
      </c>
      <c r="L37" t="inlineStr">
        <is>
          <t>2027</t>
        </is>
      </c>
      <c r="M37" t="inlineStr">
        <is>
          <t>SOURCED_YEAR</t>
        </is>
      </c>
      <c r="N37" t="inlineStr">
        <is>
          <t>2026-10-12</t>
        </is>
      </c>
      <c r="O37" t="inlineStr">
        <is>
          <t>2026-10-12</t>
        </is>
      </c>
      <c r="P37" t="inlineStr">
        <is>
          <t>U.S. Energy Information Administration</t>
        </is>
      </c>
      <c r="Q37" t="inlineStr">
        <is>
          <t>U.S. Liquefaction Capacity workbook (U.S.liquefactioncapacity_2026_Q3.xlsx; release 2026-10-01)</t>
        </is>
      </c>
      <c r="R37" t="inlineStr">
        <is>
          <t>https://www.eia.gov/naturalgas/importsexports/liquefactioncapacity/U.S.liquefactioncapacity_2026_Q3.xlsx</t>
        </is>
      </c>
      <c r="S37" t="inlineStr">
        <is>
          <t>2026-10-01</t>
        </is>
      </c>
      <c r="T37" t="inlineStr">
        <is>
          <t>SOURCED</t>
        </is>
      </c>
      <c r="U37" t="inlineStr">
        <is>
          <t>EIA status 'Under construction'; in-service '2027'. Baseload nameplate 5.40 mtpa; EIA peak nameplate 6.03 mtpa (EIA's own Mtpa where marked ^ else its Bcf/d conversion). [capacity_bcfd DERIVED: mtpa x 1.36 bcm/y x 35.3147 / 365.25 = 0.1315 Bcf/d per mtpa]</t>
        </is>
      </c>
    </row>
    <row r="38">
      <c r="A38" t="inlineStr">
        <is>
          <t>Global supply</t>
        </is>
      </c>
      <c r="B38" t="inlineStr">
        <is>
          <t>United States</t>
        </is>
      </c>
      <c r="C38" t="inlineStr">
        <is>
          <t>liquefaction_train</t>
        </is>
      </c>
      <c r="D38" t="inlineStr">
        <is>
          <t>Rio Grande LNG Phase 1 Train 2I</t>
        </is>
      </c>
      <c r="E38" t="inlineStr">
        <is>
          <t>NextDecade Corporation</t>
        </is>
      </c>
      <c r="F38" t="inlineStr">
        <is>
          <t>liquefaction</t>
        </is>
      </c>
      <c r="G38" t="n">
        <v>5.4</v>
      </c>
      <c r="H38" t="inlineStr">
        <is>
          <t>mtpa</t>
        </is>
      </c>
      <c r="J38" t="n">
        <v>0.7101</v>
      </c>
      <c r="K38" t="inlineStr">
        <is>
          <t>UNDER_CONSTRUCTION</t>
        </is>
      </c>
      <c r="L38" t="inlineStr">
        <is>
          <t>2027</t>
        </is>
      </c>
      <c r="M38" t="inlineStr">
        <is>
          <t>SOURCED_YEAR</t>
        </is>
      </c>
      <c r="N38" t="inlineStr">
        <is>
          <t>2026-10-12</t>
        </is>
      </c>
      <c r="O38" t="inlineStr">
        <is>
          <t>2026-10-12</t>
        </is>
      </c>
      <c r="P38" t="inlineStr">
        <is>
          <t>U.S. Energy Information Administration</t>
        </is>
      </c>
      <c r="Q38" t="inlineStr">
        <is>
          <t>U.S. Liquefaction Capacity workbook (U.S.liquefactioncapacity_2026_Q3.xlsx; release 2026-10-01)</t>
        </is>
      </c>
      <c r="R38" t="inlineStr">
        <is>
          <t>https://www.eia.gov/naturalgas/importsexports/liquefactioncapacity/U.S.liquefactioncapacity_2026_Q3.xlsx</t>
        </is>
      </c>
      <c r="S38" t="inlineStr">
        <is>
          <t>2026-10-01</t>
        </is>
      </c>
      <c r="T38" t="inlineStr">
        <is>
          <t>SOURCED</t>
        </is>
      </c>
      <c r="U38" t="inlineStr">
        <is>
          <t>EIA status 'Under construction'; in-service '2027'. Baseload nameplate 5.40 mtpa; EIA peak nameplate 6.03 mtpa (EIA's own Mtpa where marked ^ else its Bcf/d conversion). [capacity_bcfd DERIVED: mtpa x 1.36 bcm/y x 35.3147 / 365.25 = 0.1315 Bcf/d per mtpa]</t>
        </is>
      </c>
    </row>
    <row r="39">
      <c r="A39" t="inlineStr">
        <is>
          <t>Global supply</t>
        </is>
      </c>
      <c r="B39" t="inlineStr">
        <is>
          <t>United States</t>
        </is>
      </c>
      <c r="C39" t="inlineStr">
        <is>
          <t>liquefaction_train</t>
        </is>
      </c>
      <c r="D39" t="inlineStr">
        <is>
          <t>Rio Grande LNG Phase 1 Train 3I</t>
        </is>
      </c>
      <c r="E39" t="inlineStr">
        <is>
          <t>NextDecade Corporation</t>
        </is>
      </c>
      <c r="F39" t="inlineStr">
        <is>
          <t>liquefaction</t>
        </is>
      </c>
      <c r="G39" t="n">
        <v>5.4</v>
      </c>
      <c r="H39" t="inlineStr">
        <is>
          <t>mtpa</t>
        </is>
      </c>
      <c r="J39" t="n">
        <v>0.7101</v>
      </c>
      <c r="K39" t="inlineStr">
        <is>
          <t>UNDER_CONSTRUCTION</t>
        </is>
      </c>
      <c r="L39" t="inlineStr">
        <is>
          <t>2028</t>
        </is>
      </c>
      <c r="M39" t="inlineStr">
        <is>
          <t>SOURCED_YEAR</t>
        </is>
      </c>
      <c r="N39" t="inlineStr">
        <is>
          <t>2026-10-12</t>
        </is>
      </c>
      <c r="O39" t="inlineStr">
        <is>
          <t>2026-10-12</t>
        </is>
      </c>
      <c r="P39" t="inlineStr">
        <is>
          <t>U.S. Energy Information Administration</t>
        </is>
      </c>
      <c r="Q39" t="inlineStr">
        <is>
          <t>U.S. Liquefaction Capacity workbook (U.S.liquefactioncapacity_2026_Q3.xlsx; release 2026-10-01)</t>
        </is>
      </c>
      <c r="R39" t="inlineStr">
        <is>
          <t>https://www.eia.gov/naturalgas/importsexports/liquefactioncapacity/U.S.liquefactioncapacity_2026_Q3.xlsx</t>
        </is>
      </c>
      <c r="S39" t="inlineStr">
        <is>
          <t>2026-10-01</t>
        </is>
      </c>
      <c r="T39" t="inlineStr">
        <is>
          <t>SOURCED</t>
        </is>
      </c>
      <c r="U39" t="inlineStr">
        <is>
          <t>EIA status 'Under construction'; in-service '2028'. Baseload nameplate 5.40 mtpa; EIA peak nameplate 6.03 mtpa (EIA's own Mtpa where marked ^ else its Bcf/d conversion). [capacity_bcfd DERIVED: mtpa x 1.36 bcm/y x 35.3147 / 365.25 = 0.1315 Bcf/d per mtpa]</t>
        </is>
      </c>
    </row>
    <row r="40">
      <c r="A40" t="inlineStr">
        <is>
          <t>Global supply</t>
        </is>
      </c>
      <c r="B40" t="inlineStr">
        <is>
          <t>United States</t>
        </is>
      </c>
      <c r="C40" t="inlineStr">
        <is>
          <t>liquefaction_train</t>
        </is>
      </c>
      <c r="D40" t="inlineStr">
        <is>
          <t>Rio Grande LNG Phase 2 Train 4I</t>
        </is>
      </c>
      <c r="E40" t="inlineStr">
        <is>
          <t>NextDecade Corporation</t>
        </is>
      </c>
      <c r="F40" t="inlineStr">
        <is>
          <t>liquefaction</t>
        </is>
      </c>
      <c r="G40" t="n">
        <v>5.4</v>
      </c>
      <c r="H40" t="inlineStr">
        <is>
          <t>mtpa</t>
        </is>
      </c>
      <c r="J40" t="n">
        <v>0.7101</v>
      </c>
      <c r="K40" t="inlineStr">
        <is>
          <t>UNDER_CONSTRUCTION</t>
        </is>
      </c>
      <c r="L40" t="inlineStr">
        <is>
          <t>2030</t>
        </is>
      </c>
      <c r="M40" t="inlineStr">
        <is>
          <t>SOURCED_YEAR</t>
        </is>
      </c>
      <c r="N40" t="inlineStr">
        <is>
          <t>2026-10-12</t>
        </is>
      </c>
      <c r="O40" t="inlineStr">
        <is>
          <t>2026-10-12</t>
        </is>
      </c>
      <c r="P40" t="inlineStr">
        <is>
          <t>U.S. Energy Information Administration</t>
        </is>
      </c>
      <c r="Q40" t="inlineStr">
        <is>
          <t>U.S. Liquefaction Capacity workbook (U.S.liquefactioncapacity_2026_Q3.xlsx; release 2026-10-01)</t>
        </is>
      </c>
      <c r="R40" t="inlineStr">
        <is>
          <t>https://www.eia.gov/naturalgas/importsexports/liquefactioncapacity/U.S.liquefactioncapacity_2026_Q3.xlsx</t>
        </is>
      </c>
      <c r="S40" t="inlineStr">
        <is>
          <t>2026-10-01</t>
        </is>
      </c>
      <c r="T40" t="inlineStr">
        <is>
          <t>SOURCED</t>
        </is>
      </c>
      <c r="U40" t="inlineStr">
        <is>
          <t>EIA status 'Under construction'; in-service '2030'. Baseload nameplate 5.40 mtpa; EIA peak nameplate 6.03 mtpa (EIA's own Mtpa where marked ^ else its Bcf/d conversion). [capacity_bcfd DERIVED: mtpa x 1.36 bcm/y x 35.3147 / 365.25 = 0.1315 Bcf/d per mtpa]</t>
        </is>
      </c>
    </row>
    <row r="41">
      <c r="A41" t="inlineStr">
        <is>
          <t>Global supply</t>
        </is>
      </c>
      <c r="B41" t="inlineStr">
        <is>
          <t>United States</t>
        </is>
      </c>
      <c r="C41" t="inlineStr">
        <is>
          <t>liquefaction_train</t>
        </is>
      </c>
      <c r="D41" t="inlineStr">
        <is>
          <t>Rio Grande LNG Phase 2 Train 5I</t>
        </is>
      </c>
      <c r="E41" t="inlineStr">
        <is>
          <t>NextDecade Corporation</t>
        </is>
      </c>
      <c r="F41" t="inlineStr">
        <is>
          <t>liquefaction</t>
        </is>
      </c>
      <c r="G41" t="n">
        <v>5.4</v>
      </c>
      <c r="H41" t="inlineStr">
        <is>
          <t>mtpa</t>
        </is>
      </c>
      <c r="J41" t="n">
        <v>0.7101</v>
      </c>
      <c r="K41" t="inlineStr">
        <is>
          <t>UNDER_CONSTRUCTION</t>
        </is>
      </c>
      <c r="L41" t="inlineStr">
        <is>
          <t>2031</t>
        </is>
      </c>
      <c r="M41" t="inlineStr">
        <is>
          <t>SOURCED_YEAR</t>
        </is>
      </c>
      <c r="N41" t="inlineStr">
        <is>
          <t>2026-10-12</t>
        </is>
      </c>
      <c r="O41" t="inlineStr">
        <is>
          <t>2026-10-12</t>
        </is>
      </c>
      <c r="P41" t="inlineStr">
        <is>
          <t>U.S. Energy Information Administration</t>
        </is>
      </c>
      <c r="Q41" t="inlineStr">
        <is>
          <t>U.S. Liquefaction Capacity workbook (U.S.liquefactioncapacity_2026_Q3.xlsx; release 2026-10-01)</t>
        </is>
      </c>
      <c r="R41" t="inlineStr">
        <is>
          <t>https://www.eia.gov/naturalgas/importsexports/liquefactioncapacity/U.S.liquefactioncapacity_2026_Q3.xlsx</t>
        </is>
      </c>
      <c r="S41" t="inlineStr">
        <is>
          <t>2026-10-01</t>
        </is>
      </c>
      <c r="T41" t="inlineStr">
        <is>
          <t>SOURCED</t>
        </is>
      </c>
      <c r="U41" t="inlineStr">
        <is>
          <t>EIA status 'Under construction'; in-service '2031'. Baseload nameplate 5.40 mtpa; EIA peak nameplate 6.03 mtpa (EIA's own Mtpa where marked ^ else its Bcf/d conversion). [capacity_bcfd DERIVED: mtpa x 1.36 bcm/y x 35.3147 / 365.25 = 0.1315 Bcf/d per mtpa]</t>
        </is>
      </c>
    </row>
    <row r="42">
      <c r="A42" t="inlineStr">
        <is>
          <t>Global supply</t>
        </is>
      </c>
      <c r="B42" t="inlineStr">
        <is>
          <t>United States</t>
        </is>
      </c>
      <c r="C42" t="inlineStr">
        <is>
          <t>liquefaction_train</t>
        </is>
      </c>
      <c r="D42" t="inlineStr">
        <is>
          <t>Woodside Louisiana LNG Phase 1 Trains 1-3</t>
        </is>
      </c>
      <c r="E42" t="inlineStr">
        <is>
          <t>Woodside Energy</t>
        </is>
      </c>
      <c r="F42" t="inlineStr">
        <is>
          <t>liquefaction</t>
        </is>
      </c>
      <c r="G42" t="n">
        <v>16.56</v>
      </c>
      <c r="H42" t="inlineStr">
        <is>
          <t>mtpa</t>
        </is>
      </c>
      <c r="J42" t="n">
        <v>2.1776</v>
      </c>
      <c r="K42" t="inlineStr">
        <is>
          <t>UNDER_CONSTRUCTION</t>
        </is>
      </c>
      <c r="L42" t="inlineStr">
        <is>
          <t>2029</t>
        </is>
      </c>
      <c r="M42" t="inlineStr">
        <is>
          <t>SOURCED_YEAR</t>
        </is>
      </c>
      <c r="N42" t="inlineStr">
        <is>
          <t>2026-10-12</t>
        </is>
      </c>
      <c r="O42" t="inlineStr">
        <is>
          <t>2026-10-12</t>
        </is>
      </c>
      <c r="P42" t="inlineStr">
        <is>
          <t>U.S. Energy Information Administration</t>
        </is>
      </c>
      <c r="Q42" t="inlineStr">
        <is>
          <t>U.S. Liquefaction Capacity workbook (U.S.liquefactioncapacity_2026_Q3.xlsx; release 2026-10-01)</t>
        </is>
      </c>
      <c r="R42" t="inlineStr">
        <is>
          <t>https://www.eia.gov/naturalgas/importsexports/liquefactioncapacity/U.S.liquefactioncapacity_2026_Q3.xlsx</t>
        </is>
      </c>
      <c r="S42" t="inlineStr">
        <is>
          <t>2026-10-01</t>
        </is>
      </c>
      <c r="T42" t="inlineStr">
        <is>
          <t>SOURCED</t>
        </is>
      </c>
      <c r="U42" t="inlineStr">
        <is>
          <t>EIA status 'Under constructionH'; in-service '2029'. Baseload nameplate 16.56 mtpa; EIA peak nameplate 16.56 mtpa (EIA's own Mtpa where marked ^ else its Bcf/d conversion). [capacity_bcfd DERIVED: mtpa x 1.36 bcm/y x 35.3147 / 365.25 = 0.1315 Bcf/d per mtpa]</t>
        </is>
      </c>
    </row>
    <row r="43">
      <c r="A43" t="inlineStr">
        <is>
          <t>Global supply</t>
        </is>
      </c>
      <c r="B43" t="inlineStr">
        <is>
          <t>United States</t>
        </is>
      </c>
      <c r="C43" t="inlineStr">
        <is>
          <t>liquefaction_train</t>
        </is>
      </c>
      <c r="D43" t="inlineStr">
        <is>
          <t>Venture Global CP2 Phase 1 Trains 1-26</t>
        </is>
      </c>
      <c r="E43" t="inlineStr">
        <is>
          <t>Venture Global LNG</t>
        </is>
      </c>
      <c r="F43" t="inlineStr">
        <is>
          <t>liquefaction</t>
        </is>
      </c>
      <c r="G43" t="n">
        <v>14.4</v>
      </c>
      <c r="H43" t="inlineStr">
        <is>
          <t>mtpa</t>
        </is>
      </c>
      <c r="J43" t="n">
        <v>1.8936</v>
      </c>
      <c r="K43" t="inlineStr">
        <is>
          <t>UNDER_CONSTRUCTION</t>
        </is>
      </c>
      <c r="L43" t="inlineStr">
        <is>
          <t>2027</t>
        </is>
      </c>
      <c r="M43" t="inlineStr">
        <is>
          <t>SOURCED_YEAR</t>
        </is>
      </c>
      <c r="N43" t="inlineStr">
        <is>
          <t>2026-10-12</t>
        </is>
      </c>
      <c r="O43" t="inlineStr">
        <is>
          <t>2026-10-12</t>
        </is>
      </c>
      <c r="P43" t="inlineStr">
        <is>
          <t>U.S. Energy Information Administration</t>
        </is>
      </c>
      <c r="Q43" t="inlineStr">
        <is>
          <t>U.S. Liquefaction Capacity workbook (U.S.liquefactioncapacity_2026_Q3.xlsx; release 2026-10-01)</t>
        </is>
      </c>
      <c r="R43" t="inlineStr">
        <is>
          <t>https://www.eia.gov/naturalgas/importsexports/liquefactioncapacity/U.S.liquefactioncapacity_2026_Q3.xlsx</t>
        </is>
      </c>
      <c r="S43" t="inlineStr">
        <is>
          <t>2026-10-01</t>
        </is>
      </c>
      <c r="T43" t="inlineStr">
        <is>
          <t>SOURCED</t>
        </is>
      </c>
      <c r="U43" t="inlineStr">
        <is>
          <t>EIA status 'Under construction'; in-service '2H2027'. Baseload nameplate 14.40 mtpa; EIA peak nameplate 20.22 mtpa (EIA's own Mtpa where marked ^ else its Bcf/d conversion). 2H/1H dates are half-years. [capacity_bcfd DERIVED: mtpa x 1.36 bcm/y x 35.3147 / 365.25 = 0.1315 Bcf/d per mtpa]</t>
        </is>
      </c>
    </row>
    <row r="44">
      <c r="A44" t="inlineStr">
        <is>
          <t>Global supply</t>
        </is>
      </c>
      <c r="B44" t="inlineStr">
        <is>
          <t>United States</t>
        </is>
      </c>
      <c r="C44" t="inlineStr">
        <is>
          <t>liquefaction_train</t>
        </is>
      </c>
      <c r="D44" t="inlineStr">
        <is>
          <t>Venture Global CP2 Phase 2 Trains 27-36</t>
        </is>
      </c>
      <c r="E44" t="inlineStr">
        <is>
          <t>Venture Global LNG</t>
        </is>
      </c>
      <c r="F44" t="inlineStr">
        <is>
          <t>liquefaction</t>
        </is>
      </c>
      <c r="G44" t="n">
        <v>5.6</v>
      </c>
      <c r="H44" t="inlineStr">
        <is>
          <t>mtpa</t>
        </is>
      </c>
      <c r="J44" t="n">
        <v>0.7364000000000001</v>
      </c>
      <c r="K44" t="inlineStr">
        <is>
          <t>UNDER_CONSTRUCTION</t>
        </is>
      </c>
      <c r="L44" t="inlineStr">
        <is>
          <t>2029</t>
        </is>
      </c>
      <c r="M44" t="inlineStr">
        <is>
          <t>SOURCED_YEAR</t>
        </is>
      </c>
      <c r="N44" t="inlineStr">
        <is>
          <t>2026-10-12</t>
        </is>
      </c>
      <c r="O44" t="inlineStr">
        <is>
          <t>2026-10-12</t>
        </is>
      </c>
      <c r="P44" t="inlineStr">
        <is>
          <t>U.S. Energy Information Administration</t>
        </is>
      </c>
      <c r="Q44" t="inlineStr">
        <is>
          <t>U.S. Liquefaction Capacity workbook (U.S.liquefactioncapacity_2026_Q3.xlsx; release 2026-10-01)</t>
        </is>
      </c>
      <c r="R44" t="inlineStr">
        <is>
          <t>https://www.eia.gov/naturalgas/importsexports/liquefactioncapacity/U.S.liquefactioncapacity_2026_Q3.xlsx</t>
        </is>
      </c>
      <c r="S44" t="inlineStr">
        <is>
          <t>2026-10-01</t>
        </is>
      </c>
      <c r="T44" t="inlineStr">
        <is>
          <t>SOURCED</t>
        </is>
      </c>
      <c r="U44" t="inlineStr">
        <is>
          <t>EIA status 'Under construction'; in-service '1H2029'. Baseload nameplate 5.60 mtpa; EIA peak nameplate 7.78 mtpa (EIA's own Mtpa where marked ^ else its Bcf/d conversion). 2H/1H dates are half-years. [capacity_bcfd DERIVED: mtpa x 1.36 bcm/y x 35.3147 / 365.25 = 0.1315 Bcf/d per mtpa]</t>
        </is>
      </c>
    </row>
    <row r="45">
      <c r="A45" t="inlineStr">
        <is>
          <t>Global supply</t>
        </is>
      </c>
      <c r="B45" t="inlineStr">
        <is>
          <t>United States</t>
        </is>
      </c>
      <c r="C45" t="inlineStr">
        <is>
          <t>liquefaction_train</t>
        </is>
      </c>
      <c r="D45" t="inlineStr">
        <is>
          <t>Commonwealth LNG Trains 1-6</t>
        </is>
      </c>
      <c r="E45" t="inlineStr">
        <is>
          <t>Kimmeridge Energy Management</t>
        </is>
      </c>
      <c r="F45" t="inlineStr">
        <is>
          <t>liquefaction</t>
        </is>
      </c>
      <c r="G45" t="n">
        <v>8.4</v>
      </c>
      <c r="H45" t="inlineStr">
        <is>
          <t>mtpa</t>
        </is>
      </c>
      <c r="J45" t="n">
        <v>1.1046</v>
      </c>
      <c r="K45" t="inlineStr">
        <is>
          <t>UNDER_CONSTRUCTION</t>
        </is>
      </c>
      <c r="L45" t="inlineStr">
        <is>
          <t>2030</t>
        </is>
      </c>
      <c r="M45" t="inlineStr">
        <is>
          <t>SOURCED_YEAR</t>
        </is>
      </c>
      <c r="N45" t="inlineStr">
        <is>
          <t>2026-10-12</t>
        </is>
      </c>
      <c r="O45" t="inlineStr">
        <is>
          <t>2026-10-12</t>
        </is>
      </c>
      <c r="P45" t="inlineStr">
        <is>
          <t>U.S. Energy Information Administration</t>
        </is>
      </c>
      <c r="Q45" t="inlineStr">
        <is>
          <t>U.S. Liquefaction Capacity workbook (U.S.liquefactioncapacity_2026_Q3.xlsx; release 2026-10-01)</t>
        </is>
      </c>
      <c r="R45" t="inlineStr">
        <is>
          <t>https://www.eia.gov/naturalgas/importsexports/liquefactioncapacity/U.S.liquefactioncapacity_2026_Q3.xlsx</t>
        </is>
      </c>
      <c r="S45" t="inlineStr">
        <is>
          <t>2026-10-01</t>
        </is>
      </c>
      <c r="T45" t="inlineStr">
        <is>
          <t>SOURCED</t>
        </is>
      </c>
      <c r="U45" t="inlineStr">
        <is>
          <t>EIA status 'Under construction'; in-service '2030'. Baseload nameplate 8.40 mtpa; EIA peak nameplate 9.50 mtpa (EIA's own Mtpa where marked ^ else its Bcf/d conversion). [capacity_bcfd DERIVED: mtpa x 1.36 bcm/y x 35.3147 / 365.25 = 0.1315 Bcf/d per mtpa]</t>
        </is>
      </c>
    </row>
    <row r="46">
      <c r="A46" t="inlineStr">
        <is>
          <t>Global supply</t>
        </is>
      </c>
      <c r="B46" t="inlineStr">
        <is>
          <t>United States</t>
        </is>
      </c>
      <c r="C46" t="inlineStr">
        <is>
          <t>liquefaction_train</t>
        </is>
      </c>
      <c r="D46" t="inlineStr">
        <is>
          <t>Delfin FLNG Train 1</t>
        </is>
      </c>
      <c r="E46" t="inlineStr">
        <is>
          <t>Fairwood Group</t>
        </is>
      </c>
      <c r="F46" t="inlineStr">
        <is>
          <t>liquefaction</t>
        </is>
      </c>
      <c r="G46" t="n">
        <v>4</v>
      </c>
      <c r="H46" t="inlineStr">
        <is>
          <t>mtpa</t>
        </is>
      </c>
      <c r="J46" t="n">
        <v>0.526</v>
      </c>
      <c r="K46" t="inlineStr">
        <is>
          <t>UNDER_CONSTRUCTION</t>
        </is>
      </c>
      <c r="L46" t="inlineStr">
        <is>
          <t>2030</t>
        </is>
      </c>
      <c r="M46" t="inlineStr">
        <is>
          <t>SOURCED_YEAR</t>
        </is>
      </c>
      <c r="N46" t="inlineStr">
        <is>
          <t>2026-10-12</t>
        </is>
      </c>
      <c r="O46" t="inlineStr">
        <is>
          <t>2026-10-12</t>
        </is>
      </c>
      <c r="P46" t="inlineStr">
        <is>
          <t>U.S. Energy Information Administration</t>
        </is>
      </c>
      <c r="Q46" t="inlineStr">
        <is>
          <t>U.S. Liquefaction Capacity workbook (U.S.liquefactioncapacity_2026_Q3.xlsx; release 2026-10-01)</t>
        </is>
      </c>
      <c r="R46" t="inlineStr">
        <is>
          <t>https://www.eia.gov/naturalgas/importsexports/liquefactioncapacity/U.S.liquefactioncapacity_2026_Q3.xlsx</t>
        </is>
      </c>
      <c r="S46" t="inlineStr">
        <is>
          <t>2026-10-01</t>
        </is>
      </c>
      <c r="T46" t="inlineStr">
        <is>
          <t>SOURCED</t>
        </is>
      </c>
      <c r="U46" t="inlineStr">
        <is>
          <t>EIA status 'Under construction'; in-service '2030'. Baseload nameplate 4.00 mtpa; EIA peak nameplate 4.40 mtpa (EIA's own Mtpa where marked ^ else its Bcf/d conversion). [capacity_bcfd DERIVED: mtpa x 1.36 bcm/y x 35.3147 / 365.25 = 0.1315 Bcf/d per mtpa]</t>
        </is>
      </c>
    </row>
    <row r="47">
      <c r="A47" t="inlineStr">
        <is>
          <t>Global supply</t>
        </is>
      </c>
      <c r="B47" t="inlineStr">
        <is>
          <t>United States</t>
        </is>
      </c>
      <c r="C47" t="inlineStr">
        <is>
          <t>liquefaction_train</t>
        </is>
      </c>
      <c r="D47" t="inlineStr">
        <is>
          <t>Cameron LNG Train 4A</t>
        </is>
      </c>
      <c r="E47" t="inlineStr">
        <is>
          <t>Cameron LNG, LLC</t>
        </is>
      </c>
      <c r="F47" t="inlineStr">
        <is>
          <t>liquefaction</t>
        </is>
      </c>
      <c r="G47" t="n">
        <v>6.75</v>
      </c>
      <c r="H47" t="inlineStr">
        <is>
          <t>mtpa</t>
        </is>
      </c>
      <c r="J47" t="n">
        <v>0.8875999999999999</v>
      </c>
      <c r="K47" t="inlineStr">
        <is>
          <t>PERMITTED</t>
        </is>
      </c>
      <c r="M47" t="inlineStr">
        <is>
          <t>NOT_STATED</t>
        </is>
      </c>
      <c r="N47" t="inlineStr">
        <is>
          <t>2026-10-12</t>
        </is>
      </c>
      <c r="O47" t="inlineStr">
        <is>
          <t>2026-10-12</t>
        </is>
      </c>
      <c r="P47" t="inlineStr">
        <is>
          <t>U.S. Energy Information Administration</t>
        </is>
      </c>
      <c r="Q47" t="inlineStr">
        <is>
          <t>U.S. Liquefaction Capacity workbook (U.S.liquefactioncapacity_2026_Q3.xlsx; release 2026-10-01)</t>
        </is>
      </c>
      <c r="R47" t="inlineStr">
        <is>
          <t>https://www.eia.gov/naturalgas/importsexports/liquefactioncapacity/U.S.liquefactioncapacity_2026_Q3.xlsx</t>
        </is>
      </c>
      <c r="S47" t="inlineStr">
        <is>
          <t>2026-10-01</t>
        </is>
      </c>
      <c r="T47" t="inlineStr">
        <is>
          <t>SOURCED</t>
        </is>
      </c>
      <c r="U47" t="inlineStr">
        <is>
          <t>EIA 'Approved' tab (DOE and FERC/MARAD approved, no FID): Completed FEED on a new design of one larger-size train, rather than 2 trains as was initially proposed. Awarded EPC contract to Bechtel. FID TBA. Design capacity 6.75 mtpa (1 train(s)). [capacity_bcfd DERIVED: mtpa x 1.36 bcm/y x 35.3147 / 365.25 = 0.1315 Bcf/d per mtpa]</t>
        </is>
      </c>
    </row>
    <row r="48">
      <c r="A48" t="inlineStr">
        <is>
          <t>Global supply</t>
        </is>
      </c>
      <c r="B48" t="inlineStr">
        <is>
          <t>United States</t>
        </is>
      </c>
      <c r="C48" t="inlineStr">
        <is>
          <t>liquefaction_train</t>
        </is>
      </c>
      <c r="D48" t="inlineStr">
        <is>
          <t>Lake Charles LNG</t>
        </is>
      </c>
      <c r="E48" t="inlineStr">
        <is>
          <t>Energy Transfer, LP</t>
        </is>
      </c>
      <c r="F48" t="inlineStr">
        <is>
          <t>liquefaction</t>
        </is>
      </c>
      <c r="G48" t="n">
        <v>16.5</v>
      </c>
      <c r="H48" t="inlineStr">
        <is>
          <t>mtpa</t>
        </is>
      </c>
      <c r="J48" t="n">
        <v>2.1698</v>
      </c>
      <c r="K48" t="inlineStr">
        <is>
          <t>SUSPENDED</t>
        </is>
      </c>
      <c r="M48" t="inlineStr">
        <is>
          <t>NOT_STATED</t>
        </is>
      </c>
      <c r="N48" t="inlineStr">
        <is>
          <t>2026-10-12</t>
        </is>
      </c>
      <c r="O48" t="inlineStr">
        <is>
          <t>2026-10-12</t>
        </is>
      </c>
      <c r="P48" t="inlineStr">
        <is>
          <t>U.S. Energy Information Administration</t>
        </is>
      </c>
      <c r="Q48" t="inlineStr">
        <is>
          <t>U.S. Liquefaction Capacity workbook (U.S.liquefactioncapacity_2026_Q3.xlsx; release 2026-10-01)</t>
        </is>
      </c>
      <c r="R48" t="inlineStr">
        <is>
          <t>https://www.eia.gov/naturalgas/importsexports/liquefactioncapacity/U.S.liquefactioncapacity_2026_Q3.xlsx</t>
        </is>
      </c>
      <c r="S48" t="inlineStr">
        <is>
          <t>2026-10-01</t>
        </is>
      </c>
      <c r="T48" t="inlineStr">
        <is>
          <t>SOURCED</t>
        </is>
      </c>
      <c r="U48" t="inlineStr">
        <is>
          <t>EIA 'Approved' tab (DOE and FERC/MARAD approved, no FID): Completed FEED, reviewed EPC tenders, signed a preliminary EPC contract with a consortium led by Technip Energies and KBR. FID TBAD. Design capacity 16.50 mtpa (3 train(s)). Energy Transfer suspended development on 18 Dec 2025 (EIA note D). [capacity_bcfd DERIVED: mtpa x 1.36 bcm/y x 35.3147 / 365.25 = 0.1315 Bcf/d per mtpa]</t>
        </is>
      </c>
    </row>
    <row r="49">
      <c r="A49" t="inlineStr">
        <is>
          <t>Global supply</t>
        </is>
      </c>
      <c r="B49" t="inlineStr">
        <is>
          <t>United States</t>
        </is>
      </c>
      <c r="C49" t="inlineStr">
        <is>
          <t>liquefaction_train</t>
        </is>
      </c>
      <c r="D49" t="inlineStr">
        <is>
          <t>Woodside Louisiana LNG (formerly Driftwood LNG) Phase 2</t>
        </is>
      </c>
      <c r="E49" t="inlineStr">
        <is>
          <t>Woodside Energy</t>
        </is>
      </c>
      <c r="F49" t="inlineStr">
        <is>
          <t>liquefaction</t>
        </is>
      </c>
      <c r="G49" t="n">
        <v>11.04</v>
      </c>
      <c r="H49" t="inlineStr">
        <is>
          <t>mtpa</t>
        </is>
      </c>
      <c r="J49" t="n">
        <v>1.4518</v>
      </c>
      <c r="K49" t="inlineStr">
        <is>
          <t>PERMITTED</t>
        </is>
      </c>
      <c r="M49" t="inlineStr">
        <is>
          <t>NOT_STATED</t>
        </is>
      </c>
      <c r="N49" t="inlineStr">
        <is>
          <t>2026-10-12</t>
        </is>
      </c>
      <c r="O49" t="inlineStr">
        <is>
          <t>2026-10-12</t>
        </is>
      </c>
      <c r="P49" t="inlineStr">
        <is>
          <t>U.S. Energy Information Administration</t>
        </is>
      </c>
      <c r="Q49" t="inlineStr">
        <is>
          <t>U.S. Liquefaction Capacity workbook (U.S.liquefactioncapacity_2026_Q3.xlsx; release 2026-10-01)</t>
        </is>
      </c>
      <c r="R49" t="inlineStr">
        <is>
          <t>https://www.eia.gov/naturalgas/importsexports/liquefactioncapacity/U.S.liquefactioncapacity_2026_Q3.xlsx</t>
        </is>
      </c>
      <c r="S49" t="inlineStr">
        <is>
          <t>2026-10-01</t>
        </is>
      </c>
      <c r="T49" t="inlineStr">
        <is>
          <t>SOURCED</t>
        </is>
      </c>
      <c r="U49" t="inlineStr">
        <is>
          <t>EIA 'Approved' tab (DOE and FERC/MARAD approved, no FID): Completed FEED, awarded EPC contract to Bechtel Energy, issued limited notice to proceed to commence construction, FID TBA. Design capacity 11.04 mtpa (2 train(s)). [capacity_bcfd DERIVED: mtpa x 1.36 bcm/y x 35.3147 / 365.25 = 0.1315 Bcf/d per mtpa]</t>
        </is>
      </c>
    </row>
    <row r="50">
      <c r="A50" t="inlineStr">
        <is>
          <t>Global supply</t>
        </is>
      </c>
      <c r="B50" t="inlineStr">
        <is>
          <t>United States</t>
        </is>
      </c>
      <c r="C50" t="inlineStr">
        <is>
          <t>liquefaction_train</t>
        </is>
      </c>
      <c r="D50" t="inlineStr">
        <is>
          <t>Freeport LNG Train 4C</t>
        </is>
      </c>
      <c r="E50" t="inlineStr">
        <is>
          <t>Freeport LNG</t>
        </is>
      </c>
      <c r="F50" t="inlineStr">
        <is>
          <t>liquefaction</t>
        </is>
      </c>
      <c r="G50" t="n">
        <v>5.1</v>
      </c>
      <c r="H50" t="inlineStr">
        <is>
          <t>mtpa</t>
        </is>
      </c>
      <c r="J50" t="n">
        <v>0.6706</v>
      </c>
      <c r="K50" t="inlineStr">
        <is>
          <t>PERMITTED</t>
        </is>
      </c>
      <c r="M50" t="inlineStr">
        <is>
          <t>NOT_STATED</t>
        </is>
      </c>
      <c r="N50" t="inlineStr">
        <is>
          <t>2026-10-12</t>
        </is>
      </c>
      <c r="O50" t="inlineStr">
        <is>
          <t>2026-10-12</t>
        </is>
      </c>
      <c r="P50" t="inlineStr">
        <is>
          <t>U.S. Energy Information Administration</t>
        </is>
      </c>
      <c r="Q50" t="inlineStr">
        <is>
          <t>U.S. Liquefaction Capacity workbook (U.S.liquefactioncapacity_2026_Q3.xlsx; release 2026-10-01)</t>
        </is>
      </c>
      <c r="R50" t="inlineStr">
        <is>
          <t>https://www.eia.gov/naturalgas/importsexports/liquefactioncapacity/U.S.liquefactioncapacity_2026_Q3.xlsx</t>
        </is>
      </c>
      <c r="S50" t="inlineStr">
        <is>
          <t>2026-10-01</t>
        </is>
      </c>
      <c r="T50" t="inlineStr">
        <is>
          <t>SOURCED</t>
        </is>
      </c>
      <c r="U50" t="inlineStr">
        <is>
          <t>EIA 'Approved' tab (DOE and FERC/MARAD approved, no FID): Completed FEED, awarded EPC contract to Kiewit Energy. FID TBA. Design capacity 5.10 mtpa (1 train(s)). [capacity_bcfd DERIVED: mtpa x 1.36 bcm/y x 35.3147 / 365.25 = 0.1315 Bcf/d per mtpa]</t>
        </is>
      </c>
    </row>
    <row r="51">
      <c r="A51" t="inlineStr">
        <is>
          <t>Global supply</t>
        </is>
      </c>
      <c r="B51" t="inlineStr">
        <is>
          <t>United States</t>
        </is>
      </c>
      <c r="C51" t="inlineStr">
        <is>
          <t>liquefaction_train</t>
        </is>
      </c>
      <c r="D51" t="inlineStr">
        <is>
          <t>Texas LNG</t>
        </is>
      </c>
      <c r="E51" t="inlineStr">
        <is>
          <t>Glenfarne Energy Transition, LLC</t>
        </is>
      </c>
      <c r="F51" t="inlineStr">
        <is>
          <t>liquefaction</t>
        </is>
      </c>
      <c r="G51" t="n">
        <v>4</v>
      </c>
      <c r="H51" t="inlineStr">
        <is>
          <t>mtpa</t>
        </is>
      </c>
      <c r="J51" t="n">
        <v>0.526</v>
      </c>
      <c r="K51" t="inlineStr">
        <is>
          <t>PERMITTED</t>
        </is>
      </c>
      <c r="M51" t="inlineStr">
        <is>
          <t>NOT_STATED</t>
        </is>
      </c>
      <c r="N51" t="inlineStr">
        <is>
          <t>2026-10-12</t>
        </is>
      </c>
      <c r="O51" t="inlineStr">
        <is>
          <t>2026-10-12</t>
        </is>
      </c>
      <c r="P51" t="inlineStr">
        <is>
          <t>U.S. Energy Information Administration</t>
        </is>
      </c>
      <c r="Q51" t="inlineStr">
        <is>
          <t>U.S. Liquefaction Capacity workbook (U.S.liquefactioncapacity_2026_Q3.xlsx; release 2026-10-01)</t>
        </is>
      </c>
      <c r="R51" t="inlineStr">
        <is>
          <t>https://www.eia.gov/naturalgas/importsexports/liquefactioncapacity/U.S.liquefactioncapacity_2026_Q3.xlsx</t>
        </is>
      </c>
      <c r="S51" t="inlineStr">
        <is>
          <t>2026-10-01</t>
        </is>
      </c>
      <c r="T51" t="inlineStr">
        <is>
          <t>SOURCED</t>
        </is>
      </c>
      <c r="U51" t="inlineStr">
        <is>
          <t>EIA 'Approved' tab (DOE and FERC/MARAD approved, no FID): Completed FEED, selected engineering, procurement, and construction (EPC) contractor. FID targeted for 2026.. Design capacity 4.00 mtpa (2 train(s)). [capacity_bcfd DERIVED: mtpa x 1.36 bcm/y x 35.3147 / 365.25 = 0.1315 Bcf/d per mtpa]</t>
        </is>
      </c>
    </row>
    <row r="52">
      <c r="A52" t="inlineStr">
        <is>
          <t>Global supply</t>
        </is>
      </c>
      <c r="B52" t="inlineStr">
        <is>
          <t>United States</t>
        </is>
      </c>
      <c r="C52" t="inlineStr">
        <is>
          <t>liquefaction_train</t>
        </is>
      </c>
      <c r="D52" t="inlineStr">
        <is>
          <t>Gulf LNGE</t>
        </is>
      </c>
      <c r="E52" t="inlineStr">
        <is>
          <t>Gulf LNG Liquefaction Company, LLC</t>
        </is>
      </c>
      <c r="F52" t="inlineStr">
        <is>
          <t>liquefaction</t>
        </is>
      </c>
      <c r="G52" t="n">
        <v>10.85</v>
      </c>
      <c r="H52" t="inlineStr">
        <is>
          <t>mtpa</t>
        </is>
      </c>
      <c r="J52" t="n">
        <v>1.4268</v>
      </c>
      <c r="K52" t="inlineStr">
        <is>
          <t>PERMITTED</t>
        </is>
      </c>
      <c r="M52" t="inlineStr">
        <is>
          <t>NOT_STATED</t>
        </is>
      </c>
      <c r="N52" t="inlineStr">
        <is>
          <t>2026-10-12</t>
        </is>
      </c>
      <c r="O52" t="inlineStr">
        <is>
          <t>2026-10-12</t>
        </is>
      </c>
      <c r="P52" t="inlineStr">
        <is>
          <t>U.S. Energy Information Administration</t>
        </is>
      </c>
      <c r="Q52" t="inlineStr">
        <is>
          <t>U.S. Liquefaction Capacity workbook (U.S.liquefactioncapacity_2026_Q3.xlsx; release 2026-10-01)</t>
        </is>
      </c>
      <c r="R52" t="inlineStr">
        <is>
          <t>https://www.eia.gov/naturalgas/importsexports/liquefactioncapacity/U.S.liquefactioncapacity_2026_Q3.xlsx</t>
        </is>
      </c>
      <c r="S52" t="inlineStr">
        <is>
          <t>2026-10-01</t>
        </is>
      </c>
      <c r="T52" t="inlineStr">
        <is>
          <t>SOURCED</t>
        </is>
      </c>
      <c r="U52" t="inlineStr">
        <is>
          <t>EIA 'Approved' tab (DOE and FERC/MARAD approved, no FID): Undergoing FEED. Design capacity 10.85 mtpa (2 train(s)). [capacity_bcfd DERIVED: mtpa x 1.36 bcm/y x 35.3147 / 365.25 = 0.1315 Bcf/d per mtpa]</t>
        </is>
      </c>
    </row>
    <row r="53">
      <c r="A53" t="inlineStr">
        <is>
          <t>Global supply</t>
        </is>
      </c>
      <c r="B53" t="inlineStr">
        <is>
          <t>United States</t>
        </is>
      </c>
      <c r="C53" t="inlineStr">
        <is>
          <t>liquefaction_train</t>
        </is>
      </c>
      <c r="D53" t="inlineStr">
        <is>
          <t>Delfin FLNG additional vessels (beyond Train 1)</t>
        </is>
      </c>
      <c r="E53" t="inlineStr">
        <is>
          <t>Fairwood Group</t>
        </is>
      </c>
      <c r="F53" t="inlineStr">
        <is>
          <t>liquefaction</t>
        </is>
      </c>
      <c r="G53" t="n">
        <v>4.4</v>
      </c>
      <c r="H53" t="inlineStr">
        <is>
          <t>mtpa</t>
        </is>
      </c>
      <c r="J53" t="n">
        <v>0.5786</v>
      </c>
      <c r="K53" t="inlineStr">
        <is>
          <t>PERMITTED</t>
        </is>
      </c>
      <c r="M53" t="inlineStr">
        <is>
          <t>NOT_STATED</t>
        </is>
      </c>
      <c r="N53" t="inlineStr">
        <is>
          <t>2026-10-12</t>
        </is>
      </c>
      <c r="O53" t="inlineStr">
        <is>
          <t>2026-10-12</t>
        </is>
      </c>
      <c r="P53" t="inlineStr">
        <is>
          <t>U.S. Energy Information Administration</t>
        </is>
      </c>
      <c r="Q53" t="inlineStr">
        <is>
          <t>U.S. Liquefaction Capacity workbook (U.S.liquefactioncapacity_2026_Q3.xlsx; release 2026-10-01)</t>
        </is>
      </c>
      <c r="R53" t="inlineStr">
        <is>
          <t>https://www.eia.gov/naturalgas/importsexports/liquefactioncapacity/U.S.liquefactioncapacity_2026_Q3.xlsx</t>
        </is>
      </c>
      <c r="S53" t="inlineStr">
        <is>
          <t>2026-10-01</t>
        </is>
      </c>
      <c r="T53" t="inlineStr">
        <is>
          <t>DERIVED</t>
        </is>
      </c>
      <c r="U53" t="inlineStr">
        <is>
          <t>EIA 'Approved' tab (DOE and FERC/MARAD approved, no FID): Completed FEED, awarded EPC contract to Samsung Heavy Industries and Black &amp; Veatch. Project was granted DOE authorization for a 5-year extension to 2029 to commence operations. . Design capacity 8.80 mtpa (2 train(s)). Total approved 8.8 mtpa less the first vessel (4.4 mtpa, under construction in the other tab): remainder DERIVED. [capacity_bcfd DERIVED: mtpa x 1.36 bcm/y x 35.3147 / 365.25 = 0.1315 Bcf/d per mtpa]</t>
        </is>
      </c>
    </row>
    <row r="54">
      <c r="A54" t="inlineStr">
        <is>
          <t>Global supply</t>
        </is>
      </c>
      <c r="B54" t="inlineStr">
        <is>
          <t>United States</t>
        </is>
      </c>
      <c r="C54" t="inlineStr">
        <is>
          <t>liquefaction_train</t>
        </is>
      </c>
      <c r="D54" t="inlineStr">
        <is>
          <t>Alaska LNG</t>
        </is>
      </c>
      <c r="E54" t="inlineStr">
        <is>
          <t>Alaska Gasline Development Corporation (AGDC)</t>
        </is>
      </c>
      <c r="F54" t="inlineStr">
        <is>
          <t>liquefaction</t>
        </is>
      </c>
      <c r="G54" t="n">
        <v>20</v>
      </c>
      <c r="H54" t="inlineStr">
        <is>
          <t>mtpa</t>
        </is>
      </c>
      <c r="J54" t="n">
        <v>2.63</v>
      </c>
      <c r="K54" t="inlineStr">
        <is>
          <t>PLANNED</t>
        </is>
      </c>
      <c r="M54" t="inlineStr">
        <is>
          <t>NOT_STATED</t>
        </is>
      </c>
      <c r="N54" t="inlineStr">
        <is>
          <t>2026-10-12</t>
        </is>
      </c>
      <c r="O54" t="inlineStr">
        <is>
          <t>2026-10-12</t>
        </is>
      </c>
      <c r="P54" t="inlineStr">
        <is>
          <t>U.S. Energy Information Administration</t>
        </is>
      </c>
      <c r="Q54" t="inlineStr">
        <is>
          <t>U.S. Liquefaction Capacity workbook (U.S.liquefactioncapacity_2026_Q3.xlsx; release 2026-10-01)</t>
        </is>
      </c>
      <c r="R54" t="inlineStr">
        <is>
          <t>https://www.eia.gov/naturalgas/importsexports/liquefactioncapacity/U.S.liquefactioncapacity_2026_Q3.xlsx</t>
        </is>
      </c>
      <c r="S54" t="inlineStr">
        <is>
          <t>2026-10-01</t>
        </is>
      </c>
      <c r="T54" t="inlineStr">
        <is>
          <t>SOURCED</t>
        </is>
      </c>
      <c r="U54" t="inlineStr">
        <is>
          <t>EIA 'Approved' tab (DOE and FERC/MARAD approved, no FID): Proposed. Design capacity 20.00 mtpa (3 train(s)). [capacity_bcfd DERIVED: mtpa x 1.36 bcm/y x 35.3147 / 365.25 = 0.1315 Bcf/d per mtpa]</t>
        </is>
      </c>
    </row>
    <row r="55">
      <c r="A55" t="inlineStr">
        <is>
          <t>Global supply</t>
        </is>
      </c>
      <c r="B55" t="inlineStr">
        <is>
          <t>Qatar</t>
        </is>
      </c>
      <c r="C55" t="inlineStr">
        <is>
          <t>liquefaction_train</t>
        </is>
      </c>
      <c r="D55" t="inlineStr">
        <is>
          <t>Existing LNG trains at Ras Laffan (14 trains) excl. the two damaged trains</t>
        </is>
      </c>
      <c r="E55" t="inlineStr">
        <is>
          <t>QatarEnergy LNG</t>
        </is>
      </c>
      <c r="F55" t="inlineStr">
        <is>
          <t>liquefaction</t>
        </is>
      </c>
      <c r="G55" t="n">
        <v>64.2</v>
      </c>
      <c r="H55" t="inlineStr">
        <is>
          <t>mtpa</t>
        </is>
      </c>
      <c r="J55" t="n">
        <v>8.442299999999999</v>
      </c>
      <c r="K55" t="inlineStr">
        <is>
          <t>OPERATING</t>
        </is>
      </c>
      <c r="L55" t="inlineStr">
        <is>
          <t>1996</t>
        </is>
      </c>
      <c r="M55" t="inlineStr">
        <is>
          <t>SOURCED_YEAR</t>
        </is>
      </c>
      <c r="N55" t="inlineStr">
        <is>
          <t>2026-10-12</t>
        </is>
      </c>
      <c r="O55" t="inlineStr">
        <is>
          <t>2026-10-12</t>
        </is>
      </c>
      <c r="P55" t="inlineStr">
        <is>
          <t>QatarEnergy</t>
        </is>
      </c>
      <c r="Q55" t="inlineStr">
        <is>
          <t>Update to Investors, November 2025 (North Field expansion programme, p.9)</t>
        </is>
      </c>
      <c r="R55" t="inlineStr">
        <is>
          <t>https://www.qatarenergy.qa/en/MediaCenter/Publications/QatarEnergy_Investors_Presentation_November_2025.pdf</t>
        </is>
      </c>
      <c r="S55" t="inlineStr">
        <is>
          <t>2025-11-01</t>
        </is>
      </c>
      <c r="T55" t="inlineStr">
        <is>
          <t>DERIVED</t>
        </is>
      </c>
      <c r="U55" t="inlineStr">
        <is>
          <t>77 mtpa current (QatarEnergy Nov 2025 deck: 14 trains) less 12.8 mtpa damaged (next row, GIIGNL figure). DISR REQ Sep 2026: capacity 'largely intact', ~80% of capacity within a month of the Strait reopening. Export routes depend on the Strait of Hormuz, which was disrupted in 2026 (DISR REQ Sep 2026): nameplate unchanged, exports constrained. [capacity_bcfd DERIVED: mtpa x 1.36 bcm/y x 35.3147 / 365.25 = 0.1315 Bcf/d per mtpa]</t>
        </is>
      </c>
    </row>
    <row r="56">
      <c r="A56" t="inlineStr">
        <is>
          <t>Global supply</t>
        </is>
      </c>
      <c r="B56" t="inlineStr">
        <is>
          <t>Qatar</t>
        </is>
      </c>
      <c r="C56" t="inlineStr">
        <is>
          <t>liquefaction_train</t>
        </is>
      </c>
      <c r="D56" t="inlineStr">
        <is>
          <t>Ras Laffan LNG Trains 4 and 6 (damaged by missile strikes 18 Mar 2026)</t>
        </is>
      </c>
      <c r="E56" t="inlineStr">
        <is>
          <t>QatarEnergy LNG</t>
        </is>
      </c>
      <c r="F56" t="inlineStr">
        <is>
          <t>liquefaction</t>
        </is>
      </c>
      <c r="G56" t="n">
        <v>12.8</v>
      </c>
      <c r="H56" t="inlineStr">
        <is>
          <t>mtpa</t>
        </is>
      </c>
      <c r="J56" t="n">
        <v>1.6832</v>
      </c>
      <c r="K56" t="inlineStr">
        <is>
          <t>SUSPENDED</t>
        </is>
      </c>
      <c r="L56" t="inlineStr">
        <is>
          <t>1996</t>
        </is>
      </c>
      <c r="M56" t="inlineStr">
        <is>
          <t>SOURCED_YEAR</t>
        </is>
      </c>
      <c r="N56" t="inlineStr">
        <is>
          <t>2026-10-12</t>
        </is>
      </c>
      <c r="O56" t="inlineStr">
        <is>
          <t>2026-10-12</t>
        </is>
      </c>
      <c r="P56" t="inlineStr">
        <is>
          <t>GIIGNL (used only where no official figure was opened; named as publisher)</t>
        </is>
      </c>
      <c r="Q56" t="inlineStr">
        <is>
          <t>GIIGNL Annual Report 2026 edition (2025 data): liquefaction plants table and 'Liquefaction' regional sections</t>
        </is>
      </c>
      <c r="R56" t="inlineStr">
        <is>
          <t>https://giignl-documents.s3.fr-par.scw.cloud/public/giignl-2026-annual-report.pdf</t>
        </is>
      </c>
      <c r="S56" t="inlineStr">
        <is>
          <t>2026-05-20</t>
        </is>
      </c>
      <c r="T56" t="inlineStr">
        <is>
          <t>SOURCED</t>
        </is>
      </c>
      <c r="U56" t="inlineStr">
        <is>
          <t>NUMBER FROM GIIGNL (publisher; no QatarEnergy document with it was reachable): strikes damaged LNG Trains 4 and 6, removing 12.8 mtpa, repairs three to five years per QatarEnergy's March 2026 statement as quoted by GIIGNL; Reuters 7 Oct 2026: repairs could take three years. DISR REQ Sep 2026 confirms missile damage mid-March 2026 (no mtpa). No return date is stated. [capacity_bcfd DERIVED: mtpa x 1.36 bcm/y x 35.3147 / 365.25 = 0.1315 Bcf/d per mtpa]</t>
        </is>
      </c>
    </row>
    <row r="57">
      <c r="A57" t="inlineStr">
        <is>
          <t>Global supply</t>
        </is>
      </c>
      <c r="B57" t="inlineStr">
        <is>
          <t>Qatar</t>
        </is>
      </c>
      <c r="C57" t="inlineStr">
        <is>
          <t>liquefaction_train</t>
        </is>
      </c>
      <c r="D57" t="inlineStr">
        <is>
          <t>North Field East expansion, Train 1 of 4 (8 mtpa)</t>
        </is>
      </c>
      <c r="E57" t="inlineStr">
        <is>
          <t>QatarEnergy LNG</t>
        </is>
      </c>
      <c r="F57" t="inlineStr">
        <is>
          <t>liquefaction</t>
        </is>
      </c>
      <c r="G57" t="n">
        <v>8</v>
      </c>
      <c r="H57" t="inlineStr">
        <is>
          <t>mtpa</t>
        </is>
      </c>
      <c r="J57" t="n">
        <v>1.052</v>
      </c>
      <c r="K57" t="inlineStr">
        <is>
          <t>UNDER_CONSTRUCTION</t>
        </is>
      </c>
      <c r="L57" t="inlineStr">
        <is>
          <t>2027</t>
        </is>
      </c>
      <c r="M57" t="inlineStr">
        <is>
          <t>SOURCED_YEAR</t>
        </is>
      </c>
      <c r="N57" t="inlineStr">
        <is>
          <t>2026-10-12</t>
        </is>
      </c>
      <c r="O57" t="inlineStr">
        <is>
          <t>2026-10-12</t>
        </is>
      </c>
      <c r="P57" t="inlineStr">
        <is>
          <t>Reuters (copy on BOE Report)</t>
        </is>
      </c>
      <c r="Q57" t="inlineStr">
        <is>
          <t>QatarEnergy's LNG expansion project poised to start operations in November, sources say (7 Oct 2026)</t>
        </is>
      </c>
      <c r="R57" t="inlineStr">
        <is>
          <t>https://boereport.com/2026/10/07/qatarenergys-lng-expansion-project-poised-to-start-operations-in-november-sources-say/amp/</t>
        </is>
      </c>
      <c r="S57" t="inlineStr">
        <is>
          <t>2026-10-07</t>
        </is>
      </c>
      <c r="T57" t="inlineStr">
        <is>
          <t>SOURCED</t>
        </is>
      </c>
      <c r="U57" t="inlineStr">
        <is>
          <t>Date: QatarEnergy CEO, production expected in H1 2027 (Reuters copy, 7 Oct 2026; same report: train ready to start in November 2026, LNG from it in Q1 2027, per two unnamed sources). Capacity: NFE = 32 mtpa in 4 trains of 8 (QatarEnergy deck Nov 2025). GIIGNL 2026: first two NFE trains had been expected late 2026, now likely postponed. Export routes depend on the Strait of Hormuz, which was disrupted in 2026 (DISR REQ Sep 2026): nameplate unchanged, exports constrained. [capacity_bcfd DERIVED: mtpa x 1.36 bcm/y x 35.3147 / 365.25 = 0.1315 Bcf/d per mtpa]</t>
        </is>
      </c>
    </row>
    <row r="58">
      <c r="A58" t="inlineStr">
        <is>
          <t>Global supply</t>
        </is>
      </c>
      <c r="B58" t="inlineStr">
        <is>
          <t>Qatar</t>
        </is>
      </c>
      <c r="C58" t="inlineStr">
        <is>
          <t>liquefaction_train</t>
        </is>
      </c>
      <c r="D58" t="inlineStr">
        <is>
          <t>North Field East expansion, Trains 2-4 (3 x 8 mtpa)</t>
        </is>
      </c>
      <c r="E58" t="inlineStr">
        <is>
          <t>QatarEnergy LNG</t>
        </is>
      </c>
      <c r="F58" t="inlineStr">
        <is>
          <t>liquefaction</t>
        </is>
      </c>
      <c r="G58" t="n">
        <v>24</v>
      </c>
      <c r="H58" t="inlineStr">
        <is>
          <t>mtpa</t>
        </is>
      </c>
      <c r="J58" t="n">
        <v>3.156</v>
      </c>
      <c r="K58" t="inlineStr">
        <is>
          <t>UNDER_CONSTRUCTION</t>
        </is>
      </c>
      <c r="M58" t="inlineStr">
        <is>
          <t>NOT_STATED</t>
        </is>
      </c>
      <c r="N58" t="inlineStr">
        <is>
          <t>2026-10-12</t>
        </is>
      </c>
      <c r="O58" t="inlineStr">
        <is>
          <t>2026-10-12</t>
        </is>
      </c>
      <c r="P58" t="inlineStr">
        <is>
          <t>QatarEnergy</t>
        </is>
      </c>
      <c r="Q58" t="inlineStr">
        <is>
          <t>Update to Investors, November 2025 (North Field expansion programme, p.9)</t>
        </is>
      </c>
      <c r="R58" t="inlineStr">
        <is>
          <t>https://www.qatarenergy.qa/en/MediaCenter/Publications/QatarEnergy_Investors_Presentation_November_2025.pdf</t>
        </is>
      </c>
      <c r="S58" t="inlineStr">
        <is>
          <t>2025-11-01</t>
        </is>
      </c>
      <c r="T58" t="inlineStr">
        <is>
          <t>SOURCED</t>
        </is>
      </c>
      <c r="U58" t="inlineStr">
        <is>
          <t>4 trains x 8 mtpa = 32 mtpa (deck p.9); no per-train date in an opened QatarEnergy document. Programme target 142 mtpa by 2030 (deck). DISR REQ Sep 2026 (NexantECA): Qatari capacity expected to stay below 90 Mt until 2029 and reach 133 Mt by 2031 (was 142 Mt by 2031). [capacity_bcfd DERIVED: mtpa x 1.36 bcm/y x 35.3147 / 365.25 = 0.1315 Bcf/d per mtpa]</t>
        </is>
      </c>
    </row>
    <row r="59">
      <c r="A59" t="inlineStr">
        <is>
          <t>Global supply</t>
        </is>
      </c>
      <c r="B59" t="inlineStr">
        <is>
          <t>Qatar</t>
        </is>
      </c>
      <c r="C59" t="inlineStr">
        <is>
          <t>liquefaction_train</t>
        </is>
      </c>
      <c r="D59" t="inlineStr">
        <is>
          <t>North Field South expansion (2 trains x 8 mtpa)</t>
        </is>
      </c>
      <c r="E59" t="inlineStr">
        <is>
          <t>QatarEnergy LNG</t>
        </is>
      </c>
      <c r="F59" t="inlineStr">
        <is>
          <t>liquefaction</t>
        </is>
      </c>
      <c r="G59" t="n">
        <v>16</v>
      </c>
      <c r="H59" t="inlineStr">
        <is>
          <t>mtpa</t>
        </is>
      </c>
      <c r="J59" t="n">
        <v>2.104</v>
      </c>
      <c r="K59" t="inlineStr">
        <is>
          <t>UNDER_CONSTRUCTION</t>
        </is>
      </c>
      <c r="M59" t="inlineStr">
        <is>
          <t>NOT_STATED</t>
        </is>
      </c>
      <c r="N59" t="inlineStr">
        <is>
          <t>2026-10-12</t>
        </is>
      </c>
      <c r="O59" t="inlineStr">
        <is>
          <t>2026-10-12</t>
        </is>
      </c>
      <c r="P59" t="inlineStr">
        <is>
          <t>QatarEnergy</t>
        </is>
      </c>
      <c r="Q59" t="inlineStr">
        <is>
          <t>Update to Investors, November 2025 (North Field expansion programme, p.9)</t>
        </is>
      </c>
      <c r="R59" t="inlineStr">
        <is>
          <t>https://www.qatarenergy.qa/en/MediaCenter/Publications/QatarEnergy_Investors_Presentation_November_2025.pdf</t>
        </is>
      </c>
      <c r="S59" t="inlineStr">
        <is>
          <t>2025-11-01</t>
        </is>
      </c>
      <c r="T59" t="inlineStr">
        <is>
          <t>SOURCED</t>
        </is>
      </c>
      <c r="U59" t="inlineStr">
        <is>
          <t>16 mtpa, 2 trains of 8 mtpa (deck p.9). No start date in an opened QatarEnergy document; part of the 142 mtpa-by-2030 programme. [capacity_bcfd DERIVED: mtpa x 1.36 bcm/y x 35.3147 / 365.25 = 0.1315 Bcf/d per mtpa]</t>
        </is>
      </c>
    </row>
    <row r="60">
      <c r="A60" t="inlineStr">
        <is>
          <t>Global supply</t>
        </is>
      </c>
      <c r="B60" t="inlineStr">
        <is>
          <t>Qatar</t>
        </is>
      </c>
      <c r="C60" t="inlineStr">
        <is>
          <t>liquefaction_train</t>
        </is>
      </c>
      <c r="D60" t="inlineStr">
        <is>
          <t>North Field West expansion (2 trains x 8 mtpa)</t>
        </is>
      </c>
      <c r="E60" t="inlineStr">
        <is>
          <t>QatarEnergy LNG</t>
        </is>
      </c>
      <c r="F60" t="inlineStr">
        <is>
          <t>liquefaction</t>
        </is>
      </c>
      <c r="G60" t="n">
        <v>16</v>
      </c>
      <c r="H60" t="inlineStr">
        <is>
          <t>mtpa</t>
        </is>
      </c>
      <c r="J60" t="n">
        <v>2.104</v>
      </c>
      <c r="K60" t="inlineStr">
        <is>
          <t>PLANNED</t>
        </is>
      </c>
      <c r="M60" t="inlineStr">
        <is>
          <t>NOT_STATED</t>
        </is>
      </c>
      <c r="N60" t="inlineStr">
        <is>
          <t>2026-10-12</t>
        </is>
      </c>
      <c r="O60" t="inlineStr">
        <is>
          <t>2026-10-12</t>
        </is>
      </c>
      <c r="P60" t="inlineStr">
        <is>
          <t>QatarEnergy</t>
        </is>
      </c>
      <c r="Q60" t="inlineStr">
        <is>
          <t>Update to Investors, November 2025 (North Field expansion programme, p.9)</t>
        </is>
      </c>
      <c r="R60" t="inlineStr">
        <is>
          <t>https://www.qatarenergy.qa/en/MediaCenter/Publications/QatarEnergy_Investors_Presentation_November_2025.pdf</t>
        </is>
      </c>
      <c r="S60" t="inlineStr">
        <is>
          <t>2025-11-01</t>
        </is>
      </c>
      <c r="T60" t="inlineStr">
        <is>
          <t>SOURCED</t>
        </is>
      </c>
      <c r="U60" t="inlineStr">
        <is>
          <t>16 mtpa, 2 trains (deck p.9; announced Feb 2024). Programme target 142 mtpa by 2030. No FID or per-train date in an opened document. [capacity_bcfd DERIVED: mtpa x 1.36 bcm/y x 35.3147 / 365.25 = 0.1315 Bcf/d per mtpa]</t>
        </is>
      </c>
    </row>
    <row r="61">
      <c r="A61" t="inlineStr">
        <is>
          <t>Global supply</t>
        </is>
      </c>
      <c r="B61" t="inlineStr">
        <is>
          <t>Canada</t>
        </is>
      </c>
      <c r="C61" t="inlineStr">
        <is>
          <t>liquefaction_train</t>
        </is>
      </c>
      <c r="D61" t="inlineStr">
        <is>
          <t>LNG Canada Phase 1 (2 trains)</t>
        </is>
      </c>
      <c r="E61" t="inlineStr">
        <is>
          <t>LNG Canada (Shell 40%)</t>
        </is>
      </c>
      <c r="F61" t="inlineStr">
        <is>
          <t>liquefaction</t>
        </is>
      </c>
      <c r="G61" t="n">
        <v>14</v>
      </c>
      <c r="H61" t="inlineStr">
        <is>
          <t>mtpa</t>
        </is>
      </c>
      <c r="J61" t="n">
        <v>1.841</v>
      </c>
      <c r="K61" t="inlineStr">
        <is>
          <t>COMMISSIONED_RECENT</t>
        </is>
      </c>
      <c r="L61" t="inlineStr">
        <is>
          <t>2025</t>
        </is>
      </c>
      <c r="M61" t="inlineStr">
        <is>
          <t>SOURCED_YEAR</t>
        </is>
      </c>
      <c r="N61" t="inlineStr">
        <is>
          <t>2026-10-12</t>
        </is>
      </c>
      <c r="O61" t="inlineStr">
        <is>
          <t>2026-10-12</t>
        </is>
      </c>
      <c r="P61" t="inlineStr">
        <is>
          <t>Shell Canada Energy / Shell plc (release text as republished by Hellenic Shipping News)</t>
        </is>
      </c>
      <c r="Q61" t="inlineStr">
        <is>
          <t>Shell takes final investment decision to double LNG Canada capacity (29 Sep 2026)</t>
        </is>
      </c>
      <c r="R61" t="inlineStr">
        <is>
          <t>https://www.hellenicshippingnews.com/shell-takes-final-investment-decision-to-double-lng-canada-capacity</t>
        </is>
      </c>
      <c r="S61" t="inlineStr">
        <is>
          <t>2026-09-29</t>
        </is>
      </c>
      <c r="T61" t="inlineStr">
        <is>
          <t>SOURCED</t>
        </is>
      </c>
      <c r="U61" t="inlineStr">
        <is>
          <t>Capacity: Shell release 29 Sep 2026 (Phase 2 raises capacity 'from 14 mtpa to 28 mtpa'). Start year 2025 from GIIGNL 2026 (Trains 1 and 2, 7.0 each, online in 2025; month not stated). [capacity_bcfd DERIVED: mtpa x 1.36 bcm/y x 35.3147 / 365.25 = 0.1315 Bcf/d per mtpa]</t>
        </is>
      </c>
    </row>
    <row r="62">
      <c r="A62" t="inlineStr">
        <is>
          <t>Global supply</t>
        </is>
      </c>
      <c r="B62" t="inlineStr">
        <is>
          <t>Canada</t>
        </is>
      </c>
      <c r="C62" t="inlineStr">
        <is>
          <t>liquefaction_train</t>
        </is>
      </c>
      <c r="D62" t="inlineStr">
        <is>
          <t>Tilbury LNG</t>
        </is>
      </c>
      <c r="E62" t="inlineStr">
        <is>
          <t>FortisBC</t>
        </is>
      </c>
      <c r="F62" t="inlineStr">
        <is>
          <t>liquefaction</t>
        </is>
      </c>
      <c r="G62" t="n">
        <v>0.3</v>
      </c>
      <c r="H62" t="inlineStr">
        <is>
          <t>mtpa</t>
        </is>
      </c>
      <c r="J62" t="n">
        <v>0.0394</v>
      </c>
      <c r="K62" t="inlineStr">
        <is>
          <t>OPERATING</t>
        </is>
      </c>
      <c r="L62" t="inlineStr">
        <is>
          <t>1971</t>
        </is>
      </c>
      <c r="M62" t="inlineStr">
        <is>
          <t>SOURCED_YEAR</t>
        </is>
      </c>
      <c r="N62" t="inlineStr">
        <is>
          <t>2026-10-12</t>
        </is>
      </c>
      <c r="O62" t="inlineStr">
        <is>
          <t>2026-10-12</t>
        </is>
      </c>
      <c r="P62" t="inlineStr">
        <is>
          <t>GIIGNL (used only where no official figure was opened; named as publisher)</t>
        </is>
      </c>
      <c r="Q62" t="inlineStr">
        <is>
          <t>GIIGNL Annual Report 2026 edition (2025 data): liquefaction plants table and 'Liquefaction' regional sections</t>
        </is>
      </c>
      <c r="R62" t="inlineStr">
        <is>
          <t>https://giignl-documents.s3.fr-par.scw.cloud/public/giignl-2026-annual-report.pdf</t>
        </is>
      </c>
      <c r="S62" t="inlineStr">
        <is>
          <t>2026-05-20</t>
        </is>
      </c>
      <c r="T62" t="inlineStr">
        <is>
          <t>SOURCED</t>
        </is>
      </c>
      <c r="U62" t="inlineStr">
        <is>
          <t>Small-scale plant, Delta BC (GIIGNL number). [capacity_bcfd DERIVED: mtpa x 1.36 bcm/y x 35.3147 / 365.25 = 0.1315 Bcf/d per mtpa]</t>
        </is>
      </c>
    </row>
    <row r="63">
      <c r="A63" t="inlineStr">
        <is>
          <t>Global supply</t>
        </is>
      </c>
      <c r="B63" t="inlineStr">
        <is>
          <t>Canada</t>
        </is>
      </c>
      <c r="C63" t="inlineStr">
        <is>
          <t>liquefaction_train</t>
        </is>
      </c>
      <c r="D63" t="inlineStr">
        <is>
          <t>LNG Canada Phase 2 (2 trains, +14 mtpa)</t>
        </is>
      </c>
      <c r="E63" t="inlineStr">
        <is>
          <t>LNG Canada (Shell 40%)</t>
        </is>
      </c>
      <c r="F63" t="inlineStr">
        <is>
          <t>liquefaction</t>
        </is>
      </c>
      <c r="G63" t="n">
        <v>14</v>
      </c>
      <c r="H63" t="inlineStr">
        <is>
          <t>mtpa</t>
        </is>
      </c>
      <c r="J63" t="n">
        <v>1.841</v>
      </c>
      <c r="K63" t="inlineStr">
        <is>
          <t>FID</t>
        </is>
      </c>
      <c r="M63" t="inlineStr">
        <is>
          <t>NOT_STATED</t>
        </is>
      </c>
      <c r="N63" t="inlineStr">
        <is>
          <t>2026-10-12</t>
        </is>
      </c>
      <c r="O63" t="inlineStr">
        <is>
          <t>2026-10-12</t>
        </is>
      </c>
      <c r="P63" t="inlineStr">
        <is>
          <t>Shell Canada Energy / Shell plc (release text as republished by Hellenic Shipping News)</t>
        </is>
      </c>
      <c r="Q63" t="inlineStr">
        <is>
          <t>Shell takes final investment decision to double LNG Canada capacity (29 Sep 2026)</t>
        </is>
      </c>
      <c r="R63" t="inlineStr">
        <is>
          <t>https://www.hellenicshippingnews.com/shell-takes-final-investment-decision-to-double-lng-canada-capacity</t>
        </is>
      </c>
      <c r="S63" t="inlineStr">
        <is>
          <t>2026-09-29</t>
        </is>
      </c>
      <c r="T63" t="inlineStr">
        <is>
          <t>SOURCED</t>
        </is>
      </c>
      <c r="U63" t="inlineStr">
        <is>
          <t>FID 29 Sep 2026: doubles capacity from 14 to 28 mtpa; 'commercial operations expected to begin in the early 2030s' (no month; not in the dated series). [capacity_bcfd DERIVED: mtpa x 1.36 bcm/y x 35.3147 / 365.25 = 0.1315 Bcf/d per mtpa]</t>
        </is>
      </c>
    </row>
    <row r="64">
      <c r="A64" t="inlineStr">
        <is>
          <t>Global supply</t>
        </is>
      </c>
      <c r="B64" t="inlineStr">
        <is>
          <t>Canada</t>
        </is>
      </c>
      <c r="C64" t="inlineStr">
        <is>
          <t>liquefaction_train</t>
        </is>
      </c>
      <c r="D64" t="inlineStr">
        <is>
          <t>Woodfibre LNG</t>
        </is>
      </c>
      <c r="E64" t="inlineStr">
        <is>
          <t>Woodfibre LNG</t>
        </is>
      </c>
      <c r="F64" t="inlineStr">
        <is>
          <t>liquefaction</t>
        </is>
      </c>
      <c r="G64" t="n">
        <v>2.1</v>
      </c>
      <c r="H64" t="inlineStr">
        <is>
          <t>mtpa</t>
        </is>
      </c>
      <c r="J64" t="n">
        <v>0.2762</v>
      </c>
      <c r="K64" t="inlineStr">
        <is>
          <t>UNDER_CONSTRUCTION</t>
        </is>
      </c>
      <c r="L64" t="inlineStr">
        <is>
          <t>2027</t>
        </is>
      </c>
      <c r="M64" t="inlineStr">
        <is>
          <t>SOURCED_YEAR</t>
        </is>
      </c>
      <c r="N64" t="inlineStr">
        <is>
          <t>2026-10-12</t>
        </is>
      </c>
      <c r="O64" t="inlineStr">
        <is>
          <t>2026-10-12</t>
        </is>
      </c>
      <c r="P64" t="inlineStr">
        <is>
          <t>Woodfibre LNG</t>
        </is>
      </c>
      <c r="Q64" t="inlineStr">
        <is>
          <t>Construction page (2.1 million tonnes of LNG per year; substantial completion expected by 2027)</t>
        </is>
      </c>
      <c r="R64" t="inlineStr">
        <is>
          <t>https://woodfibrelng.ca/construction/</t>
        </is>
      </c>
      <c r="S64" t="inlineStr">
        <is>
          <t>2026-10-12</t>
        </is>
      </c>
      <c r="T64" t="inlineStr">
        <is>
          <t>SOURCED</t>
        </is>
      </c>
      <c r="U64" t="inlineStr">
        <is>
          <t>Company: designed to produce 2.1 million tonnes of LNG per year; substantial completion expected by 2027 (GIIGNL: 65% complete March 2026). [capacity_bcfd DERIVED: mtpa x 1.36 bcm/y x 35.3147 / 365.25 = 0.1315 Bcf/d per mtpa]</t>
        </is>
      </c>
    </row>
    <row r="65">
      <c r="A65" t="inlineStr">
        <is>
          <t>Global supply</t>
        </is>
      </c>
      <c r="B65" t="inlineStr">
        <is>
          <t>Canada</t>
        </is>
      </c>
      <c r="C65" t="inlineStr">
        <is>
          <t>liquefaction_train</t>
        </is>
      </c>
      <c r="D65" t="inlineStr">
        <is>
          <t>Cedar LNG (floating, Kitimat)</t>
        </is>
      </c>
      <c r="E65" t="inlineStr">
        <is>
          <t>Cedar LNG (Haisla Nation / Pembina)</t>
        </is>
      </c>
      <c r="F65" t="inlineStr">
        <is>
          <t>liquefaction</t>
        </is>
      </c>
      <c r="H65" t="inlineStr">
        <is>
          <t>mtpa</t>
        </is>
      </c>
      <c r="K65" t="inlineStr">
        <is>
          <t>UNDER_CONSTRUCTION</t>
        </is>
      </c>
      <c r="L65" t="inlineStr">
        <is>
          <t>2028</t>
        </is>
      </c>
      <c r="M65" t="inlineStr">
        <is>
          <t>SOURCED_QUARTER</t>
        </is>
      </c>
      <c r="N65" t="inlineStr">
        <is>
          <t>2026-10-12</t>
        </is>
      </c>
      <c r="O65" t="inlineStr">
        <is>
          <t>2026-10-12</t>
        </is>
      </c>
      <c r="P65" t="inlineStr">
        <is>
          <t>Pembina Pipeline Corporation</t>
        </is>
      </c>
      <c r="Q65" t="inlineStr">
        <is>
          <t>Q2 2026 results news release (Cedar LNG first exports late 2028)</t>
        </is>
      </c>
      <c r="R65" t="inlineStr">
        <is>
          <t>https://www.pembina.com/media-centre/news/details/fa13b9e4-bbc0-44d0-9ab6-88c72cbd54e5</t>
        </is>
      </c>
      <c r="S65" t="inlineStr">
        <is>
          <t>2026-07-30</t>
        </is>
      </c>
      <c r="T65" t="inlineStr">
        <is>
          <t>SOURCED</t>
        </is>
      </c>
      <c r="U65" t="inlineStr">
        <is>
          <t>Pembina Q2 2026: first exports expected late 2028; vessel more than 70% complete. NO capacity figure in any opened document (Pembina, Cedar site, GIIGNL): left blank, not in the totals ('Tried'). [capacity_bcfd DERIVED: mtpa x 1.36 bcm/y x 35.3147 / 365.25 = 0.1315 Bcf/d per mtpa]</t>
        </is>
      </c>
    </row>
    <row r="66">
      <c r="A66" t="inlineStr">
        <is>
          <t>Global supply</t>
        </is>
      </c>
      <c r="B66" t="inlineStr">
        <is>
          <t>Canada</t>
        </is>
      </c>
      <c r="C66" t="inlineStr">
        <is>
          <t>liquefaction_train</t>
        </is>
      </c>
      <c r="D66" t="inlineStr">
        <is>
          <t>Ksi Lisims LNG (floating, 12 mtpa)</t>
        </is>
      </c>
      <c r="E66" t="inlineStr">
        <is>
          <t>Ksi Lisims LNG (Nisga'a Nation / Rockies LNG / Western LNG)</t>
        </is>
      </c>
      <c r="F66" t="inlineStr">
        <is>
          <t>liquefaction</t>
        </is>
      </c>
      <c r="G66" t="n">
        <v>12</v>
      </c>
      <c r="H66" t="inlineStr">
        <is>
          <t>mtpa</t>
        </is>
      </c>
      <c r="J66" t="n">
        <v>1.578</v>
      </c>
      <c r="K66" t="inlineStr">
        <is>
          <t>PERMITTED</t>
        </is>
      </c>
      <c r="M66" t="inlineStr">
        <is>
          <t>NOT_STATED</t>
        </is>
      </c>
      <c r="N66" t="inlineStr">
        <is>
          <t>2026-10-12</t>
        </is>
      </c>
      <c r="O66" t="inlineStr">
        <is>
          <t>2026-10-12</t>
        </is>
      </c>
      <c r="P66" t="inlineStr">
        <is>
          <t>GIIGNL (used only where no official figure was opened; named as publisher)</t>
        </is>
      </c>
      <c r="Q66" t="inlineStr">
        <is>
          <t>GIIGNL Annual Report 2026 edition (2025 data): liquefaction plants table and 'Liquefaction' regional sections</t>
        </is>
      </c>
      <c r="R66" t="inlineStr">
        <is>
          <t>https://giignl-documents.s3.fr-par.scw.cloud/public/giignl-2026-annual-report.pdf</t>
        </is>
      </c>
      <c r="S66" t="inlineStr">
        <is>
          <t>2026-05-20</t>
        </is>
      </c>
      <c r="T66" t="inlineStr">
        <is>
          <t>SOURCED</t>
        </is>
      </c>
      <c r="U66" t="inlineStr">
        <is>
          <t>NUMBER FROM GIIGNL (no official figure opened): 12 MTPA FLNG, federal approvals, fast-tracked; no FID reported there. [capacity_bcfd DERIVED: mtpa x 1.36 bcm/y x 35.3147 / 365.25 = 0.1315 Bcf/d per mtpa]</t>
        </is>
      </c>
    </row>
    <row r="67">
      <c r="A67" t="inlineStr">
        <is>
          <t>Global supply</t>
        </is>
      </c>
      <c r="B67" t="inlineStr">
        <is>
          <t>Mexico</t>
        </is>
      </c>
      <c r="C67" t="inlineStr">
        <is>
          <t>liquefaction_train</t>
        </is>
      </c>
      <c r="D67" t="inlineStr">
        <is>
          <t>Energia Costa Azul LNG Phase 1 (1 train, 3.25 mtpa)</t>
        </is>
      </c>
      <c r="E67" t="inlineStr">
        <is>
          <t>Sempra Infrastructure</t>
        </is>
      </c>
      <c r="F67" t="inlineStr">
        <is>
          <t>liquefaction</t>
        </is>
      </c>
      <c r="G67" t="n">
        <v>3.25</v>
      </c>
      <c r="H67" t="inlineStr">
        <is>
          <t>mtpa</t>
        </is>
      </c>
      <c r="J67" t="n">
        <v>0.4274</v>
      </c>
      <c r="K67" t="inlineStr">
        <is>
          <t>COMMISSIONED_RECENT</t>
        </is>
      </c>
      <c r="L67" t="inlineStr">
        <is>
          <t>2026-07</t>
        </is>
      </c>
      <c r="M67" t="inlineStr">
        <is>
          <t>SOURCED_MONTH</t>
        </is>
      </c>
      <c r="N67" t="inlineStr">
        <is>
          <t>2026-10-12</t>
        </is>
      </c>
      <c r="O67" t="inlineStr">
        <is>
          <t>2026-10-12</t>
        </is>
      </c>
      <c r="P67" t="inlineStr">
        <is>
          <t>GIIGNL (used only where no official figure was opened; named as publisher)</t>
        </is>
      </c>
      <c r="Q67" t="inlineStr">
        <is>
          <t>GIIGNL Annual Report 2026 edition (2025 data): liquefaction plants table and 'Liquefaction' regional sections</t>
        </is>
      </c>
      <c r="R67" t="inlineStr">
        <is>
          <t>https://giignl-documents.s3.fr-par.scw.cloud/public/giignl-2026-annual-report.pdf</t>
        </is>
      </c>
      <c r="S67" t="inlineStr">
        <is>
          <t>2026-05-20</t>
        </is>
      </c>
      <c r="T67" t="inlineStr">
        <is>
          <t>SOURCED</t>
        </is>
      </c>
      <c r="U67" t="inlineStr">
        <is>
          <t>Capacity 3.25 mtpa from GIIGNL 2026 (no official figure opened). Start: TotalEnergies 2Q26 release says ECA LNG 'started-up early July' 2026. [capacity_bcfd DERIVED: mtpa x 1.36 bcm/y x 35.3147 / 365.25 = 0.1315 Bcf/d per mtpa]</t>
        </is>
      </c>
    </row>
    <row r="68">
      <c r="A68" t="inlineStr">
        <is>
          <t>Global supply</t>
        </is>
      </c>
      <c r="B68" t="inlineStr">
        <is>
          <t>Mexico</t>
        </is>
      </c>
      <c r="C68" t="inlineStr">
        <is>
          <t>liquefaction_train</t>
        </is>
      </c>
      <c r="D68" t="inlineStr">
        <is>
          <t>Altamira FLNG 1 (floating)</t>
        </is>
      </c>
      <c r="E68" t="inlineStr">
        <is>
          <t>New Fortress Energy</t>
        </is>
      </c>
      <c r="F68" t="inlineStr">
        <is>
          <t>liquefaction</t>
        </is>
      </c>
      <c r="G68" t="n">
        <v>1.4</v>
      </c>
      <c r="H68" t="inlineStr">
        <is>
          <t>mtpa</t>
        </is>
      </c>
      <c r="J68" t="n">
        <v>0.1841</v>
      </c>
      <c r="K68" t="inlineStr">
        <is>
          <t>OPERATING</t>
        </is>
      </c>
      <c r="L68" t="inlineStr">
        <is>
          <t>2024</t>
        </is>
      </c>
      <c r="M68" t="inlineStr">
        <is>
          <t>SOURCED_YEAR</t>
        </is>
      </c>
      <c r="N68" t="inlineStr">
        <is>
          <t>2026-10-12</t>
        </is>
      </c>
      <c r="O68" t="inlineStr">
        <is>
          <t>2026-10-12</t>
        </is>
      </c>
      <c r="P68" t="inlineStr">
        <is>
          <t>GIIGNL (used only where no official figure was opened; named as publisher)</t>
        </is>
      </c>
      <c r="Q68" t="inlineStr">
        <is>
          <t>GIIGNL Annual Report 2026 edition (2025 data): liquefaction plants table and 'Liquefaction' regional sections</t>
        </is>
      </c>
      <c r="R68" t="inlineStr">
        <is>
          <t>https://giignl-documents.s3.fr-par.scw.cloud/public/giignl-2026-annual-report.pdf</t>
        </is>
      </c>
      <c r="S68" t="inlineStr">
        <is>
          <t>2026-05-20</t>
        </is>
      </c>
      <c r="T68" t="inlineStr">
        <is>
          <t>SOURCED</t>
        </is>
      </c>
      <c r="U68" t="inlineStr">
        <is>
          <t>GIIGNL plants table: operating since 2024. [capacity_bcfd DERIVED: mtpa x 1.36 bcm/y x 35.3147 / 365.25 = 0.1315 Bcf/d per mtpa]</t>
        </is>
      </c>
    </row>
    <row r="69">
      <c r="A69" t="inlineStr">
        <is>
          <t>Global supply</t>
        </is>
      </c>
      <c r="B69" t="inlineStr">
        <is>
          <t>Australia</t>
        </is>
      </c>
      <c r="C69" t="inlineStr">
        <is>
          <t>liquefaction_train</t>
        </is>
      </c>
      <c r="D69" t="inlineStr">
        <is>
          <t>Gorgon LNG</t>
        </is>
      </c>
      <c r="E69" t="inlineStr">
        <is>
          <t>Chevron</t>
        </is>
      </c>
      <c r="F69" t="inlineStr">
        <is>
          <t>liquefaction</t>
        </is>
      </c>
      <c r="G69" t="n">
        <v>15.6</v>
      </c>
      <c r="H69" t="inlineStr">
        <is>
          <t>mtpa</t>
        </is>
      </c>
      <c r="J69" t="n">
        <v>2.0514</v>
      </c>
      <c r="K69" t="inlineStr">
        <is>
          <t>OPERATING</t>
        </is>
      </c>
      <c r="L69" t="inlineStr">
        <is>
          <t>2016</t>
        </is>
      </c>
      <c r="M69" t="inlineStr">
        <is>
          <t>SOURCED_YEAR</t>
        </is>
      </c>
      <c r="N69" t="inlineStr">
        <is>
          <t>2026-10-12</t>
        </is>
      </c>
      <c r="O69" t="inlineStr">
        <is>
          <t>2026-10-12</t>
        </is>
      </c>
      <c r="P69" t="inlineStr">
        <is>
          <t>Department of Industry, Science and Resources (Australia)</t>
        </is>
      </c>
      <c r="Q69" t="inlineStr">
        <is>
          <t>Resources and Energy Quarterly, September 2026 (section 6 LNG; map 'Nameplate capacity, million tonnes per annum')</t>
        </is>
      </c>
      <c r="R69" t="inlineStr">
        <is>
          <t>https://www.industry.gov.au/sites/default/files/2026-10/resources-and-energy-quarterly-september-2026.pdf</t>
        </is>
      </c>
      <c r="S69" t="inlineStr">
        <is>
          <t>2026-10-02</t>
        </is>
      </c>
      <c r="T69" t="inlineStr">
        <is>
          <t>SOURCED</t>
        </is>
      </c>
      <c r="U69" t="inlineStr">
        <is>
          <t>DISR REQ Sep 2026 nameplate map (labels read from the PDF text; plant-to-label match checked against the 88 Mtpa total). [capacity_bcfd DERIVED: mtpa x 1.36 bcm/y x 35.3147 / 365.25 = 0.1315 Bcf/d per mtpa]</t>
        </is>
      </c>
    </row>
    <row r="70">
      <c r="A70" t="inlineStr">
        <is>
          <t>Global supply</t>
        </is>
      </c>
      <c r="B70" t="inlineStr">
        <is>
          <t>Australia</t>
        </is>
      </c>
      <c r="C70" t="inlineStr">
        <is>
          <t>liquefaction_train</t>
        </is>
      </c>
      <c r="D70" t="inlineStr">
        <is>
          <t>Wheatstone LNG</t>
        </is>
      </c>
      <c r="E70" t="inlineStr">
        <is>
          <t>Chevron</t>
        </is>
      </c>
      <c r="F70" t="inlineStr">
        <is>
          <t>liquefaction</t>
        </is>
      </c>
      <c r="G70" t="n">
        <v>8.9</v>
      </c>
      <c r="H70" t="inlineStr">
        <is>
          <t>mtpa</t>
        </is>
      </c>
      <c r="J70" t="n">
        <v>1.1704</v>
      </c>
      <c r="K70" t="inlineStr">
        <is>
          <t>OPERATING</t>
        </is>
      </c>
      <c r="L70" t="inlineStr">
        <is>
          <t>2017</t>
        </is>
      </c>
      <c r="M70" t="inlineStr">
        <is>
          <t>SOURCED_YEAR</t>
        </is>
      </c>
      <c r="N70" t="inlineStr">
        <is>
          <t>2026-10-12</t>
        </is>
      </c>
      <c r="O70" t="inlineStr">
        <is>
          <t>2026-10-12</t>
        </is>
      </c>
      <c r="P70" t="inlineStr">
        <is>
          <t>Department of Industry, Science and Resources (Australia)</t>
        </is>
      </c>
      <c r="Q70" t="inlineStr">
        <is>
          <t>Resources and Energy Quarterly, September 2026 (section 6 LNG; map 'Nameplate capacity, million tonnes per annum')</t>
        </is>
      </c>
      <c r="R70" t="inlineStr">
        <is>
          <t>https://www.industry.gov.au/sites/default/files/2026-10/resources-and-energy-quarterly-september-2026.pdf</t>
        </is>
      </c>
      <c r="S70" t="inlineStr">
        <is>
          <t>2026-10-02</t>
        </is>
      </c>
      <c r="T70" t="inlineStr">
        <is>
          <t>SOURCED</t>
        </is>
      </c>
      <c r="U70" t="inlineStr">
        <is>
          <t>DISR REQ Sep 2026 nameplate map. [capacity_bcfd DERIVED: mtpa x 1.36 bcm/y x 35.3147 / 365.25 = 0.1315 Bcf/d per mtpa]</t>
        </is>
      </c>
    </row>
    <row r="71">
      <c r="A71" t="inlineStr">
        <is>
          <t>Global supply</t>
        </is>
      </c>
      <c r="B71" t="inlineStr">
        <is>
          <t>Australia</t>
        </is>
      </c>
      <c r="C71" t="inlineStr">
        <is>
          <t>liquefaction_train</t>
        </is>
      </c>
      <c r="D71" t="inlineStr">
        <is>
          <t>Ichthys LNG</t>
        </is>
      </c>
      <c r="E71" t="inlineStr">
        <is>
          <t>INPEX</t>
        </is>
      </c>
      <c r="F71" t="inlineStr">
        <is>
          <t>liquefaction</t>
        </is>
      </c>
      <c r="G71" t="n">
        <v>8.9</v>
      </c>
      <c r="H71" t="inlineStr">
        <is>
          <t>mtpa</t>
        </is>
      </c>
      <c r="J71" t="n">
        <v>1.1704</v>
      </c>
      <c r="K71" t="inlineStr">
        <is>
          <t>OPERATING</t>
        </is>
      </c>
      <c r="L71" t="inlineStr">
        <is>
          <t>2018</t>
        </is>
      </c>
      <c r="M71" t="inlineStr">
        <is>
          <t>SOURCED_YEAR</t>
        </is>
      </c>
      <c r="N71" t="inlineStr">
        <is>
          <t>2026-10-12</t>
        </is>
      </c>
      <c r="O71" t="inlineStr">
        <is>
          <t>2026-10-12</t>
        </is>
      </c>
      <c r="P71" t="inlineStr">
        <is>
          <t>Department of Industry, Science and Resources (Australia)</t>
        </is>
      </c>
      <c r="Q71" t="inlineStr">
        <is>
          <t>Resources and Energy Quarterly, September 2026 (section 6 LNG; map 'Nameplate capacity, million tonnes per annum')</t>
        </is>
      </c>
      <c r="R71" t="inlineStr">
        <is>
          <t>https://www.industry.gov.au/sites/default/files/2026-10/resources-and-energy-quarterly-september-2026.pdf</t>
        </is>
      </c>
      <c r="S71" t="inlineStr">
        <is>
          <t>2026-10-02</t>
        </is>
      </c>
      <c r="T71" t="inlineStr">
        <is>
          <t>SOURCED</t>
        </is>
      </c>
      <c r="U71" t="inlineStr">
        <is>
          <t>DISR REQ Sep 2026 nameplate map. [capacity_bcfd DERIVED: mtpa x 1.36 bcm/y x 35.3147 / 365.25 = 0.1315 Bcf/d per mtpa]</t>
        </is>
      </c>
    </row>
    <row r="72">
      <c r="A72" t="inlineStr">
        <is>
          <t>Global supply</t>
        </is>
      </c>
      <c r="B72" t="inlineStr">
        <is>
          <t>Australia</t>
        </is>
      </c>
      <c r="C72" t="inlineStr">
        <is>
          <t>liquefaction_train</t>
        </is>
      </c>
      <c r="D72" t="inlineStr">
        <is>
          <t>Pluto LNG Train 1</t>
        </is>
      </c>
      <c r="E72" t="inlineStr">
        <is>
          <t>Woodside</t>
        </is>
      </c>
      <c r="F72" t="inlineStr">
        <is>
          <t>liquefaction</t>
        </is>
      </c>
      <c r="G72" t="n">
        <v>4.7</v>
      </c>
      <c r="H72" t="inlineStr">
        <is>
          <t>mtpa</t>
        </is>
      </c>
      <c r="J72" t="n">
        <v>0.6181</v>
      </c>
      <c r="K72" t="inlineStr">
        <is>
          <t>OPERATING</t>
        </is>
      </c>
      <c r="L72" t="inlineStr">
        <is>
          <t>2012</t>
        </is>
      </c>
      <c r="M72" t="inlineStr">
        <is>
          <t>SOURCED_YEAR</t>
        </is>
      </c>
      <c r="N72" t="inlineStr">
        <is>
          <t>2026-10-12</t>
        </is>
      </c>
      <c r="O72" t="inlineStr">
        <is>
          <t>2026-10-12</t>
        </is>
      </c>
      <c r="P72" t="inlineStr">
        <is>
          <t>Department of Industry, Science and Resources (Australia)</t>
        </is>
      </c>
      <c r="Q72" t="inlineStr">
        <is>
          <t>Resources and Energy Quarterly, September 2026 (section 6 LNG; map 'Nameplate capacity, million tonnes per annum')</t>
        </is>
      </c>
      <c r="R72" t="inlineStr">
        <is>
          <t>https://www.industry.gov.au/sites/default/files/2026-10/resources-and-energy-quarterly-september-2026.pdf</t>
        </is>
      </c>
      <c r="S72" t="inlineStr">
        <is>
          <t>2026-10-02</t>
        </is>
      </c>
      <c r="T72" t="inlineStr">
        <is>
          <t>SOURCED</t>
        </is>
      </c>
      <c r="U72" t="inlineStr">
        <is>
          <t>DISR REQ Sep 2026 nameplate map (GIIGNL: 4.9). [capacity_bcfd DERIVED: mtpa x 1.36 bcm/y x 35.3147 / 365.25 = 0.1315 Bcf/d per mtpa]</t>
        </is>
      </c>
    </row>
    <row r="73">
      <c r="A73" t="inlineStr">
        <is>
          <t>Global supply</t>
        </is>
      </c>
      <c r="B73" t="inlineStr">
        <is>
          <t>Australia</t>
        </is>
      </c>
      <c r="C73" t="inlineStr">
        <is>
          <t>liquefaction_train</t>
        </is>
      </c>
      <c r="D73" t="inlineStr">
        <is>
          <t>Prelude FLNG</t>
        </is>
      </c>
      <c r="E73" t="inlineStr">
        <is>
          <t>Shell</t>
        </is>
      </c>
      <c r="F73" t="inlineStr">
        <is>
          <t>liquefaction</t>
        </is>
      </c>
      <c r="G73" t="n">
        <v>3.6</v>
      </c>
      <c r="H73" t="inlineStr">
        <is>
          <t>mtpa</t>
        </is>
      </c>
      <c r="J73" t="n">
        <v>0.4734</v>
      </c>
      <c r="K73" t="inlineStr">
        <is>
          <t>OPERATING</t>
        </is>
      </c>
      <c r="L73" t="inlineStr">
        <is>
          <t>2019</t>
        </is>
      </c>
      <c r="M73" t="inlineStr">
        <is>
          <t>SOURCED_YEAR</t>
        </is>
      </c>
      <c r="N73" t="inlineStr">
        <is>
          <t>2026-10-12</t>
        </is>
      </c>
      <c r="O73" t="inlineStr">
        <is>
          <t>2026-10-12</t>
        </is>
      </c>
      <c r="P73" t="inlineStr">
        <is>
          <t>Department of Industry, Science and Resources (Australia)</t>
        </is>
      </c>
      <c r="Q73" t="inlineStr">
        <is>
          <t>Resources and Energy Quarterly, September 2026 (section 6 LNG; map 'Nameplate capacity, million tonnes per annum')</t>
        </is>
      </c>
      <c r="R73" t="inlineStr">
        <is>
          <t>https://www.industry.gov.au/sites/default/files/2026-10/resources-and-energy-quarterly-september-2026.pdf</t>
        </is>
      </c>
      <c r="S73" t="inlineStr">
        <is>
          <t>2026-10-02</t>
        </is>
      </c>
      <c r="T73" t="inlineStr">
        <is>
          <t>SOURCED</t>
        </is>
      </c>
      <c r="U73" t="inlineStr">
        <is>
          <t>DISR REQ Sep 2026 nameplate map. [capacity_bcfd DERIVED: mtpa x 1.36 bcm/y x 35.3147 / 365.25 = 0.1315 Bcf/d per mtpa]</t>
        </is>
      </c>
    </row>
    <row r="74">
      <c r="A74" t="inlineStr">
        <is>
          <t>Global supply</t>
        </is>
      </c>
      <c r="B74" t="inlineStr">
        <is>
          <t>Australia</t>
        </is>
      </c>
      <c r="C74" t="inlineStr">
        <is>
          <t>liquefaction_train</t>
        </is>
      </c>
      <c r="D74" t="inlineStr">
        <is>
          <t>Darwin LNG</t>
        </is>
      </c>
      <c r="E74" t="inlineStr">
        <is>
          <t>Santos</t>
        </is>
      </c>
      <c r="F74" t="inlineStr">
        <is>
          <t>liquefaction</t>
        </is>
      </c>
      <c r="G74" t="n">
        <v>3.7</v>
      </c>
      <c r="H74" t="inlineStr">
        <is>
          <t>mtpa</t>
        </is>
      </c>
      <c r="J74" t="n">
        <v>0.4866</v>
      </c>
      <c r="K74" t="inlineStr">
        <is>
          <t>OPERATING</t>
        </is>
      </c>
      <c r="L74" t="inlineStr">
        <is>
          <t>2006</t>
        </is>
      </c>
      <c r="M74" t="inlineStr">
        <is>
          <t>SOURCED_YEAR</t>
        </is>
      </c>
      <c r="N74" t="inlineStr">
        <is>
          <t>2026-10-12</t>
        </is>
      </c>
      <c r="O74" t="inlineStr">
        <is>
          <t>2026-10-12</t>
        </is>
      </c>
      <c r="P74" t="inlineStr">
        <is>
          <t>Department of Industry, Science and Resources (Australia)</t>
        </is>
      </c>
      <c r="Q74" t="inlineStr">
        <is>
          <t>Resources and Energy Quarterly, September 2026 (section 6 LNG; map 'Nameplate capacity, million tonnes per annum')</t>
        </is>
      </c>
      <c r="R74" t="inlineStr">
        <is>
          <t>https://www.industry.gov.au/sites/default/files/2026-10/resources-and-energy-quarterly-september-2026.pdf</t>
        </is>
      </c>
      <c r="S74" t="inlineStr">
        <is>
          <t>2026-10-02</t>
        </is>
      </c>
      <c r="T74" t="inlineStr">
        <is>
          <t>SOURCED</t>
        </is>
      </c>
      <c r="U74" t="inlineStr">
        <is>
          <t>DISR REQ Sep 2026 nameplate map. Barossa gas replaced Bayu-Undan; first Barossa cargo Jan 2026 (GIIGNL). [capacity_bcfd DERIVED: mtpa x 1.36 bcm/y x 35.3147 / 365.25 = 0.1315 Bcf/d per mtpa]</t>
        </is>
      </c>
    </row>
    <row r="75">
      <c r="A75" t="inlineStr">
        <is>
          <t>Global supply</t>
        </is>
      </c>
      <c r="B75" t="inlineStr">
        <is>
          <t>Australia</t>
        </is>
      </c>
      <c r="C75" t="inlineStr">
        <is>
          <t>liquefaction_train</t>
        </is>
      </c>
      <c r="D75" t="inlineStr">
        <is>
          <t>Australia Pacific LNG (APLNG)</t>
        </is>
      </c>
      <c r="E75" t="inlineStr">
        <is>
          <t>Origin / ConocoPhillips</t>
        </is>
      </c>
      <c r="F75" t="inlineStr">
        <is>
          <t>liquefaction</t>
        </is>
      </c>
      <c r="G75" t="n">
        <v>9</v>
      </c>
      <c r="H75" t="inlineStr">
        <is>
          <t>mtpa</t>
        </is>
      </c>
      <c r="J75" t="n">
        <v>1.1835</v>
      </c>
      <c r="K75" t="inlineStr">
        <is>
          <t>OPERATING</t>
        </is>
      </c>
      <c r="L75" t="inlineStr">
        <is>
          <t>2016</t>
        </is>
      </c>
      <c r="M75" t="inlineStr">
        <is>
          <t>SOURCED_YEAR</t>
        </is>
      </c>
      <c r="N75" t="inlineStr">
        <is>
          <t>2026-10-12</t>
        </is>
      </c>
      <c r="O75" t="inlineStr">
        <is>
          <t>2026-10-12</t>
        </is>
      </c>
      <c r="P75" t="inlineStr">
        <is>
          <t>Department of Industry, Science and Resources (Australia)</t>
        </is>
      </c>
      <c r="Q75" t="inlineStr">
        <is>
          <t>Resources and Energy Quarterly, September 2026 (section 6 LNG; map 'Nameplate capacity, million tonnes per annum')</t>
        </is>
      </c>
      <c r="R75" t="inlineStr">
        <is>
          <t>https://www.industry.gov.au/sites/default/files/2026-10/resources-and-energy-quarterly-september-2026.pdf</t>
        </is>
      </c>
      <c r="S75" t="inlineStr">
        <is>
          <t>2026-10-02</t>
        </is>
      </c>
      <c r="T75" t="inlineStr">
        <is>
          <t>SOURCED</t>
        </is>
      </c>
      <c r="U75" t="inlineStr">
        <is>
          <t>DISR REQ Sep 2026 nameplate map. [capacity_bcfd DERIVED: mtpa x 1.36 bcm/y x 35.3147 / 365.25 = 0.1315 Bcf/d per mtpa]</t>
        </is>
      </c>
    </row>
    <row r="76">
      <c r="A76" t="inlineStr">
        <is>
          <t>Global supply</t>
        </is>
      </c>
      <c r="B76" t="inlineStr">
        <is>
          <t>Australia</t>
        </is>
      </c>
      <c r="C76" t="inlineStr">
        <is>
          <t>liquefaction_train</t>
        </is>
      </c>
      <c r="D76" t="inlineStr">
        <is>
          <t>Gladstone LNG (GLNG)</t>
        </is>
      </c>
      <c r="E76" t="inlineStr">
        <is>
          <t>Santos</t>
        </is>
      </c>
      <c r="F76" t="inlineStr">
        <is>
          <t>liquefaction</t>
        </is>
      </c>
      <c r="G76" t="n">
        <v>7.8</v>
      </c>
      <c r="H76" t="inlineStr">
        <is>
          <t>mtpa</t>
        </is>
      </c>
      <c r="J76" t="n">
        <v>1.0257</v>
      </c>
      <c r="K76" t="inlineStr">
        <is>
          <t>OPERATING</t>
        </is>
      </c>
      <c r="L76" t="inlineStr">
        <is>
          <t>2015</t>
        </is>
      </c>
      <c r="M76" t="inlineStr">
        <is>
          <t>SOURCED_YEAR</t>
        </is>
      </c>
      <c r="N76" t="inlineStr">
        <is>
          <t>2026-10-12</t>
        </is>
      </c>
      <c r="O76" t="inlineStr">
        <is>
          <t>2026-10-12</t>
        </is>
      </c>
      <c r="P76" t="inlineStr">
        <is>
          <t>Department of Industry, Science and Resources (Australia)</t>
        </is>
      </c>
      <c r="Q76" t="inlineStr">
        <is>
          <t>Resources and Energy Quarterly, September 2026 (section 6 LNG; map 'Nameplate capacity, million tonnes per annum')</t>
        </is>
      </c>
      <c r="R76" t="inlineStr">
        <is>
          <t>https://www.industry.gov.au/sites/default/files/2026-10/resources-and-energy-quarterly-september-2026.pdf</t>
        </is>
      </c>
      <c r="S76" t="inlineStr">
        <is>
          <t>2026-10-02</t>
        </is>
      </c>
      <c r="T76" t="inlineStr">
        <is>
          <t>SOURCED</t>
        </is>
      </c>
      <c r="U76" t="inlineStr">
        <is>
          <t>DISR REQ Sep 2026 nameplate map. [capacity_bcfd DERIVED: mtpa x 1.36 bcm/y x 35.3147 / 365.25 = 0.1315 Bcf/d per mtpa]</t>
        </is>
      </c>
    </row>
    <row r="77">
      <c r="A77" t="inlineStr">
        <is>
          <t>Global supply</t>
        </is>
      </c>
      <c r="B77" t="inlineStr">
        <is>
          <t>Australia</t>
        </is>
      </c>
      <c r="C77" t="inlineStr">
        <is>
          <t>liquefaction_train</t>
        </is>
      </c>
      <c r="D77" t="inlineStr">
        <is>
          <t>Queensland Curtis LNG (QCLNG)</t>
        </is>
      </c>
      <c r="E77" t="inlineStr">
        <is>
          <t>Shell</t>
        </is>
      </c>
      <c r="F77" t="inlineStr">
        <is>
          <t>liquefaction</t>
        </is>
      </c>
      <c r="G77" t="n">
        <v>8.5</v>
      </c>
      <c r="H77" t="inlineStr">
        <is>
          <t>mtpa</t>
        </is>
      </c>
      <c r="J77" t="n">
        <v>1.1178</v>
      </c>
      <c r="K77" t="inlineStr">
        <is>
          <t>OPERATING</t>
        </is>
      </c>
      <c r="L77" t="inlineStr">
        <is>
          <t>2015</t>
        </is>
      </c>
      <c r="M77" t="inlineStr">
        <is>
          <t>SOURCED_YEAR</t>
        </is>
      </c>
      <c r="N77" t="inlineStr">
        <is>
          <t>2026-10-12</t>
        </is>
      </c>
      <c r="O77" t="inlineStr">
        <is>
          <t>2026-10-12</t>
        </is>
      </c>
      <c r="P77" t="inlineStr">
        <is>
          <t>Department of Industry, Science and Resources (Australia)</t>
        </is>
      </c>
      <c r="Q77" t="inlineStr">
        <is>
          <t>Resources and Energy Quarterly, September 2026 (section 6 LNG; map 'Nameplate capacity, million tonnes per annum')</t>
        </is>
      </c>
      <c r="R77" t="inlineStr">
        <is>
          <t>https://www.industry.gov.au/sites/default/files/2026-10/resources-and-energy-quarterly-september-2026.pdf</t>
        </is>
      </c>
      <c r="S77" t="inlineStr">
        <is>
          <t>2026-10-02</t>
        </is>
      </c>
      <c r="T77" t="inlineStr">
        <is>
          <t>SOURCED</t>
        </is>
      </c>
      <c r="U77" t="inlineStr">
        <is>
          <t>DISR REQ Sep 2026 nameplate map. [capacity_bcfd DERIVED: mtpa x 1.36 bcm/y x 35.3147 / 365.25 = 0.1315 Bcf/d per mtpa]</t>
        </is>
      </c>
    </row>
    <row r="78">
      <c r="A78" t="inlineStr">
        <is>
          <t>Global supply</t>
        </is>
      </c>
      <c r="B78" t="inlineStr">
        <is>
          <t>Australia</t>
        </is>
      </c>
      <c r="C78" t="inlineStr">
        <is>
          <t>liquefaction_train</t>
        </is>
      </c>
      <c r="D78" t="inlineStr">
        <is>
          <t>North West Shelf LNG, four remaining trains</t>
        </is>
      </c>
      <c r="E78" t="inlineStr">
        <is>
          <t>Woodside</t>
        </is>
      </c>
      <c r="F78" t="inlineStr">
        <is>
          <t>liquefaction</t>
        </is>
      </c>
      <c r="G78" t="n">
        <v>14.5</v>
      </c>
      <c r="H78" t="inlineStr">
        <is>
          <t>mtpa</t>
        </is>
      </c>
      <c r="J78" t="n">
        <v>1.9068</v>
      </c>
      <c r="K78" t="inlineStr">
        <is>
          <t>OPERATING</t>
        </is>
      </c>
      <c r="L78" t="inlineStr">
        <is>
          <t>1989</t>
        </is>
      </c>
      <c r="M78" t="inlineStr">
        <is>
          <t>SOURCED_YEAR</t>
        </is>
      </c>
      <c r="N78" t="inlineStr">
        <is>
          <t>2026-10-12</t>
        </is>
      </c>
      <c r="O78" t="inlineStr">
        <is>
          <t>2026-10-12</t>
        </is>
      </c>
      <c r="P78" t="inlineStr">
        <is>
          <t>GIIGNL (used only where no official figure was opened; named as publisher)</t>
        </is>
      </c>
      <c r="Q78" t="inlineStr">
        <is>
          <t>GIIGNL Annual Report 2026 edition (2025 data): liquefaction plants table and 'Liquefaction' regional sections</t>
        </is>
      </c>
      <c r="R78" t="inlineStr">
        <is>
          <t>https://giignl-documents.s3.fr-par.scw.cloud/public/giignl-2026-annual-report.pdf</t>
        </is>
      </c>
      <c r="S78" t="inlineStr">
        <is>
          <t>2026-05-20</t>
        </is>
      </c>
      <c r="T78" t="inlineStr">
        <is>
          <t>SOURCED</t>
        </is>
      </c>
      <c r="U78" t="inlineStr">
        <is>
          <t>DISR REQ lists NWS at 16.9 Mtpa (all five trains). Woodside H1 2026: Karratha Gas Plant has four onshore LNG trains; GIIGNL 2026 (number used): Train 2 permanently ceased, total 17 -&gt; 14.5 mtpa. [capacity_bcfd DERIVED: mtpa x 1.36 bcm/y x 35.3147 / 365.25 = 0.1315 Bcf/d per mtpa]</t>
        </is>
      </c>
    </row>
    <row r="79">
      <c r="A79" t="inlineStr">
        <is>
          <t>Global supply</t>
        </is>
      </c>
      <c r="B79" t="inlineStr">
        <is>
          <t>Australia</t>
        </is>
      </c>
      <c r="C79" t="inlineStr">
        <is>
          <t>liquefaction_train</t>
        </is>
      </c>
      <c r="D79" t="inlineStr">
        <is>
          <t>North West Shelf LNG Train 2 (permanently ceased)</t>
        </is>
      </c>
      <c r="E79" t="inlineStr">
        <is>
          <t>Woodside</t>
        </is>
      </c>
      <c r="F79" t="inlineStr">
        <is>
          <t>liquefaction</t>
        </is>
      </c>
      <c r="G79" t="n">
        <v>2.6</v>
      </c>
      <c r="H79" t="inlineStr">
        <is>
          <t>mtpa</t>
        </is>
      </c>
      <c r="J79" t="n">
        <v>0.3419</v>
      </c>
      <c r="K79" t="inlineStr">
        <is>
          <t>CLOSED</t>
        </is>
      </c>
      <c r="L79" t="inlineStr">
        <is>
          <t>1989</t>
        </is>
      </c>
      <c r="M79" t="inlineStr">
        <is>
          <t>SOURCED_YEAR</t>
        </is>
      </c>
      <c r="N79" t="inlineStr">
        <is>
          <t>2026-10-12</t>
        </is>
      </c>
      <c r="O79" t="inlineStr">
        <is>
          <t>2026-10-12</t>
        </is>
      </c>
      <c r="P79" t="inlineStr">
        <is>
          <t>GIIGNL (used only where no official figure was opened; named as publisher)</t>
        </is>
      </c>
      <c r="Q79" t="inlineStr">
        <is>
          <t>GIIGNL Annual Report 2026 edition (2025 data): liquefaction plants table and 'Liquefaction' regional sections</t>
        </is>
      </c>
      <c r="R79" t="inlineStr">
        <is>
          <t>https://giignl-documents.s3.fr-par.scw.cloud/public/giignl-2026-annual-report.pdf</t>
        </is>
      </c>
      <c r="S79" t="inlineStr">
        <is>
          <t>2026-05-20</t>
        </is>
      </c>
      <c r="T79" t="inlineStr">
        <is>
          <t>SOURCED</t>
        </is>
      </c>
      <c r="U79" t="inlineStr">
        <is>
          <t>GIIGNL 2026: Woodside definitively ceased operations at Train 2 (2.6 mtpa) as feedgas declined; month not stated (placed mid-2025). [capacity_bcfd DERIVED: mtpa x 1.36 bcm/y x 35.3147 / 365.25 = 0.1315 Bcf/d per mtpa]</t>
        </is>
      </c>
    </row>
    <row r="80">
      <c r="A80" t="inlineStr">
        <is>
          <t>Global supply</t>
        </is>
      </c>
      <c r="B80" t="inlineStr">
        <is>
          <t>Australia</t>
        </is>
      </c>
      <c r="C80" t="inlineStr">
        <is>
          <t>liquefaction_train</t>
        </is>
      </c>
      <c r="D80" t="inlineStr">
        <is>
          <t>Pluto Train 2 (Scarborough Energy Project)</t>
        </is>
      </c>
      <c r="E80" t="inlineStr">
        <is>
          <t>Woodside</t>
        </is>
      </c>
      <c r="F80" t="inlineStr">
        <is>
          <t>liquefaction</t>
        </is>
      </c>
      <c r="H80" t="inlineStr">
        <is>
          <t>mtpa</t>
        </is>
      </c>
      <c r="K80" t="inlineStr">
        <is>
          <t>UNDER_CONSTRUCTION</t>
        </is>
      </c>
      <c r="L80" t="inlineStr">
        <is>
          <t>2026</t>
        </is>
      </c>
      <c r="M80" t="inlineStr">
        <is>
          <t>SOURCED_QUARTER</t>
        </is>
      </c>
      <c r="N80" t="inlineStr">
        <is>
          <t>2026-10-12</t>
        </is>
      </c>
      <c r="O80" t="inlineStr">
        <is>
          <t>2026-10-12</t>
        </is>
      </c>
      <c r="P80" t="inlineStr">
        <is>
          <t>Woodside Energy</t>
        </is>
      </c>
      <c r="Q80" t="inlineStr">
        <is>
          <t>Half-Year Report 2026 (period ended 30 June 2026)</t>
        </is>
      </c>
      <c r="R80" t="inlineStr">
        <is>
          <t>https://www.woodside.com/docs/default-source/investor-documents/quarterly-and-half-yearly-pdfs-and-data-tables/2026/half-year-2026-report.pdf?sfvrsn=df6d6ddc_6</t>
        </is>
      </c>
      <c r="S80" t="inlineStr">
        <is>
          <t>2026-08-26</t>
        </is>
      </c>
      <c r="T80" t="inlineStr">
        <is>
          <t>SOURCED</t>
        </is>
      </c>
      <c r="U80" t="inlineStr">
        <is>
          <t>Woodside H1 2026: 98% complete, first LNG cargo on track for Q4 2026. NO nameplate capacity in any opened document (Woodside, DISR REQ, GIIGNL): left blank, not in the totals ('Tried'). [capacity_bcfd DERIVED: mtpa x 1.36 bcm/y x 35.3147 / 365.25 = 0.1315 Bcf/d per mtpa]</t>
        </is>
      </c>
    </row>
    <row r="81">
      <c r="A81" t="inlineStr">
        <is>
          <t>Global supply</t>
        </is>
      </c>
      <c r="B81" t="inlineStr">
        <is>
          <t>Russia</t>
        </is>
      </c>
      <c r="C81" t="inlineStr">
        <is>
          <t>liquefaction_train</t>
        </is>
      </c>
      <c r="D81" t="inlineStr">
        <is>
          <t>Yamal LNG, Trains 1-4</t>
        </is>
      </c>
      <c r="E81" t="inlineStr">
        <is>
          <t>Novatek (Yamal LNG)</t>
        </is>
      </c>
      <c r="F81" t="inlineStr">
        <is>
          <t>liquefaction</t>
        </is>
      </c>
      <c r="G81" t="n">
        <v>17.4</v>
      </c>
      <c r="H81" t="inlineStr">
        <is>
          <t>mtpa</t>
        </is>
      </c>
      <c r="J81" t="n">
        <v>2.2881</v>
      </c>
      <c r="K81" t="inlineStr">
        <is>
          <t>OPERATING</t>
        </is>
      </c>
      <c r="L81" t="inlineStr">
        <is>
          <t>2017</t>
        </is>
      </c>
      <c r="M81" t="inlineStr">
        <is>
          <t>SOURCED_YEAR</t>
        </is>
      </c>
      <c r="N81" t="inlineStr">
        <is>
          <t>2026-10-12</t>
        </is>
      </c>
      <c r="O81" t="inlineStr">
        <is>
          <t>2026-10-12</t>
        </is>
      </c>
      <c r="P81" t="inlineStr">
        <is>
          <t>GIIGNL (used only where no official figure was opened; named as publisher)</t>
        </is>
      </c>
      <c r="Q81" t="inlineStr">
        <is>
          <t>GIIGNL Annual Report 2026 edition (2025 data): liquefaction plants table and 'Liquefaction' regional sections</t>
        </is>
      </c>
      <c r="R81" t="inlineStr">
        <is>
          <t>https://giignl-documents.s3.fr-par.scw.cloud/public/giignl-2026-annual-report.pdf</t>
        </is>
      </c>
      <c r="S81" t="inlineStr">
        <is>
          <t>2026-05-20</t>
        </is>
      </c>
      <c r="T81" t="inlineStr">
        <is>
          <t>SOURCED</t>
        </is>
      </c>
      <c r="U81" t="inlineStr">
        <is>
          <t>T1-T3 5.5 each + T4 0.9 (GIIGNL plants table). [capacity_bcfd DERIVED: mtpa x 1.36 bcm/y x 35.3147 / 365.25 = 0.1315 Bcf/d per mtpa]</t>
        </is>
      </c>
    </row>
    <row r="82">
      <c r="A82" t="inlineStr">
        <is>
          <t>Global supply</t>
        </is>
      </c>
      <c r="B82" t="inlineStr">
        <is>
          <t>Russia</t>
        </is>
      </c>
      <c r="C82" t="inlineStr">
        <is>
          <t>liquefaction_train</t>
        </is>
      </c>
      <c r="D82" t="inlineStr">
        <is>
          <t>Sakhalin-2 (2 trains)</t>
        </is>
      </c>
      <c r="E82" t="inlineStr">
        <is>
          <t>Sakhalin Energy</t>
        </is>
      </c>
      <c r="F82" t="inlineStr">
        <is>
          <t>liquefaction</t>
        </is>
      </c>
      <c r="G82" t="n">
        <v>10.8</v>
      </c>
      <c r="H82" t="inlineStr">
        <is>
          <t>mtpa</t>
        </is>
      </c>
      <c r="J82" t="n">
        <v>1.4202</v>
      </c>
      <c r="K82" t="inlineStr">
        <is>
          <t>OPERATING</t>
        </is>
      </c>
      <c r="L82" t="inlineStr">
        <is>
          <t>2009</t>
        </is>
      </c>
      <c r="M82" t="inlineStr">
        <is>
          <t>SOURCED_YEAR</t>
        </is>
      </c>
      <c r="N82" t="inlineStr">
        <is>
          <t>2026-10-12</t>
        </is>
      </c>
      <c r="O82" t="inlineStr">
        <is>
          <t>2026-10-12</t>
        </is>
      </c>
      <c r="P82" t="inlineStr">
        <is>
          <t>GIIGNL (used only where no official figure was opened; named as publisher)</t>
        </is>
      </c>
      <c r="Q82" t="inlineStr">
        <is>
          <t>GIIGNL Annual Report 2026 edition (2025 data): liquefaction plants table and 'Liquefaction' regional sections</t>
        </is>
      </c>
      <c r="R82" t="inlineStr">
        <is>
          <t>https://giignl-documents.s3.fr-par.scw.cloud/public/giignl-2026-annual-report.pdf</t>
        </is>
      </c>
      <c r="S82" t="inlineStr">
        <is>
          <t>2026-05-20</t>
        </is>
      </c>
      <c r="T82" t="inlineStr">
        <is>
          <t>SOURCED</t>
        </is>
      </c>
      <c r="U82" t="inlineStr">
        <is>
          <t>2 x 5.4 (GIIGNL). [capacity_bcfd DERIVED: mtpa x 1.36 bcm/y x 35.3147 / 365.25 = 0.1315 Bcf/d per mtpa]</t>
        </is>
      </c>
    </row>
    <row r="83">
      <c r="A83" t="inlineStr">
        <is>
          <t>Global supply</t>
        </is>
      </c>
      <c r="B83" t="inlineStr">
        <is>
          <t>Russia</t>
        </is>
      </c>
      <c r="C83" t="inlineStr">
        <is>
          <t>liquefaction_train</t>
        </is>
      </c>
      <c r="D83" t="inlineStr">
        <is>
          <t>Portovaya LNG</t>
        </is>
      </c>
      <c r="E83" t="inlineStr">
        <is>
          <t>Gazprom / Portovaya</t>
        </is>
      </c>
      <c r="F83" t="inlineStr">
        <is>
          <t>liquefaction</t>
        </is>
      </c>
      <c r="G83" t="n">
        <v>1.5</v>
      </c>
      <c r="H83" t="inlineStr">
        <is>
          <t>mtpa</t>
        </is>
      </c>
      <c r="J83" t="n">
        <v>0.1973</v>
      </c>
      <c r="K83" t="inlineStr">
        <is>
          <t>OPERATING</t>
        </is>
      </c>
      <c r="L83" t="inlineStr">
        <is>
          <t>2022</t>
        </is>
      </c>
      <c r="M83" t="inlineStr">
        <is>
          <t>SOURCED_YEAR</t>
        </is>
      </c>
      <c r="N83" t="inlineStr">
        <is>
          <t>2026-10-12</t>
        </is>
      </c>
      <c r="O83" t="inlineStr">
        <is>
          <t>2026-10-12</t>
        </is>
      </c>
      <c r="P83" t="inlineStr">
        <is>
          <t>GIIGNL (used only where no official figure was opened; named as publisher)</t>
        </is>
      </c>
      <c r="Q83" t="inlineStr">
        <is>
          <t>GIIGNL Annual Report 2026 edition (2025 data): liquefaction plants table and 'Liquefaction' regional sections</t>
        </is>
      </c>
      <c r="R83" t="inlineStr">
        <is>
          <t>https://giignl-documents.s3.fr-par.scw.cloud/public/giignl-2026-annual-report.pdf</t>
        </is>
      </c>
      <c r="S83" t="inlineStr">
        <is>
          <t>2026-05-20</t>
        </is>
      </c>
      <c r="T83" t="inlineStr">
        <is>
          <t>SOURCED</t>
        </is>
      </c>
      <c r="U83" t="inlineStr">
        <is>
          <t>US sanctions Jan 2025; GIIGNL: exports from both Baltic terminals ceased after the 27 Feb 2025 grace period; DISR REQ Sep 2026: Portovaya and Arctic LNG 2 resumed regular loadings in mid-2026, to China. Sanctioned by European buyers. [capacity_bcfd DERIVED: mtpa x 1.36 bcm/y x 35.3147 / 365.25 = 0.1315 Bcf/d per mtpa]</t>
        </is>
      </c>
    </row>
    <row r="84">
      <c r="A84" t="inlineStr">
        <is>
          <t>Global supply</t>
        </is>
      </c>
      <c r="B84" t="inlineStr">
        <is>
          <t>Russia</t>
        </is>
      </c>
      <c r="C84" t="inlineStr">
        <is>
          <t>liquefaction_train</t>
        </is>
      </c>
      <c r="D84" t="inlineStr">
        <is>
          <t>Vysotsk LNG</t>
        </is>
      </c>
      <c r="E84" t="inlineStr">
        <is>
          <t>Novatek</t>
        </is>
      </c>
      <c r="F84" t="inlineStr">
        <is>
          <t>liquefaction</t>
        </is>
      </c>
      <c r="G84" t="n">
        <v>0.9</v>
      </c>
      <c r="H84" t="inlineStr">
        <is>
          <t>mtpa</t>
        </is>
      </c>
      <c r="J84" t="n">
        <v>0.1184</v>
      </c>
      <c r="K84" t="inlineStr">
        <is>
          <t>OPERATING</t>
        </is>
      </c>
      <c r="L84" t="inlineStr">
        <is>
          <t>2019</t>
        </is>
      </c>
      <c r="M84" t="inlineStr">
        <is>
          <t>SOURCED_YEAR</t>
        </is>
      </c>
      <c r="N84" t="inlineStr">
        <is>
          <t>2026-10-12</t>
        </is>
      </c>
      <c r="O84" t="inlineStr">
        <is>
          <t>2026-10-12</t>
        </is>
      </c>
      <c r="P84" t="inlineStr">
        <is>
          <t>GIIGNL (used only where no official figure was opened; named as publisher)</t>
        </is>
      </c>
      <c r="Q84" t="inlineStr">
        <is>
          <t>GIIGNL Annual Report 2026 edition (2025 data): liquefaction plants table and 'Liquefaction' regional sections</t>
        </is>
      </c>
      <c r="R84" t="inlineStr">
        <is>
          <t>https://giignl-documents.s3.fr-par.scw.cloud/public/giignl-2026-annual-report.pdf</t>
        </is>
      </c>
      <c r="S84" t="inlineStr">
        <is>
          <t>2026-05-20</t>
        </is>
      </c>
      <c r="T84" t="inlineStr">
        <is>
          <t>SOURCED</t>
        </is>
      </c>
      <c r="U84" t="inlineStr">
        <is>
          <t>US-sanctioned Jan 2025; exports ceased after Feb 2025 (GIIGNL). [capacity_bcfd DERIVED: mtpa x 1.36 bcm/y x 35.3147 / 365.25 = 0.1315 Bcf/d per mtpa]</t>
        </is>
      </c>
    </row>
    <row r="85">
      <c r="A85" t="inlineStr">
        <is>
          <t>Global supply</t>
        </is>
      </c>
      <c r="B85" t="inlineStr">
        <is>
          <t>Russia</t>
        </is>
      </c>
      <c r="C85" t="inlineStr">
        <is>
          <t>liquefaction_train</t>
        </is>
      </c>
      <c r="D85" t="inlineStr">
        <is>
          <t>Arctic LNG 2, Train 1</t>
        </is>
      </c>
      <c r="E85" t="inlineStr">
        <is>
          <t>Novatek</t>
        </is>
      </c>
      <c r="F85" t="inlineStr">
        <is>
          <t>liquefaction</t>
        </is>
      </c>
      <c r="G85" t="n">
        <v>6.6</v>
      </c>
      <c r="H85" t="inlineStr">
        <is>
          <t>mtpa</t>
        </is>
      </c>
      <c r="J85" t="n">
        <v>0.8679</v>
      </c>
      <c r="K85" t="inlineStr">
        <is>
          <t>OPERATING</t>
        </is>
      </c>
      <c r="L85" t="inlineStr">
        <is>
          <t>2024</t>
        </is>
      </c>
      <c r="M85" t="inlineStr">
        <is>
          <t>SOURCED_YEAR</t>
        </is>
      </c>
      <c r="N85" t="inlineStr">
        <is>
          <t>2026-10-12</t>
        </is>
      </c>
      <c r="O85" t="inlineStr">
        <is>
          <t>2026-10-12</t>
        </is>
      </c>
      <c r="P85" t="inlineStr">
        <is>
          <t>Novatek</t>
        </is>
      </c>
      <c r="Q85" t="inlineStr">
        <is>
          <t>FID release, Arctic LNG 2 (2019: three trains of 6.6 mtpa; schedule since changed)</t>
        </is>
      </c>
      <c r="R85" t="inlineStr">
        <is>
          <t>https://www.novatek.ru/common/upload/press/FID_Arctic_LNG_2_Eng.pdf</t>
        </is>
      </c>
      <c r="S85" t="inlineStr">
        <is>
          <t>2019-09-01</t>
        </is>
      </c>
      <c r="T85" t="inlineStr">
        <is>
          <t>SOURCED</t>
        </is>
      </c>
      <c r="U85" t="inlineStr">
        <is>
          <t>6.6 mtpa per train (Novatek FID release); start 2024 from GIIGNL. Under US, EU and UK sanctions (2024); DISR REQ Sep 2026: regular cargo loadings to China since mid-2026. [capacity_bcfd DERIVED: mtpa x 1.36 bcm/y x 35.3147 / 365.25 = 0.1315 Bcf/d per mtpa]</t>
        </is>
      </c>
    </row>
    <row r="86">
      <c r="A86" t="inlineStr">
        <is>
          <t>Global supply</t>
        </is>
      </c>
      <c r="B86" t="inlineStr">
        <is>
          <t>Russia</t>
        </is>
      </c>
      <c r="C86" t="inlineStr">
        <is>
          <t>liquefaction_train</t>
        </is>
      </c>
      <c r="D86" t="inlineStr">
        <is>
          <t>Arctic LNG 2, Train 2</t>
        </is>
      </c>
      <c r="E86" t="inlineStr">
        <is>
          <t>Novatek</t>
        </is>
      </c>
      <c r="F86" t="inlineStr">
        <is>
          <t>liquefaction</t>
        </is>
      </c>
      <c r="G86" t="n">
        <v>6.6</v>
      </c>
      <c r="H86" t="inlineStr">
        <is>
          <t>mtpa</t>
        </is>
      </c>
      <c r="J86" t="n">
        <v>0.8679</v>
      </c>
      <c r="K86" t="inlineStr">
        <is>
          <t>COMMISSIONED_RECENT</t>
        </is>
      </c>
      <c r="L86" t="inlineStr">
        <is>
          <t>2025</t>
        </is>
      </c>
      <c r="M86" t="inlineStr">
        <is>
          <t>SOURCED_YEAR</t>
        </is>
      </c>
      <c r="N86" t="inlineStr">
        <is>
          <t>2026-10-12</t>
        </is>
      </c>
      <c r="O86" t="inlineStr">
        <is>
          <t>2026-10-12</t>
        </is>
      </c>
      <c r="P86" t="inlineStr">
        <is>
          <t>Novatek</t>
        </is>
      </c>
      <c r="Q86" t="inlineStr">
        <is>
          <t>FID release, Arctic LNG 2 (2019: three trains of 6.6 mtpa; schedule since changed)</t>
        </is>
      </c>
      <c r="R86" t="inlineStr">
        <is>
          <t>https://www.novatek.ru/common/upload/press/FID_Arctic_LNG_2_Eng.pdf</t>
        </is>
      </c>
      <c r="S86" t="inlineStr">
        <is>
          <t>2019-09-01</t>
        </is>
      </c>
      <c r="T86" t="inlineStr">
        <is>
          <t>SOURCED</t>
        </is>
      </c>
      <c r="U86" t="inlineStr">
        <is>
          <t>6.6 mtpa per train (Novatek FID release); GIIGNL 2026: Train 2 started production in May 2025, exports limited by sanctions and ice-class carriers. Sanctioned. [capacity_bcfd DERIVED: mtpa x 1.36 bcm/y x 35.3147 / 365.25 = 0.1315 Bcf/d per mtpa]</t>
        </is>
      </c>
    </row>
    <row r="87">
      <c r="A87" t="inlineStr">
        <is>
          <t>Global supply</t>
        </is>
      </c>
      <c r="B87" t="inlineStr">
        <is>
          <t>Russia</t>
        </is>
      </c>
      <c r="C87" t="inlineStr">
        <is>
          <t>liquefaction_train</t>
        </is>
      </c>
      <c r="D87" t="inlineStr">
        <is>
          <t>Arctic LNG 2, Train 3</t>
        </is>
      </c>
      <c r="E87" t="inlineStr">
        <is>
          <t>Novatek</t>
        </is>
      </c>
      <c r="F87" t="inlineStr">
        <is>
          <t>liquefaction</t>
        </is>
      </c>
      <c r="G87" t="n">
        <v>6.6</v>
      </c>
      <c r="H87" t="inlineStr">
        <is>
          <t>mtpa</t>
        </is>
      </c>
      <c r="J87" t="n">
        <v>0.8679</v>
      </c>
      <c r="K87" t="inlineStr">
        <is>
          <t>PLANNED</t>
        </is>
      </c>
      <c r="M87" t="inlineStr">
        <is>
          <t>NOT_STATED</t>
        </is>
      </c>
      <c r="N87" t="inlineStr">
        <is>
          <t>2026-10-12</t>
        </is>
      </c>
      <c r="O87" t="inlineStr">
        <is>
          <t>2026-10-12</t>
        </is>
      </c>
      <c r="P87" t="inlineStr">
        <is>
          <t>Novatek</t>
        </is>
      </c>
      <c r="Q87" t="inlineStr">
        <is>
          <t>FID release, Arctic LNG 2 (2019: three trains of 6.6 mtpa; schedule since changed)</t>
        </is>
      </c>
      <c r="R87" t="inlineStr">
        <is>
          <t>https://www.novatek.ru/common/upload/press/FID_Arctic_LNG_2_Eng.pdf</t>
        </is>
      </c>
      <c r="S87" t="inlineStr">
        <is>
          <t>2019-09-01</t>
        </is>
      </c>
      <c r="T87" t="inlineStr">
        <is>
          <t>SOURCED</t>
        </is>
      </c>
      <c r="U87" t="inlineStr">
        <is>
          <t>Original schedule (Novatek 2019 FID release) was 2026; GIIGNL 2026: Novatek's other planned projects remain delayed. No current Train 3 date in an opened document. Sanctioned. [capacity_bcfd DERIVED: mtpa x 1.36 bcm/y x 35.3147 / 365.25 = 0.1315 Bcf/d per mtpa]</t>
        </is>
      </c>
    </row>
    <row r="88">
      <c r="A88" t="inlineStr">
        <is>
          <t>Global supply</t>
        </is>
      </c>
      <c r="B88" t="inlineStr">
        <is>
          <t>Nigeria</t>
        </is>
      </c>
      <c r="C88" t="inlineStr">
        <is>
          <t>liquefaction_train</t>
        </is>
      </c>
      <c r="D88" t="inlineStr">
        <is>
          <t>Nigeria LNG, Trains 1-6</t>
        </is>
      </c>
      <c r="E88" t="inlineStr">
        <is>
          <t>NLNG (NNPC 49%, Shell, TotalEnergies, Eni)</t>
        </is>
      </c>
      <c r="F88" t="inlineStr">
        <is>
          <t>liquefaction</t>
        </is>
      </c>
      <c r="G88" t="n">
        <v>22</v>
      </c>
      <c r="H88" t="inlineStr">
        <is>
          <t>mtpa</t>
        </is>
      </c>
      <c r="J88" t="n">
        <v>2.893</v>
      </c>
      <c r="K88" t="inlineStr">
        <is>
          <t>OPERATING</t>
        </is>
      </c>
      <c r="L88" t="inlineStr">
        <is>
          <t>1999</t>
        </is>
      </c>
      <c r="M88" t="inlineStr">
        <is>
          <t>SOURCED_YEAR</t>
        </is>
      </c>
      <c r="N88" t="inlineStr">
        <is>
          <t>2026-10-12</t>
        </is>
      </c>
      <c r="O88" t="inlineStr">
        <is>
          <t>2026-10-12</t>
        </is>
      </c>
      <c r="P88" t="inlineStr">
        <is>
          <t>Nigeria LNG Limited</t>
        </is>
      </c>
      <c r="Q88" t="inlineStr">
        <is>
          <t>Facts and Figures 2024 (six trains 22 MTPA; Train 7 lifts capacity to 30 MTPA; FID Dec 2019)</t>
        </is>
      </c>
      <c r="R88" t="inlineStr">
        <is>
          <t>https://www.nlng.com/documents/2024_NLNG_FACTS_FIGURESB_compressed.pdf</t>
        </is>
      </c>
      <c r="S88" t="inlineStr">
        <is>
          <t>2025-01-01</t>
        </is>
      </c>
      <c r="T88" t="inlineStr">
        <is>
          <t>SOURCED</t>
        </is>
      </c>
      <c r="U88" t="inlineStr">
        <is>
          <t>Operator: six trains, 22 MTPA. DISR REQ Sep 2026: output recovering from the 2022 force majeure. [capacity_bcfd DERIVED: mtpa x 1.36 bcm/y x 35.3147 / 365.25 = 0.1315 Bcf/d per mtpa]</t>
        </is>
      </c>
    </row>
    <row r="89">
      <c r="A89" t="inlineStr">
        <is>
          <t>Global supply</t>
        </is>
      </c>
      <c r="B89" t="inlineStr">
        <is>
          <t>Nigeria</t>
        </is>
      </c>
      <c r="C89" t="inlineStr">
        <is>
          <t>liquefaction_train</t>
        </is>
      </c>
      <c r="D89" t="inlineStr">
        <is>
          <t>Nigeria LNG Train 7</t>
        </is>
      </c>
      <c r="E89" t="inlineStr">
        <is>
          <t>NLNG</t>
        </is>
      </c>
      <c r="F89" t="inlineStr">
        <is>
          <t>liquefaction</t>
        </is>
      </c>
      <c r="G89" t="n">
        <v>8</v>
      </c>
      <c r="H89" t="inlineStr">
        <is>
          <t>mtpa</t>
        </is>
      </c>
      <c r="J89" t="n">
        <v>1.052</v>
      </c>
      <c r="K89" t="inlineStr">
        <is>
          <t>UNDER_CONSTRUCTION</t>
        </is>
      </c>
      <c r="M89" t="inlineStr">
        <is>
          <t>NOT_STATED</t>
        </is>
      </c>
      <c r="N89" t="inlineStr">
        <is>
          <t>2026-10-12</t>
        </is>
      </c>
      <c r="O89" t="inlineStr">
        <is>
          <t>2026-10-12</t>
        </is>
      </c>
      <c r="P89" t="inlineStr">
        <is>
          <t>Nigeria LNG Limited</t>
        </is>
      </c>
      <c r="Q89" t="inlineStr">
        <is>
          <t>Facts and Figures 2024 (six trains 22 MTPA; Train 7 lifts capacity to 30 MTPA; FID Dec 2019)</t>
        </is>
      </c>
      <c r="R89" t="inlineStr">
        <is>
          <t>https://www.nlng.com/documents/2024_NLNG_FACTS_FIGURESB_compressed.pdf</t>
        </is>
      </c>
      <c r="S89" t="inlineStr">
        <is>
          <t>2025-01-01</t>
        </is>
      </c>
      <c r="T89" t="inlineStr">
        <is>
          <t>DERIVED</t>
        </is>
      </c>
      <c r="U89" t="inlineStr">
        <is>
          <t>Operator: Train 7 lifts capacity from 22 to 30 mtpa (+8 DERIVED); FID Dec 2019. GIIGNL 2026: over 80% complete. No start date in an opened document. [capacity_bcfd DERIVED: mtpa x 1.36 bcm/y x 35.3147 / 365.25 = 0.1315 Bcf/d per mtpa]</t>
        </is>
      </c>
    </row>
    <row r="90">
      <c r="A90" t="inlineStr">
        <is>
          <t>Global supply</t>
        </is>
      </c>
      <c r="B90" t="inlineStr">
        <is>
          <t>Algeria</t>
        </is>
      </c>
      <c r="C90" t="inlineStr">
        <is>
          <t>liquefaction_train</t>
        </is>
      </c>
      <c r="D90" t="inlineStr">
        <is>
          <t>Arzew GL1Z, GL2Z, GL3Z and Skikda GL1K</t>
        </is>
      </c>
      <c r="E90" t="inlineStr">
        <is>
          <t>Sonatrach</t>
        </is>
      </c>
      <c r="F90" t="inlineStr">
        <is>
          <t>liquefaction</t>
        </is>
      </c>
      <c r="G90" t="n">
        <v>25.3</v>
      </c>
      <c r="H90" t="inlineStr">
        <is>
          <t>mtpa</t>
        </is>
      </c>
      <c r="J90" t="n">
        <v>3.327</v>
      </c>
      <c r="K90" t="inlineStr">
        <is>
          <t>OPERATING</t>
        </is>
      </c>
      <c r="L90" t="inlineStr">
        <is>
          <t>1978</t>
        </is>
      </c>
      <c r="M90" t="inlineStr">
        <is>
          <t>SOURCED_YEAR</t>
        </is>
      </c>
      <c r="N90" t="inlineStr">
        <is>
          <t>2026-10-12</t>
        </is>
      </c>
      <c r="O90" t="inlineStr">
        <is>
          <t>2026-10-12</t>
        </is>
      </c>
      <c r="P90" t="inlineStr">
        <is>
          <t>GIIGNL (used only where no official figure was opened; named as publisher)</t>
        </is>
      </c>
      <c r="Q90" t="inlineStr">
        <is>
          <t>GIIGNL Annual Report 2026 edition (2025 data): liquefaction plants table and 'Liquefaction' regional sections</t>
        </is>
      </c>
      <c r="R90" t="inlineStr">
        <is>
          <t>https://giignl-documents.s3.fr-par.scw.cloud/public/giignl-2026-annual-report.pdf</t>
        </is>
      </c>
      <c r="S90" t="inlineStr">
        <is>
          <t>2026-05-20</t>
        </is>
      </c>
      <c r="T90" t="inlineStr">
        <is>
          <t>SOURCED</t>
        </is>
      </c>
      <c r="U90" t="inlineStr">
        <is>
          <t>4.7 + 7.9 + 8.2 + 4.5 (GIIGNL plants table; GIIGNL Algeria total 25.3). [capacity_bcfd DERIVED: mtpa x 1.36 bcm/y x 35.3147 / 365.25 = 0.1315 Bcf/d per mtpa]</t>
        </is>
      </c>
    </row>
    <row r="91">
      <c r="A91" t="inlineStr">
        <is>
          <t>Global supply</t>
        </is>
      </c>
      <c r="B91" t="inlineStr">
        <is>
          <t>Egypt</t>
        </is>
      </c>
      <c r="C91" t="inlineStr">
        <is>
          <t>liquefaction_train</t>
        </is>
      </c>
      <c r="D91" t="inlineStr">
        <is>
          <t>Damietta LNG and Idku (Egyptian LNG) T1-T2</t>
        </is>
      </c>
      <c r="E91" t="inlineStr">
        <is>
          <t>SEGAS (Eni/EGAS) and ELNG (Shell/Petronas)</t>
        </is>
      </c>
      <c r="F91" t="inlineStr">
        <is>
          <t>liquefaction</t>
        </is>
      </c>
      <c r="G91" t="n">
        <v>12.2</v>
      </c>
      <c r="H91" t="inlineStr">
        <is>
          <t>mtpa</t>
        </is>
      </c>
      <c r="J91" t="n">
        <v>1.6043</v>
      </c>
      <c r="K91" t="inlineStr">
        <is>
          <t>OPERATING</t>
        </is>
      </c>
      <c r="L91" t="inlineStr">
        <is>
          <t>2005</t>
        </is>
      </c>
      <c r="M91" t="inlineStr">
        <is>
          <t>SOURCED_YEAR</t>
        </is>
      </c>
      <c r="N91" t="inlineStr">
        <is>
          <t>2026-10-12</t>
        </is>
      </c>
      <c r="O91" t="inlineStr">
        <is>
          <t>2026-10-12</t>
        </is>
      </c>
      <c r="P91" t="inlineStr">
        <is>
          <t>GIIGNL (used only where no official figure was opened; named as publisher)</t>
        </is>
      </c>
      <c r="Q91" t="inlineStr">
        <is>
          <t>GIIGNL Annual Report 2026 edition (2025 data): liquefaction plants table and 'Liquefaction' regional sections</t>
        </is>
      </c>
      <c r="R91" t="inlineStr">
        <is>
          <t>https://giignl-documents.s3.fr-par.scw.cloud/public/giignl-2026-annual-report.pdf</t>
        </is>
      </c>
      <c r="S91" t="inlineStr">
        <is>
          <t>2026-05-20</t>
        </is>
      </c>
      <c r="T91" t="inlineStr">
        <is>
          <t>SOURCED</t>
        </is>
      </c>
      <c r="U91" t="inlineStr">
        <is>
          <t>5.0 + 3.6 + 3.6 (GIIGNL). [capacity_bcfd DERIVED: mtpa x 1.36 bcm/y x 35.3147 / 365.25 = 0.1315 Bcf/d per mtpa]</t>
        </is>
      </c>
    </row>
    <row r="92">
      <c r="A92" t="inlineStr">
        <is>
          <t>Global supply</t>
        </is>
      </c>
      <c r="B92" t="inlineStr">
        <is>
          <t>Angola</t>
        </is>
      </c>
      <c r="C92" t="inlineStr">
        <is>
          <t>liquefaction_train</t>
        </is>
      </c>
      <c r="D92" t="inlineStr">
        <is>
          <t>Angola LNG</t>
        </is>
      </c>
      <c r="E92" t="inlineStr">
        <is>
          <t>Angola LNG (Chevron, Sonangol, bp, Eni, TotalEnergies)</t>
        </is>
      </c>
      <c r="F92" t="inlineStr">
        <is>
          <t>liquefaction</t>
        </is>
      </c>
      <c r="G92" t="n">
        <v>5.2</v>
      </c>
      <c r="H92" t="inlineStr">
        <is>
          <t>mtpa</t>
        </is>
      </c>
      <c r="J92" t="n">
        <v>0.6838</v>
      </c>
      <c r="K92" t="inlineStr">
        <is>
          <t>OPERATING</t>
        </is>
      </c>
      <c r="L92" t="inlineStr">
        <is>
          <t>2013</t>
        </is>
      </c>
      <c r="M92" t="inlineStr">
        <is>
          <t>SOURCED_YEAR</t>
        </is>
      </c>
      <c r="N92" t="inlineStr">
        <is>
          <t>2026-10-12</t>
        </is>
      </c>
      <c r="O92" t="inlineStr">
        <is>
          <t>2026-10-12</t>
        </is>
      </c>
      <c r="P92" t="inlineStr">
        <is>
          <t>GIIGNL (used only where no official figure was opened; named as publisher)</t>
        </is>
      </c>
      <c r="Q92" t="inlineStr">
        <is>
          <t>GIIGNL Annual Report 2026 edition (2025 data): liquefaction plants table and 'Liquefaction' regional sections</t>
        </is>
      </c>
      <c r="R92" t="inlineStr">
        <is>
          <t>https://giignl-documents.s3.fr-par.scw.cloud/public/giignl-2026-annual-report.pdf</t>
        </is>
      </c>
      <c r="S92" t="inlineStr">
        <is>
          <t>2026-05-20</t>
        </is>
      </c>
      <c r="T92" t="inlineStr">
        <is>
          <t>SOURCED</t>
        </is>
      </c>
      <c r="U92" t="inlineStr">
        <is>
          <t>GIIGNL plants table. [capacity_bcfd DERIVED: mtpa x 1.36 bcm/y x 35.3147 / 365.25 = 0.1315 Bcf/d per mtpa]</t>
        </is>
      </c>
    </row>
    <row r="93">
      <c r="A93" t="inlineStr">
        <is>
          <t>Global supply</t>
        </is>
      </c>
      <c r="B93" t="inlineStr">
        <is>
          <t>Equatorial Guinea</t>
        </is>
      </c>
      <c r="C93" t="inlineStr">
        <is>
          <t>liquefaction_train</t>
        </is>
      </c>
      <c r="D93" t="inlineStr">
        <is>
          <t>EG LNG</t>
        </is>
      </c>
      <c r="E93" t="inlineStr">
        <is>
          <t>EG LNG (Marathon / Sonagas)</t>
        </is>
      </c>
      <c r="F93" t="inlineStr">
        <is>
          <t>liquefaction</t>
        </is>
      </c>
      <c r="G93" t="n">
        <v>3.7</v>
      </c>
      <c r="H93" t="inlineStr">
        <is>
          <t>mtpa</t>
        </is>
      </c>
      <c r="J93" t="n">
        <v>0.4866</v>
      </c>
      <c r="K93" t="inlineStr">
        <is>
          <t>OPERATING</t>
        </is>
      </c>
      <c r="L93" t="inlineStr">
        <is>
          <t>2007</t>
        </is>
      </c>
      <c r="M93" t="inlineStr">
        <is>
          <t>SOURCED_YEAR</t>
        </is>
      </c>
      <c r="N93" t="inlineStr">
        <is>
          <t>2026-10-12</t>
        </is>
      </c>
      <c r="O93" t="inlineStr">
        <is>
          <t>2026-10-12</t>
        </is>
      </c>
      <c r="P93" t="inlineStr">
        <is>
          <t>GIIGNL (used only where no official figure was opened; named as publisher)</t>
        </is>
      </c>
      <c r="Q93" t="inlineStr">
        <is>
          <t>GIIGNL Annual Report 2026 edition (2025 data): liquefaction plants table and 'Liquefaction' regional sections</t>
        </is>
      </c>
      <c r="R93" t="inlineStr">
        <is>
          <t>https://giignl-documents.s3.fr-par.scw.cloud/public/giignl-2026-annual-report.pdf</t>
        </is>
      </c>
      <c r="S93" t="inlineStr">
        <is>
          <t>2026-05-20</t>
        </is>
      </c>
      <c r="T93" t="inlineStr">
        <is>
          <t>SOURCED</t>
        </is>
      </c>
      <c r="U93" t="inlineStr">
        <is>
          <t>GIIGNL plants table. [capacity_bcfd DERIVED: mtpa x 1.36 bcm/y x 35.3147 / 365.25 = 0.1315 Bcf/d per mtpa]</t>
        </is>
      </c>
    </row>
    <row r="94">
      <c r="A94" t="inlineStr">
        <is>
          <t>Global supply</t>
        </is>
      </c>
      <c r="B94" t="inlineStr">
        <is>
          <t>Mozambique</t>
        </is>
      </c>
      <c r="C94" t="inlineStr">
        <is>
          <t>liquefaction_train</t>
        </is>
      </c>
      <c r="D94" t="inlineStr">
        <is>
          <t>Coral South FLNG</t>
        </is>
      </c>
      <c r="E94" t="inlineStr">
        <is>
          <t>Eni (Area 4)</t>
        </is>
      </c>
      <c r="F94" t="inlineStr">
        <is>
          <t>liquefaction</t>
        </is>
      </c>
      <c r="G94" t="n">
        <v>3.4</v>
      </c>
      <c r="H94" t="inlineStr">
        <is>
          <t>mtpa</t>
        </is>
      </c>
      <c r="J94" t="n">
        <v>0.4471</v>
      </c>
      <c r="K94" t="inlineStr">
        <is>
          <t>OPERATING</t>
        </is>
      </c>
      <c r="L94" t="inlineStr">
        <is>
          <t>2022</t>
        </is>
      </c>
      <c r="M94" t="inlineStr">
        <is>
          <t>SOURCED_YEAR</t>
        </is>
      </c>
      <c r="N94" t="inlineStr">
        <is>
          <t>2026-10-12</t>
        </is>
      </c>
      <c r="O94" t="inlineStr">
        <is>
          <t>2026-10-12</t>
        </is>
      </c>
      <c r="P94" t="inlineStr">
        <is>
          <t>GIIGNL (used only where no official figure was opened; named as publisher)</t>
        </is>
      </c>
      <c r="Q94" t="inlineStr">
        <is>
          <t>GIIGNL Annual Report 2026 edition (2025 data): liquefaction plants table and 'Liquefaction' regional sections</t>
        </is>
      </c>
      <c r="R94" t="inlineStr">
        <is>
          <t>https://giignl-documents.s3.fr-par.scw.cloud/public/giignl-2026-annual-report.pdf</t>
        </is>
      </c>
      <c r="S94" t="inlineStr">
        <is>
          <t>2026-05-20</t>
        </is>
      </c>
      <c r="T94" t="inlineStr">
        <is>
          <t>SOURCED</t>
        </is>
      </c>
      <c r="U94" t="inlineStr">
        <is>
          <t>GIIGNL plants table; operating since 2022. [capacity_bcfd DERIVED: mtpa x 1.36 bcm/y x 35.3147 / 365.25 = 0.1315 Bcf/d per mtpa]</t>
        </is>
      </c>
    </row>
    <row r="95">
      <c r="A95" t="inlineStr">
        <is>
          <t>Global supply</t>
        </is>
      </c>
      <c r="B95" t="inlineStr">
        <is>
          <t>Cameroon</t>
        </is>
      </c>
      <c r="C95" t="inlineStr">
        <is>
          <t>liquefaction_train</t>
        </is>
      </c>
      <c r="D95" t="inlineStr">
        <is>
          <t>Kribi FLNG Hilli Episeyo (contract ended, relocating to Argentina)</t>
        </is>
      </c>
      <c r="E95" t="inlineStr">
        <is>
          <t>Golar LNG</t>
        </is>
      </c>
      <c r="F95" t="inlineStr">
        <is>
          <t>liquefaction</t>
        </is>
      </c>
      <c r="G95" t="n">
        <v>2.4</v>
      </c>
      <c r="H95" t="inlineStr">
        <is>
          <t>mtpa</t>
        </is>
      </c>
      <c r="J95" t="n">
        <v>0.3156</v>
      </c>
      <c r="K95" t="inlineStr">
        <is>
          <t>CLOSED</t>
        </is>
      </c>
      <c r="L95" t="inlineStr">
        <is>
          <t>2018</t>
        </is>
      </c>
      <c r="M95" t="inlineStr">
        <is>
          <t>SOURCED_YEAR</t>
        </is>
      </c>
      <c r="N95" t="inlineStr">
        <is>
          <t>2026-10-12</t>
        </is>
      </c>
      <c r="O95" t="inlineStr">
        <is>
          <t>2026-10-12</t>
        </is>
      </c>
      <c r="P95" t="inlineStr">
        <is>
          <t>Golar LNG</t>
        </is>
      </c>
      <c r="Q95" t="inlineStr">
        <is>
          <t>Interim results for the period ended June 30, 2026</t>
        </is>
      </c>
      <c r="R95" t="inlineStr">
        <is>
          <t>https://mfn.se/one/a/golar-lng/golar-lng-limited-interim-results-for-the-period-ended-june-30-2026-b168e773</t>
        </is>
      </c>
      <c r="S95" t="inlineStr">
        <is>
          <t>2026-08-13</t>
        </is>
      </c>
      <c r="T95" t="inlineStr">
        <is>
          <t>SOURCED</t>
        </is>
      </c>
      <c r="U95" t="inlineStr">
        <is>
          <t>Golar Q2 2026: Hilli ended its eight-year Cameroon contract (156 cargoes), repositioning to Singapore for modifications before a 20-year contract in Argentina. Capacity 2.4 from GIIGNL. Closure month not stated (placed mid-2026). [capacity_bcfd DERIVED: mtpa x 1.36 bcm/y x 35.3147 / 365.25 = 0.1315 Bcf/d per mtpa]</t>
        </is>
      </c>
    </row>
    <row r="96">
      <c r="A96" t="inlineStr">
        <is>
          <t>Global supply</t>
        </is>
      </c>
      <c r="B96" t="inlineStr">
        <is>
          <t>Congo</t>
        </is>
      </c>
      <c r="C96" t="inlineStr">
        <is>
          <t>liquefaction_train</t>
        </is>
      </c>
      <c r="D96" t="inlineStr">
        <is>
          <t>Tango FLNG</t>
        </is>
      </c>
      <c r="E96" t="inlineStr">
        <is>
          <t>Eni (Congo LNG)</t>
        </is>
      </c>
      <c r="F96" t="inlineStr">
        <is>
          <t>liquefaction</t>
        </is>
      </c>
      <c r="G96" t="n">
        <v>0.6</v>
      </c>
      <c r="H96" t="inlineStr">
        <is>
          <t>mtpa</t>
        </is>
      </c>
      <c r="J96" t="n">
        <v>0.0789</v>
      </c>
      <c r="K96" t="inlineStr">
        <is>
          <t>OPERATING</t>
        </is>
      </c>
      <c r="L96" t="inlineStr">
        <is>
          <t>2024</t>
        </is>
      </c>
      <c r="M96" t="inlineStr">
        <is>
          <t>SOURCED_YEAR</t>
        </is>
      </c>
      <c r="N96" t="inlineStr">
        <is>
          <t>2026-10-12</t>
        </is>
      </c>
      <c r="O96" t="inlineStr">
        <is>
          <t>2026-10-12</t>
        </is>
      </c>
      <c r="P96" t="inlineStr">
        <is>
          <t>GIIGNL (used only where no official figure was opened; named as publisher)</t>
        </is>
      </c>
      <c r="Q96" t="inlineStr">
        <is>
          <t>GIIGNL Annual Report 2026 edition (2025 data): liquefaction plants table and 'Liquefaction' regional sections</t>
        </is>
      </c>
      <c r="R96" t="inlineStr">
        <is>
          <t>https://giignl-documents.s3.fr-par.scw.cloud/public/giignl-2026-annual-report.pdf</t>
        </is>
      </c>
      <c r="S96" t="inlineStr">
        <is>
          <t>2026-05-20</t>
        </is>
      </c>
      <c r="T96" t="inlineStr">
        <is>
          <t>SOURCED</t>
        </is>
      </c>
      <c r="U96" t="inlineStr">
        <is>
          <t>GIIGNL: Phase 1 FLNG. [capacity_bcfd DERIVED: mtpa x 1.36 bcm/y x 35.3147 / 365.25 = 0.1315 Bcf/d per mtpa]</t>
        </is>
      </c>
    </row>
    <row r="97">
      <c r="A97" t="inlineStr">
        <is>
          <t>Global supply</t>
        </is>
      </c>
      <c r="B97" t="inlineStr">
        <is>
          <t>Congo</t>
        </is>
      </c>
      <c r="C97" t="inlineStr">
        <is>
          <t>liquefaction_train</t>
        </is>
      </c>
      <c r="D97" t="inlineStr">
        <is>
          <t>Nguya FLNG (Congo LNG Phase 2)</t>
        </is>
      </c>
      <c r="E97" t="inlineStr">
        <is>
          <t>Eni</t>
        </is>
      </c>
      <c r="F97" t="inlineStr">
        <is>
          <t>liquefaction</t>
        </is>
      </c>
      <c r="G97" t="n">
        <v>2.4</v>
      </c>
      <c r="H97" t="inlineStr">
        <is>
          <t>mtpa</t>
        </is>
      </c>
      <c r="J97" t="n">
        <v>0.3156</v>
      </c>
      <c r="K97" t="inlineStr">
        <is>
          <t>COMMISSIONED_RECENT</t>
        </is>
      </c>
      <c r="L97" t="inlineStr">
        <is>
          <t>2026-02</t>
        </is>
      </c>
      <c r="M97" t="inlineStr">
        <is>
          <t>SOURCED_MONTH</t>
        </is>
      </c>
      <c r="N97" t="inlineStr">
        <is>
          <t>2026-10-12</t>
        </is>
      </c>
      <c r="O97" t="inlineStr">
        <is>
          <t>2026-10-12</t>
        </is>
      </c>
      <c r="P97" t="inlineStr">
        <is>
          <t>Department of Industry, Science and Resources (Australia)</t>
        </is>
      </c>
      <c r="Q97" t="inlineStr">
        <is>
          <t>Resources and Energy Quarterly, September 2026 (section 6 LNG; map 'Nameplate capacity, million tonnes per annum')</t>
        </is>
      </c>
      <c r="R97" t="inlineStr">
        <is>
          <t>https://www.industry.gov.au/sites/default/files/2026-10/resources-and-energy-quarterly-september-2026.pdf</t>
        </is>
      </c>
      <c r="S97" t="inlineStr">
        <is>
          <t>2026-10-02</t>
        </is>
      </c>
      <c r="T97" t="inlineStr">
        <is>
          <t>SOURCED</t>
        </is>
      </c>
      <c r="U97" t="inlineStr">
        <is>
          <t>Capacity: DISR REQ Sep 2026 (phase two, +2.4 Mtpa, 'nearing production'). Start Feb 2026 from GIIGNL 2026 (first cargo shipped); the two sources differ. [capacity_bcfd DERIVED: mtpa x 1.36 bcm/y x 35.3147 / 365.25 = 0.1315 Bcf/d per mtpa]</t>
        </is>
      </c>
    </row>
    <row r="98">
      <c r="A98" t="inlineStr">
        <is>
          <t>Global supply</t>
        </is>
      </c>
      <c r="B98" t="inlineStr">
        <is>
          <t>Mauritania/Senegal</t>
        </is>
      </c>
      <c r="C98" t="inlineStr">
        <is>
          <t>liquefaction_train</t>
        </is>
      </c>
      <c r="D98" t="inlineStr">
        <is>
          <t>Greater Tortue Ahmeyim (GTA) Phase 1, FLNG Gimi</t>
        </is>
      </c>
      <c r="E98" t="inlineStr">
        <is>
          <t>bp (Kosmos, PETROSEN, SMH)</t>
        </is>
      </c>
      <c r="F98" t="inlineStr">
        <is>
          <t>liquefaction</t>
        </is>
      </c>
      <c r="G98" t="n">
        <v>2.3</v>
      </c>
      <c r="H98" t="inlineStr">
        <is>
          <t>mtpa</t>
        </is>
      </c>
      <c r="J98" t="n">
        <v>0.3024</v>
      </c>
      <c r="K98" t="inlineStr">
        <is>
          <t>COMMISSIONED_RECENT</t>
        </is>
      </c>
      <c r="L98" t="inlineStr">
        <is>
          <t>2025</t>
        </is>
      </c>
      <c r="M98" t="inlineStr">
        <is>
          <t>SOURCED_YEAR</t>
        </is>
      </c>
      <c r="N98" t="inlineStr">
        <is>
          <t>2026-10-12</t>
        </is>
      </c>
      <c r="O98" t="inlineStr">
        <is>
          <t>2026-10-12</t>
        </is>
      </c>
      <c r="P98" t="inlineStr">
        <is>
          <t>Department of Industry, Science and Resources (Australia)</t>
        </is>
      </c>
      <c r="Q98" t="inlineStr">
        <is>
          <t>Resources and Energy Quarterly, September 2026 (section 6 LNG; map 'Nameplate capacity, million tonnes per annum')</t>
        </is>
      </c>
      <c r="R98" t="inlineStr">
        <is>
          <t>https://www.industry.gov.au/sites/default/files/2026-10/resources-and-energy-quarterly-september-2026.pdf</t>
        </is>
      </c>
      <c r="S98" t="inlineStr">
        <is>
          <t>2026-10-02</t>
        </is>
      </c>
      <c r="T98" t="inlineStr">
        <is>
          <t>SOURCED</t>
        </is>
      </c>
      <c r="U98" t="inlineStr">
        <is>
          <t>DISR REQ Sep 2026: 2.3 Mtpa capacity, ramping up by H2 2026. Start year 2025 from GIIGNL 2026 (GIIGNL plants table: 2.4). [capacity_bcfd DERIVED: mtpa x 1.36 bcm/y x 35.3147 / 365.25 = 0.1315 Bcf/d per mtpa]</t>
        </is>
      </c>
    </row>
    <row r="99">
      <c r="A99" t="inlineStr">
        <is>
          <t>Global supply</t>
        </is>
      </c>
      <c r="B99" t="inlineStr">
        <is>
          <t>Mozambique</t>
        </is>
      </c>
      <c r="C99" t="inlineStr">
        <is>
          <t>liquefaction_train</t>
        </is>
      </c>
      <c r="D99" t="inlineStr">
        <is>
          <t>Mozambique LNG (Afungi, 2 units)</t>
        </is>
      </c>
      <c r="E99" t="inlineStr">
        <is>
          <t>TotalEnergies</t>
        </is>
      </c>
      <c r="F99" t="inlineStr">
        <is>
          <t>liquefaction</t>
        </is>
      </c>
      <c r="G99" t="n">
        <v>13.12</v>
      </c>
      <c r="H99" t="inlineStr">
        <is>
          <t>mtpa</t>
        </is>
      </c>
      <c r="J99" t="n">
        <v>1.7253</v>
      </c>
      <c r="K99" t="inlineStr">
        <is>
          <t>UNDER_CONSTRUCTION</t>
        </is>
      </c>
      <c r="L99" t="inlineStr">
        <is>
          <t>2029</t>
        </is>
      </c>
      <c r="M99" t="inlineStr">
        <is>
          <t>SOURCED_YEAR</t>
        </is>
      </c>
      <c r="N99" t="inlineStr">
        <is>
          <t>2026-10-12</t>
        </is>
      </c>
      <c r="O99" t="inlineStr">
        <is>
          <t>2026-10-12</t>
        </is>
      </c>
      <c r="P99" t="inlineStr">
        <is>
          <t>Mozambique LNG (TotalEnergies-operated project site)</t>
        </is>
      </c>
      <c r="Q99" t="inlineStr">
        <is>
          <t>Project page: development (two liquefaction units, 13.12 MTPA)</t>
        </is>
      </c>
      <c r="R99" t="inlineStr">
        <is>
          <t>https://mozambiquelng.co.mz/about-the-mozambique-liquefied-natural-gas-project/development/</t>
        </is>
      </c>
      <c r="S99" t="inlineStr">
        <is>
          <t>2026-10-12</t>
        </is>
      </c>
      <c r="T99" t="inlineStr">
        <is>
          <t>SOURCED</t>
        </is>
      </c>
      <c r="U99" t="inlineStr">
        <is>
          <t>Project site: two liquefaction units, 13.12 MTPA. DISR REQ Sep 2026: '13.2 Mtpa from 2029' (year used). GIIGNL quotes 12.8. [capacity_bcfd DERIVED: mtpa x 1.36 bcm/y x 35.3147 / 365.25 = 0.1315 Bcf/d per mtpa]</t>
        </is>
      </c>
    </row>
    <row r="100">
      <c r="A100" t="inlineStr">
        <is>
          <t>Global supply</t>
        </is>
      </c>
      <c r="B100" t="inlineStr">
        <is>
          <t>Mozambique</t>
        </is>
      </c>
      <c r="C100" t="inlineStr">
        <is>
          <t>liquefaction_train</t>
        </is>
      </c>
      <c r="D100" t="inlineStr">
        <is>
          <t>Coral North FLNG (Eni, Area 4)</t>
        </is>
      </c>
      <c r="E100" t="inlineStr">
        <is>
          <t>Eni</t>
        </is>
      </c>
      <c r="F100" t="inlineStr">
        <is>
          <t>liquefaction</t>
        </is>
      </c>
      <c r="G100" t="n">
        <v>3.6</v>
      </c>
      <c r="H100" t="inlineStr">
        <is>
          <t>mtpa</t>
        </is>
      </c>
      <c r="J100" t="n">
        <v>0.4734</v>
      </c>
      <c r="K100" t="inlineStr">
        <is>
          <t>FID</t>
        </is>
      </c>
      <c r="L100" t="inlineStr">
        <is>
          <t>2028</t>
        </is>
      </c>
      <c r="M100" t="inlineStr">
        <is>
          <t>SOURCED_YEAR</t>
        </is>
      </c>
      <c r="N100" t="inlineStr">
        <is>
          <t>2026-10-12</t>
        </is>
      </c>
      <c r="O100" t="inlineStr">
        <is>
          <t>2026-10-12</t>
        </is>
      </c>
      <c r="P100" t="inlineStr">
        <is>
          <t>Eni</t>
        </is>
      </c>
      <c r="Q100" t="inlineStr">
        <is>
          <t>Eni announces Final Investment Decision for Mozambique's Coral North project (2 Oct 2025)</t>
        </is>
      </c>
      <c r="R100" t="inlineStr">
        <is>
          <t>https://www.eni.com/en-IT/media/press-release/2025/10/pr-eni-announces-final-investment-decision-mozambique-coral-north-project.html</t>
        </is>
      </c>
      <c r="S100" t="inlineStr">
        <is>
          <t>2025-10-02</t>
        </is>
      </c>
      <c r="T100" t="inlineStr">
        <is>
          <t>SOURCED</t>
        </is>
      </c>
      <c r="U100" t="inlineStr">
        <is>
          <t>Eni FID release 2 Oct 2025: production liquefaction capacity 3.6 MTPA, aiming to deliver within schedule in 2028. [capacity_bcfd DERIVED: mtpa x 1.36 bcm/y x 35.3147 / 365.25 = 0.1315 Bcf/d per mtpa]</t>
        </is>
      </c>
    </row>
    <row r="101">
      <c r="A101" t="inlineStr">
        <is>
          <t>Global supply</t>
        </is>
      </c>
      <c r="B101" t="inlineStr">
        <is>
          <t>Norway</t>
        </is>
      </c>
      <c r="C101" t="inlineStr">
        <is>
          <t>liquefaction_train</t>
        </is>
      </c>
      <c r="D101" t="inlineStr">
        <is>
          <t>Hammerfest LNG (Snohvit)</t>
        </is>
      </c>
      <c r="E101" t="inlineStr">
        <is>
          <t>Equinor</t>
        </is>
      </c>
      <c r="F101" t="inlineStr">
        <is>
          <t>liquefaction</t>
        </is>
      </c>
      <c r="G101" t="n">
        <v>4.2</v>
      </c>
      <c r="H101" t="inlineStr">
        <is>
          <t>mtpa</t>
        </is>
      </c>
      <c r="J101" t="n">
        <v>0.5523</v>
      </c>
      <c r="K101" t="inlineStr">
        <is>
          <t>OPERATING</t>
        </is>
      </c>
      <c r="L101" t="inlineStr">
        <is>
          <t>2007</t>
        </is>
      </c>
      <c r="M101" t="inlineStr">
        <is>
          <t>SOURCED_YEAR</t>
        </is>
      </c>
      <c r="N101" t="inlineStr">
        <is>
          <t>2026-10-12</t>
        </is>
      </c>
      <c r="O101" t="inlineStr">
        <is>
          <t>2026-10-12</t>
        </is>
      </c>
      <c r="P101" t="inlineStr">
        <is>
          <t>GIIGNL (used only where no official figure was opened; named as publisher)</t>
        </is>
      </c>
      <c r="Q101" t="inlineStr">
        <is>
          <t>GIIGNL Annual Report 2026 edition (2025 data): liquefaction plants table and 'Liquefaction' regional sections</t>
        </is>
      </c>
      <c r="R101" t="inlineStr">
        <is>
          <t>https://giignl-documents.s3.fr-par.scw.cloud/public/giignl-2026-annual-report.pdf</t>
        </is>
      </c>
      <c r="S101" t="inlineStr">
        <is>
          <t>2026-05-20</t>
        </is>
      </c>
      <c r="T101" t="inlineStr">
        <is>
          <t>SOURCED</t>
        </is>
      </c>
      <c r="U101" t="inlineStr">
        <is>
          <t>GIIGNL plants table. [capacity_bcfd DERIVED: mtpa x 1.36 bcm/y x 35.3147 / 365.25 = 0.1315 Bcf/d per mtpa]</t>
        </is>
      </c>
    </row>
    <row r="102">
      <c r="A102" t="inlineStr">
        <is>
          <t>Global supply</t>
        </is>
      </c>
      <c r="B102" t="inlineStr">
        <is>
          <t>Peru</t>
        </is>
      </c>
      <c r="C102" t="inlineStr">
        <is>
          <t>liquefaction_train</t>
        </is>
      </c>
      <c r="D102" t="inlineStr">
        <is>
          <t>Peru LNG</t>
        </is>
      </c>
      <c r="E102" t="inlineStr">
        <is>
          <t>Hunt Oil / Shell</t>
        </is>
      </c>
      <c r="F102" t="inlineStr">
        <is>
          <t>liquefaction</t>
        </is>
      </c>
      <c r="G102" t="n">
        <v>4.5</v>
      </c>
      <c r="H102" t="inlineStr">
        <is>
          <t>mtpa</t>
        </is>
      </c>
      <c r="J102" t="n">
        <v>0.5917</v>
      </c>
      <c r="K102" t="inlineStr">
        <is>
          <t>OPERATING</t>
        </is>
      </c>
      <c r="L102" t="inlineStr">
        <is>
          <t>2010</t>
        </is>
      </c>
      <c r="M102" t="inlineStr">
        <is>
          <t>SOURCED_YEAR</t>
        </is>
      </c>
      <c r="N102" t="inlineStr">
        <is>
          <t>2026-10-12</t>
        </is>
      </c>
      <c r="O102" t="inlineStr">
        <is>
          <t>2026-10-12</t>
        </is>
      </c>
      <c r="P102" t="inlineStr">
        <is>
          <t>GIIGNL (used only where no official figure was opened; named as publisher)</t>
        </is>
      </c>
      <c r="Q102" t="inlineStr">
        <is>
          <t>GIIGNL Annual Report 2026 edition (2025 data): liquefaction plants table and 'Liquefaction' regional sections</t>
        </is>
      </c>
      <c r="R102" t="inlineStr">
        <is>
          <t>https://giignl-documents.s3.fr-par.scw.cloud/public/giignl-2026-annual-report.pdf</t>
        </is>
      </c>
      <c r="S102" t="inlineStr">
        <is>
          <t>2026-05-20</t>
        </is>
      </c>
      <c r="T102" t="inlineStr">
        <is>
          <t>SOURCED</t>
        </is>
      </c>
      <c r="U102" t="inlineStr">
        <is>
          <t>GIIGNL plants table. [capacity_bcfd DERIVED: mtpa x 1.36 bcm/y x 35.3147 / 365.25 = 0.1315 Bcf/d per mtpa]</t>
        </is>
      </c>
    </row>
    <row r="103">
      <c r="A103" t="inlineStr">
        <is>
          <t>Global supply</t>
        </is>
      </c>
      <c r="B103" t="inlineStr">
        <is>
          <t>Trinidad and Tobago</t>
        </is>
      </c>
      <c r="C103" t="inlineStr">
        <is>
          <t>liquefaction_train</t>
        </is>
      </c>
      <c r="D103" t="inlineStr">
        <is>
          <t>Atlantic LNG Trains 2-4</t>
        </is>
      </c>
      <c r="E103" t="inlineStr">
        <is>
          <t>Atlantic LNG (Shell, bp, NGC)</t>
        </is>
      </c>
      <c r="F103" t="inlineStr">
        <is>
          <t>liquefaction</t>
        </is>
      </c>
      <c r="G103" t="n">
        <v>11.8</v>
      </c>
      <c r="H103" t="inlineStr">
        <is>
          <t>mtpa</t>
        </is>
      </c>
      <c r="J103" t="n">
        <v>1.5517</v>
      </c>
      <c r="K103" t="inlineStr">
        <is>
          <t>OPERATING</t>
        </is>
      </c>
      <c r="L103" t="inlineStr">
        <is>
          <t>2002</t>
        </is>
      </c>
      <c r="M103" t="inlineStr">
        <is>
          <t>SOURCED_YEAR</t>
        </is>
      </c>
      <c r="N103" t="inlineStr">
        <is>
          <t>2026-10-12</t>
        </is>
      </c>
      <c r="O103" t="inlineStr">
        <is>
          <t>2026-10-12</t>
        </is>
      </c>
      <c r="P103" t="inlineStr">
        <is>
          <t>GIIGNL (used only where no official figure was opened; named as publisher)</t>
        </is>
      </c>
      <c r="Q103" t="inlineStr">
        <is>
          <t>GIIGNL Annual Report 2026 edition (2025 data): liquefaction plants table and 'Liquefaction' regional sections</t>
        </is>
      </c>
      <c r="R103" t="inlineStr">
        <is>
          <t>https://giignl-documents.s3.fr-par.scw.cloud/public/giignl-2026-annual-report.pdf</t>
        </is>
      </c>
      <c r="S103" t="inlineStr">
        <is>
          <t>2026-05-20</t>
        </is>
      </c>
      <c r="T103" t="inlineStr">
        <is>
          <t>SOURCED</t>
        </is>
      </c>
      <c r="U103" t="inlineStr">
        <is>
          <t>3.3 + 3.3 + 5.2 (GIIGNL); GIIGNL: operating below nameplate on feedgas shortage; Shell Aphrodite gas from 2027. [capacity_bcfd DERIVED: mtpa x 1.36 bcm/y x 35.3147 / 365.25 = 0.1315 Bcf/d per mtpa]</t>
        </is>
      </c>
    </row>
    <row r="104">
      <c r="A104" t="inlineStr">
        <is>
          <t>Global supply</t>
        </is>
      </c>
      <c r="B104" t="inlineStr">
        <is>
          <t>Trinidad and Tobago</t>
        </is>
      </c>
      <c r="C104" t="inlineStr">
        <is>
          <t>liquefaction_train</t>
        </is>
      </c>
      <c r="D104" t="inlineStr">
        <is>
          <t>Atlantic LNG Train 1 (mothballed)</t>
        </is>
      </c>
      <c r="E104" t="inlineStr">
        <is>
          <t>Atlantic LNG</t>
        </is>
      </c>
      <c r="F104" t="inlineStr">
        <is>
          <t>liquefaction</t>
        </is>
      </c>
      <c r="G104" t="n">
        <v>3</v>
      </c>
      <c r="H104" t="inlineStr">
        <is>
          <t>mtpa</t>
        </is>
      </c>
      <c r="J104" t="n">
        <v>0.3945</v>
      </c>
      <c r="K104" t="inlineStr">
        <is>
          <t>SUSPENDED</t>
        </is>
      </c>
      <c r="L104" t="inlineStr">
        <is>
          <t>1999</t>
        </is>
      </c>
      <c r="M104" t="inlineStr">
        <is>
          <t>SOURCED_YEAR</t>
        </is>
      </c>
      <c r="N104" t="inlineStr">
        <is>
          <t>2026-10-12</t>
        </is>
      </c>
      <c r="O104" t="inlineStr">
        <is>
          <t>2026-10-12</t>
        </is>
      </c>
      <c r="P104" t="inlineStr">
        <is>
          <t>GIIGNL (used only where no official figure was opened; named as publisher)</t>
        </is>
      </c>
      <c r="Q104" t="inlineStr">
        <is>
          <t>GIIGNL Annual Report 2026 edition (2025 data): liquefaction plants table and 'Liquefaction' regional sections</t>
        </is>
      </c>
      <c r="R104" t="inlineStr">
        <is>
          <t>https://giignl-documents.s3.fr-par.scw.cloud/public/giignl-2026-annual-report.pdf</t>
        </is>
      </c>
      <c r="S104" t="inlineStr">
        <is>
          <t>2026-05-20</t>
        </is>
      </c>
      <c r="T104" t="inlineStr">
        <is>
          <t>SOURCED</t>
        </is>
      </c>
      <c r="U104" t="inlineStr">
        <is>
          <t>GIIGNL 2026: Train 1 shut down for insufficient feedgas ('mothballed'). Offline for the whole window. [capacity_bcfd DERIVED: mtpa x 1.36 bcm/y x 35.3147 / 365.25 = 0.1315 Bcf/d per mtpa]</t>
        </is>
      </c>
    </row>
    <row r="105">
      <c r="A105" t="inlineStr">
        <is>
          <t>Global supply</t>
        </is>
      </c>
      <c r="B105" t="inlineStr">
        <is>
          <t>Yemen</t>
        </is>
      </c>
      <c r="C105" t="inlineStr">
        <is>
          <t>liquefaction_train</t>
        </is>
      </c>
      <c r="D105" t="inlineStr">
        <is>
          <t>Balhaf LNG (2 trains)</t>
        </is>
      </c>
      <c r="E105" t="inlineStr">
        <is>
          <t>Yemen LNG</t>
        </is>
      </c>
      <c r="F105" t="inlineStr">
        <is>
          <t>liquefaction</t>
        </is>
      </c>
      <c r="G105" t="n">
        <v>7.2</v>
      </c>
      <c r="H105" t="inlineStr">
        <is>
          <t>mtpa</t>
        </is>
      </c>
      <c r="J105" t="n">
        <v>0.9468</v>
      </c>
      <c r="K105" t="inlineStr">
        <is>
          <t>SUSPENDED</t>
        </is>
      </c>
      <c r="L105" t="inlineStr">
        <is>
          <t>2009</t>
        </is>
      </c>
      <c r="M105" t="inlineStr">
        <is>
          <t>SOURCED_YEAR</t>
        </is>
      </c>
      <c r="N105" t="inlineStr">
        <is>
          <t>2026-10-12</t>
        </is>
      </c>
      <c r="O105" t="inlineStr">
        <is>
          <t>2026-10-12</t>
        </is>
      </c>
      <c r="P105" t="inlineStr">
        <is>
          <t>GIIGNL (used only where no official figure was opened; named as publisher)</t>
        </is>
      </c>
      <c r="Q105" t="inlineStr">
        <is>
          <t>GIIGNL Annual Report 2026 edition (2025 data): liquefaction plants table and 'Liquefaction' regional sections</t>
        </is>
      </c>
      <c r="R105" t="inlineStr">
        <is>
          <t>https://giignl-documents.s3.fr-par.scw.cloud/public/giignl-2026-annual-report.pdf</t>
        </is>
      </c>
      <c r="S105" t="inlineStr">
        <is>
          <t>2026-05-20</t>
        </is>
      </c>
      <c r="T105" t="inlineStr">
        <is>
          <t>SOURCED</t>
        </is>
      </c>
      <c r="U105" t="inlineStr">
        <is>
          <t>Shut since 2015 under force majeure, no restart announced (GIIGNL plants table 2 x 3.6; its text says 6.7 mtpa). [capacity_bcfd DERIVED: mtpa x 1.36 bcm/y x 35.3147 / 365.25 = 0.1315 Bcf/d per mtpa]</t>
        </is>
      </c>
    </row>
    <row r="106">
      <c r="A106" t="inlineStr">
        <is>
          <t>Global supply</t>
        </is>
      </c>
      <c r="B106" t="inlineStr">
        <is>
          <t>Oman</t>
        </is>
      </c>
      <c r="C106" t="inlineStr">
        <is>
          <t>liquefaction_train</t>
        </is>
      </c>
      <c r="D106" t="inlineStr">
        <is>
          <t>Oman LNG (Qalhat), Trains 1-2 and Qalhat LNG</t>
        </is>
      </c>
      <c r="E106" t="inlineStr">
        <is>
          <t>Oman LNG</t>
        </is>
      </c>
      <c r="F106" t="inlineStr">
        <is>
          <t>liquefaction</t>
        </is>
      </c>
      <c r="G106" t="n">
        <v>11.5</v>
      </c>
      <c r="H106" t="inlineStr">
        <is>
          <t>mtpa</t>
        </is>
      </c>
      <c r="J106" t="n">
        <v>1.5123</v>
      </c>
      <c r="K106" t="inlineStr">
        <is>
          <t>OPERATING</t>
        </is>
      </c>
      <c r="L106" t="inlineStr">
        <is>
          <t>2000</t>
        </is>
      </c>
      <c r="M106" t="inlineStr">
        <is>
          <t>SOURCED_YEAR</t>
        </is>
      </c>
      <c r="N106" t="inlineStr">
        <is>
          <t>2026-10-12</t>
        </is>
      </c>
      <c r="O106" t="inlineStr">
        <is>
          <t>2026-10-12</t>
        </is>
      </c>
      <c r="P106" t="inlineStr">
        <is>
          <t>GIIGNL (used only where no official figure was opened; named as publisher)</t>
        </is>
      </c>
      <c r="Q106" t="inlineStr">
        <is>
          <t>GIIGNL Annual Report 2026 edition (2025 data): liquefaction plants table and 'Liquefaction' regional sections</t>
        </is>
      </c>
      <c r="R106" t="inlineStr">
        <is>
          <t>https://giignl-documents.s3.fr-par.scw.cloud/public/giignl-2026-annual-report.pdf</t>
        </is>
      </c>
      <c r="S106" t="inlineStr">
        <is>
          <t>2026-05-20</t>
        </is>
      </c>
      <c r="T106" t="inlineStr">
        <is>
          <t>SOURCED</t>
        </is>
      </c>
      <c r="U106" t="inlineStr">
        <is>
          <t>3.9 + 3.9 + 3.7 (GIIGNL). Oman's export port is outside the Strait of Hormuz. [capacity_bcfd DERIVED: mtpa x 1.36 bcm/y x 35.3147 / 365.25 = 0.1315 Bcf/d per mtpa]</t>
        </is>
      </c>
    </row>
    <row r="107">
      <c r="A107" t="inlineStr">
        <is>
          <t>Global supply</t>
        </is>
      </c>
      <c r="B107" t="inlineStr">
        <is>
          <t>Oman</t>
        </is>
      </c>
      <c r="C107" t="inlineStr">
        <is>
          <t>liquefaction_train</t>
        </is>
      </c>
      <c r="D107" t="inlineStr">
        <is>
          <t>Marsa LNG (1 mtpa)</t>
        </is>
      </c>
      <c r="E107" t="inlineStr">
        <is>
          <t>TotalEnergies (80%) / OQ</t>
        </is>
      </c>
      <c r="F107" t="inlineStr">
        <is>
          <t>liquefaction</t>
        </is>
      </c>
      <c r="G107" t="n">
        <v>1</v>
      </c>
      <c r="H107" t="inlineStr">
        <is>
          <t>mtpa</t>
        </is>
      </c>
      <c r="J107" t="n">
        <v>0.1315</v>
      </c>
      <c r="K107" t="inlineStr">
        <is>
          <t>UNDER_CONSTRUCTION</t>
        </is>
      </c>
      <c r="L107" t="inlineStr">
        <is>
          <t>2028</t>
        </is>
      </c>
      <c r="M107" t="inlineStr">
        <is>
          <t>SOURCED_YEAR</t>
        </is>
      </c>
      <c r="N107" t="inlineStr">
        <is>
          <t>2026-10-12</t>
        </is>
      </c>
      <c r="O107" t="inlineStr">
        <is>
          <t>2026-10-12</t>
        </is>
      </c>
      <c r="P107" t="inlineStr">
        <is>
          <t>GIIGNL (used only where no official figure was opened; named as publisher)</t>
        </is>
      </c>
      <c r="Q107" t="inlineStr">
        <is>
          <t>GIIGNL Annual Report 2026 edition (2025 data): liquefaction plants table and 'Liquefaction' regional sections</t>
        </is>
      </c>
      <c r="R107" t="inlineStr">
        <is>
          <t>https://giignl-documents.s3.fr-par.scw.cloud/public/giignl-2026-annual-report.pdf</t>
        </is>
      </c>
      <c r="S107" t="inlineStr">
        <is>
          <t>2026-05-20</t>
        </is>
      </c>
      <c r="T107" t="inlineStr">
        <is>
          <t>SOURCED</t>
        </is>
      </c>
      <c r="U107" t="inlineStr">
        <is>
          <t>GIIGNL 2026: FID April 2024, production expected 2028. [capacity_bcfd DERIVED: mtpa x 1.36 bcm/y x 35.3147 / 365.25 = 0.1315 Bcf/d per mtpa]</t>
        </is>
      </c>
    </row>
    <row r="108">
      <c r="A108" t="inlineStr">
        <is>
          <t>Global supply</t>
        </is>
      </c>
      <c r="B108" t="inlineStr">
        <is>
          <t>United Arab Emirates</t>
        </is>
      </c>
      <c r="C108" t="inlineStr">
        <is>
          <t>liquefaction_train</t>
        </is>
      </c>
      <c r="D108" t="inlineStr">
        <is>
          <t>Das Island LNG (3 trains)</t>
        </is>
      </c>
      <c r="E108" t="inlineStr">
        <is>
          <t>ADNOC LNG</t>
        </is>
      </c>
      <c r="F108" t="inlineStr">
        <is>
          <t>liquefaction</t>
        </is>
      </c>
      <c r="G108" t="n">
        <v>5.8</v>
      </c>
      <c r="H108" t="inlineStr">
        <is>
          <t>mtpa</t>
        </is>
      </c>
      <c r="J108" t="n">
        <v>0.7627</v>
      </c>
      <c r="K108" t="inlineStr">
        <is>
          <t>OPERATING</t>
        </is>
      </c>
      <c r="L108" t="inlineStr">
        <is>
          <t>1977</t>
        </is>
      </c>
      <c r="M108" t="inlineStr">
        <is>
          <t>SOURCED_YEAR</t>
        </is>
      </c>
      <c r="N108" t="inlineStr">
        <is>
          <t>2026-10-12</t>
        </is>
      </c>
      <c r="O108" t="inlineStr">
        <is>
          <t>2026-10-12</t>
        </is>
      </c>
      <c r="P108" t="inlineStr">
        <is>
          <t>GIIGNL (used only where no official figure was opened; named as publisher)</t>
        </is>
      </c>
      <c r="Q108" t="inlineStr">
        <is>
          <t>GIIGNL Annual Report 2026 edition (2025 data): liquefaction plants table and 'Liquefaction' regional sections</t>
        </is>
      </c>
      <c r="R108" t="inlineStr">
        <is>
          <t>https://giignl-documents.s3.fr-par.scw.cloud/public/giignl-2026-annual-report.pdf</t>
        </is>
      </c>
      <c r="S108" t="inlineStr">
        <is>
          <t>2026-05-20</t>
        </is>
      </c>
      <c r="T108" t="inlineStr">
        <is>
          <t>SOURCED</t>
        </is>
      </c>
      <c r="U108" t="inlineStr">
        <is>
          <t>1.3 + 1.3 + 3.2 (GIIGNL). Export routes depend on the Strait of Hormuz, which was disrupted in 2026 (DISR REQ Sep 2026): nameplate unchanged, exports constrained. [capacity_bcfd DERIVED: mtpa x 1.36 bcm/y x 35.3147 / 365.25 = 0.1315 Bcf/d per mtpa]</t>
        </is>
      </c>
    </row>
    <row r="109">
      <c r="A109" t="inlineStr">
        <is>
          <t>Global supply</t>
        </is>
      </c>
      <c r="B109" t="inlineStr">
        <is>
          <t>United Arab Emirates</t>
        </is>
      </c>
      <c r="C109" t="inlineStr">
        <is>
          <t>liquefaction_train</t>
        </is>
      </c>
      <c r="D109" t="inlineStr">
        <is>
          <t>Ruwais LNG (2 trains)</t>
        </is>
      </c>
      <c r="E109" t="inlineStr">
        <is>
          <t>ADNOC Gas (ADNOC 60%)</t>
        </is>
      </c>
      <c r="F109" t="inlineStr">
        <is>
          <t>liquefaction</t>
        </is>
      </c>
      <c r="G109" t="n">
        <v>9.6</v>
      </c>
      <c r="H109" t="inlineStr">
        <is>
          <t>mtpa</t>
        </is>
      </c>
      <c r="J109" t="n">
        <v>1.2624</v>
      </c>
      <c r="K109" t="inlineStr">
        <is>
          <t>UNDER_CONSTRUCTION</t>
        </is>
      </c>
      <c r="L109" t="inlineStr">
        <is>
          <t>2028</t>
        </is>
      </c>
      <c r="M109" t="inlineStr">
        <is>
          <t>SOURCED_YEAR</t>
        </is>
      </c>
      <c r="N109" t="inlineStr">
        <is>
          <t>2026-10-12</t>
        </is>
      </c>
      <c r="O109" t="inlineStr">
        <is>
          <t>2026-10-12</t>
        </is>
      </c>
      <c r="P109" t="inlineStr">
        <is>
          <t>GIIGNL (used only where no official figure was opened; named as publisher)</t>
        </is>
      </c>
      <c r="Q109" t="inlineStr">
        <is>
          <t>GIIGNL Annual Report 2026 edition (2025 data): liquefaction plants table and 'Liquefaction' regional sections</t>
        </is>
      </c>
      <c r="R109" t="inlineStr">
        <is>
          <t>https://giignl-documents.s3.fr-par.scw.cloud/public/giignl-2026-annual-report.pdf</t>
        </is>
      </c>
      <c r="S109" t="inlineStr">
        <is>
          <t>2026-05-20</t>
        </is>
      </c>
      <c r="T109" t="inlineStr">
        <is>
          <t>SOURCED</t>
        </is>
      </c>
      <c r="U109" t="inlineStr">
        <is>
          <t>GIIGNL 2026: FID June 2024, 9.6 MTPA, start-up expected 2028. Export routes depend on the Strait of Hormuz, which was disrupted in 2026 (DISR REQ Sep 2026): nameplate unchanged, exports constrained. [capacity_bcfd DERIVED: mtpa x 1.36 bcm/y x 35.3147 / 365.25 = 0.1315 Bcf/d per mtpa]</t>
        </is>
      </c>
    </row>
    <row r="110">
      <c r="A110" t="inlineStr">
        <is>
          <t>Global supply</t>
        </is>
      </c>
      <c r="B110" t="inlineStr">
        <is>
          <t>Malaysia</t>
        </is>
      </c>
      <c r="C110" t="inlineStr">
        <is>
          <t>liquefaction_train</t>
        </is>
      </c>
      <c r="D110" t="inlineStr">
        <is>
          <t>PETRONAS LNG complex (Bintulu, MLNG T1-T9) and PFLNG Satu / Dua</t>
        </is>
      </c>
      <c r="E110" t="inlineStr">
        <is>
          <t>PETRONAS</t>
        </is>
      </c>
      <c r="F110" t="inlineStr">
        <is>
          <t>liquefaction</t>
        </is>
      </c>
      <c r="G110" t="n">
        <v>32.1</v>
      </c>
      <c r="H110" t="inlineStr">
        <is>
          <t>mtpa</t>
        </is>
      </c>
      <c r="J110" t="n">
        <v>4.2212</v>
      </c>
      <c r="K110" t="inlineStr">
        <is>
          <t>OPERATING</t>
        </is>
      </c>
      <c r="L110" t="inlineStr">
        <is>
          <t>1983</t>
        </is>
      </c>
      <c r="M110" t="inlineStr">
        <is>
          <t>SOURCED_YEAR</t>
        </is>
      </c>
      <c r="N110" t="inlineStr">
        <is>
          <t>2026-10-12</t>
        </is>
      </c>
      <c r="O110" t="inlineStr">
        <is>
          <t>2026-10-12</t>
        </is>
      </c>
      <c r="P110" t="inlineStr">
        <is>
          <t>GIIGNL (used only where no official figure was opened; named as publisher)</t>
        </is>
      </c>
      <c r="Q110" t="inlineStr">
        <is>
          <t>GIIGNL Annual Report 2026 edition (2025 data): liquefaction plants table and 'Liquefaction' regional sections</t>
        </is>
      </c>
      <c r="R110" t="inlineStr">
        <is>
          <t>https://giignl-documents.s3.fr-par.scw.cloud/public/giignl-2026-annual-report.pdf</t>
        </is>
      </c>
      <c r="S110" t="inlineStr">
        <is>
          <t>2026-05-20</t>
        </is>
      </c>
      <c r="T110" t="inlineStr">
        <is>
          <t>SOURCED</t>
        </is>
      </c>
      <c r="U110" t="inlineStr">
        <is>
          <t>MLNG 29.4 (2.8x3 + 3.2x3 + 3.9x2 + 3.6) + PFLNG Satu 1.2 + Dua 1.5 (GIIGNL; its Malaysia total 32.0). [capacity_bcfd DERIVED: mtpa x 1.36 bcm/y x 35.3147 / 365.25 = 0.1315 Bcf/d per mtpa]</t>
        </is>
      </c>
    </row>
    <row r="111">
      <c r="A111" t="inlineStr">
        <is>
          <t>Global supply</t>
        </is>
      </c>
      <c r="B111" t="inlineStr">
        <is>
          <t>Brunei</t>
        </is>
      </c>
      <c r="C111" t="inlineStr">
        <is>
          <t>liquefaction_train</t>
        </is>
      </c>
      <c r="D111" t="inlineStr">
        <is>
          <t>Brunei LNG (5 trains)</t>
        </is>
      </c>
      <c r="E111" t="inlineStr">
        <is>
          <t>Brunei LNG</t>
        </is>
      </c>
      <c r="F111" t="inlineStr">
        <is>
          <t>liquefaction</t>
        </is>
      </c>
      <c r="G111" t="n">
        <v>7</v>
      </c>
      <c r="H111" t="inlineStr">
        <is>
          <t>mtpa</t>
        </is>
      </c>
      <c r="J111" t="n">
        <v>0.9205</v>
      </c>
      <c r="K111" t="inlineStr">
        <is>
          <t>OPERATING</t>
        </is>
      </c>
      <c r="L111" t="inlineStr">
        <is>
          <t>1973</t>
        </is>
      </c>
      <c r="M111" t="inlineStr">
        <is>
          <t>SOURCED_YEAR</t>
        </is>
      </c>
      <c r="N111" t="inlineStr">
        <is>
          <t>2026-10-12</t>
        </is>
      </c>
      <c r="O111" t="inlineStr">
        <is>
          <t>2026-10-12</t>
        </is>
      </c>
      <c r="P111" t="inlineStr">
        <is>
          <t>GIIGNL (used only where no official figure was opened; named as publisher)</t>
        </is>
      </c>
      <c r="Q111" t="inlineStr">
        <is>
          <t>GIIGNL Annual Report 2026 edition (2025 data): liquefaction plants table and 'Liquefaction' regional sections</t>
        </is>
      </c>
      <c r="R111" t="inlineStr">
        <is>
          <t>https://giignl-documents.s3.fr-par.scw.cloud/public/giignl-2026-annual-report.pdf</t>
        </is>
      </c>
      <c r="S111" t="inlineStr">
        <is>
          <t>2026-05-20</t>
        </is>
      </c>
      <c r="T111" t="inlineStr">
        <is>
          <t>SOURCED</t>
        </is>
      </c>
      <c r="U111" t="inlineStr">
        <is>
          <t>5 x 1.4 (GIIGNL). [capacity_bcfd DERIVED: mtpa x 1.36 bcm/y x 35.3147 / 365.25 = 0.1315 Bcf/d per mtpa]</t>
        </is>
      </c>
    </row>
    <row r="112">
      <c r="A112" t="inlineStr">
        <is>
          <t>Global supply</t>
        </is>
      </c>
      <c r="B112" t="inlineStr">
        <is>
          <t>Indonesia</t>
        </is>
      </c>
      <c r="C112" t="inlineStr">
        <is>
          <t>liquefaction_train</t>
        </is>
      </c>
      <c r="D112" t="inlineStr">
        <is>
          <t>Tangguh LNG, Trains 1-3</t>
        </is>
      </c>
      <c r="E112" t="inlineStr">
        <is>
          <t>bp (Berau)</t>
        </is>
      </c>
      <c r="F112" t="inlineStr">
        <is>
          <t>liquefaction</t>
        </is>
      </c>
      <c r="G112" t="n">
        <v>11.4</v>
      </c>
      <c r="H112" t="inlineStr">
        <is>
          <t>mtpa</t>
        </is>
      </c>
      <c r="J112" t="n">
        <v>1.4991</v>
      </c>
      <c r="K112" t="inlineStr">
        <is>
          <t>OPERATING</t>
        </is>
      </c>
      <c r="L112" t="inlineStr">
        <is>
          <t>2009</t>
        </is>
      </c>
      <c r="M112" t="inlineStr">
        <is>
          <t>SOURCED_YEAR</t>
        </is>
      </c>
      <c r="N112" t="inlineStr">
        <is>
          <t>2026-10-12</t>
        </is>
      </c>
      <c r="O112" t="inlineStr">
        <is>
          <t>2026-10-12</t>
        </is>
      </c>
      <c r="P112" t="inlineStr">
        <is>
          <t>GIIGNL (used only where no official figure was opened; named as publisher)</t>
        </is>
      </c>
      <c r="Q112" t="inlineStr">
        <is>
          <t>GIIGNL Annual Report 2026 edition (2025 data): liquefaction plants table and 'Liquefaction' regional sections</t>
        </is>
      </c>
      <c r="R112" t="inlineStr">
        <is>
          <t>https://giignl-documents.s3.fr-par.scw.cloud/public/giignl-2026-annual-report.pdf</t>
        </is>
      </c>
      <c r="S112" t="inlineStr">
        <is>
          <t>2026-05-20</t>
        </is>
      </c>
      <c r="T112" t="inlineStr">
        <is>
          <t>SOURCED</t>
        </is>
      </c>
      <c r="U112" t="inlineStr">
        <is>
          <t>3 x 3.8; Train 3 started 2023 (GIIGNL). [capacity_bcfd DERIVED: mtpa x 1.36 bcm/y x 35.3147 / 365.25 = 0.1315 Bcf/d per mtpa]</t>
        </is>
      </c>
    </row>
    <row r="113">
      <c r="A113" t="inlineStr">
        <is>
          <t>Global supply</t>
        </is>
      </c>
      <c r="B113" t="inlineStr">
        <is>
          <t>Indonesia</t>
        </is>
      </c>
      <c r="C113" t="inlineStr">
        <is>
          <t>liquefaction_train</t>
        </is>
      </c>
      <c r="D113" t="inlineStr">
        <is>
          <t>Donggi-Senoro LNG</t>
        </is>
      </c>
      <c r="E113" t="inlineStr">
        <is>
          <t>Donggi-Senoro LNG</t>
        </is>
      </c>
      <c r="F113" t="inlineStr">
        <is>
          <t>liquefaction</t>
        </is>
      </c>
      <c r="G113" t="n">
        <v>2</v>
      </c>
      <c r="H113" t="inlineStr">
        <is>
          <t>mtpa</t>
        </is>
      </c>
      <c r="J113" t="n">
        <v>0.263</v>
      </c>
      <c r="K113" t="inlineStr">
        <is>
          <t>OPERATING</t>
        </is>
      </c>
      <c r="L113" t="inlineStr">
        <is>
          <t>2015</t>
        </is>
      </c>
      <c r="M113" t="inlineStr">
        <is>
          <t>SOURCED_YEAR</t>
        </is>
      </c>
      <c r="N113" t="inlineStr">
        <is>
          <t>2026-10-12</t>
        </is>
      </c>
      <c r="O113" t="inlineStr">
        <is>
          <t>2026-10-12</t>
        </is>
      </c>
      <c r="P113" t="inlineStr">
        <is>
          <t>GIIGNL (used only where no official figure was opened; named as publisher)</t>
        </is>
      </c>
      <c r="Q113" t="inlineStr">
        <is>
          <t>GIIGNL Annual Report 2026 edition (2025 data): liquefaction plants table and 'Liquefaction' regional sections</t>
        </is>
      </c>
      <c r="R113" t="inlineStr">
        <is>
          <t>https://giignl-documents.s3.fr-par.scw.cloud/public/giignl-2026-annual-report.pdf</t>
        </is>
      </c>
      <c r="S113" t="inlineStr">
        <is>
          <t>2026-05-20</t>
        </is>
      </c>
      <c r="T113" t="inlineStr">
        <is>
          <t>SOURCED</t>
        </is>
      </c>
      <c r="U113" t="inlineStr">
        <is>
          <t>GIIGNL plants table. [capacity_bcfd DERIVED: mtpa x 1.36 bcm/y x 35.3147 / 365.25 = 0.1315 Bcf/d per mtpa]</t>
        </is>
      </c>
    </row>
    <row r="114">
      <c r="A114" t="inlineStr">
        <is>
          <t>Global supply</t>
        </is>
      </c>
      <c r="B114" t="inlineStr">
        <is>
          <t>Indonesia</t>
        </is>
      </c>
      <c r="C114" t="inlineStr">
        <is>
          <t>liquefaction_train</t>
        </is>
      </c>
      <c r="D114" t="inlineStr">
        <is>
          <t>Bontang LNG (Train E on standby, F-H operating)</t>
        </is>
      </c>
      <c r="E114" t="inlineStr">
        <is>
          <t>Pertamina</t>
        </is>
      </c>
      <c r="F114" t="inlineStr">
        <is>
          <t>liquefaction</t>
        </is>
      </c>
      <c r="G114" t="n">
        <v>11.5</v>
      </c>
      <c r="H114" t="inlineStr">
        <is>
          <t>mtpa</t>
        </is>
      </c>
      <c r="J114" t="n">
        <v>1.5123</v>
      </c>
      <c r="K114" t="inlineStr">
        <is>
          <t>OPERATING</t>
        </is>
      </c>
      <c r="L114" t="inlineStr">
        <is>
          <t>1977</t>
        </is>
      </c>
      <c r="M114" t="inlineStr">
        <is>
          <t>SOURCED_YEAR</t>
        </is>
      </c>
      <c r="N114" t="inlineStr">
        <is>
          <t>2026-10-12</t>
        </is>
      </c>
      <c r="O114" t="inlineStr">
        <is>
          <t>2026-10-12</t>
        </is>
      </c>
      <c r="P114" t="inlineStr">
        <is>
          <t>GIIGNL (used only where no official figure was opened; named as publisher)</t>
        </is>
      </c>
      <c r="Q114" t="inlineStr">
        <is>
          <t>GIIGNL Annual Report 2026 edition (2025 data): liquefaction plants table and 'Liquefaction' regional sections</t>
        </is>
      </c>
      <c r="R114" t="inlineStr">
        <is>
          <t>https://giignl-documents.s3.fr-par.scw.cloud/public/giignl-2026-annual-report.pdf</t>
        </is>
      </c>
      <c r="S114" t="inlineStr">
        <is>
          <t>2026-05-20</t>
        </is>
      </c>
      <c r="T114" t="inlineStr">
        <is>
          <t>DERIVED</t>
        </is>
      </c>
      <c r="U114" t="inlineStr">
        <is>
          <t>DERIVED: GIIGNL Indonesia total 24.9 less Tangguh 11.4 less Donggi-Senoro 2.0. Only Trains G and H operating on limited feedgas (GIIGNL). [capacity_bcfd DERIVED: mtpa x 1.36 bcm/y x 35.3147 / 365.25 = 0.1315 Bcf/d per mtpa]</t>
        </is>
      </c>
    </row>
    <row r="115">
      <c r="A115" t="inlineStr">
        <is>
          <t>Global supply</t>
        </is>
      </c>
      <c r="B115" t="inlineStr">
        <is>
          <t>Indonesia</t>
        </is>
      </c>
      <c r="C115" t="inlineStr">
        <is>
          <t>liquefaction_train</t>
        </is>
      </c>
      <c r="D115" t="inlineStr">
        <is>
          <t>Abadi LNG (Masela)</t>
        </is>
      </c>
      <c r="E115" t="inlineStr">
        <is>
          <t>INPEX / Pertamina / PETRONAS</t>
        </is>
      </c>
      <c r="F115" t="inlineStr">
        <is>
          <t>liquefaction</t>
        </is>
      </c>
      <c r="G115" t="n">
        <v>9.5</v>
      </c>
      <c r="H115" t="inlineStr">
        <is>
          <t>mtpa</t>
        </is>
      </c>
      <c r="J115" t="n">
        <v>1.2492</v>
      </c>
      <c r="K115" t="inlineStr">
        <is>
          <t>PLANNED</t>
        </is>
      </c>
      <c r="M115" t="inlineStr">
        <is>
          <t>NOT_STATED</t>
        </is>
      </c>
      <c r="N115" t="inlineStr">
        <is>
          <t>2026-10-12</t>
        </is>
      </c>
      <c r="O115" t="inlineStr">
        <is>
          <t>2026-10-12</t>
        </is>
      </c>
      <c r="P115" t="inlineStr">
        <is>
          <t>GIIGNL (used only where no official figure was opened; named as publisher)</t>
        </is>
      </c>
      <c r="Q115" t="inlineStr">
        <is>
          <t>GIIGNL Annual Report 2026 edition (2025 data): liquefaction plants table and 'Liquefaction' regional sections</t>
        </is>
      </c>
      <c r="R115" t="inlineStr">
        <is>
          <t>https://giignl-documents.s3.fr-par.scw.cloud/public/giignl-2026-annual-report.pdf</t>
        </is>
      </c>
      <c r="S115" t="inlineStr">
        <is>
          <t>2026-05-20</t>
        </is>
      </c>
      <c r="T115" t="inlineStr">
        <is>
          <t>SOURCED</t>
        </is>
      </c>
      <c r="U115" t="inlineStr">
        <is>
          <t>GIIGNL 2026: environmental approval granted, FEED completion expected end-2026; 9.5 MTPA design. No FID or start date. [capacity_bcfd DERIVED: mtpa x 1.36 bcm/y x 35.3147 / 365.25 = 0.1315 Bcf/d per mtpa]</t>
        </is>
      </c>
    </row>
    <row r="116">
      <c r="A116" t="inlineStr">
        <is>
          <t>Global supply</t>
        </is>
      </c>
      <c r="B116" t="inlineStr">
        <is>
          <t>Papua New Guinea</t>
        </is>
      </c>
      <c r="C116" t="inlineStr">
        <is>
          <t>liquefaction_train</t>
        </is>
      </c>
      <c r="D116" t="inlineStr">
        <is>
          <t>PNG LNG (2 trains)</t>
        </is>
      </c>
      <c r="E116" t="inlineStr">
        <is>
          <t>ExxonMobil / Santos</t>
        </is>
      </c>
      <c r="F116" t="inlineStr">
        <is>
          <t>liquefaction</t>
        </is>
      </c>
      <c r="G116" t="n">
        <v>8.300000000000001</v>
      </c>
      <c r="H116" t="inlineStr">
        <is>
          <t>mtpa</t>
        </is>
      </c>
      <c r="J116" t="n">
        <v>1.0915</v>
      </c>
      <c r="K116" t="inlineStr">
        <is>
          <t>OPERATING</t>
        </is>
      </c>
      <c r="L116" t="inlineStr">
        <is>
          <t>2014</t>
        </is>
      </c>
      <c r="M116" t="inlineStr">
        <is>
          <t>SOURCED_YEAR</t>
        </is>
      </c>
      <c r="N116" t="inlineStr">
        <is>
          <t>2026-10-12</t>
        </is>
      </c>
      <c r="O116" t="inlineStr">
        <is>
          <t>2026-10-12</t>
        </is>
      </c>
      <c r="P116" t="inlineStr">
        <is>
          <t>GIIGNL (used only where no official figure was opened; named as publisher)</t>
        </is>
      </c>
      <c r="Q116" t="inlineStr">
        <is>
          <t>GIIGNL Annual Report 2026 edition (2025 data): liquefaction plants table and 'Liquefaction' regional sections</t>
        </is>
      </c>
      <c r="R116" t="inlineStr">
        <is>
          <t>https://giignl-documents.s3.fr-par.scw.cloud/public/giignl-2026-annual-report.pdf</t>
        </is>
      </c>
      <c r="S116" t="inlineStr">
        <is>
          <t>2026-05-20</t>
        </is>
      </c>
      <c r="T116" t="inlineStr">
        <is>
          <t>SOURCED</t>
        </is>
      </c>
      <c r="U116" t="inlineStr">
        <is>
          <t>GIIGNL total 8.3 (trains 4.1 + 4.1 in its table). [capacity_bcfd DERIVED: mtpa x 1.36 bcm/y x 35.3147 / 365.25 = 0.1315 Bcf/d per mtpa]</t>
        </is>
      </c>
    </row>
    <row r="117">
      <c r="A117" t="inlineStr">
        <is>
          <t>Global supply</t>
        </is>
      </c>
      <c r="B117" t="inlineStr">
        <is>
          <t>Argentina</t>
        </is>
      </c>
      <c r="C117" t="inlineStr">
        <is>
          <t>liquefaction_train</t>
        </is>
      </c>
      <c r="D117" t="inlineStr">
        <is>
          <t>Southern Energy (SESA) FLNG Hilli Episeyo (relocated from Cameroon)</t>
        </is>
      </c>
      <c r="E117" t="inlineStr">
        <is>
          <t>Southern Energy (PAE, YPF, Pampa, Harbour, Golar)</t>
        </is>
      </c>
      <c r="F117" t="inlineStr">
        <is>
          <t>liquefaction</t>
        </is>
      </c>
      <c r="G117" t="n">
        <v>2.45</v>
      </c>
      <c r="H117" t="inlineStr">
        <is>
          <t>mtpa</t>
        </is>
      </c>
      <c r="J117" t="n">
        <v>0.3222</v>
      </c>
      <c r="K117" t="inlineStr">
        <is>
          <t>FID</t>
        </is>
      </c>
      <c r="L117" t="inlineStr">
        <is>
          <t>2027</t>
        </is>
      </c>
      <c r="M117" t="inlineStr">
        <is>
          <t>SOURCED_YEAR</t>
        </is>
      </c>
      <c r="N117" t="inlineStr">
        <is>
          <t>2026-10-12</t>
        </is>
      </c>
      <c r="O117" t="inlineStr">
        <is>
          <t>2026-10-12</t>
        </is>
      </c>
      <c r="P117" t="inlineStr">
        <is>
          <t>Golar LNG</t>
        </is>
      </c>
      <c r="Q117" t="inlineStr">
        <is>
          <t>Interim results for the period ended June 30, 2026</t>
        </is>
      </c>
      <c r="R117" t="inlineStr">
        <is>
          <t>https://mfn.se/one/a/golar-lng/golar-lng-limited-interim-results-for-the-period-ended-june-30-2026-b168e773</t>
        </is>
      </c>
      <c r="S117" t="inlineStr">
        <is>
          <t>2026-08-13</t>
        </is>
      </c>
      <c r="T117" t="inlineStr">
        <is>
          <t>SOURCED</t>
        </is>
      </c>
      <c r="U117" t="inlineStr">
        <is>
          <t>Golar Q2 2026: 20-year contract commencing H2 2027; capacity 2.45 mtpa from GIIGNL 2026. [capacity_bcfd DERIVED: mtpa x 1.36 bcm/y x 35.3147 / 365.25 = 0.1315 Bcf/d per mtpa]</t>
        </is>
      </c>
    </row>
    <row r="118">
      <c r="A118" t="inlineStr">
        <is>
          <t>Global supply</t>
        </is>
      </c>
      <c r="B118" t="inlineStr">
        <is>
          <t>Argentina</t>
        </is>
      </c>
      <c r="C118" t="inlineStr">
        <is>
          <t>liquefaction_train</t>
        </is>
      </c>
      <c r="D118" t="inlineStr">
        <is>
          <t>Southern Energy (SESA) FLNG Esperanza (MKII)</t>
        </is>
      </c>
      <c r="E118" t="inlineStr">
        <is>
          <t>Southern Energy</t>
        </is>
      </c>
      <c r="F118" t="inlineStr">
        <is>
          <t>liquefaction</t>
        </is>
      </c>
      <c r="G118" t="n">
        <v>3.5</v>
      </c>
      <c r="H118" t="inlineStr">
        <is>
          <t>mtpa</t>
        </is>
      </c>
      <c r="J118" t="n">
        <v>0.4603</v>
      </c>
      <c r="K118" t="inlineStr">
        <is>
          <t>UNDER_CONSTRUCTION</t>
        </is>
      </c>
      <c r="L118" t="inlineStr">
        <is>
          <t>2028</t>
        </is>
      </c>
      <c r="M118" t="inlineStr">
        <is>
          <t>SOURCED_YEAR</t>
        </is>
      </c>
      <c r="N118" t="inlineStr">
        <is>
          <t>2026-10-12</t>
        </is>
      </c>
      <c r="O118" t="inlineStr">
        <is>
          <t>2026-10-12</t>
        </is>
      </c>
      <c r="P118" t="inlineStr">
        <is>
          <t>Golar LNG</t>
        </is>
      </c>
      <c r="Q118" t="inlineStr">
        <is>
          <t>Interim results for the period ended June 30, 2026</t>
        </is>
      </c>
      <c r="R118" t="inlineStr">
        <is>
          <t>https://mfn.se/one/a/golar-lng/golar-lng-limited-interim-results-for-the-period-ended-june-30-2026-b168e773</t>
        </is>
      </c>
      <c r="S118" t="inlineStr">
        <is>
          <t>2026-08-13</t>
        </is>
      </c>
      <c r="T118" t="inlineStr">
        <is>
          <t>SOURCED</t>
        </is>
      </c>
      <c r="U118" t="inlineStr">
        <is>
          <t>Golar Q2 2026: 3.5 MTPA MKII unit, conversion completes Q4 2027, contract start-up scheduled H2 2028. [capacity_bcfd DERIVED: mtpa x 1.36 bcm/y x 35.3147 / 365.25 = 0.1315 Bcf/d per mtpa]</t>
        </is>
      </c>
    </row>
    <row r="119">
      <c r="A119" t="inlineStr">
        <is>
          <t>Global supply</t>
        </is>
      </c>
      <c r="B119" t="inlineStr">
        <is>
          <t>Unallocated (FLNG)</t>
        </is>
      </c>
      <c r="C119" t="inlineStr">
        <is>
          <t>liquefaction_train</t>
        </is>
      </c>
      <c r="D119" t="inlineStr">
        <is>
          <t>Golar FLNG Four (MKII, no charter yet)</t>
        </is>
      </c>
      <c r="E119" t="inlineStr">
        <is>
          <t>Golar LNG</t>
        </is>
      </c>
      <c r="F119" t="inlineStr">
        <is>
          <t>liquefaction</t>
        </is>
      </c>
      <c r="G119" t="n">
        <v>3.5</v>
      </c>
      <c r="H119" t="inlineStr">
        <is>
          <t>mtpa</t>
        </is>
      </c>
      <c r="J119" t="n">
        <v>0.4603</v>
      </c>
      <c r="K119" t="inlineStr">
        <is>
          <t>FID</t>
        </is>
      </c>
      <c r="L119" t="inlineStr">
        <is>
          <t>2029</t>
        </is>
      </c>
      <c r="M119" t="inlineStr">
        <is>
          <t>SOURCED_YEAR</t>
        </is>
      </c>
      <c r="N119" t="inlineStr">
        <is>
          <t>2026-10-12</t>
        </is>
      </c>
      <c r="O119" t="inlineStr">
        <is>
          <t>2026-10-12</t>
        </is>
      </c>
      <c r="P119" t="inlineStr">
        <is>
          <t>Golar LNG</t>
        </is>
      </c>
      <c r="Q119" t="inlineStr">
        <is>
          <t>Interim results for the period ended June 30, 2026</t>
        </is>
      </c>
      <c r="R119" t="inlineStr">
        <is>
          <t>https://mfn.se/one/a/golar-lng/golar-lng-limited-interim-results-for-the-period-ended-june-30-2026-b168e773</t>
        </is>
      </c>
      <c r="S119" t="inlineStr">
        <is>
          <t>2026-08-13</t>
        </is>
      </c>
      <c r="T119" t="inlineStr">
        <is>
          <t>SOURCED</t>
        </is>
      </c>
      <c r="U119" t="inlineStr">
        <is>
          <t>Golar Q2 2026: EPC signed 12 Aug 2026 with CIMC Raffles, 3.5 MTPA, delivery expected by year-end 2029; no charter or site yet. [capacity_bcfd DERIVED: mtpa x 1.36 bcm/y x 35.3147 / 365.25 = 0.1315 Bcf/d per mtpa]</t>
        </is>
      </c>
    </row>
    <row r="120">
      <c r="A120" t="inlineStr">
        <is>
          <t>Global supply</t>
        </is>
      </c>
      <c r="B120" t="inlineStr">
        <is>
          <t>United States</t>
        </is>
      </c>
      <c r="C120" t="inlineStr">
        <is>
          <t>liquefaction_train</t>
        </is>
      </c>
      <c r="D120" t="inlineStr">
        <is>
          <t>Sabine Pass Stage 5 expansion (Train 7 + BOG re-liquefaction)</t>
        </is>
      </c>
      <c r="E120" t="inlineStr">
        <is>
          <t>Cheniere</t>
        </is>
      </c>
      <c r="F120" t="inlineStr">
        <is>
          <t>liquefaction</t>
        </is>
      </c>
      <c r="G120" t="n">
        <v>6</v>
      </c>
      <c r="H120" t="inlineStr">
        <is>
          <t>mtpa</t>
        </is>
      </c>
      <c r="J120" t="n">
        <v>0.789</v>
      </c>
      <c r="K120" t="inlineStr">
        <is>
          <t>PLANNED</t>
        </is>
      </c>
      <c r="M120" t="inlineStr">
        <is>
          <t>NOT_STATED</t>
        </is>
      </c>
      <c r="N120" t="inlineStr">
        <is>
          <t>2026-10-12</t>
        </is>
      </c>
      <c r="O120" t="inlineStr">
        <is>
          <t>2026-10-12</t>
        </is>
      </c>
      <c r="P120" t="inlineStr">
        <is>
          <t>Cheniere Energy</t>
        </is>
      </c>
      <c r="Q120" t="inlineStr">
        <is>
          <t>Cheniere Reports Second Quarter 2026 Results (Sabine Pass Stage 5 expansion)</t>
        </is>
      </c>
      <c r="R120" t="inlineStr">
        <is>
          <t>https://lngir.cheniere.com/_assets/_75dc2c9a1fb706f14e67cee93b0e9e5a/cheniere/news/2026-08-06_Cheniere_Reports_Second_Quarter_2026_Results_and_343.pdf</t>
        </is>
      </c>
      <c r="S120" t="inlineStr">
        <is>
          <t>2026-08-06</t>
        </is>
      </c>
      <c r="T120" t="inlineStr">
        <is>
          <t>SOURCED</t>
        </is>
      </c>
      <c r="U120" t="inlineStr">
        <is>
          <t>Cheniere Q2 2026: expected total production capacity of 'over 6 mtpa' (6.0 = the stated floor); FERC permit expected late 2026, FID early 2027; limited notice to proceed to Bechtel. [capacity_bcfd DERIVED: mtpa x 1.36 bcm/y x 35.3147 / 365.25 = 0.1315 Bcf/d per mtpa]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key</t>
        </is>
      </c>
      <c r="B1" s="5" t="inlineStr">
        <is>
          <t>field</t>
        </is>
      </c>
      <c r="C1" s="5" t="inlineStr">
        <is>
          <t>old</t>
        </is>
      </c>
      <c r="D1" s="5" t="inlineStr">
        <is>
          <t>new</t>
        </is>
      </c>
      <c r="E1" s="5" t="inlineStr">
        <is>
          <t>date_seen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5" t="inlineStr">
        <is>
          <t>Month</t>
        </is>
      </c>
      <c r="B1" s="5" t="inlineStr">
        <is>
          <t>Operating (mtpa)</t>
        </is>
      </c>
      <c r="C1" s="5" t="inlineStr">
        <is>
          <t>Offline: damaged / shut-in (mtpa)</t>
        </is>
      </c>
      <c r="D1" s="5" t="inlineStr">
        <is>
          <t>Under construction, by expected month (cum.)</t>
        </is>
      </c>
      <c r="E1" s="5" t="inlineStr">
        <is>
          <t>FID, by expected month (cum.)</t>
        </is>
      </c>
      <c r="F1" s="5" t="inlineStr">
        <is>
          <t>Total sourced nameplate = operating + UC + FID</t>
        </is>
      </c>
      <c r="G1" s="5" t="inlineStr">
        <is>
          <t>Planned / permitted with a date (cum.)</t>
        </is>
      </c>
      <c r="H1" s="5" t="inlineStr">
        <is>
          <t>Total incl. dated planned</t>
        </is>
      </c>
      <c r="I1" s="5" t="inlineStr">
        <is>
          <t>Undated under construction (memo, constant)</t>
        </is>
      </c>
      <c r="J1" s="5" t="inlineStr">
        <is>
          <t>Undated FID (memo, constant)</t>
        </is>
      </c>
      <c r="K1" s="5" t="inlineStr">
        <is>
          <t>Undated planned / permitted (memo, constant)</t>
        </is>
      </c>
      <c r="L1" s="5" t="inlineStr">
        <is>
          <t>Total sourced nameplate (Bcf/d, DERIVED)</t>
        </is>
      </c>
      <c r="M1" s="5" t="inlineStr">
        <is>
          <t>Operating + UC + FID, with ramp (mtpa, ASSUMPTION)</t>
        </is>
      </c>
      <c r="N1" s="5" t="inlineStr">
        <is>
          <t>Incl. dated planned, with ramp (mtpa, ASSUMPTION)</t>
        </is>
      </c>
      <c r="O1" s="5" t="inlineStr">
        <is>
          <t>Ramp months (ASSUMPTION, editable)</t>
        </is>
      </c>
    </row>
    <row r="2">
      <c r="A2" s="8" t="n">
        <v>44197</v>
      </c>
      <c r="B2" t="n">
        <v>447.41</v>
      </c>
      <c r="C2" t="n">
        <v>10.2</v>
      </c>
      <c r="D2" t="n">
        <v>0</v>
      </c>
      <c r="E2" t="n">
        <v>0</v>
      </c>
      <c r="F2" t="n">
        <v>447.41</v>
      </c>
      <c r="G2" t="n">
        <v>0</v>
      </c>
      <c r="H2" t="n">
        <v>447.41</v>
      </c>
      <c r="I2" t="n">
        <v>48</v>
      </c>
      <c r="J2" t="n">
        <v>14</v>
      </c>
      <c r="K2" t="n">
        <v>112.24</v>
      </c>
      <c r="L2" t="n">
        <v>58.834415</v>
      </c>
      <c r="M2">
        <f>B2+'Ramp calc'!AA4</f>
        <v/>
      </c>
      <c r="N2">
        <f>B2+'Ramp calc'!AA4+'Ramp calc'!AB4</f>
        <v/>
      </c>
      <c r="O2" s="6" t="n">
        <v>12</v>
      </c>
    </row>
    <row r="3">
      <c r="A3" s="8" t="n">
        <v>44228</v>
      </c>
      <c r="B3" t="n">
        <v>447.41</v>
      </c>
      <c r="C3" t="n">
        <v>10.2</v>
      </c>
      <c r="D3" t="n">
        <v>0</v>
      </c>
      <c r="E3" t="n">
        <v>0</v>
      </c>
      <c r="F3" t="n">
        <v>447.41</v>
      </c>
      <c r="G3" t="n">
        <v>0</v>
      </c>
      <c r="H3" t="n">
        <v>447.41</v>
      </c>
      <c r="I3" t="n">
        <v>48</v>
      </c>
      <c r="J3" t="n">
        <v>14</v>
      </c>
      <c r="K3" t="n">
        <v>112.24</v>
      </c>
      <c r="L3" t="n">
        <v>58.834415</v>
      </c>
      <c r="M3">
        <f>B3+'Ramp calc'!AA5</f>
        <v/>
      </c>
      <c r="N3">
        <f>B3+'Ramp calc'!AA5+'Ramp calc'!AB5</f>
        <v/>
      </c>
      <c r="O3" s="7" t="inlineStr">
        <is>
          <t>Used only in the 'with ramp' columns: each addition after the run month rises linearly from 0 to nameplate over this many months, starting in its start month.</t>
        </is>
      </c>
    </row>
    <row r="4">
      <c r="A4" s="8" t="n">
        <v>44256</v>
      </c>
      <c r="B4" t="n">
        <v>447.41</v>
      </c>
      <c r="C4" t="n">
        <v>10.2</v>
      </c>
      <c r="D4" t="n">
        <v>0</v>
      </c>
      <c r="E4" t="n">
        <v>0</v>
      </c>
      <c r="F4" t="n">
        <v>447.41</v>
      </c>
      <c r="G4" t="n">
        <v>0</v>
      </c>
      <c r="H4" t="n">
        <v>447.41</v>
      </c>
      <c r="I4" t="n">
        <v>48</v>
      </c>
      <c r="J4" t="n">
        <v>14</v>
      </c>
      <c r="K4" t="n">
        <v>112.24</v>
      </c>
      <c r="L4" t="n">
        <v>58.834415</v>
      </c>
      <c r="M4">
        <f>B4+'Ramp calc'!AA6</f>
        <v/>
      </c>
      <c r="N4">
        <f>B4+'Ramp calc'!AA6+'Ramp calc'!AB6</f>
        <v/>
      </c>
    </row>
    <row r="5">
      <c r="A5" s="8" t="n">
        <v>44287</v>
      </c>
      <c r="B5" t="n">
        <v>447.41</v>
      </c>
      <c r="C5" t="n">
        <v>10.2</v>
      </c>
      <c r="D5" t="n">
        <v>0</v>
      </c>
      <c r="E5" t="n">
        <v>0</v>
      </c>
      <c r="F5" t="n">
        <v>447.41</v>
      </c>
      <c r="G5" t="n">
        <v>0</v>
      </c>
      <c r="H5" t="n">
        <v>447.41</v>
      </c>
      <c r="I5" t="n">
        <v>48</v>
      </c>
      <c r="J5" t="n">
        <v>14</v>
      </c>
      <c r="K5" t="n">
        <v>112.24</v>
      </c>
      <c r="L5" t="n">
        <v>58.834415</v>
      </c>
      <c r="M5">
        <f>B5+'Ramp calc'!AA7</f>
        <v/>
      </c>
      <c r="N5">
        <f>B5+'Ramp calc'!AA7+'Ramp calc'!AB7</f>
        <v/>
      </c>
    </row>
    <row r="6">
      <c r="A6" s="8" t="n">
        <v>44317</v>
      </c>
      <c r="B6" t="n">
        <v>447.41</v>
      </c>
      <c r="C6" t="n">
        <v>10.2</v>
      </c>
      <c r="D6" t="n">
        <v>0</v>
      </c>
      <c r="E6" t="n">
        <v>0</v>
      </c>
      <c r="F6" t="n">
        <v>447.41</v>
      </c>
      <c r="G6" t="n">
        <v>0</v>
      </c>
      <c r="H6" t="n">
        <v>447.41</v>
      </c>
      <c r="I6" t="n">
        <v>48</v>
      </c>
      <c r="J6" t="n">
        <v>14</v>
      </c>
      <c r="K6" t="n">
        <v>112.24</v>
      </c>
      <c r="L6" t="n">
        <v>58.834415</v>
      </c>
      <c r="M6">
        <f>B6+'Ramp calc'!AA8</f>
        <v/>
      </c>
      <c r="N6">
        <f>B6+'Ramp calc'!AA8+'Ramp calc'!AB8</f>
        <v/>
      </c>
    </row>
    <row r="7">
      <c r="A7" s="8" t="n">
        <v>44348</v>
      </c>
      <c r="B7" t="n">
        <v>447.41</v>
      </c>
      <c r="C7" t="n">
        <v>10.2</v>
      </c>
      <c r="D7" t="n">
        <v>0</v>
      </c>
      <c r="E7" t="n">
        <v>0</v>
      </c>
      <c r="F7" t="n">
        <v>447.41</v>
      </c>
      <c r="G7" t="n">
        <v>0</v>
      </c>
      <c r="H7" t="n">
        <v>447.41</v>
      </c>
      <c r="I7" t="n">
        <v>48</v>
      </c>
      <c r="J7" t="n">
        <v>14</v>
      </c>
      <c r="K7" t="n">
        <v>112.24</v>
      </c>
      <c r="L7" t="n">
        <v>58.834415</v>
      </c>
      <c r="M7">
        <f>B7+'Ramp calc'!AA9</f>
        <v/>
      </c>
      <c r="N7">
        <f>B7+'Ramp calc'!AA9+'Ramp calc'!AB9</f>
        <v/>
      </c>
    </row>
    <row r="8">
      <c r="A8" s="8" t="n">
        <v>44378</v>
      </c>
      <c r="B8" t="n">
        <v>447.41</v>
      </c>
      <c r="C8" t="n">
        <v>10.2</v>
      </c>
      <c r="D8" t="n">
        <v>0</v>
      </c>
      <c r="E8" t="n">
        <v>0</v>
      </c>
      <c r="F8" t="n">
        <v>447.41</v>
      </c>
      <c r="G8" t="n">
        <v>0</v>
      </c>
      <c r="H8" t="n">
        <v>447.41</v>
      </c>
      <c r="I8" t="n">
        <v>48</v>
      </c>
      <c r="J8" t="n">
        <v>14</v>
      </c>
      <c r="K8" t="n">
        <v>112.24</v>
      </c>
      <c r="L8" t="n">
        <v>58.834415</v>
      </c>
      <c r="M8">
        <f>B8+'Ramp calc'!AA10</f>
        <v/>
      </c>
      <c r="N8">
        <f>B8+'Ramp calc'!AA10+'Ramp calc'!AB10</f>
        <v/>
      </c>
    </row>
    <row r="9">
      <c r="A9" s="8" t="n">
        <v>44409</v>
      </c>
      <c r="B9" t="n">
        <v>447.41</v>
      </c>
      <c r="C9" t="n">
        <v>10.2</v>
      </c>
      <c r="D9" t="n">
        <v>0</v>
      </c>
      <c r="E9" t="n">
        <v>0</v>
      </c>
      <c r="F9" t="n">
        <v>447.41</v>
      </c>
      <c r="G9" t="n">
        <v>0</v>
      </c>
      <c r="H9" t="n">
        <v>447.41</v>
      </c>
      <c r="I9" t="n">
        <v>48</v>
      </c>
      <c r="J9" t="n">
        <v>14</v>
      </c>
      <c r="K9" t="n">
        <v>112.24</v>
      </c>
      <c r="L9" t="n">
        <v>58.834415</v>
      </c>
      <c r="M9">
        <f>B9+'Ramp calc'!AA11</f>
        <v/>
      </c>
      <c r="N9">
        <f>B9+'Ramp calc'!AA11+'Ramp calc'!AB11</f>
        <v/>
      </c>
    </row>
    <row r="10">
      <c r="A10" s="8" t="n">
        <v>44440</v>
      </c>
      <c r="B10" t="n">
        <v>447.41</v>
      </c>
      <c r="C10" t="n">
        <v>10.2</v>
      </c>
      <c r="D10" t="n">
        <v>0</v>
      </c>
      <c r="E10" t="n">
        <v>0</v>
      </c>
      <c r="F10" t="n">
        <v>447.41</v>
      </c>
      <c r="G10" t="n">
        <v>0</v>
      </c>
      <c r="H10" t="n">
        <v>447.41</v>
      </c>
      <c r="I10" t="n">
        <v>48</v>
      </c>
      <c r="J10" t="n">
        <v>14</v>
      </c>
      <c r="K10" t="n">
        <v>112.24</v>
      </c>
      <c r="L10" t="n">
        <v>58.834415</v>
      </c>
      <c r="M10">
        <f>B10+'Ramp calc'!AA12</f>
        <v/>
      </c>
      <c r="N10">
        <f>B10+'Ramp calc'!AA12+'Ramp calc'!AB12</f>
        <v/>
      </c>
    </row>
    <row r="11">
      <c r="A11" s="8" t="n">
        <v>44470</v>
      </c>
      <c r="B11" t="n">
        <v>447.41</v>
      </c>
      <c r="C11" t="n">
        <v>10.2</v>
      </c>
      <c r="D11" t="n">
        <v>0</v>
      </c>
      <c r="E11" t="n">
        <v>0</v>
      </c>
      <c r="F11" t="n">
        <v>447.41</v>
      </c>
      <c r="G11" t="n">
        <v>0</v>
      </c>
      <c r="H11" t="n">
        <v>447.41</v>
      </c>
      <c r="I11" t="n">
        <v>48</v>
      </c>
      <c r="J11" t="n">
        <v>14</v>
      </c>
      <c r="K11" t="n">
        <v>112.24</v>
      </c>
      <c r="L11" t="n">
        <v>58.834415</v>
      </c>
      <c r="M11">
        <f>B11+'Ramp calc'!AA13</f>
        <v/>
      </c>
      <c r="N11">
        <f>B11+'Ramp calc'!AA13+'Ramp calc'!AB13</f>
        <v/>
      </c>
    </row>
    <row r="12">
      <c r="A12" s="8" t="n">
        <v>44501</v>
      </c>
      <c r="B12" t="n">
        <v>447.41</v>
      </c>
      <c r="C12" t="n">
        <v>10.2</v>
      </c>
      <c r="D12" t="n">
        <v>0</v>
      </c>
      <c r="E12" t="n">
        <v>0</v>
      </c>
      <c r="F12" t="n">
        <v>447.41</v>
      </c>
      <c r="G12" t="n">
        <v>0</v>
      </c>
      <c r="H12" t="n">
        <v>447.41</v>
      </c>
      <c r="I12" t="n">
        <v>48</v>
      </c>
      <c r="J12" t="n">
        <v>14</v>
      </c>
      <c r="K12" t="n">
        <v>112.24</v>
      </c>
      <c r="L12" t="n">
        <v>58.834415</v>
      </c>
      <c r="M12">
        <f>B12+'Ramp calc'!AA14</f>
        <v/>
      </c>
      <c r="N12">
        <f>B12+'Ramp calc'!AA14+'Ramp calc'!AB14</f>
        <v/>
      </c>
    </row>
    <row r="13">
      <c r="A13" s="8" t="n">
        <v>44531</v>
      </c>
      <c r="B13" t="n">
        <v>451.91</v>
      </c>
      <c r="C13" t="n">
        <v>10.2</v>
      </c>
      <c r="D13" t="n">
        <v>0</v>
      </c>
      <c r="E13" t="n">
        <v>0</v>
      </c>
      <c r="F13" t="n">
        <v>451.91</v>
      </c>
      <c r="G13" t="n">
        <v>0</v>
      </c>
      <c r="H13" t="n">
        <v>451.91</v>
      </c>
      <c r="I13" t="n">
        <v>48</v>
      </c>
      <c r="J13" t="n">
        <v>14</v>
      </c>
      <c r="K13" t="n">
        <v>112.24</v>
      </c>
      <c r="L13" t="n">
        <v>59.426165</v>
      </c>
      <c r="M13">
        <f>B13+'Ramp calc'!AA15</f>
        <v/>
      </c>
      <c r="N13">
        <f>B13+'Ramp calc'!AA15+'Ramp calc'!AB15</f>
        <v/>
      </c>
    </row>
    <row r="14">
      <c r="A14" s="8" t="n">
        <v>44562</v>
      </c>
      <c r="B14" t="n">
        <v>451.91</v>
      </c>
      <c r="C14" t="n">
        <v>10.2</v>
      </c>
      <c r="D14" t="n">
        <v>0</v>
      </c>
      <c r="E14" t="n">
        <v>0</v>
      </c>
      <c r="F14" t="n">
        <v>451.91</v>
      </c>
      <c r="G14" t="n">
        <v>0</v>
      </c>
      <c r="H14" t="n">
        <v>451.91</v>
      </c>
      <c r="I14" t="n">
        <v>48</v>
      </c>
      <c r="J14" t="n">
        <v>14</v>
      </c>
      <c r="K14" t="n">
        <v>112.24</v>
      </c>
      <c r="L14" t="n">
        <v>59.426165</v>
      </c>
      <c r="M14">
        <f>B14+'Ramp calc'!AA16</f>
        <v/>
      </c>
      <c r="N14">
        <f>B14+'Ramp calc'!AA16+'Ramp calc'!AB16</f>
        <v/>
      </c>
    </row>
    <row r="15">
      <c r="A15" s="8" t="n">
        <v>44593</v>
      </c>
      <c r="B15" t="n">
        <v>451.91</v>
      </c>
      <c r="C15" t="n">
        <v>10.2</v>
      </c>
      <c r="D15" t="n">
        <v>0</v>
      </c>
      <c r="E15" t="n">
        <v>0</v>
      </c>
      <c r="F15" t="n">
        <v>451.91</v>
      </c>
      <c r="G15" t="n">
        <v>0</v>
      </c>
      <c r="H15" t="n">
        <v>451.91</v>
      </c>
      <c r="I15" t="n">
        <v>48</v>
      </c>
      <c r="J15" t="n">
        <v>14</v>
      </c>
      <c r="K15" t="n">
        <v>112.24</v>
      </c>
      <c r="L15" t="n">
        <v>59.426165</v>
      </c>
      <c r="M15">
        <f>B15+'Ramp calc'!AA17</f>
        <v/>
      </c>
      <c r="N15">
        <f>B15+'Ramp calc'!AA17+'Ramp calc'!AB17</f>
        <v/>
      </c>
    </row>
    <row r="16">
      <c r="A16" s="8" t="n">
        <v>44621</v>
      </c>
      <c r="B16" t="n">
        <v>456.91</v>
      </c>
      <c r="C16" t="n">
        <v>10.2</v>
      </c>
      <c r="D16" t="n">
        <v>0</v>
      </c>
      <c r="E16" t="n">
        <v>0</v>
      </c>
      <c r="F16" t="n">
        <v>456.91</v>
      </c>
      <c r="G16" t="n">
        <v>0</v>
      </c>
      <c r="H16" t="n">
        <v>456.91</v>
      </c>
      <c r="I16" t="n">
        <v>48</v>
      </c>
      <c r="J16" t="n">
        <v>14</v>
      </c>
      <c r="K16" t="n">
        <v>112.24</v>
      </c>
      <c r="L16" t="n">
        <v>60.083665</v>
      </c>
      <c r="M16">
        <f>B16+'Ramp calc'!AA18</f>
        <v/>
      </c>
      <c r="N16">
        <f>B16+'Ramp calc'!AA18+'Ramp calc'!AB18</f>
        <v/>
      </c>
    </row>
    <row r="17">
      <c r="A17" s="8" t="n">
        <v>44652</v>
      </c>
      <c r="B17" t="n">
        <v>456.91</v>
      </c>
      <c r="C17" t="n">
        <v>10.2</v>
      </c>
      <c r="D17" t="n">
        <v>0</v>
      </c>
      <c r="E17" t="n">
        <v>0</v>
      </c>
      <c r="F17" t="n">
        <v>456.91</v>
      </c>
      <c r="G17" t="n">
        <v>0</v>
      </c>
      <c r="H17" t="n">
        <v>456.91</v>
      </c>
      <c r="I17" t="n">
        <v>48</v>
      </c>
      <c r="J17" t="n">
        <v>14</v>
      </c>
      <c r="K17" t="n">
        <v>112.24</v>
      </c>
      <c r="L17" t="n">
        <v>60.083665</v>
      </c>
      <c r="M17">
        <f>B17+'Ramp calc'!AA19</f>
        <v/>
      </c>
      <c r="N17">
        <f>B17+'Ramp calc'!AA19+'Ramp calc'!AB19</f>
        <v/>
      </c>
    </row>
    <row r="18">
      <c r="A18" s="8" t="n">
        <v>44682</v>
      </c>
      <c r="B18" t="n">
        <v>456.91</v>
      </c>
      <c r="C18" t="n">
        <v>10.2</v>
      </c>
      <c r="D18" t="n">
        <v>0</v>
      </c>
      <c r="E18" t="n">
        <v>0</v>
      </c>
      <c r="F18" t="n">
        <v>456.91</v>
      </c>
      <c r="G18" t="n">
        <v>0</v>
      </c>
      <c r="H18" t="n">
        <v>456.91</v>
      </c>
      <c r="I18" t="n">
        <v>48</v>
      </c>
      <c r="J18" t="n">
        <v>14</v>
      </c>
      <c r="K18" t="n">
        <v>112.24</v>
      </c>
      <c r="L18" t="n">
        <v>60.083665</v>
      </c>
      <c r="M18">
        <f>B18+'Ramp calc'!AA20</f>
        <v/>
      </c>
      <c r="N18">
        <f>B18+'Ramp calc'!AA20+'Ramp calc'!AB20</f>
        <v/>
      </c>
    </row>
    <row r="19">
      <c r="A19" s="8" t="n">
        <v>44713</v>
      </c>
      <c r="B19" t="n">
        <v>456.91</v>
      </c>
      <c r="C19" t="n">
        <v>10.2</v>
      </c>
      <c r="D19" t="n">
        <v>0</v>
      </c>
      <c r="E19" t="n">
        <v>0</v>
      </c>
      <c r="F19" t="n">
        <v>456.91</v>
      </c>
      <c r="G19" t="n">
        <v>0</v>
      </c>
      <c r="H19" t="n">
        <v>456.91</v>
      </c>
      <c r="I19" t="n">
        <v>48</v>
      </c>
      <c r="J19" t="n">
        <v>14</v>
      </c>
      <c r="K19" t="n">
        <v>112.24</v>
      </c>
      <c r="L19" t="n">
        <v>60.083665</v>
      </c>
      <c r="M19">
        <f>B19+'Ramp calc'!AA21</f>
        <v/>
      </c>
      <c r="N19">
        <f>B19+'Ramp calc'!AA21+'Ramp calc'!AB21</f>
        <v/>
      </c>
    </row>
    <row r="20">
      <c r="A20" s="8" t="n">
        <v>44743</v>
      </c>
      <c r="B20" t="n">
        <v>461.8099999999999</v>
      </c>
      <c r="C20" t="n">
        <v>10.2</v>
      </c>
      <c r="D20" t="n">
        <v>0</v>
      </c>
      <c r="E20" t="n">
        <v>0</v>
      </c>
      <c r="F20" t="n">
        <v>461.8099999999999</v>
      </c>
      <c r="G20" t="n">
        <v>0</v>
      </c>
      <c r="H20" t="n">
        <v>461.8099999999999</v>
      </c>
      <c r="I20" t="n">
        <v>48</v>
      </c>
      <c r="J20" t="n">
        <v>14</v>
      </c>
      <c r="K20" t="n">
        <v>112.24</v>
      </c>
      <c r="L20" t="n">
        <v>60.72801499999999</v>
      </c>
      <c r="M20">
        <f>B20+'Ramp calc'!AA22</f>
        <v/>
      </c>
      <c r="N20">
        <f>B20+'Ramp calc'!AA22+'Ramp calc'!AB22</f>
        <v/>
      </c>
    </row>
    <row r="21">
      <c r="A21" s="8" t="n">
        <v>44774</v>
      </c>
      <c r="B21" t="n">
        <v>461.8099999999999</v>
      </c>
      <c r="C21" t="n">
        <v>10.2</v>
      </c>
      <c r="D21" t="n">
        <v>0</v>
      </c>
      <c r="E21" t="n">
        <v>0</v>
      </c>
      <c r="F21" t="n">
        <v>461.8099999999999</v>
      </c>
      <c r="G21" t="n">
        <v>0</v>
      </c>
      <c r="H21" t="n">
        <v>461.8099999999999</v>
      </c>
      <c r="I21" t="n">
        <v>48</v>
      </c>
      <c r="J21" t="n">
        <v>14</v>
      </c>
      <c r="K21" t="n">
        <v>112.24</v>
      </c>
      <c r="L21" t="n">
        <v>60.72801499999999</v>
      </c>
      <c r="M21">
        <f>B21+'Ramp calc'!AA23</f>
        <v/>
      </c>
      <c r="N21">
        <f>B21+'Ramp calc'!AA23+'Ramp calc'!AB23</f>
        <v/>
      </c>
    </row>
    <row r="22">
      <c r="A22" s="8" t="n">
        <v>44805</v>
      </c>
      <c r="B22" t="n">
        <v>466.8099999999999</v>
      </c>
      <c r="C22" t="n">
        <v>10.2</v>
      </c>
      <c r="D22" t="n">
        <v>0</v>
      </c>
      <c r="E22" t="n">
        <v>0</v>
      </c>
      <c r="F22" t="n">
        <v>466.8099999999999</v>
      </c>
      <c r="G22" t="n">
        <v>0</v>
      </c>
      <c r="H22" t="n">
        <v>466.8099999999999</v>
      </c>
      <c r="I22" t="n">
        <v>48</v>
      </c>
      <c r="J22" t="n">
        <v>14</v>
      </c>
      <c r="K22" t="n">
        <v>112.24</v>
      </c>
      <c r="L22" t="n">
        <v>61.385515</v>
      </c>
      <c r="M22">
        <f>B22+'Ramp calc'!AA24</f>
        <v/>
      </c>
      <c r="N22">
        <f>B22+'Ramp calc'!AA24+'Ramp calc'!AB24</f>
        <v/>
      </c>
    </row>
    <row r="23">
      <c r="A23" s="8" t="n">
        <v>44835</v>
      </c>
      <c r="B23" t="n">
        <v>466.8099999999999</v>
      </c>
      <c r="C23" t="n">
        <v>10.2</v>
      </c>
      <c r="D23" t="n">
        <v>0</v>
      </c>
      <c r="E23" t="n">
        <v>0</v>
      </c>
      <c r="F23" t="n">
        <v>466.8099999999999</v>
      </c>
      <c r="G23" t="n">
        <v>0</v>
      </c>
      <c r="H23" t="n">
        <v>466.8099999999999</v>
      </c>
      <c r="I23" t="n">
        <v>48</v>
      </c>
      <c r="J23" t="n">
        <v>14</v>
      </c>
      <c r="K23" t="n">
        <v>112.24</v>
      </c>
      <c r="L23" t="n">
        <v>61.385515</v>
      </c>
      <c r="M23">
        <f>B23+'Ramp calc'!AA25</f>
        <v/>
      </c>
      <c r="N23">
        <f>B23+'Ramp calc'!AA25+'Ramp calc'!AB25</f>
        <v/>
      </c>
    </row>
    <row r="24">
      <c r="A24" s="8" t="n">
        <v>44866</v>
      </c>
      <c r="B24" t="n">
        <v>466.8099999999999</v>
      </c>
      <c r="C24" t="n">
        <v>10.2</v>
      </c>
      <c r="D24" t="n">
        <v>0</v>
      </c>
      <c r="E24" t="n">
        <v>0</v>
      </c>
      <c r="F24" t="n">
        <v>466.8099999999999</v>
      </c>
      <c r="G24" t="n">
        <v>0</v>
      </c>
      <c r="H24" t="n">
        <v>466.8099999999999</v>
      </c>
      <c r="I24" t="n">
        <v>48</v>
      </c>
      <c r="J24" t="n">
        <v>14</v>
      </c>
      <c r="K24" t="n">
        <v>112.24</v>
      </c>
      <c r="L24" t="n">
        <v>61.385515</v>
      </c>
      <c r="M24">
        <f>B24+'Ramp calc'!AA26</f>
        <v/>
      </c>
      <c r="N24">
        <f>B24+'Ramp calc'!AA26+'Ramp calc'!AB26</f>
        <v/>
      </c>
    </row>
    <row r="25">
      <c r="A25" s="8" t="n">
        <v>44896</v>
      </c>
      <c r="B25" t="n">
        <v>466.8099999999999</v>
      </c>
      <c r="C25" t="n">
        <v>10.2</v>
      </c>
      <c r="D25" t="n">
        <v>0</v>
      </c>
      <c r="E25" t="n">
        <v>0</v>
      </c>
      <c r="F25" t="n">
        <v>466.8099999999999</v>
      </c>
      <c r="G25" t="n">
        <v>0</v>
      </c>
      <c r="H25" t="n">
        <v>466.8099999999999</v>
      </c>
      <c r="I25" t="n">
        <v>48</v>
      </c>
      <c r="J25" t="n">
        <v>14</v>
      </c>
      <c r="K25" t="n">
        <v>112.24</v>
      </c>
      <c r="L25" t="n">
        <v>61.385515</v>
      </c>
      <c r="M25">
        <f>B25+'Ramp calc'!AA27</f>
        <v/>
      </c>
      <c r="N25">
        <f>B25+'Ramp calc'!AA27+'Ramp calc'!AB27</f>
        <v/>
      </c>
    </row>
    <row r="26">
      <c r="A26" s="8" t="n">
        <v>44927</v>
      </c>
      <c r="B26" t="n">
        <v>466.8099999999999</v>
      </c>
      <c r="C26" t="n">
        <v>10.2</v>
      </c>
      <c r="D26" t="n">
        <v>0</v>
      </c>
      <c r="E26" t="n">
        <v>0</v>
      </c>
      <c r="F26" t="n">
        <v>466.8099999999999</v>
      </c>
      <c r="G26" t="n">
        <v>0</v>
      </c>
      <c r="H26" t="n">
        <v>466.8099999999999</v>
      </c>
      <c r="I26" t="n">
        <v>48</v>
      </c>
      <c r="J26" t="n">
        <v>14</v>
      </c>
      <c r="K26" t="n">
        <v>112.24</v>
      </c>
      <c r="L26" t="n">
        <v>61.385515</v>
      </c>
      <c r="M26">
        <f>B26+'Ramp calc'!AA28</f>
        <v/>
      </c>
      <c r="N26">
        <f>B26+'Ramp calc'!AA28+'Ramp calc'!AB28</f>
        <v/>
      </c>
    </row>
    <row r="27">
      <c r="A27" s="8" t="n">
        <v>44958</v>
      </c>
      <c r="B27" t="n">
        <v>466.8099999999999</v>
      </c>
      <c r="C27" t="n">
        <v>10.2</v>
      </c>
      <c r="D27" t="n">
        <v>0</v>
      </c>
      <c r="E27" t="n">
        <v>0</v>
      </c>
      <c r="F27" t="n">
        <v>466.8099999999999</v>
      </c>
      <c r="G27" t="n">
        <v>0</v>
      </c>
      <c r="H27" t="n">
        <v>466.8099999999999</v>
      </c>
      <c r="I27" t="n">
        <v>48</v>
      </c>
      <c r="J27" t="n">
        <v>14</v>
      </c>
      <c r="K27" t="n">
        <v>112.24</v>
      </c>
      <c r="L27" t="n">
        <v>61.385515</v>
      </c>
      <c r="M27">
        <f>B27+'Ramp calc'!AA29</f>
        <v/>
      </c>
      <c r="N27">
        <f>B27+'Ramp calc'!AA29+'Ramp calc'!AB29</f>
        <v/>
      </c>
    </row>
    <row r="28">
      <c r="A28" s="8" t="n">
        <v>44986</v>
      </c>
      <c r="B28" t="n">
        <v>466.8099999999999</v>
      </c>
      <c r="C28" t="n">
        <v>10.2</v>
      </c>
      <c r="D28" t="n">
        <v>0</v>
      </c>
      <c r="E28" t="n">
        <v>0</v>
      </c>
      <c r="F28" t="n">
        <v>466.8099999999999</v>
      </c>
      <c r="G28" t="n">
        <v>0</v>
      </c>
      <c r="H28" t="n">
        <v>466.8099999999999</v>
      </c>
      <c r="I28" t="n">
        <v>48</v>
      </c>
      <c r="J28" t="n">
        <v>14</v>
      </c>
      <c r="K28" t="n">
        <v>112.24</v>
      </c>
      <c r="L28" t="n">
        <v>61.385515</v>
      </c>
      <c r="M28">
        <f>B28+'Ramp calc'!AA30</f>
        <v/>
      </c>
      <c r="N28">
        <f>B28+'Ramp calc'!AA30+'Ramp calc'!AB30</f>
        <v/>
      </c>
    </row>
    <row r="29">
      <c r="A29" s="8" t="n">
        <v>45017</v>
      </c>
      <c r="B29" t="n">
        <v>466.8099999999999</v>
      </c>
      <c r="C29" t="n">
        <v>10.2</v>
      </c>
      <c r="D29" t="n">
        <v>0</v>
      </c>
      <c r="E29" t="n">
        <v>0</v>
      </c>
      <c r="F29" t="n">
        <v>466.8099999999999</v>
      </c>
      <c r="G29" t="n">
        <v>0</v>
      </c>
      <c r="H29" t="n">
        <v>466.8099999999999</v>
      </c>
      <c r="I29" t="n">
        <v>48</v>
      </c>
      <c r="J29" t="n">
        <v>14</v>
      </c>
      <c r="K29" t="n">
        <v>112.24</v>
      </c>
      <c r="L29" t="n">
        <v>61.385515</v>
      </c>
      <c r="M29">
        <f>B29+'Ramp calc'!AA31</f>
        <v/>
      </c>
      <c r="N29">
        <f>B29+'Ramp calc'!AA31+'Ramp calc'!AB31</f>
        <v/>
      </c>
    </row>
    <row r="30">
      <c r="A30" s="8" t="n">
        <v>45047</v>
      </c>
      <c r="B30" t="n">
        <v>466.8099999999999</v>
      </c>
      <c r="C30" t="n">
        <v>10.2</v>
      </c>
      <c r="D30" t="n">
        <v>0</v>
      </c>
      <c r="E30" t="n">
        <v>0</v>
      </c>
      <c r="F30" t="n">
        <v>466.8099999999999</v>
      </c>
      <c r="G30" t="n">
        <v>0</v>
      </c>
      <c r="H30" t="n">
        <v>466.8099999999999</v>
      </c>
      <c r="I30" t="n">
        <v>48</v>
      </c>
      <c r="J30" t="n">
        <v>14</v>
      </c>
      <c r="K30" t="n">
        <v>112.24</v>
      </c>
      <c r="L30" t="n">
        <v>61.385515</v>
      </c>
      <c r="M30">
        <f>B30+'Ramp calc'!AA32</f>
        <v/>
      </c>
      <c r="N30">
        <f>B30+'Ramp calc'!AA32+'Ramp calc'!AB32</f>
        <v/>
      </c>
    </row>
    <row r="31">
      <c r="A31" s="8" t="n">
        <v>45078</v>
      </c>
      <c r="B31" t="n">
        <v>466.8099999999999</v>
      </c>
      <c r="C31" t="n">
        <v>10.2</v>
      </c>
      <c r="D31" t="n">
        <v>0</v>
      </c>
      <c r="E31" t="n">
        <v>0</v>
      </c>
      <c r="F31" t="n">
        <v>466.8099999999999</v>
      </c>
      <c r="G31" t="n">
        <v>0</v>
      </c>
      <c r="H31" t="n">
        <v>466.8099999999999</v>
      </c>
      <c r="I31" t="n">
        <v>48</v>
      </c>
      <c r="J31" t="n">
        <v>14</v>
      </c>
      <c r="K31" t="n">
        <v>112.24</v>
      </c>
      <c r="L31" t="n">
        <v>61.385515</v>
      </c>
      <c r="M31">
        <f>B31+'Ramp calc'!AA33</f>
        <v/>
      </c>
      <c r="N31">
        <f>B31+'Ramp calc'!AA33+'Ramp calc'!AB33</f>
        <v/>
      </c>
    </row>
    <row r="32">
      <c r="A32" s="8" t="n">
        <v>45108</v>
      </c>
      <c r="B32" t="n">
        <v>466.8099999999999</v>
      </c>
      <c r="C32" t="n">
        <v>10.2</v>
      </c>
      <c r="D32" t="n">
        <v>0</v>
      </c>
      <c r="E32" t="n">
        <v>0</v>
      </c>
      <c r="F32" t="n">
        <v>466.8099999999999</v>
      </c>
      <c r="G32" t="n">
        <v>0</v>
      </c>
      <c r="H32" t="n">
        <v>466.8099999999999</v>
      </c>
      <c r="I32" t="n">
        <v>48</v>
      </c>
      <c r="J32" t="n">
        <v>14</v>
      </c>
      <c r="K32" t="n">
        <v>112.24</v>
      </c>
      <c r="L32" t="n">
        <v>61.385515</v>
      </c>
      <c r="M32">
        <f>B32+'Ramp calc'!AA34</f>
        <v/>
      </c>
      <c r="N32">
        <f>B32+'Ramp calc'!AA34+'Ramp calc'!AB34</f>
        <v/>
      </c>
    </row>
    <row r="33">
      <c r="A33" s="8" t="n">
        <v>45139</v>
      </c>
      <c r="B33" t="n">
        <v>466.8099999999999</v>
      </c>
      <c r="C33" t="n">
        <v>10.2</v>
      </c>
      <c r="D33" t="n">
        <v>0</v>
      </c>
      <c r="E33" t="n">
        <v>0</v>
      </c>
      <c r="F33" t="n">
        <v>466.8099999999999</v>
      </c>
      <c r="G33" t="n">
        <v>0</v>
      </c>
      <c r="H33" t="n">
        <v>466.8099999999999</v>
      </c>
      <c r="I33" t="n">
        <v>48</v>
      </c>
      <c r="J33" t="n">
        <v>14</v>
      </c>
      <c r="K33" t="n">
        <v>112.24</v>
      </c>
      <c r="L33" t="n">
        <v>61.385515</v>
      </c>
      <c r="M33">
        <f>B33+'Ramp calc'!AA35</f>
        <v/>
      </c>
      <c r="N33">
        <f>B33+'Ramp calc'!AA35+'Ramp calc'!AB35</f>
        <v/>
      </c>
    </row>
    <row r="34">
      <c r="A34" s="8" t="n">
        <v>45170</v>
      </c>
      <c r="B34" t="n">
        <v>466.8099999999999</v>
      </c>
      <c r="C34" t="n">
        <v>10.2</v>
      </c>
      <c r="D34" t="n">
        <v>0</v>
      </c>
      <c r="E34" t="n">
        <v>0</v>
      </c>
      <c r="F34" t="n">
        <v>466.8099999999999</v>
      </c>
      <c r="G34" t="n">
        <v>0</v>
      </c>
      <c r="H34" t="n">
        <v>466.8099999999999</v>
      </c>
      <c r="I34" t="n">
        <v>48</v>
      </c>
      <c r="J34" t="n">
        <v>14</v>
      </c>
      <c r="K34" t="n">
        <v>112.24</v>
      </c>
      <c r="L34" t="n">
        <v>61.385515</v>
      </c>
      <c r="M34">
        <f>B34+'Ramp calc'!AA36</f>
        <v/>
      </c>
      <c r="N34">
        <f>B34+'Ramp calc'!AA36+'Ramp calc'!AB36</f>
        <v/>
      </c>
    </row>
    <row r="35">
      <c r="A35" s="8" t="n">
        <v>45200</v>
      </c>
      <c r="B35" t="n">
        <v>466.8099999999999</v>
      </c>
      <c r="C35" t="n">
        <v>10.2</v>
      </c>
      <c r="D35" t="n">
        <v>0</v>
      </c>
      <c r="E35" t="n">
        <v>0</v>
      </c>
      <c r="F35" t="n">
        <v>466.8099999999999</v>
      </c>
      <c r="G35" t="n">
        <v>0</v>
      </c>
      <c r="H35" t="n">
        <v>466.8099999999999</v>
      </c>
      <c r="I35" t="n">
        <v>48</v>
      </c>
      <c r="J35" t="n">
        <v>14</v>
      </c>
      <c r="K35" t="n">
        <v>112.24</v>
      </c>
      <c r="L35" t="n">
        <v>61.385515</v>
      </c>
      <c r="M35">
        <f>B35+'Ramp calc'!AA37</f>
        <v/>
      </c>
      <c r="N35">
        <f>B35+'Ramp calc'!AA37+'Ramp calc'!AB37</f>
        <v/>
      </c>
    </row>
    <row r="36">
      <c r="A36" s="8" t="n">
        <v>45231</v>
      </c>
      <c r="B36" t="n">
        <v>466.8099999999999</v>
      </c>
      <c r="C36" t="n">
        <v>10.2</v>
      </c>
      <c r="D36" t="n">
        <v>0</v>
      </c>
      <c r="E36" t="n">
        <v>0</v>
      </c>
      <c r="F36" t="n">
        <v>466.8099999999999</v>
      </c>
      <c r="G36" t="n">
        <v>0</v>
      </c>
      <c r="H36" t="n">
        <v>466.8099999999999</v>
      </c>
      <c r="I36" t="n">
        <v>48</v>
      </c>
      <c r="J36" t="n">
        <v>14</v>
      </c>
      <c r="K36" t="n">
        <v>112.24</v>
      </c>
      <c r="L36" t="n">
        <v>61.385515</v>
      </c>
      <c r="M36">
        <f>B36+'Ramp calc'!AA38</f>
        <v/>
      </c>
      <c r="N36">
        <f>B36+'Ramp calc'!AA38+'Ramp calc'!AB38</f>
        <v/>
      </c>
    </row>
    <row r="37">
      <c r="A37" s="8" t="n">
        <v>45261</v>
      </c>
      <c r="B37" t="n">
        <v>466.8099999999999</v>
      </c>
      <c r="C37" t="n">
        <v>10.2</v>
      </c>
      <c r="D37" t="n">
        <v>0</v>
      </c>
      <c r="E37" t="n">
        <v>0</v>
      </c>
      <c r="F37" t="n">
        <v>466.8099999999999</v>
      </c>
      <c r="G37" t="n">
        <v>0</v>
      </c>
      <c r="H37" t="n">
        <v>466.8099999999999</v>
      </c>
      <c r="I37" t="n">
        <v>48</v>
      </c>
      <c r="J37" t="n">
        <v>14</v>
      </c>
      <c r="K37" t="n">
        <v>112.24</v>
      </c>
      <c r="L37" t="n">
        <v>61.385515</v>
      </c>
      <c r="M37">
        <f>B37+'Ramp calc'!AA39</f>
        <v/>
      </c>
      <c r="N37">
        <f>B37+'Ramp calc'!AA39+'Ramp calc'!AB39</f>
        <v/>
      </c>
    </row>
    <row r="38">
      <c r="A38" s="8" t="n">
        <v>45292</v>
      </c>
      <c r="B38" t="n">
        <v>466.8099999999999</v>
      </c>
      <c r="C38" t="n">
        <v>10.2</v>
      </c>
      <c r="D38" t="n">
        <v>0</v>
      </c>
      <c r="E38" t="n">
        <v>0</v>
      </c>
      <c r="F38" t="n">
        <v>466.8099999999999</v>
      </c>
      <c r="G38" t="n">
        <v>0</v>
      </c>
      <c r="H38" t="n">
        <v>466.8099999999999</v>
      </c>
      <c r="I38" t="n">
        <v>48</v>
      </c>
      <c r="J38" t="n">
        <v>14</v>
      </c>
      <c r="K38" t="n">
        <v>112.24</v>
      </c>
      <c r="L38" t="n">
        <v>61.385515</v>
      </c>
      <c r="M38">
        <f>B38+'Ramp calc'!AA40</f>
        <v/>
      </c>
      <c r="N38">
        <f>B38+'Ramp calc'!AA40+'Ramp calc'!AB40</f>
        <v/>
      </c>
    </row>
    <row r="39">
      <c r="A39" s="8" t="n">
        <v>45323</v>
      </c>
      <c r="B39" t="n">
        <v>466.8099999999999</v>
      </c>
      <c r="C39" t="n">
        <v>10.2</v>
      </c>
      <c r="D39" t="n">
        <v>0</v>
      </c>
      <c r="E39" t="n">
        <v>0</v>
      </c>
      <c r="F39" t="n">
        <v>466.8099999999999</v>
      </c>
      <c r="G39" t="n">
        <v>0</v>
      </c>
      <c r="H39" t="n">
        <v>466.8099999999999</v>
      </c>
      <c r="I39" t="n">
        <v>48</v>
      </c>
      <c r="J39" t="n">
        <v>14</v>
      </c>
      <c r="K39" t="n">
        <v>112.24</v>
      </c>
      <c r="L39" t="n">
        <v>61.385515</v>
      </c>
      <c r="M39">
        <f>B39+'Ramp calc'!AA41</f>
        <v/>
      </c>
      <c r="N39">
        <f>B39+'Ramp calc'!AA41+'Ramp calc'!AB41</f>
        <v/>
      </c>
    </row>
    <row r="40">
      <c r="A40" s="8" t="n">
        <v>45352</v>
      </c>
      <c r="B40" t="n">
        <v>466.8099999999999</v>
      </c>
      <c r="C40" t="n">
        <v>10.2</v>
      </c>
      <c r="D40" t="n">
        <v>0</v>
      </c>
      <c r="E40" t="n">
        <v>0</v>
      </c>
      <c r="F40" t="n">
        <v>466.8099999999999</v>
      </c>
      <c r="G40" t="n">
        <v>0</v>
      </c>
      <c r="H40" t="n">
        <v>466.8099999999999</v>
      </c>
      <c r="I40" t="n">
        <v>48</v>
      </c>
      <c r="J40" t="n">
        <v>14</v>
      </c>
      <c r="K40" t="n">
        <v>112.24</v>
      </c>
      <c r="L40" t="n">
        <v>61.385515</v>
      </c>
      <c r="M40">
        <f>B40+'Ramp calc'!AA42</f>
        <v/>
      </c>
      <c r="N40">
        <f>B40+'Ramp calc'!AA42+'Ramp calc'!AB42</f>
        <v/>
      </c>
    </row>
    <row r="41">
      <c r="A41" s="8" t="n">
        <v>45383</v>
      </c>
      <c r="B41" t="n">
        <v>466.8099999999999</v>
      </c>
      <c r="C41" t="n">
        <v>10.2</v>
      </c>
      <c r="D41" t="n">
        <v>0</v>
      </c>
      <c r="E41" t="n">
        <v>0</v>
      </c>
      <c r="F41" t="n">
        <v>466.8099999999999</v>
      </c>
      <c r="G41" t="n">
        <v>0</v>
      </c>
      <c r="H41" t="n">
        <v>466.8099999999999</v>
      </c>
      <c r="I41" t="n">
        <v>48</v>
      </c>
      <c r="J41" t="n">
        <v>14</v>
      </c>
      <c r="K41" t="n">
        <v>112.24</v>
      </c>
      <c r="L41" t="n">
        <v>61.385515</v>
      </c>
      <c r="M41">
        <f>B41+'Ramp calc'!AA43</f>
        <v/>
      </c>
      <c r="N41">
        <f>B41+'Ramp calc'!AA43+'Ramp calc'!AB43</f>
        <v/>
      </c>
    </row>
    <row r="42">
      <c r="A42" s="8" t="n">
        <v>45413</v>
      </c>
      <c r="B42" t="n">
        <v>466.8099999999999</v>
      </c>
      <c r="C42" t="n">
        <v>10.2</v>
      </c>
      <c r="D42" t="n">
        <v>0</v>
      </c>
      <c r="E42" t="n">
        <v>0</v>
      </c>
      <c r="F42" t="n">
        <v>466.8099999999999</v>
      </c>
      <c r="G42" t="n">
        <v>0</v>
      </c>
      <c r="H42" t="n">
        <v>466.8099999999999</v>
      </c>
      <c r="I42" t="n">
        <v>48</v>
      </c>
      <c r="J42" t="n">
        <v>14</v>
      </c>
      <c r="K42" t="n">
        <v>112.24</v>
      </c>
      <c r="L42" t="n">
        <v>61.385515</v>
      </c>
      <c r="M42">
        <f>B42+'Ramp calc'!AA44</f>
        <v/>
      </c>
      <c r="N42">
        <f>B42+'Ramp calc'!AA44+'Ramp calc'!AB44</f>
        <v/>
      </c>
    </row>
    <row r="43">
      <c r="A43" s="8" t="n">
        <v>45444</v>
      </c>
      <c r="B43" t="n">
        <v>466.8099999999999</v>
      </c>
      <c r="C43" t="n">
        <v>10.2</v>
      </c>
      <c r="D43" t="n">
        <v>0</v>
      </c>
      <c r="E43" t="n">
        <v>0</v>
      </c>
      <c r="F43" t="n">
        <v>466.8099999999999</v>
      </c>
      <c r="G43" t="n">
        <v>0</v>
      </c>
      <c r="H43" t="n">
        <v>466.8099999999999</v>
      </c>
      <c r="I43" t="n">
        <v>48</v>
      </c>
      <c r="J43" t="n">
        <v>14</v>
      </c>
      <c r="K43" t="n">
        <v>112.24</v>
      </c>
      <c r="L43" t="n">
        <v>61.385515</v>
      </c>
      <c r="M43">
        <f>B43+'Ramp calc'!AA45</f>
        <v/>
      </c>
      <c r="N43">
        <f>B43+'Ramp calc'!AA45+'Ramp calc'!AB45</f>
        <v/>
      </c>
    </row>
    <row r="44">
      <c r="A44" s="8" t="n">
        <v>45474</v>
      </c>
      <c r="B44" t="n">
        <v>475.41</v>
      </c>
      <c r="C44" t="n">
        <v>10.2</v>
      </c>
      <c r="D44" t="n">
        <v>0</v>
      </c>
      <c r="E44" t="n">
        <v>0</v>
      </c>
      <c r="F44" t="n">
        <v>475.41</v>
      </c>
      <c r="G44" t="n">
        <v>0</v>
      </c>
      <c r="H44" t="n">
        <v>475.41</v>
      </c>
      <c r="I44" t="n">
        <v>48</v>
      </c>
      <c r="J44" t="n">
        <v>14</v>
      </c>
      <c r="K44" t="n">
        <v>112.24</v>
      </c>
      <c r="L44" t="n">
        <v>62.516415</v>
      </c>
      <c r="M44">
        <f>B44+'Ramp calc'!AA46</f>
        <v/>
      </c>
      <c r="N44">
        <f>B44+'Ramp calc'!AA46+'Ramp calc'!AB46</f>
        <v/>
      </c>
    </row>
    <row r="45">
      <c r="A45" s="8" t="n">
        <v>45505</v>
      </c>
      <c r="B45" t="n">
        <v>475.41</v>
      </c>
      <c r="C45" t="n">
        <v>10.2</v>
      </c>
      <c r="D45" t="n">
        <v>0</v>
      </c>
      <c r="E45" t="n">
        <v>0</v>
      </c>
      <c r="F45" t="n">
        <v>475.41</v>
      </c>
      <c r="G45" t="n">
        <v>0</v>
      </c>
      <c r="H45" t="n">
        <v>475.41</v>
      </c>
      <c r="I45" t="n">
        <v>48</v>
      </c>
      <c r="J45" t="n">
        <v>14</v>
      </c>
      <c r="K45" t="n">
        <v>112.24</v>
      </c>
      <c r="L45" t="n">
        <v>62.516415</v>
      </c>
      <c r="M45">
        <f>B45+'Ramp calc'!AA47</f>
        <v/>
      </c>
      <c r="N45">
        <f>B45+'Ramp calc'!AA47+'Ramp calc'!AB47</f>
        <v/>
      </c>
    </row>
    <row r="46">
      <c r="A46" s="8" t="n">
        <v>45536</v>
      </c>
      <c r="B46" t="n">
        <v>475.41</v>
      </c>
      <c r="C46" t="n">
        <v>10.2</v>
      </c>
      <c r="D46" t="n">
        <v>0</v>
      </c>
      <c r="E46" t="n">
        <v>0</v>
      </c>
      <c r="F46" t="n">
        <v>475.41</v>
      </c>
      <c r="G46" t="n">
        <v>0</v>
      </c>
      <c r="H46" t="n">
        <v>475.41</v>
      </c>
      <c r="I46" t="n">
        <v>48</v>
      </c>
      <c r="J46" t="n">
        <v>14</v>
      </c>
      <c r="K46" t="n">
        <v>112.24</v>
      </c>
      <c r="L46" t="n">
        <v>62.516415</v>
      </c>
      <c r="M46">
        <f>B46+'Ramp calc'!AA48</f>
        <v/>
      </c>
      <c r="N46">
        <f>B46+'Ramp calc'!AA48+'Ramp calc'!AB48</f>
        <v/>
      </c>
    </row>
    <row r="47">
      <c r="A47" s="8" t="n">
        <v>45566</v>
      </c>
      <c r="B47" t="n">
        <v>475.41</v>
      </c>
      <c r="C47" t="n">
        <v>10.2</v>
      </c>
      <c r="D47" t="n">
        <v>0</v>
      </c>
      <c r="E47" t="n">
        <v>0</v>
      </c>
      <c r="F47" t="n">
        <v>475.41</v>
      </c>
      <c r="G47" t="n">
        <v>0</v>
      </c>
      <c r="H47" t="n">
        <v>475.41</v>
      </c>
      <c r="I47" t="n">
        <v>48</v>
      </c>
      <c r="J47" t="n">
        <v>14</v>
      </c>
      <c r="K47" t="n">
        <v>112.24</v>
      </c>
      <c r="L47" t="n">
        <v>62.516415</v>
      </c>
      <c r="M47">
        <f>B47+'Ramp calc'!AA49</f>
        <v/>
      </c>
      <c r="N47">
        <f>B47+'Ramp calc'!AA49+'Ramp calc'!AB49</f>
        <v/>
      </c>
    </row>
    <row r="48">
      <c r="A48" s="8" t="n">
        <v>45597</v>
      </c>
      <c r="B48" t="n">
        <v>475.41</v>
      </c>
      <c r="C48" t="n">
        <v>10.2</v>
      </c>
      <c r="D48" t="n">
        <v>0</v>
      </c>
      <c r="E48" t="n">
        <v>0</v>
      </c>
      <c r="F48" t="n">
        <v>475.41</v>
      </c>
      <c r="G48" t="n">
        <v>0</v>
      </c>
      <c r="H48" t="n">
        <v>475.41</v>
      </c>
      <c r="I48" t="n">
        <v>48</v>
      </c>
      <c r="J48" t="n">
        <v>14</v>
      </c>
      <c r="K48" t="n">
        <v>112.24</v>
      </c>
      <c r="L48" t="n">
        <v>62.516415</v>
      </c>
      <c r="M48">
        <f>B48+'Ramp calc'!AA50</f>
        <v/>
      </c>
      <c r="N48">
        <f>B48+'Ramp calc'!AA50+'Ramp calc'!AB50</f>
        <v/>
      </c>
    </row>
    <row r="49">
      <c r="A49" s="8" t="n">
        <v>45627</v>
      </c>
      <c r="B49" t="n">
        <v>485.31</v>
      </c>
      <c r="C49" t="n">
        <v>10.2</v>
      </c>
      <c r="D49" t="n">
        <v>0</v>
      </c>
      <c r="E49" t="n">
        <v>0</v>
      </c>
      <c r="F49" t="n">
        <v>485.31</v>
      </c>
      <c r="G49" t="n">
        <v>0</v>
      </c>
      <c r="H49" t="n">
        <v>485.31</v>
      </c>
      <c r="I49" t="n">
        <v>48</v>
      </c>
      <c r="J49" t="n">
        <v>14</v>
      </c>
      <c r="K49" t="n">
        <v>112.24</v>
      </c>
      <c r="L49" t="n">
        <v>63.818265</v>
      </c>
      <c r="M49">
        <f>B49+'Ramp calc'!AA51</f>
        <v/>
      </c>
      <c r="N49">
        <f>B49+'Ramp calc'!AA51+'Ramp calc'!AB51</f>
        <v/>
      </c>
    </row>
    <row r="50">
      <c r="A50" s="8" t="n">
        <v>45658</v>
      </c>
      <c r="B50" t="n">
        <v>485.31</v>
      </c>
      <c r="C50" t="n">
        <v>10.2</v>
      </c>
      <c r="D50" t="n">
        <v>0</v>
      </c>
      <c r="E50" t="n">
        <v>0</v>
      </c>
      <c r="F50" t="n">
        <v>485.31</v>
      </c>
      <c r="G50" t="n">
        <v>0</v>
      </c>
      <c r="H50" t="n">
        <v>485.31</v>
      </c>
      <c r="I50" t="n">
        <v>48</v>
      </c>
      <c r="J50" t="n">
        <v>14</v>
      </c>
      <c r="K50" t="n">
        <v>112.24</v>
      </c>
      <c r="L50" t="n">
        <v>63.818265</v>
      </c>
      <c r="M50">
        <f>B50+'Ramp calc'!AA52</f>
        <v/>
      </c>
      <c r="N50">
        <f>B50+'Ramp calc'!AA52+'Ramp calc'!AB52</f>
        <v/>
      </c>
    </row>
    <row r="51">
      <c r="A51" s="8" t="n">
        <v>45689</v>
      </c>
      <c r="B51" t="n">
        <v>485.31</v>
      </c>
      <c r="C51" t="n">
        <v>10.2</v>
      </c>
      <c r="D51" t="n">
        <v>0</v>
      </c>
      <c r="E51" t="n">
        <v>0</v>
      </c>
      <c r="F51" t="n">
        <v>485.31</v>
      </c>
      <c r="G51" t="n">
        <v>0</v>
      </c>
      <c r="H51" t="n">
        <v>485.31</v>
      </c>
      <c r="I51" t="n">
        <v>48</v>
      </c>
      <c r="J51" t="n">
        <v>14</v>
      </c>
      <c r="K51" t="n">
        <v>112.24</v>
      </c>
      <c r="L51" t="n">
        <v>63.818265</v>
      </c>
      <c r="M51">
        <f>B51+'Ramp calc'!AA53</f>
        <v/>
      </c>
      <c r="N51">
        <f>B51+'Ramp calc'!AA53+'Ramp calc'!AB53</f>
        <v/>
      </c>
    </row>
    <row r="52">
      <c r="A52" s="8" t="n">
        <v>45717</v>
      </c>
      <c r="B52" t="n">
        <v>485.31</v>
      </c>
      <c r="C52" t="n">
        <v>10.2</v>
      </c>
      <c r="D52" t="n">
        <v>0</v>
      </c>
      <c r="E52" t="n">
        <v>0</v>
      </c>
      <c r="F52" t="n">
        <v>485.31</v>
      </c>
      <c r="G52" t="n">
        <v>0</v>
      </c>
      <c r="H52" t="n">
        <v>485.31</v>
      </c>
      <c r="I52" t="n">
        <v>48</v>
      </c>
      <c r="J52" t="n">
        <v>14</v>
      </c>
      <c r="K52" t="n">
        <v>112.24</v>
      </c>
      <c r="L52" t="n">
        <v>63.818265</v>
      </c>
      <c r="M52">
        <f>B52+'Ramp calc'!AA54</f>
        <v/>
      </c>
      <c r="N52">
        <f>B52+'Ramp calc'!AA54+'Ramp calc'!AB54</f>
        <v/>
      </c>
    </row>
    <row r="53">
      <c r="A53" s="8" t="n">
        <v>45748</v>
      </c>
      <c r="B53" t="n">
        <v>485.31</v>
      </c>
      <c r="C53" t="n">
        <v>10.2</v>
      </c>
      <c r="D53" t="n">
        <v>0</v>
      </c>
      <c r="E53" t="n">
        <v>0</v>
      </c>
      <c r="F53" t="n">
        <v>485.31</v>
      </c>
      <c r="G53" t="n">
        <v>0</v>
      </c>
      <c r="H53" t="n">
        <v>485.31</v>
      </c>
      <c r="I53" t="n">
        <v>48</v>
      </c>
      <c r="J53" t="n">
        <v>14</v>
      </c>
      <c r="K53" t="n">
        <v>112.24</v>
      </c>
      <c r="L53" t="n">
        <v>63.818265</v>
      </c>
      <c r="M53">
        <f>B53+'Ramp calc'!AA55</f>
        <v/>
      </c>
      <c r="N53">
        <f>B53+'Ramp calc'!AA55+'Ramp calc'!AB55</f>
        <v/>
      </c>
    </row>
    <row r="54">
      <c r="A54" s="8" t="n">
        <v>45778</v>
      </c>
      <c r="B54" t="n">
        <v>485.31</v>
      </c>
      <c r="C54" t="n">
        <v>10.2</v>
      </c>
      <c r="D54" t="n">
        <v>0</v>
      </c>
      <c r="E54" t="n">
        <v>0</v>
      </c>
      <c r="F54" t="n">
        <v>485.31</v>
      </c>
      <c r="G54" t="n">
        <v>0</v>
      </c>
      <c r="H54" t="n">
        <v>485.31</v>
      </c>
      <c r="I54" t="n">
        <v>48</v>
      </c>
      <c r="J54" t="n">
        <v>14</v>
      </c>
      <c r="K54" t="n">
        <v>112.24</v>
      </c>
      <c r="L54" t="n">
        <v>63.818265</v>
      </c>
      <c r="M54">
        <f>B54+'Ramp calc'!AA56</f>
        <v/>
      </c>
      <c r="N54">
        <f>B54+'Ramp calc'!AA56+'Ramp calc'!AB56</f>
        <v/>
      </c>
    </row>
    <row r="55">
      <c r="A55" s="8" t="n">
        <v>45809</v>
      </c>
      <c r="B55" t="n">
        <v>485.31</v>
      </c>
      <c r="C55" t="n">
        <v>10.2</v>
      </c>
      <c r="D55" t="n">
        <v>0</v>
      </c>
      <c r="E55" t="n">
        <v>0</v>
      </c>
      <c r="F55" t="n">
        <v>485.31</v>
      </c>
      <c r="G55" t="n">
        <v>0</v>
      </c>
      <c r="H55" t="n">
        <v>485.31</v>
      </c>
      <c r="I55" t="n">
        <v>48</v>
      </c>
      <c r="J55" t="n">
        <v>14</v>
      </c>
      <c r="K55" t="n">
        <v>112.24</v>
      </c>
      <c r="L55" t="n">
        <v>63.818265</v>
      </c>
      <c r="M55">
        <f>B55+'Ramp calc'!AA57</f>
        <v/>
      </c>
      <c r="N55">
        <f>B55+'Ramp calc'!AA57+'Ramp calc'!AB57</f>
        <v/>
      </c>
    </row>
    <row r="56">
      <c r="A56" s="8" t="n">
        <v>45839</v>
      </c>
      <c r="B56" t="n">
        <v>511.326</v>
      </c>
      <c r="C56" t="n">
        <v>10.2</v>
      </c>
      <c r="D56" t="n">
        <v>0</v>
      </c>
      <c r="E56" t="n">
        <v>0</v>
      </c>
      <c r="F56" t="n">
        <v>511.326</v>
      </c>
      <c r="G56" t="n">
        <v>0</v>
      </c>
      <c r="H56" t="n">
        <v>511.326</v>
      </c>
      <c r="I56" t="n">
        <v>48</v>
      </c>
      <c r="J56" t="n">
        <v>14</v>
      </c>
      <c r="K56" t="n">
        <v>112.24</v>
      </c>
      <c r="L56" t="n">
        <v>67.23936900000001</v>
      </c>
      <c r="M56">
        <f>B56+'Ramp calc'!AA58</f>
        <v/>
      </c>
      <c r="N56">
        <f>B56+'Ramp calc'!AA58+'Ramp calc'!AB58</f>
        <v/>
      </c>
    </row>
    <row r="57">
      <c r="A57" s="8" t="n">
        <v>45870</v>
      </c>
      <c r="B57" t="n">
        <v>511.326</v>
      </c>
      <c r="C57" t="n">
        <v>10.2</v>
      </c>
      <c r="D57" t="n">
        <v>0</v>
      </c>
      <c r="E57" t="n">
        <v>0</v>
      </c>
      <c r="F57" t="n">
        <v>511.326</v>
      </c>
      <c r="G57" t="n">
        <v>0</v>
      </c>
      <c r="H57" t="n">
        <v>511.326</v>
      </c>
      <c r="I57" t="n">
        <v>48</v>
      </c>
      <c r="J57" t="n">
        <v>14</v>
      </c>
      <c r="K57" t="n">
        <v>112.24</v>
      </c>
      <c r="L57" t="n">
        <v>67.23936900000001</v>
      </c>
      <c r="M57">
        <f>B57+'Ramp calc'!AA59</f>
        <v/>
      </c>
      <c r="N57">
        <f>B57+'Ramp calc'!AA59+'Ramp calc'!AB59</f>
        <v/>
      </c>
    </row>
    <row r="58">
      <c r="A58" s="8" t="n">
        <v>45901</v>
      </c>
      <c r="B58" t="n">
        <v>521.226</v>
      </c>
      <c r="C58" t="n">
        <v>10.2</v>
      </c>
      <c r="D58" t="n">
        <v>0</v>
      </c>
      <c r="E58" t="n">
        <v>0</v>
      </c>
      <c r="F58" t="n">
        <v>521.226</v>
      </c>
      <c r="G58" t="n">
        <v>0</v>
      </c>
      <c r="H58" t="n">
        <v>521.226</v>
      </c>
      <c r="I58" t="n">
        <v>48</v>
      </c>
      <c r="J58" t="n">
        <v>14</v>
      </c>
      <c r="K58" t="n">
        <v>112.24</v>
      </c>
      <c r="L58" t="n">
        <v>68.541219</v>
      </c>
      <c r="M58">
        <f>B58+'Ramp calc'!AA60</f>
        <v/>
      </c>
      <c r="N58">
        <f>B58+'Ramp calc'!AA60+'Ramp calc'!AB60</f>
        <v/>
      </c>
    </row>
    <row r="59">
      <c r="A59" s="8" t="n">
        <v>45931</v>
      </c>
      <c r="B59" t="n">
        <v>521.226</v>
      </c>
      <c r="C59" t="n">
        <v>10.2</v>
      </c>
      <c r="D59" t="n">
        <v>0</v>
      </c>
      <c r="E59" t="n">
        <v>0</v>
      </c>
      <c r="F59" t="n">
        <v>521.226</v>
      </c>
      <c r="G59" t="n">
        <v>0</v>
      </c>
      <c r="H59" t="n">
        <v>521.226</v>
      </c>
      <c r="I59" t="n">
        <v>48</v>
      </c>
      <c r="J59" t="n">
        <v>14</v>
      </c>
      <c r="K59" t="n">
        <v>112.24</v>
      </c>
      <c r="L59" t="n">
        <v>68.541219</v>
      </c>
      <c r="M59">
        <f>B59+'Ramp calc'!AA61</f>
        <v/>
      </c>
      <c r="N59">
        <f>B59+'Ramp calc'!AA61+'Ramp calc'!AB61</f>
        <v/>
      </c>
    </row>
    <row r="60">
      <c r="A60" s="8" t="n">
        <v>45962</v>
      </c>
      <c r="B60" t="n">
        <v>521.226</v>
      </c>
      <c r="C60" t="n">
        <v>10.2</v>
      </c>
      <c r="D60" t="n">
        <v>0</v>
      </c>
      <c r="E60" t="n">
        <v>0</v>
      </c>
      <c r="F60" t="n">
        <v>521.226</v>
      </c>
      <c r="G60" t="n">
        <v>0</v>
      </c>
      <c r="H60" t="n">
        <v>521.226</v>
      </c>
      <c r="I60" t="n">
        <v>48</v>
      </c>
      <c r="J60" t="n">
        <v>14</v>
      </c>
      <c r="K60" t="n">
        <v>112.24</v>
      </c>
      <c r="L60" t="n">
        <v>68.541219</v>
      </c>
      <c r="M60">
        <f>B60+'Ramp calc'!AA62</f>
        <v/>
      </c>
      <c r="N60">
        <f>B60+'Ramp calc'!AA62+'Ramp calc'!AB62</f>
        <v/>
      </c>
    </row>
    <row r="61">
      <c r="A61" s="8" t="n">
        <v>45992</v>
      </c>
      <c r="B61" t="n">
        <v>521.226</v>
      </c>
      <c r="C61" t="n">
        <v>10.2</v>
      </c>
      <c r="D61" t="n">
        <v>0</v>
      </c>
      <c r="E61" t="n">
        <v>0</v>
      </c>
      <c r="F61" t="n">
        <v>521.226</v>
      </c>
      <c r="G61" t="n">
        <v>0</v>
      </c>
      <c r="H61" t="n">
        <v>521.226</v>
      </c>
      <c r="I61" t="n">
        <v>48</v>
      </c>
      <c r="J61" t="n">
        <v>14</v>
      </c>
      <c r="K61" t="n">
        <v>112.24</v>
      </c>
      <c r="L61" t="n">
        <v>68.541219</v>
      </c>
      <c r="M61">
        <f>B61+'Ramp calc'!AA63</f>
        <v/>
      </c>
      <c r="N61">
        <f>B61+'Ramp calc'!AA63+'Ramp calc'!AB63</f>
        <v/>
      </c>
    </row>
    <row r="62">
      <c r="A62" s="8" t="n">
        <v>46023</v>
      </c>
      <c r="B62" t="n">
        <v>521.226</v>
      </c>
      <c r="C62" t="n">
        <v>10.2</v>
      </c>
      <c r="D62" t="n">
        <v>0</v>
      </c>
      <c r="E62" t="n">
        <v>0</v>
      </c>
      <c r="F62" t="n">
        <v>521.226</v>
      </c>
      <c r="G62" t="n">
        <v>0</v>
      </c>
      <c r="H62" t="n">
        <v>521.226</v>
      </c>
      <c r="I62" t="n">
        <v>48</v>
      </c>
      <c r="J62" t="n">
        <v>14</v>
      </c>
      <c r="K62" t="n">
        <v>112.24</v>
      </c>
      <c r="L62" t="n">
        <v>68.541219</v>
      </c>
      <c r="M62">
        <f>B62+'Ramp calc'!AA64</f>
        <v/>
      </c>
      <c r="N62">
        <f>B62+'Ramp calc'!AA64+'Ramp calc'!AB64</f>
        <v/>
      </c>
    </row>
    <row r="63">
      <c r="A63" s="8" t="n">
        <v>46054</v>
      </c>
      <c r="B63" t="n">
        <v>523.626</v>
      </c>
      <c r="C63" t="n">
        <v>10.2</v>
      </c>
      <c r="D63" t="n">
        <v>0</v>
      </c>
      <c r="E63" t="n">
        <v>0</v>
      </c>
      <c r="F63" t="n">
        <v>523.626</v>
      </c>
      <c r="G63" t="n">
        <v>0</v>
      </c>
      <c r="H63" t="n">
        <v>523.626</v>
      </c>
      <c r="I63" t="n">
        <v>48</v>
      </c>
      <c r="J63" t="n">
        <v>14</v>
      </c>
      <c r="K63" t="n">
        <v>112.24</v>
      </c>
      <c r="L63" t="n">
        <v>68.856819</v>
      </c>
      <c r="M63">
        <f>B63+'Ramp calc'!AA65</f>
        <v/>
      </c>
      <c r="N63">
        <f>B63+'Ramp calc'!AA65+'Ramp calc'!AB65</f>
        <v/>
      </c>
    </row>
    <row r="64">
      <c r="A64" s="8" t="n">
        <v>46082</v>
      </c>
      <c r="B64" t="n">
        <v>512.255</v>
      </c>
      <c r="C64" t="n">
        <v>23</v>
      </c>
      <c r="D64" t="n">
        <v>0</v>
      </c>
      <c r="E64" t="n">
        <v>0</v>
      </c>
      <c r="F64" t="n">
        <v>512.255</v>
      </c>
      <c r="G64" t="n">
        <v>0</v>
      </c>
      <c r="H64" t="n">
        <v>512.255</v>
      </c>
      <c r="I64" t="n">
        <v>48</v>
      </c>
      <c r="J64" t="n">
        <v>14</v>
      </c>
      <c r="K64" t="n">
        <v>112.24</v>
      </c>
      <c r="L64" t="n">
        <v>67.3615325</v>
      </c>
      <c r="M64">
        <f>B64+'Ramp calc'!AA66</f>
        <v/>
      </c>
      <c r="N64">
        <f>B64+'Ramp calc'!AA66+'Ramp calc'!AB66</f>
        <v/>
      </c>
    </row>
    <row r="65">
      <c r="A65" s="8" t="n">
        <v>46113</v>
      </c>
      <c r="B65" t="n">
        <v>517.4549999999999</v>
      </c>
      <c r="C65" t="n">
        <v>23</v>
      </c>
      <c r="D65" t="n">
        <v>0</v>
      </c>
      <c r="E65" t="n">
        <v>0</v>
      </c>
      <c r="F65" t="n">
        <v>517.4549999999999</v>
      </c>
      <c r="G65" t="n">
        <v>0</v>
      </c>
      <c r="H65" t="n">
        <v>517.4549999999999</v>
      </c>
      <c r="I65" t="n">
        <v>48</v>
      </c>
      <c r="J65" t="n">
        <v>14</v>
      </c>
      <c r="K65" t="n">
        <v>112.24</v>
      </c>
      <c r="L65" t="n">
        <v>68.04533249999999</v>
      </c>
      <c r="M65">
        <f>B65+'Ramp calc'!AA67</f>
        <v/>
      </c>
      <c r="N65">
        <f>B65+'Ramp calc'!AA67+'Ramp calc'!AB67</f>
        <v/>
      </c>
    </row>
    <row r="66">
      <c r="A66" s="8" t="n">
        <v>46143</v>
      </c>
      <c r="B66" t="n">
        <v>517.4549999999999</v>
      </c>
      <c r="C66" t="n">
        <v>23</v>
      </c>
      <c r="D66" t="n">
        <v>0</v>
      </c>
      <c r="E66" t="n">
        <v>0</v>
      </c>
      <c r="F66" t="n">
        <v>517.4549999999999</v>
      </c>
      <c r="G66" t="n">
        <v>0</v>
      </c>
      <c r="H66" t="n">
        <v>517.4549999999999</v>
      </c>
      <c r="I66" t="n">
        <v>48</v>
      </c>
      <c r="J66" t="n">
        <v>14</v>
      </c>
      <c r="K66" t="n">
        <v>112.24</v>
      </c>
      <c r="L66" t="n">
        <v>68.04533249999999</v>
      </c>
      <c r="M66">
        <f>B66+'Ramp calc'!AA68</f>
        <v/>
      </c>
      <c r="N66">
        <f>B66+'Ramp calc'!AA68+'Ramp calc'!AB68</f>
        <v/>
      </c>
    </row>
    <row r="67">
      <c r="A67" s="8" t="n">
        <v>46174</v>
      </c>
      <c r="B67" t="n">
        <v>518.8839999999999</v>
      </c>
      <c r="C67" t="n">
        <v>23</v>
      </c>
      <c r="D67" t="n">
        <v>0</v>
      </c>
      <c r="E67" t="n">
        <v>0</v>
      </c>
      <c r="F67" t="n">
        <v>518.8839999999999</v>
      </c>
      <c r="G67" t="n">
        <v>0</v>
      </c>
      <c r="H67" t="n">
        <v>518.8839999999999</v>
      </c>
      <c r="I67" t="n">
        <v>48</v>
      </c>
      <c r="J67" t="n">
        <v>14</v>
      </c>
      <c r="K67" t="n">
        <v>112.24</v>
      </c>
      <c r="L67" t="n">
        <v>68.23324599999999</v>
      </c>
      <c r="M67">
        <f>B67+'Ramp calc'!AA69</f>
        <v/>
      </c>
      <c r="N67">
        <f>B67+'Ramp calc'!AA69+'Ramp calc'!AB69</f>
        <v/>
      </c>
    </row>
    <row r="68">
      <c r="A68" s="8" t="n">
        <v>46204</v>
      </c>
      <c r="B68" t="n">
        <v>519.7339999999999</v>
      </c>
      <c r="C68" t="n">
        <v>23</v>
      </c>
      <c r="D68" t="n">
        <v>0</v>
      </c>
      <c r="E68" t="n">
        <v>0</v>
      </c>
      <c r="F68" t="n">
        <v>519.7339999999999</v>
      </c>
      <c r="G68" t="n">
        <v>0</v>
      </c>
      <c r="H68" t="n">
        <v>519.7339999999999</v>
      </c>
      <c r="I68" t="n">
        <v>48</v>
      </c>
      <c r="J68" t="n">
        <v>14</v>
      </c>
      <c r="K68" t="n">
        <v>112.24</v>
      </c>
      <c r="L68" t="n">
        <v>68.34502099999999</v>
      </c>
      <c r="M68">
        <f>B68+'Ramp calc'!AA70</f>
        <v/>
      </c>
      <c r="N68">
        <f>B68+'Ramp calc'!AA70+'Ramp calc'!AB70</f>
        <v/>
      </c>
    </row>
    <row r="69">
      <c r="A69" s="8" t="n">
        <v>46235</v>
      </c>
      <c r="B69" t="n">
        <v>519.7339999999999</v>
      </c>
      <c r="C69" t="n">
        <v>23</v>
      </c>
      <c r="D69" t="n">
        <v>0</v>
      </c>
      <c r="E69" t="n">
        <v>0</v>
      </c>
      <c r="F69" t="n">
        <v>519.7339999999999</v>
      </c>
      <c r="G69" t="n">
        <v>0</v>
      </c>
      <c r="H69" t="n">
        <v>519.7339999999999</v>
      </c>
      <c r="I69" t="n">
        <v>48</v>
      </c>
      <c r="J69" t="n">
        <v>14</v>
      </c>
      <c r="K69" t="n">
        <v>112.24</v>
      </c>
      <c r="L69" t="n">
        <v>68.34502099999999</v>
      </c>
      <c r="M69">
        <f>B69+'Ramp calc'!AA71</f>
        <v/>
      </c>
      <c r="N69">
        <f>B69+'Ramp calc'!AA71+'Ramp calc'!AB71</f>
        <v/>
      </c>
    </row>
    <row r="70">
      <c r="A70" s="8" t="n">
        <v>46266</v>
      </c>
      <c r="B70" t="n">
        <v>519.7339999999999</v>
      </c>
      <c r="C70" t="n">
        <v>23</v>
      </c>
      <c r="D70" t="n">
        <v>0</v>
      </c>
      <c r="E70" t="n">
        <v>0</v>
      </c>
      <c r="F70" t="n">
        <v>519.7339999999999</v>
      </c>
      <c r="G70" t="n">
        <v>0</v>
      </c>
      <c r="H70" t="n">
        <v>519.7339999999999</v>
      </c>
      <c r="I70" t="n">
        <v>48</v>
      </c>
      <c r="J70" t="n">
        <v>14</v>
      </c>
      <c r="K70" t="n">
        <v>112.24</v>
      </c>
      <c r="L70" t="n">
        <v>68.34502099999999</v>
      </c>
      <c r="M70">
        <f>B70+'Ramp calc'!AA72</f>
        <v/>
      </c>
      <c r="N70">
        <f>B70+'Ramp calc'!AA72+'Ramp calc'!AB72</f>
        <v/>
      </c>
    </row>
    <row r="71">
      <c r="A71" s="8" t="n">
        <v>46296</v>
      </c>
      <c r="B71" t="n">
        <v>519.7339999999999</v>
      </c>
      <c r="C71" t="n">
        <v>23</v>
      </c>
      <c r="D71" t="n">
        <v>5.2</v>
      </c>
      <c r="E71" t="n">
        <v>0</v>
      </c>
      <c r="F71" t="n">
        <v>524.934</v>
      </c>
      <c r="G71" t="n">
        <v>0</v>
      </c>
      <c r="H71" t="n">
        <v>524.934</v>
      </c>
      <c r="I71" t="n">
        <v>48</v>
      </c>
      <c r="J71" t="n">
        <v>14</v>
      </c>
      <c r="K71" t="n">
        <v>112.24</v>
      </c>
      <c r="L71" t="n">
        <v>69.02882099999999</v>
      </c>
      <c r="M71">
        <f>B71+'Ramp calc'!AA73</f>
        <v/>
      </c>
      <c r="N71">
        <f>B71+'Ramp calc'!AA73+'Ramp calc'!AB73</f>
        <v/>
      </c>
    </row>
    <row r="72">
      <c r="A72" s="8" t="n">
        <v>46327</v>
      </c>
      <c r="B72" t="n">
        <v>519.7339999999999</v>
      </c>
      <c r="C72" t="n">
        <v>23</v>
      </c>
      <c r="D72" t="n">
        <v>6.629</v>
      </c>
      <c r="E72" t="n">
        <v>0</v>
      </c>
      <c r="F72" t="n">
        <v>526.3629999999999</v>
      </c>
      <c r="G72" t="n">
        <v>0</v>
      </c>
      <c r="H72" t="n">
        <v>526.3629999999999</v>
      </c>
      <c r="I72" t="n">
        <v>48</v>
      </c>
      <c r="J72" t="n">
        <v>14</v>
      </c>
      <c r="K72" t="n">
        <v>112.24</v>
      </c>
      <c r="L72" t="n">
        <v>69.2167345</v>
      </c>
      <c r="M72">
        <f>B72+'Ramp calc'!AA74</f>
        <v/>
      </c>
      <c r="N72">
        <f>B72+'Ramp calc'!AA74+'Ramp calc'!AB74</f>
        <v/>
      </c>
    </row>
    <row r="73">
      <c r="A73" s="8" t="n">
        <v>46357</v>
      </c>
      <c r="B73" t="n">
        <v>519.7339999999999</v>
      </c>
      <c r="C73" t="n">
        <v>23</v>
      </c>
      <c r="D73" t="n">
        <v>6.629</v>
      </c>
      <c r="E73" t="n">
        <v>0</v>
      </c>
      <c r="F73" t="n">
        <v>526.3629999999999</v>
      </c>
      <c r="G73" t="n">
        <v>0</v>
      </c>
      <c r="H73" t="n">
        <v>526.3629999999999</v>
      </c>
      <c r="I73" t="n">
        <v>48</v>
      </c>
      <c r="J73" t="n">
        <v>14</v>
      </c>
      <c r="K73" t="n">
        <v>112.24</v>
      </c>
      <c r="L73" t="n">
        <v>69.2167345</v>
      </c>
      <c r="M73">
        <f>B73+'Ramp calc'!AA75</f>
        <v/>
      </c>
      <c r="N73">
        <f>B73+'Ramp calc'!AA75+'Ramp calc'!AB75</f>
        <v/>
      </c>
    </row>
    <row r="74">
      <c r="A74" s="8" t="n">
        <v>46388</v>
      </c>
      <c r="B74" t="n">
        <v>519.7339999999999</v>
      </c>
      <c r="C74" t="n">
        <v>23</v>
      </c>
      <c r="D74" t="n">
        <v>6.629</v>
      </c>
      <c r="E74" t="n">
        <v>0</v>
      </c>
      <c r="F74" t="n">
        <v>526.3629999999999</v>
      </c>
      <c r="G74" t="n">
        <v>0</v>
      </c>
      <c r="H74" t="n">
        <v>526.3629999999999</v>
      </c>
      <c r="I74" t="n">
        <v>48</v>
      </c>
      <c r="J74" t="n">
        <v>14</v>
      </c>
      <c r="K74" t="n">
        <v>112.24</v>
      </c>
      <c r="L74" t="n">
        <v>69.2167345</v>
      </c>
      <c r="M74">
        <f>B74+'Ramp calc'!AA76</f>
        <v/>
      </c>
      <c r="N74">
        <f>B74+'Ramp calc'!AA76+'Ramp calc'!AB76</f>
        <v/>
      </c>
    </row>
    <row r="75">
      <c r="A75" s="8" t="n">
        <v>46419</v>
      </c>
      <c r="B75" t="n">
        <v>519.7339999999999</v>
      </c>
      <c r="C75" t="n">
        <v>23</v>
      </c>
      <c r="D75" t="n">
        <v>6.629</v>
      </c>
      <c r="E75" t="n">
        <v>0</v>
      </c>
      <c r="F75" t="n">
        <v>526.3629999999999</v>
      </c>
      <c r="G75" t="n">
        <v>0</v>
      </c>
      <c r="H75" t="n">
        <v>526.3629999999999</v>
      </c>
      <c r="I75" t="n">
        <v>48</v>
      </c>
      <c r="J75" t="n">
        <v>14</v>
      </c>
      <c r="K75" t="n">
        <v>112.24</v>
      </c>
      <c r="L75" t="n">
        <v>69.2167345</v>
      </c>
      <c r="M75">
        <f>B75+'Ramp calc'!AA77</f>
        <v/>
      </c>
      <c r="N75">
        <f>B75+'Ramp calc'!AA77+'Ramp calc'!AB77</f>
        <v/>
      </c>
    </row>
    <row r="76">
      <c r="A76" s="8" t="n">
        <v>46447</v>
      </c>
      <c r="B76" t="n">
        <v>519.7339999999999</v>
      </c>
      <c r="C76" t="n">
        <v>23</v>
      </c>
      <c r="D76" t="n">
        <v>6.629</v>
      </c>
      <c r="E76" t="n">
        <v>0</v>
      </c>
      <c r="F76" t="n">
        <v>526.3629999999999</v>
      </c>
      <c r="G76" t="n">
        <v>0</v>
      </c>
      <c r="H76" t="n">
        <v>526.3629999999999</v>
      </c>
      <c r="I76" t="n">
        <v>48</v>
      </c>
      <c r="J76" t="n">
        <v>14</v>
      </c>
      <c r="K76" t="n">
        <v>112.24</v>
      </c>
      <c r="L76" t="n">
        <v>69.2167345</v>
      </c>
      <c r="M76">
        <f>B76+'Ramp calc'!AA78</f>
        <v/>
      </c>
      <c r="N76">
        <f>B76+'Ramp calc'!AA78+'Ramp calc'!AB78</f>
        <v/>
      </c>
    </row>
    <row r="77">
      <c r="A77" s="8" t="n">
        <v>46478</v>
      </c>
      <c r="B77" t="n">
        <v>519.7339999999999</v>
      </c>
      <c r="C77" t="n">
        <v>23</v>
      </c>
      <c r="D77" t="n">
        <v>19.829</v>
      </c>
      <c r="E77" t="n">
        <v>0</v>
      </c>
      <c r="F77" t="n">
        <v>539.5629999999999</v>
      </c>
      <c r="G77" t="n">
        <v>0</v>
      </c>
      <c r="H77" t="n">
        <v>539.5629999999999</v>
      </c>
      <c r="I77" t="n">
        <v>48</v>
      </c>
      <c r="J77" t="n">
        <v>14</v>
      </c>
      <c r="K77" t="n">
        <v>112.24</v>
      </c>
      <c r="L77" t="n">
        <v>70.95253449999998</v>
      </c>
      <c r="M77">
        <f>B77+'Ramp calc'!AA79</f>
        <v/>
      </c>
      <c r="N77">
        <f>B77+'Ramp calc'!AA79+'Ramp calc'!AB79</f>
        <v/>
      </c>
    </row>
    <row r="78">
      <c r="A78" s="8" t="n">
        <v>46508</v>
      </c>
      <c r="B78" t="n">
        <v>519.7339999999999</v>
      </c>
      <c r="C78" t="n">
        <v>23</v>
      </c>
      <c r="D78" t="n">
        <v>19.829</v>
      </c>
      <c r="E78" t="n">
        <v>0</v>
      </c>
      <c r="F78" t="n">
        <v>539.5629999999999</v>
      </c>
      <c r="G78" t="n">
        <v>0</v>
      </c>
      <c r="H78" t="n">
        <v>539.5629999999999</v>
      </c>
      <c r="I78" t="n">
        <v>48</v>
      </c>
      <c r="J78" t="n">
        <v>14</v>
      </c>
      <c r="K78" t="n">
        <v>112.24</v>
      </c>
      <c r="L78" t="n">
        <v>70.95253449999998</v>
      </c>
      <c r="M78">
        <f>B78+'Ramp calc'!AA80</f>
        <v/>
      </c>
      <c r="N78">
        <f>B78+'Ramp calc'!AA80+'Ramp calc'!AB80</f>
        <v/>
      </c>
    </row>
    <row r="79">
      <c r="A79" s="8" t="n">
        <v>46539</v>
      </c>
      <c r="B79" t="n">
        <v>519.7339999999999</v>
      </c>
      <c r="C79" t="n">
        <v>23</v>
      </c>
      <c r="D79" t="n">
        <v>19.829</v>
      </c>
      <c r="E79" t="n">
        <v>0</v>
      </c>
      <c r="F79" t="n">
        <v>539.5629999999999</v>
      </c>
      <c r="G79" t="n">
        <v>0</v>
      </c>
      <c r="H79" t="n">
        <v>539.5629999999999</v>
      </c>
      <c r="I79" t="n">
        <v>48</v>
      </c>
      <c r="J79" t="n">
        <v>14</v>
      </c>
      <c r="K79" t="n">
        <v>112.24</v>
      </c>
      <c r="L79" t="n">
        <v>70.95253449999998</v>
      </c>
      <c r="M79">
        <f>B79+'Ramp calc'!AA81</f>
        <v/>
      </c>
      <c r="N79">
        <f>B79+'Ramp calc'!AA81+'Ramp calc'!AB81</f>
        <v/>
      </c>
    </row>
    <row r="80">
      <c r="A80" s="8" t="n">
        <v>46569</v>
      </c>
      <c r="B80" t="n">
        <v>519.7339999999999</v>
      </c>
      <c r="C80" t="n">
        <v>23</v>
      </c>
      <c r="D80" t="n">
        <v>44.729</v>
      </c>
      <c r="E80" t="n">
        <v>0</v>
      </c>
      <c r="F80" t="n">
        <v>564.463</v>
      </c>
      <c r="G80" t="n">
        <v>0</v>
      </c>
      <c r="H80" t="n">
        <v>564.463</v>
      </c>
      <c r="I80" t="n">
        <v>48</v>
      </c>
      <c r="J80" t="n">
        <v>14</v>
      </c>
      <c r="K80" t="n">
        <v>112.24</v>
      </c>
      <c r="L80" t="n">
        <v>74.2268845</v>
      </c>
      <c r="M80">
        <f>B80+'Ramp calc'!AA82</f>
        <v/>
      </c>
      <c r="N80">
        <f>B80+'Ramp calc'!AA82+'Ramp calc'!AB82</f>
        <v/>
      </c>
    </row>
    <row r="81">
      <c r="A81" s="8" t="n">
        <v>46600</v>
      </c>
      <c r="B81" t="n">
        <v>519.7339999999999</v>
      </c>
      <c r="C81" t="n">
        <v>23</v>
      </c>
      <c r="D81" t="n">
        <v>44.729</v>
      </c>
      <c r="E81" t="n">
        <v>0</v>
      </c>
      <c r="F81" t="n">
        <v>564.463</v>
      </c>
      <c r="G81" t="n">
        <v>0</v>
      </c>
      <c r="H81" t="n">
        <v>564.463</v>
      </c>
      <c r="I81" t="n">
        <v>48</v>
      </c>
      <c r="J81" t="n">
        <v>14</v>
      </c>
      <c r="K81" t="n">
        <v>112.24</v>
      </c>
      <c r="L81" t="n">
        <v>74.2268845</v>
      </c>
      <c r="M81">
        <f>B81+'Ramp calc'!AA83</f>
        <v/>
      </c>
      <c r="N81">
        <f>B81+'Ramp calc'!AA83+'Ramp calc'!AB83</f>
        <v/>
      </c>
    </row>
    <row r="82">
      <c r="A82" s="8" t="n">
        <v>46631</v>
      </c>
      <c r="B82" t="n">
        <v>519.7339999999999</v>
      </c>
      <c r="C82" t="n">
        <v>23</v>
      </c>
      <c r="D82" t="n">
        <v>44.729</v>
      </c>
      <c r="E82" t="n">
        <v>0</v>
      </c>
      <c r="F82" t="n">
        <v>564.463</v>
      </c>
      <c r="G82" t="n">
        <v>0</v>
      </c>
      <c r="H82" t="n">
        <v>564.463</v>
      </c>
      <c r="I82" t="n">
        <v>48</v>
      </c>
      <c r="J82" t="n">
        <v>14</v>
      </c>
      <c r="K82" t="n">
        <v>112.24</v>
      </c>
      <c r="L82" t="n">
        <v>74.2268845</v>
      </c>
      <c r="M82">
        <f>B82+'Ramp calc'!AA84</f>
        <v/>
      </c>
      <c r="N82">
        <f>B82+'Ramp calc'!AA84+'Ramp calc'!AB84</f>
        <v/>
      </c>
    </row>
    <row r="83">
      <c r="A83" s="8" t="n">
        <v>46661</v>
      </c>
      <c r="B83" t="n">
        <v>519.7339999999999</v>
      </c>
      <c r="C83" t="n">
        <v>23</v>
      </c>
      <c r="D83" t="n">
        <v>59.129</v>
      </c>
      <c r="E83" t="n">
        <v>2.45</v>
      </c>
      <c r="F83" t="n">
        <v>581.313</v>
      </c>
      <c r="G83" t="n">
        <v>0</v>
      </c>
      <c r="H83" t="n">
        <v>581.313</v>
      </c>
      <c r="I83" t="n">
        <v>48</v>
      </c>
      <c r="J83" t="n">
        <v>14</v>
      </c>
      <c r="K83" t="n">
        <v>112.24</v>
      </c>
      <c r="L83" t="n">
        <v>76.4426595</v>
      </c>
      <c r="M83">
        <f>B83+'Ramp calc'!AA85</f>
        <v/>
      </c>
      <c r="N83">
        <f>B83+'Ramp calc'!AA85+'Ramp calc'!AB85</f>
        <v/>
      </c>
    </row>
    <row r="84">
      <c r="A84" s="8" t="n">
        <v>46692</v>
      </c>
      <c r="B84" t="n">
        <v>519.7339999999999</v>
      </c>
      <c r="C84" t="n">
        <v>23</v>
      </c>
      <c r="D84" t="n">
        <v>59.129</v>
      </c>
      <c r="E84" t="n">
        <v>2.45</v>
      </c>
      <c r="F84" t="n">
        <v>581.313</v>
      </c>
      <c r="G84" t="n">
        <v>0</v>
      </c>
      <c r="H84" t="n">
        <v>581.313</v>
      </c>
      <c r="I84" t="n">
        <v>48</v>
      </c>
      <c r="J84" t="n">
        <v>14</v>
      </c>
      <c r="K84" t="n">
        <v>112.24</v>
      </c>
      <c r="L84" t="n">
        <v>76.4426595</v>
      </c>
      <c r="M84">
        <f>B84+'Ramp calc'!AA86</f>
        <v/>
      </c>
      <c r="N84">
        <f>B84+'Ramp calc'!AA86+'Ramp calc'!AB86</f>
        <v/>
      </c>
    </row>
    <row r="85">
      <c r="A85" s="8" t="n">
        <v>46722</v>
      </c>
      <c r="B85" t="n">
        <v>519.7339999999999</v>
      </c>
      <c r="C85" t="n">
        <v>23</v>
      </c>
      <c r="D85" t="n">
        <v>59.129</v>
      </c>
      <c r="E85" t="n">
        <v>2.45</v>
      </c>
      <c r="F85" t="n">
        <v>581.313</v>
      </c>
      <c r="G85" t="n">
        <v>0</v>
      </c>
      <c r="H85" t="n">
        <v>581.313</v>
      </c>
      <c r="I85" t="n">
        <v>48</v>
      </c>
      <c r="J85" t="n">
        <v>14</v>
      </c>
      <c r="K85" t="n">
        <v>112.24</v>
      </c>
      <c r="L85" t="n">
        <v>76.4426595</v>
      </c>
      <c r="M85">
        <f>B85+'Ramp calc'!AA87</f>
        <v/>
      </c>
      <c r="N85">
        <f>B85+'Ramp calc'!AA87+'Ramp calc'!AB87</f>
        <v/>
      </c>
    </row>
    <row r="86">
      <c r="A86" s="8" t="n">
        <v>46753</v>
      </c>
      <c r="B86" t="n">
        <v>519.7339999999999</v>
      </c>
      <c r="C86" t="n">
        <v>23</v>
      </c>
      <c r="D86" t="n">
        <v>59.129</v>
      </c>
      <c r="E86" t="n">
        <v>2.45</v>
      </c>
      <c r="F86" t="n">
        <v>581.313</v>
      </c>
      <c r="G86" t="n">
        <v>0</v>
      </c>
      <c r="H86" t="n">
        <v>581.313</v>
      </c>
      <c r="I86" t="n">
        <v>48</v>
      </c>
      <c r="J86" t="n">
        <v>14</v>
      </c>
      <c r="K86" t="n">
        <v>112.24</v>
      </c>
      <c r="L86" t="n">
        <v>76.4426595</v>
      </c>
      <c r="M86">
        <f>B86+'Ramp calc'!AA88</f>
        <v/>
      </c>
      <c r="N86">
        <f>B86+'Ramp calc'!AA88+'Ramp calc'!AB88</f>
        <v/>
      </c>
    </row>
    <row r="87">
      <c r="A87" s="8" t="n">
        <v>46784</v>
      </c>
      <c r="B87" t="n">
        <v>519.7339999999999</v>
      </c>
      <c r="C87" t="n">
        <v>23</v>
      </c>
      <c r="D87" t="n">
        <v>59.129</v>
      </c>
      <c r="E87" t="n">
        <v>2.45</v>
      </c>
      <c r="F87" t="n">
        <v>581.313</v>
      </c>
      <c r="G87" t="n">
        <v>0</v>
      </c>
      <c r="H87" t="n">
        <v>581.313</v>
      </c>
      <c r="I87" t="n">
        <v>48</v>
      </c>
      <c r="J87" t="n">
        <v>14</v>
      </c>
      <c r="K87" t="n">
        <v>112.24</v>
      </c>
      <c r="L87" t="n">
        <v>76.4426595</v>
      </c>
      <c r="M87">
        <f>B87+'Ramp calc'!AA89</f>
        <v/>
      </c>
      <c r="N87">
        <f>B87+'Ramp calc'!AA89+'Ramp calc'!AB89</f>
        <v/>
      </c>
    </row>
    <row r="88">
      <c r="A88" s="8" t="n">
        <v>46813</v>
      </c>
      <c r="B88" t="n">
        <v>519.7339999999999</v>
      </c>
      <c r="C88" t="n">
        <v>23</v>
      </c>
      <c r="D88" t="n">
        <v>59.129</v>
      </c>
      <c r="E88" t="n">
        <v>2.45</v>
      </c>
      <c r="F88" t="n">
        <v>581.313</v>
      </c>
      <c r="G88" t="n">
        <v>0</v>
      </c>
      <c r="H88" t="n">
        <v>581.313</v>
      </c>
      <c r="I88" t="n">
        <v>48</v>
      </c>
      <c r="J88" t="n">
        <v>14</v>
      </c>
      <c r="K88" t="n">
        <v>112.24</v>
      </c>
      <c r="L88" t="n">
        <v>76.4426595</v>
      </c>
      <c r="M88">
        <f>B88+'Ramp calc'!AA90</f>
        <v/>
      </c>
      <c r="N88">
        <f>B88+'Ramp calc'!AA90+'Ramp calc'!AB90</f>
        <v/>
      </c>
    </row>
    <row r="89">
      <c r="A89" s="8" t="n">
        <v>46844</v>
      </c>
      <c r="B89" t="n">
        <v>519.7339999999999</v>
      </c>
      <c r="C89" t="n">
        <v>23</v>
      </c>
      <c r="D89" t="n">
        <v>59.129</v>
      </c>
      <c r="E89" t="n">
        <v>2.45</v>
      </c>
      <c r="F89" t="n">
        <v>581.313</v>
      </c>
      <c r="G89" t="n">
        <v>0</v>
      </c>
      <c r="H89" t="n">
        <v>581.313</v>
      </c>
      <c r="I89" t="n">
        <v>48</v>
      </c>
      <c r="J89" t="n">
        <v>14</v>
      </c>
      <c r="K89" t="n">
        <v>112.24</v>
      </c>
      <c r="L89" t="n">
        <v>76.4426595</v>
      </c>
      <c r="M89">
        <f>B89+'Ramp calc'!AA91</f>
        <v/>
      </c>
      <c r="N89">
        <f>B89+'Ramp calc'!AA91+'Ramp calc'!AB91</f>
        <v/>
      </c>
    </row>
    <row r="90">
      <c r="A90" s="8" t="n">
        <v>46874</v>
      </c>
      <c r="B90" t="n">
        <v>519.7339999999999</v>
      </c>
      <c r="C90" t="n">
        <v>23</v>
      </c>
      <c r="D90" t="n">
        <v>59.129</v>
      </c>
      <c r="E90" t="n">
        <v>2.45</v>
      </c>
      <c r="F90" t="n">
        <v>581.313</v>
      </c>
      <c r="G90" t="n">
        <v>0</v>
      </c>
      <c r="H90" t="n">
        <v>581.313</v>
      </c>
      <c r="I90" t="n">
        <v>48</v>
      </c>
      <c r="J90" t="n">
        <v>14</v>
      </c>
      <c r="K90" t="n">
        <v>112.24</v>
      </c>
      <c r="L90" t="n">
        <v>76.4426595</v>
      </c>
      <c r="M90">
        <f>B90+'Ramp calc'!AA92</f>
        <v/>
      </c>
      <c r="N90">
        <f>B90+'Ramp calc'!AA92+'Ramp calc'!AB92</f>
        <v/>
      </c>
    </row>
    <row r="91">
      <c r="A91" s="8" t="n">
        <v>46905</v>
      </c>
      <c r="B91" t="n">
        <v>519.7339999999999</v>
      </c>
      <c r="C91" t="n">
        <v>23</v>
      </c>
      <c r="D91" t="n">
        <v>59.129</v>
      </c>
      <c r="E91" t="n">
        <v>2.45</v>
      </c>
      <c r="F91" t="n">
        <v>581.313</v>
      </c>
      <c r="G91" t="n">
        <v>0</v>
      </c>
      <c r="H91" t="n">
        <v>581.313</v>
      </c>
      <c r="I91" t="n">
        <v>48</v>
      </c>
      <c r="J91" t="n">
        <v>14</v>
      </c>
      <c r="K91" t="n">
        <v>112.24</v>
      </c>
      <c r="L91" t="n">
        <v>76.4426595</v>
      </c>
      <c r="M91">
        <f>B91+'Ramp calc'!AA93</f>
        <v/>
      </c>
      <c r="N91">
        <f>B91+'Ramp calc'!AA93+'Ramp calc'!AB93</f>
        <v/>
      </c>
    </row>
    <row r="92">
      <c r="A92" s="8" t="n">
        <v>46935</v>
      </c>
      <c r="B92" t="n">
        <v>519.7339999999999</v>
      </c>
      <c r="C92" t="n">
        <v>23</v>
      </c>
      <c r="D92" t="n">
        <v>78.10899999999998</v>
      </c>
      <c r="E92" t="n">
        <v>6.050000000000001</v>
      </c>
      <c r="F92" t="n">
        <v>603.8929999999998</v>
      </c>
      <c r="G92" t="n">
        <v>0</v>
      </c>
      <c r="H92" t="n">
        <v>603.8929999999998</v>
      </c>
      <c r="I92" t="n">
        <v>48</v>
      </c>
      <c r="J92" t="n">
        <v>14</v>
      </c>
      <c r="K92" t="n">
        <v>112.24</v>
      </c>
      <c r="L92" t="n">
        <v>79.41192949999997</v>
      </c>
      <c r="M92">
        <f>B92+'Ramp calc'!AA94</f>
        <v/>
      </c>
      <c r="N92">
        <f>B92+'Ramp calc'!AA94+'Ramp calc'!AB94</f>
        <v/>
      </c>
    </row>
    <row r="93">
      <c r="A93" s="8" t="n">
        <v>46966</v>
      </c>
      <c r="B93" t="n">
        <v>519.7339999999999</v>
      </c>
      <c r="C93" t="n">
        <v>23</v>
      </c>
      <c r="D93" t="n">
        <v>78.10899999999998</v>
      </c>
      <c r="E93" t="n">
        <v>6.050000000000001</v>
      </c>
      <c r="F93" t="n">
        <v>603.8929999999998</v>
      </c>
      <c r="G93" t="n">
        <v>0</v>
      </c>
      <c r="H93" t="n">
        <v>603.8929999999998</v>
      </c>
      <c r="I93" t="n">
        <v>48</v>
      </c>
      <c r="J93" t="n">
        <v>14</v>
      </c>
      <c r="K93" t="n">
        <v>112.24</v>
      </c>
      <c r="L93" t="n">
        <v>79.41192949999997</v>
      </c>
      <c r="M93">
        <f>B93+'Ramp calc'!AA95</f>
        <v/>
      </c>
      <c r="N93">
        <f>B93+'Ramp calc'!AA95+'Ramp calc'!AB95</f>
        <v/>
      </c>
    </row>
    <row r="94">
      <c r="A94" s="8" t="n">
        <v>46997</v>
      </c>
      <c r="B94" t="n">
        <v>519.7339999999999</v>
      </c>
      <c r="C94" t="n">
        <v>23</v>
      </c>
      <c r="D94" t="n">
        <v>78.10899999999998</v>
      </c>
      <c r="E94" t="n">
        <v>6.050000000000001</v>
      </c>
      <c r="F94" t="n">
        <v>603.8929999999998</v>
      </c>
      <c r="G94" t="n">
        <v>0</v>
      </c>
      <c r="H94" t="n">
        <v>603.8929999999998</v>
      </c>
      <c r="I94" t="n">
        <v>48</v>
      </c>
      <c r="J94" t="n">
        <v>14</v>
      </c>
      <c r="K94" t="n">
        <v>112.24</v>
      </c>
      <c r="L94" t="n">
        <v>79.41192949999997</v>
      </c>
      <c r="M94">
        <f>B94+'Ramp calc'!AA96</f>
        <v/>
      </c>
      <c r="N94">
        <f>B94+'Ramp calc'!AA96+'Ramp calc'!AB96</f>
        <v/>
      </c>
    </row>
    <row r="95">
      <c r="A95" s="8" t="n">
        <v>47027</v>
      </c>
      <c r="B95" t="n">
        <v>519.7339999999999</v>
      </c>
      <c r="C95" t="n">
        <v>23</v>
      </c>
      <c r="D95" t="n">
        <v>81.60899999999998</v>
      </c>
      <c r="E95" t="n">
        <v>6.050000000000001</v>
      </c>
      <c r="F95" t="n">
        <v>607.3929999999998</v>
      </c>
      <c r="G95" t="n">
        <v>0</v>
      </c>
      <c r="H95" t="n">
        <v>607.3929999999998</v>
      </c>
      <c r="I95" t="n">
        <v>48</v>
      </c>
      <c r="J95" t="n">
        <v>14</v>
      </c>
      <c r="K95" t="n">
        <v>112.24</v>
      </c>
      <c r="L95" t="n">
        <v>79.87217949999997</v>
      </c>
      <c r="M95">
        <f>B95+'Ramp calc'!AA97</f>
        <v/>
      </c>
      <c r="N95">
        <f>B95+'Ramp calc'!AA97+'Ramp calc'!AB97</f>
        <v/>
      </c>
    </row>
    <row r="96">
      <c r="A96" s="8" t="n">
        <v>47058</v>
      </c>
      <c r="B96" t="n">
        <v>519.7339999999999</v>
      </c>
      <c r="C96" t="n">
        <v>23</v>
      </c>
      <c r="D96" t="n">
        <v>81.60899999999998</v>
      </c>
      <c r="E96" t="n">
        <v>6.050000000000001</v>
      </c>
      <c r="F96" t="n">
        <v>607.3929999999998</v>
      </c>
      <c r="G96" t="n">
        <v>0</v>
      </c>
      <c r="H96" t="n">
        <v>607.3929999999998</v>
      </c>
      <c r="I96" t="n">
        <v>48</v>
      </c>
      <c r="J96" t="n">
        <v>14</v>
      </c>
      <c r="K96" t="n">
        <v>112.24</v>
      </c>
      <c r="L96" t="n">
        <v>79.87217949999997</v>
      </c>
      <c r="M96">
        <f>B96+'Ramp calc'!AA98</f>
        <v/>
      </c>
      <c r="N96">
        <f>B96+'Ramp calc'!AA98+'Ramp calc'!AB98</f>
        <v/>
      </c>
    </row>
    <row r="97">
      <c r="A97" s="8" t="n">
        <v>47088</v>
      </c>
      <c r="B97" t="n">
        <v>519.7339999999999</v>
      </c>
      <c r="C97" t="n">
        <v>23</v>
      </c>
      <c r="D97" t="n">
        <v>81.60899999999998</v>
      </c>
      <c r="E97" t="n">
        <v>6.050000000000001</v>
      </c>
      <c r="F97" t="n">
        <v>607.3929999999998</v>
      </c>
      <c r="G97" t="n">
        <v>0</v>
      </c>
      <c r="H97" t="n">
        <v>607.3929999999998</v>
      </c>
      <c r="I97" t="n">
        <v>48</v>
      </c>
      <c r="J97" t="n">
        <v>14</v>
      </c>
      <c r="K97" t="n">
        <v>112.24</v>
      </c>
      <c r="L97" t="n">
        <v>79.87217949999997</v>
      </c>
      <c r="M97">
        <f>B97+'Ramp calc'!AA99</f>
        <v/>
      </c>
      <c r="N97">
        <f>B97+'Ramp calc'!AA99+'Ramp calc'!AB99</f>
        <v/>
      </c>
    </row>
    <row r="98">
      <c r="A98" s="8" t="n">
        <v>47119</v>
      </c>
      <c r="B98" t="n">
        <v>519.7339999999999</v>
      </c>
      <c r="C98" t="n">
        <v>23</v>
      </c>
      <c r="D98" t="n">
        <v>81.60899999999998</v>
      </c>
      <c r="E98" t="n">
        <v>6.050000000000001</v>
      </c>
      <c r="F98" t="n">
        <v>607.3929999999998</v>
      </c>
      <c r="G98" t="n">
        <v>0</v>
      </c>
      <c r="H98" t="n">
        <v>607.3929999999998</v>
      </c>
      <c r="I98" t="n">
        <v>48</v>
      </c>
      <c r="J98" t="n">
        <v>14</v>
      </c>
      <c r="K98" t="n">
        <v>112.24</v>
      </c>
      <c r="L98" t="n">
        <v>79.87217949999997</v>
      </c>
      <c r="M98">
        <f>B98+'Ramp calc'!AA100</f>
        <v/>
      </c>
      <c r="N98">
        <f>B98+'Ramp calc'!AA100+'Ramp calc'!AB100</f>
        <v/>
      </c>
    </row>
    <row r="99">
      <c r="A99" s="8" t="n">
        <v>47150</v>
      </c>
      <c r="B99" t="n">
        <v>519.7339999999999</v>
      </c>
      <c r="C99" t="n">
        <v>23</v>
      </c>
      <c r="D99" t="n">
        <v>81.60899999999998</v>
      </c>
      <c r="E99" t="n">
        <v>6.050000000000001</v>
      </c>
      <c r="F99" t="n">
        <v>607.3929999999998</v>
      </c>
      <c r="G99" t="n">
        <v>0</v>
      </c>
      <c r="H99" t="n">
        <v>607.3929999999998</v>
      </c>
      <c r="I99" t="n">
        <v>48</v>
      </c>
      <c r="J99" t="n">
        <v>14</v>
      </c>
      <c r="K99" t="n">
        <v>112.24</v>
      </c>
      <c r="L99" t="n">
        <v>79.87217949999997</v>
      </c>
      <c r="M99">
        <f>B99+'Ramp calc'!AA101</f>
        <v/>
      </c>
      <c r="N99">
        <f>B99+'Ramp calc'!AA101+'Ramp calc'!AB101</f>
        <v/>
      </c>
    </row>
    <row r="100">
      <c r="A100" s="8" t="n">
        <v>47178</v>
      </c>
      <c r="B100" t="n">
        <v>519.7339999999999</v>
      </c>
      <c r="C100" t="n">
        <v>23</v>
      </c>
      <c r="D100" t="n">
        <v>81.60899999999998</v>
      </c>
      <c r="E100" t="n">
        <v>6.050000000000001</v>
      </c>
      <c r="F100" t="n">
        <v>607.3929999999998</v>
      </c>
      <c r="G100" t="n">
        <v>0</v>
      </c>
      <c r="H100" t="n">
        <v>607.3929999999998</v>
      </c>
      <c r="I100" t="n">
        <v>48</v>
      </c>
      <c r="J100" t="n">
        <v>14</v>
      </c>
      <c r="K100" t="n">
        <v>112.24</v>
      </c>
      <c r="L100" t="n">
        <v>79.87217949999997</v>
      </c>
      <c r="M100">
        <f>B100+'Ramp calc'!AA102</f>
        <v/>
      </c>
      <c r="N100">
        <f>B100+'Ramp calc'!AA102+'Ramp calc'!AB102</f>
        <v/>
      </c>
    </row>
    <row r="101">
      <c r="A101" s="8" t="n">
        <v>47209</v>
      </c>
      <c r="B101" t="n">
        <v>519.7339999999999</v>
      </c>
      <c r="C101" t="n">
        <v>23</v>
      </c>
      <c r="D101" t="n">
        <v>87.20899999999999</v>
      </c>
      <c r="E101" t="n">
        <v>6.050000000000001</v>
      </c>
      <c r="F101" t="n">
        <v>612.9929999999998</v>
      </c>
      <c r="G101" t="n">
        <v>0</v>
      </c>
      <c r="H101" t="n">
        <v>612.9929999999998</v>
      </c>
      <c r="I101" t="n">
        <v>48</v>
      </c>
      <c r="J101" t="n">
        <v>14</v>
      </c>
      <c r="K101" t="n">
        <v>112.24</v>
      </c>
      <c r="L101" t="n">
        <v>80.60857949999998</v>
      </c>
      <c r="M101">
        <f>B101+'Ramp calc'!AA103</f>
        <v/>
      </c>
      <c r="N101">
        <f>B101+'Ramp calc'!AA103+'Ramp calc'!AB103</f>
        <v/>
      </c>
    </row>
    <row r="102">
      <c r="A102" s="8" t="n">
        <v>47239</v>
      </c>
      <c r="B102" t="n">
        <v>519.7339999999999</v>
      </c>
      <c r="C102" t="n">
        <v>23</v>
      </c>
      <c r="D102" t="n">
        <v>87.20899999999999</v>
      </c>
      <c r="E102" t="n">
        <v>6.050000000000001</v>
      </c>
      <c r="F102" t="n">
        <v>612.9929999999998</v>
      </c>
      <c r="G102" t="n">
        <v>0</v>
      </c>
      <c r="H102" t="n">
        <v>612.9929999999998</v>
      </c>
      <c r="I102" t="n">
        <v>48</v>
      </c>
      <c r="J102" t="n">
        <v>14</v>
      </c>
      <c r="K102" t="n">
        <v>112.24</v>
      </c>
      <c r="L102" t="n">
        <v>80.60857949999998</v>
      </c>
      <c r="M102">
        <f>B102+'Ramp calc'!AA104</f>
        <v/>
      </c>
      <c r="N102">
        <f>B102+'Ramp calc'!AA104+'Ramp calc'!AB104</f>
        <v/>
      </c>
    </row>
    <row r="103">
      <c r="A103" s="8" t="n">
        <v>47270</v>
      </c>
      <c r="B103" t="n">
        <v>519.7339999999999</v>
      </c>
      <c r="C103" t="n">
        <v>23</v>
      </c>
      <c r="D103" t="n">
        <v>87.20899999999999</v>
      </c>
      <c r="E103" t="n">
        <v>6.050000000000001</v>
      </c>
      <c r="F103" t="n">
        <v>612.9929999999998</v>
      </c>
      <c r="G103" t="n">
        <v>0</v>
      </c>
      <c r="H103" t="n">
        <v>612.9929999999998</v>
      </c>
      <c r="I103" t="n">
        <v>48</v>
      </c>
      <c r="J103" t="n">
        <v>14</v>
      </c>
      <c r="K103" t="n">
        <v>112.24</v>
      </c>
      <c r="L103" t="n">
        <v>80.60857949999998</v>
      </c>
      <c r="M103">
        <f>B103+'Ramp calc'!AA105</f>
        <v/>
      </c>
      <c r="N103">
        <f>B103+'Ramp calc'!AA105+'Ramp calc'!AB105</f>
        <v/>
      </c>
    </row>
    <row r="104">
      <c r="A104" s="8" t="n">
        <v>47300</v>
      </c>
      <c r="B104" t="n">
        <v>519.7339999999999</v>
      </c>
      <c r="C104" t="n">
        <v>23</v>
      </c>
      <c r="D104" t="n">
        <v>116.889</v>
      </c>
      <c r="E104" t="n">
        <v>9.550000000000001</v>
      </c>
      <c r="F104" t="n">
        <v>646.1729999999999</v>
      </c>
      <c r="G104" t="n">
        <v>0</v>
      </c>
      <c r="H104" t="n">
        <v>646.1729999999999</v>
      </c>
      <c r="I104" t="n">
        <v>48</v>
      </c>
      <c r="J104" t="n">
        <v>14</v>
      </c>
      <c r="K104" t="n">
        <v>112.24</v>
      </c>
      <c r="L104" t="n">
        <v>84.97174949999999</v>
      </c>
      <c r="M104">
        <f>B104+'Ramp calc'!AA106</f>
        <v/>
      </c>
      <c r="N104">
        <f>B104+'Ramp calc'!AA106+'Ramp calc'!AB106</f>
        <v/>
      </c>
    </row>
    <row r="105">
      <c r="A105" s="8" t="n">
        <v>47331</v>
      </c>
      <c r="B105" t="n">
        <v>519.7339999999999</v>
      </c>
      <c r="C105" t="n">
        <v>23</v>
      </c>
      <c r="D105" t="n">
        <v>116.889</v>
      </c>
      <c r="E105" t="n">
        <v>9.550000000000001</v>
      </c>
      <c r="F105" t="n">
        <v>646.1729999999999</v>
      </c>
      <c r="G105" t="n">
        <v>0</v>
      </c>
      <c r="H105" t="n">
        <v>646.1729999999999</v>
      </c>
      <c r="I105" t="n">
        <v>48</v>
      </c>
      <c r="J105" t="n">
        <v>14</v>
      </c>
      <c r="K105" t="n">
        <v>112.24</v>
      </c>
      <c r="L105" t="n">
        <v>84.97174949999999</v>
      </c>
      <c r="M105">
        <f>B105+'Ramp calc'!AA107</f>
        <v/>
      </c>
      <c r="N105">
        <f>B105+'Ramp calc'!AA107+'Ramp calc'!AB107</f>
        <v/>
      </c>
    </row>
    <row r="106">
      <c r="A106" s="8" t="n">
        <v>47362</v>
      </c>
      <c r="B106" t="n">
        <v>519.7339999999999</v>
      </c>
      <c r="C106" t="n">
        <v>23</v>
      </c>
      <c r="D106" t="n">
        <v>116.889</v>
      </c>
      <c r="E106" t="n">
        <v>9.550000000000001</v>
      </c>
      <c r="F106" t="n">
        <v>646.1729999999999</v>
      </c>
      <c r="G106" t="n">
        <v>0</v>
      </c>
      <c r="H106" t="n">
        <v>646.1729999999999</v>
      </c>
      <c r="I106" t="n">
        <v>48</v>
      </c>
      <c r="J106" t="n">
        <v>14</v>
      </c>
      <c r="K106" t="n">
        <v>112.24</v>
      </c>
      <c r="L106" t="n">
        <v>84.97174949999999</v>
      </c>
      <c r="M106">
        <f>B106+'Ramp calc'!AA108</f>
        <v/>
      </c>
      <c r="N106">
        <f>B106+'Ramp calc'!AA108+'Ramp calc'!AB108</f>
        <v/>
      </c>
    </row>
    <row r="107">
      <c r="A107" s="8" t="n">
        <v>47392</v>
      </c>
      <c r="B107" t="n">
        <v>519.7339999999999</v>
      </c>
      <c r="C107" t="n">
        <v>23</v>
      </c>
      <c r="D107" t="n">
        <v>116.889</v>
      </c>
      <c r="E107" t="n">
        <v>9.550000000000001</v>
      </c>
      <c r="F107" t="n">
        <v>646.1729999999999</v>
      </c>
      <c r="G107" t="n">
        <v>0</v>
      </c>
      <c r="H107" t="n">
        <v>646.1729999999999</v>
      </c>
      <c r="I107" t="n">
        <v>48</v>
      </c>
      <c r="J107" t="n">
        <v>14</v>
      </c>
      <c r="K107" t="n">
        <v>112.24</v>
      </c>
      <c r="L107" t="n">
        <v>84.97174949999999</v>
      </c>
      <c r="M107">
        <f>B107+'Ramp calc'!AA109</f>
        <v/>
      </c>
      <c r="N107">
        <f>B107+'Ramp calc'!AA109+'Ramp calc'!AB109</f>
        <v/>
      </c>
    </row>
    <row r="108">
      <c r="A108" s="8" t="n">
        <v>47423</v>
      </c>
      <c r="B108" t="n">
        <v>519.7339999999999</v>
      </c>
      <c r="C108" t="n">
        <v>23</v>
      </c>
      <c r="D108" t="n">
        <v>116.889</v>
      </c>
      <c r="E108" t="n">
        <v>9.550000000000001</v>
      </c>
      <c r="F108" t="n">
        <v>646.1729999999999</v>
      </c>
      <c r="G108" t="n">
        <v>0</v>
      </c>
      <c r="H108" t="n">
        <v>646.1729999999999</v>
      </c>
      <c r="I108" t="n">
        <v>48</v>
      </c>
      <c r="J108" t="n">
        <v>14</v>
      </c>
      <c r="K108" t="n">
        <v>112.24</v>
      </c>
      <c r="L108" t="n">
        <v>84.97174949999999</v>
      </c>
      <c r="M108">
        <f>B108+'Ramp calc'!AA110</f>
        <v/>
      </c>
      <c r="N108">
        <f>B108+'Ramp calc'!AA110+'Ramp calc'!AB110</f>
        <v/>
      </c>
    </row>
    <row r="109">
      <c r="A109" s="8" t="n">
        <v>47453</v>
      </c>
      <c r="B109" t="n">
        <v>519.7339999999999</v>
      </c>
      <c r="C109" t="n">
        <v>23</v>
      </c>
      <c r="D109" t="n">
        <v>116.889</v>
      </c>
      <c r="E109" t="n">
        <v>9.550000000000001</v>
      </c>
      <c r="F109" t="n">
        <v>646.1729999999999</v>
      </c>
      <c r="G109" t="n">
        <v>0</v>
      </c>
      <c r="H109" t="n">
        <v>646.1729999999999</v>
      </c>
      <c r="I109" t="n">
        <v>48</v>
      </c>
      <c r="J109" t="n">
        <v>14</v>
      </c>
      <c r="K109" t="n">
        <v>112.24</v>
      </c>
      <c r="L109" t="n">
        <v>84.97174949999999</v>
      </c>
      <c r="M109">
        <f>B109+'Ramp calc'!AA111</f>
        <v/>
      </c>
      <c r="N109">
        <f>B109+'Ramp calc'!AA111+'Ramp calc'!AB111</f>
        <v/>
      </c>
    </row>
    <row r="110">
      <c r="A110" s="8" t="n">
        <v>47484</v>
      </c>
      <c r="B110" t="n">
        <v>519.7339999999999</v>
      </c>
      <c r="C110" t="n">
        <v>23</v>
      </c>
      <c r="D110" t="n">
        <v>116.889</v>
      </c>
      <c r="E110" t="n">
        <v>9.550000000000001</v>
      </c>
      <c r="F110" t="n">
        <v>646.1729999999999</v>
      </c>
      <c r="G110" t="n">
        <v>0</v>
      </c>
      <c r="H110" t="n">
        <v>646.1729999999999</v>
      </c>
      <c r="I110" t="n">
        <v>48</v>
      </c>
      <c r="J110" t="n">
        <v>14</v>
      </c>
      <c r="K110" t="n">
        <v>112.24</v>
      </c>
      <c r="L110" t="n">
        <v>84.97174949999999</v>
      </c>
      <c r="M110">
        <f>B110+'Ramp calc'!AA112</f>
        <v/>
      </c>
      <c r="N110">
        <f>B110+'Ramp calc'!AA112+'Ramp calc'!AB112</f>
        <v/>
      </c>
    </row>
    <row r="111">
      <c r="A111" s="8" t="n">
        <v>47515</v>
      </c>
      <c r="B111" t="n">
        <v>519.7339999999999</v>
      </c>
      <c r="C111" t="n">
        <v>23</v>
      </c>
      <c r="D111" t="n">
        <v>116.889</v>
      </c>
      <c r="E111" t="n">
        <v>9.550000000000001</v>
      </c>
      <c r="F111" t="n">
        <v>646.1729999999999</v>
      </c>
      <c r="G111" t="n">
        <v>0</v>
      </c>
      <c r="H111" t="n">
        <v>646.1729999999999</v>
      </c>
      <c r="I111" t="n">
        <v>48</v>
      </c>
      <c r="J111" t="n">
        <v>14</v>
      </c>
      <c r="K111" t="n">
        <v>112.24</v>
      </c>
      <c r="L111" t="n">
        <v>84.97174949999999</v>
      </c>
      <c r="M111">
        <f>B111+'Ramp calc'!AA113</f>
        <v/>
      </c>
      <c r="N111">
        <f>B111+'Ramp calc'!AA113+'Ramp calc'!AB113</f>
        <v/>
      </c>
    </row>
    <row r="112">
      <c r="A112" s="8" t="n">
        <v>47543</v>
      </c>
      <c r="B112" t="n">
        <v>519.7339999999999</v>
      </c>
      <c r="C112" t="n">
        <v>23</v>
      </c>
      <c r="D112" t="n">
        <v>116.889</v>
      </c>
      <c r="E112" t="n">
        <v>9.550000000000001</v>
      </c>
      <c r="F112" t="n">
        <v>646.1729999999999</v>
      </c>
      <c r="G112" t="n">
        <v>0</v>
      </c>
      <c r="H112" t="n">
        <v>646.1729999999999</v>
      </c>
      <c r="I112" t="n">
        <v>48</v>
      </c>
      <c r="J112" t="n">
        <v>14</v>
      </c>
      <c r="K112" t="n">
        <v>112.24</v>
      </c>
      <c r="L112" t="n">
        <v>84.97174949999999</v>
      </c>
      <c r="M112">
        <f>B112+'Ramp calc'!AA114</f>
        <v/>
      </c>
      <c r="N112">
        <f>B112+'Ramp calc'!AA114+'Ramp calc'!AB114</f>
        <v/>
      </c>
    </row>
    <row r="113">
      <c r="A113" s="8" t="n">
        <v>47574</v>
      </c>
      <c r="B113" t="n">
        <v>519.7339999999999</v>
      </c>
      <c r="C113" t="n">
        <v>23</v>
      </c>
      <c r="D113" t="n">
        <v>116.889</v>
      </c>
      <c r="E113" t="n">
        <v>9.550000000000001</v>
      </c>
      <c r="F113" t="n">
        <v>646.1729999999999</v>
      </c>
      <c r="G113" t="n">
        <v>0</v>
      </c>
      <c r="H113" t="n">
        <v>646.1729999999999</v>
      </c>
      <c r="I113" t="n">
        <v>48</v>
      </c>
      <c r="J113" t="n">
        <v>14</v>
      </c>
      <c r="K113" t="n">
        <v>112.24</v>
      </c>
      <c r="L113" t="n">
        <v>84.97174949999999</v>
      </c>
      <c r="M113">
        <f>B113+'Ramp calc'!AA115</f>
        <v/>
      </c>
      <c r="N113">
        <f>B113+'Ramp calc'!AA115+'Ramp calc'!AB115</f>
        <v/>
      </c>
    </row>
    <row r="114">
      <c r="A114" s="8" t="n">
        <v>47604</v>
      </c>
      <c r="B114" t="n">
        <v>519.7339999999999</v>
      </c>
      <c r="C114" t="n">
        <v>23</v>
      </c>
      <c r="D114" t="n">
        <v>116.889</v>
      </c>
      <c r="E114" t="n">
        <v>9.550000000000001</v>
      </c>
      <c r="F114" t="n">
        <v>646.1729999999999</v>
      </c>
      <c r="G114" t="n">
        <v>0</v>
      </c>
      <c r="H114" t="n">
        <v>646.1729999999999</v>
      </c>
      <c r="I114" t="n">
        <v>48</v>
      </c>
      <c r="J114" t="n">
        <v>14</v>
      </c>
      <c r="K114" t="n">
        <v>112.24</v>
      </c>
      <c r="L114" t="n">
        <v>84.97174949999999</v>
      </c>
      <c r="M114">
        <f>B114+'Ramp calc'!AA116</f>
        <v/>
      </c>
      <c r="N114">
        <f>B114+'Ramp calc'!AA116+'Ramp calc'!AB116</f>
        <v/>
      </c>
    </row>
    <row r="115">
      <c r="A115" s="8" t="n">
        <v>47635</v>
      </c>
      <c r="B115" t="n">
        <v>519.7339999999999</v>
      </c>
      <c r="C115" t="n">
        <v>23</v>
      </c>
      <c r="D115" t="n">
        <v>116.889</v>
      </c>
      <c r="E115" t="n">
        <v>9.550000000000001</v>
      </c>
      <c r="F115" t="n">
        <v>646.1729999999999</v>
      </c>
      <c r="G115" t="n">
        <v>0</v>
      </c>
      <c r="H115" t="n">
        <v>646.1729999999999</v>
      </c>
      <c r="I115" t="n">
        <v>48</v>
      </c>
      <c r="J115" t="n">
        <v>14</v>
      </c>
      <c r="K115" t="n">
        <v>112.24</v>
      </c>
      <c r="L115" t="n">
        <v>84.97174949999999</v>
      </c>
      <c r="M115">
        <f>B115+'Ramp calc'!AA117</f>
        <v/>
      </c>
      <c r="N115">
        <f>B115+'Ramp calc'!AA117+'Ramp calc'!AB117</f>
        <v/>
      </c>
    </row>
    <row r="116">
      <c r="A116" s="8" t="n">
        <v>47665</v>
      </c>
      <c r="B116" t="n">
        <v>519.7339999999999</v>
      </c>
      <c r="C116" t="n">
        <v>23</v>
      </c>
      <c r="D116" t="n">
        <v>134.689</v>
      </c>
      <c r="E116" t="n">
        <v>9.550000000000001</v>
      </c>
      <c r="F116" t="n">
        <v>663.9729999999998</v>
      </c>
      <c r="G116" t="n">
        <v>0</v>
      </c>
      <c r="H116" t="n">
        <v>663.9729999999998</v>
      </c>
      <c r="I116" t="n">
        <v>48</v>
      </c>
      <c r="J116" t="n">
        <v>14</v>
      </c>
      <c r="K116" t="n">
        <v>112.24</v>
      </c>
      <c r="L116" t="n">
        <v>87.31244949999999</v>
      </c>
      <c r="M116">
        <f>B116+'Ramp calc'!AA118</f>
        <v/>
      </c>
      <c r="N116">
        <f>B116+'Ramp calc'!AA118+'Ramp calc'!AB118</f>
        <v/>
      </c>
    </row>
    <row r="117">
      <c r="A117" s="8" t="n">
        <v>47696</v>
      </c>
      <c r="B117" t="n">
        <v>519.7339999999999</v>
      </c>
      <c r="C117" t="n">
        <v>23</v>
      </c>
      <c r="D117" t="n">
        <v>134.689</v>
      </c>
      <c r="E117" t="n">
        <v>9.550000000000001</v>
      </c>
      <c r="F117" t="n">
        <v>663.9729999999998</v>
      </c>
      <c r="G117" t="n">
        <v>0</v>
      </c>
      <c r="H117" t="n">
        <v>663.9729999999998</v>
      </c>
      <c r="I117" t="n">
        <v>48</v>
      </c>
      <c r="J117" t="n">
        <v>14</v>
      </c>
      <c r="K117" t="n">
        <v>112.24</v>
      </c>
      <c r="L117" t="n">
        <v>87.31244949999999</v>
      </c>
      <c r="M117">
        <f>B117+'Ramp calc'!AA119</f>
        <v/>
      </c>
      <c r="N117">
        <f>B117+'Ramp calc'!AA119+'Ramp calc'!AB119</f>
        <v/>
      </c>
    </row>
    <row r="118">
      <c r="A118" s="8" t="n">
        <v>47727</v>
      </c>
      <c r="B118" t="n">
        <v>519.7339999999999</v>
      </c>
      <c r="C118" t="n">
        <v>23</v>
      </c>
      <c r="D118" t="n">
        <v>134.689</v>
      </c>
      <c r="E118" t="n">
        <v>9.550000000000001</v>
      </c>
      <c r="F118" t="n">
        <v>663.9729999999998</v>
      </c>
      <c r="G118" t="n">
        <v>0</v>
      </c>
      <c r="H118" t="n">
        <v>663.9729999999998</v>
      </c>
      <c r="I118" t="n">
        <v>48</v>
      </c>
      <c r="J118" t="n">
        <v>14</v>
      </c>
      <c r="K118" t="n">
        <v>112.24</v>
      </c>
      <c r="L118" t="n">
        <v>87.31244949999999</v>
      </c>
      <c r="M118">
        <f>B118+'Ramp calc'!AA120</f>
        <v/>
      </c>
      <c r="N118">
        <f>B118+'Ramp calc'!AA120+'Ramp calc'!AB120</f>
        <v/>
      </c>
    </row>
    <row r="119">
      <c r="A119" s="8" t="n">
        <v>47757</v>
      </c>
      <c r="B119" t="n">
        <v>519.7339999999999</v>
      </c>
      <c r="C119" t="n">
        <v>23</v>
      </c>
      <c r="D119" t="n">
        <v>134.689</v>
      </c>
      <c r="E119" t="n">
        <v>9.550000000000001</v>
      </c>
      <c r="F119" t="n">
        <v>663.9729999999998</v>
      </c>
      <c r="G119" t="n">
        <v>0</v>
      </c>
      <c r="H119" t="n">
        <v>663.9729999999998</v>
      </c>
      <c r="I119" t="n">
        <v>48</v>
      </c>
      <c r="J119" t="n">
        <v>14</v>
      </c>
      <c r="K119" t="n">
        <v>112.24</v>
      </c>
      <c r="L119" t="n">
        <v>87.31244949999999</v>
      </c>
      <c r="M119">
        <f>B119+'Ramp calc'!AA121</f>
        <v/>
      </c>
      <c r="N119">
        <f>B119+'Ramp calc'!AA121+'Ramp calc'!AB121</f>
        <v/>
      </c>
    </row>
    <row r="120">
      <c r="A120" s="8" t="n">
        <v>47788</v>
      </c>
      <c r="B120" t="n">
        <v>519.7339999999999</v>
      </c>
      <c r="C120" t="n">
        <v>23</v>
      </c>
      <c r="D120" t="n">
        <v>134.689</v>
      </c>
      <c r="E120" t="n">
        <v>9.550000000000001</v>
      </c>
      <c r="F120" t="n">
        <v>663.9729999999998</v>
      </c>
      <c r="G120" t="n">
        <v>0</v>
      </c>
      <c r="H120" t="n">
        <v>663.9729999999998</v>
      </c>
      <c r="I120" t="n">
        <v>48</v>
      </c>
      <c r="J120" t="n">
        <v>14</v>
      </c>
      <c r="K120" t="n">
        <v>112.24</v>
      </c>
      <c r="L120" t="n">
        <v>87.31244949999999</v>
      </c>
      <c r="M120">
        <f>B120+'Ramp calc'!AA122</f>
        <v/>
      </c>
      <c r="N120">
        <f>B120+'Ramp calc'!AA122+'Ramp calc'!AB122</f>
        <v/>
      </c>
    </row>
    <row r="121">
      <c r="A121" s="8" t="n">
        <v>47818</v>
      </c>
      <c r="B121" t="n">
        <v>519.7339999999999</v>
      </c>
      <c r="C121" t="n">
        <v>23</v>
      </c>
      <c r="D121" t="n">
        <v>134.689</v>
      </c>
      <c r="E121" t="n">
        <v>9.550000000000001</v>
      </c>
      <c r="F121" t="n">
        <v>663.9729999999998</v>
      </c>
      <c r="G121" t="n">
        <v>0</v>
      </c>
      <c r="H121" t="n">
        <v>663.9729999999998</v>
      </c>
      <c r="I121" t="n">
        <v>48</v>
      </c>
      <c r="J121" t="n">
        <v>14</v>
      </c>
      <c r="K121" t="n">
        <v>112.24</v>
      </c>
      <c r="L121" t="n">
        <v>87.31244949999999</v>
      </c>
      <c r="M121">
        <f>B121+'Ramp calc'!AA123</f>
        <v/>
      </c>
      <c r="N121">
        <f>B121+'Ramp calc'!AA123+'Ramp calc'!AB123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5" t="inlineStr">
        <is>
          <t>country</t>
        </is>
      </c>
      <c r="B1" s="5" t="inlineStr">
        <is>
          <t>Chart group</t>
        </is>
      </c>
      <c r="C1" s="5" t="inlineStr">
        <is>
          <t>Operating now (mtpa)</t>
        </is>
      </c>
      <c r="D1" s="5" t="inlineStr">
        <is>
          <t>Offline: damaged / shut-in (mtpa)</t>
        </is>
      </c>
      <c r="E1" s="5" t="inlineStr">
        <is>
          <t>Under construction: dated, online by Dec 2030 (mtpa)</t>
        </is>
      </c>
      <c r="F1" s="5" t="inlineStr">
        <is>
          <t>Under construction: undated (mtpa)</t>
        </is>
      </c>
      <c r="G1" s="5" t="inlineStr">
        <is>
          <t>FID: dated, online by Dec 2030 (mtpa)</t>
        </is>
      </c>
      <c r="H1" s="5" t="inlineStr">
        <is>
          <t>FID: undated (mtpa)</t>
        </is>
      </c>
      <c r="I1" s="5" t="inlineStr">
        <is>
          <t>Planned / permitted: dated (mtpa)</t>
        </is>
      </c>
      <c r="J1" s="5" t="inlineStr">
        <is>
          <t>Planned / permitted: undated (mtpa)</t>
        </is>
      </c>
      <c r="K1" s="5" t="inlineStr">
        <is>
          <t>Suspended / cancelled projects (memo, mtpa)</t>
        </is>
      </c>
      <c r="L1" s="5" t="inlineStr">
        <is>
          <t>Nameplate Dec 2030, sourced = operating + dated UC + FID (mtpa)</t>
        </is>
      </c>
      <c r="M1" s="5" t="inlineStr">
        <is>
          <t>Nameplate Dec 2030 incl. dated planned (mtpa)</t>
        </is>
      </c>
      <c r="N1" s="5" t="inlineStr">
        <is>
          <t>Pipeline incl. undated UC + FID (mtpa)</t>
        </is>
      </c>
      <c r="O1" s="5" t="inlineStr">
        <is>
          <t>Operating now (Bcf/d, DERIVED)</t>
        </is>
      </c>
      <c r="P1" s="5" t="inlineStr">
        <is>
          <t>Nameplate Dec 2030, sourced (Bcf/d, DERIVED)</t>
        </is>
      </c>
    </row>
    <row r="2">
      <c r="A2" t="inlineStr">
        <is>
          <t>United States</t>
        </is>
      </c>
      <c r="B2" t="inlineStr">
        <is>
          <t>United States</t>
        </is>
      </c>
      <c r="C2" t="n">
        <v>120.384</v>
      </c>
      <c r="D2" t="n">
        <v>0</v>
      </c>
      <c r="E2" t="n">
        <v>97.369</v>
      </c>
      <c r="F2" t="n">
        <v>0</v>
      </c>
      <c r="G2" t="n">
        <v>0</v>
      </c>
      <c r="H2" t="n">
        <v>0</v>
      </c>
      <c r="I2" t="n">
        <v>0</v>
      </c>
      <c r="J2" t="n">
        <v>68.14</v>
      </c>
      <c r="K2" t="n">
        <v>16.5</v>
      </c>
      <c r="L2" t="n">
        <v>217.753</v>
      </c>
      <c r="M2" t="n">
        <v>217.753</v>
      </c>
      <c r="N2" t="n">
        <v>217.753</v>
      </c>
      <c r="O2" t="n">
        <v>15.83</v>
      </c>
      <c r="P2" t="n">
        <v>28.635</v>
      </c>
    </row>
    <row r="3">
      <c r="A3" t="inlineStr">
        <is>
          <t>Australia</t>
        </is>
      </c>
      <c r="B3" t="inlineStr">
        <is>
          <t>Australia</t>
        </is>
      </c>
      <c r="C3" t="n">
        <v>85.2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85.2</v>
      </c>
      <c r="M3" t="n">
        <v>85.2</v>
      </c>
      <c r="N3" t="n">
        <v>85.2</v>
      </c>
      <c r="O3" t="n">
        <v>11.204</v>
      </c>
      <c r="P3" t="n">
        <v>11.204</v>
      </c>
    </row>
    <row r="4">
      <c r="A4" t="inlineStr">
        <is>
          <t>Qatar</t>
        </is>
      </c>
      <c r="B4" t="inlineStr">
        <is>
          <t>Qatar</t>
        </is>
      </c>
      <c r="C4" t="n">
        <v>64.2</v>
      </c>
      <c r="D4" t="n">
        <v>12.8</v>
      </c>
      <c r="E4" t="n">
        <v>8</v>
      </c>
      <c r="F4" t="n">
        <v>40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72.2</v>
      </c>
      <c r="M4" t="n">
        <v>72.2</v>
      </c>
      <c r="N4" t="n">
        <v>112.2</v>
      </c>
      <c r="O4" t="n">
        <v>8.442</v>
      </c>
      <c r="P4" t="n">
        <v>9.494</v>
      </c>
    </row>
    <row r="5">
      <c r="A5" t="inlineStr">
        <is>
          <t>Russia</t>
        </is>
      </c>
      <c r="B5" t="inlineStr">
        <is>
          <t>Russia</t>
        </is>
      </c>
      <c r="C5" t="n">
        <v>43.8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6.6</v>
      </c>
      <c r="K5" t="n">
        <v>0</v>
      </c>
      <c r="L5" t="n">
        <v>43.8</v>
      </c>
      <c r="M5" t="n">
        <v>43.8</v>
      </c>
      <c r="N5" t="n">
        <v>43.8</v>
      </c>
      <c r="O5" t="n">
        <v>5.76</v>
      </c>
      <c r="P5" t="n">
        <v>5.76</v>
      </c>
    </row>
    <row r="6">
      <c r="A6" t="inlineStr">
        <is>
          <t>Malaysia</t>
        </is>
      </c>
      <c r="B6" t="inlineStr">
        <is>
          <t>Other</t>
        </is>
      </c>
      <c r="C6" t="n">
        <v>32.1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32.1</v>
      </c>
      <c r="M6" t="n">
        <v>32.1</v>
      </c>
      <c r="N6" t="n">
        <v>32.1</v>
      </c>
      <c r="O6" t="n">
        <v>4.221</v>
      </c>
      <c r="P6" t="n">
        <v>4.221</v>
      </c>
    </row>
    <row r="7">
      <c r="A7" t="inlineStr">
        <is>
          <t>Algeria</t>
        </is>
      </c>
      <c r="B7" t="inlineStr">
        <is>
          <t>Africa</t>
        </is>
      </c>
      <c r="C7" t="n">
        <v>25.3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25.3</v>
      </c>
      <c r="M7" t="n">
        <v>25.3</v>
      </c>
      <c r="N7" t="n">
        <v>25.3</v>
      </c>
      <c r="O7" t="n">
        <v>3.327</v>
      </c>
      <c r="P7" t="n">
        <v>3.327</v>
      </c>
    </row>
    <row r="8">
      <c r="A8" t="inlineStr">
        <is>
          <t>Indonesia</t>
        </is>
      </c>
      <c r="B8" t="inlineStr">
        <is>
          <t>Other</t>
        </is>
      </c>
      <c r="C8" t="n">
        <v>24.9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9.5</v>
      </c>
      <c r="K8" t="n">
        <v>0</v>
      </c>
      <c r="L8" t="n">
        <v>24.9</v>
      </c>
      <c r="M8" t="n">
        <v>24.9</v>
      </c>
      <c r="N8" t="n">
        <v>24.9</v>
      </c>
      <c r="O8" t="n">
        <v>3.274</v>
      </c>
      <c r="P8" t="n">
        <v>3.274</v>
      </c>
    </row>
    <row r="9">
      <c r="A9" t="inlineStr">
        <is>
          <t>Nigeria</t>
        </is>
      </c>
      <c r="B9" t="inlineStr">
        <is>
          <t>Africa</t>
        </is>
      </c>
      <c r="C9" t="n">
        <v>22</v>
      </c>
      <c r="D9" t="n">
        <v>0</v>
      </c>
      <c r="E9" t="n">
        <v>0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</v>
      </c>
      <c r="M9" t="n">
        <v>22</v>
      </c>
      <c r="N9" t="n">
        <v>30</v>
      </c>
      <c r="O9" t="n">
        <v>2.893</v>
      </c>
      <c r="P9" t="n">
        <v>2.893</v>
      </c>
    </row>
    <row r="10">
      <c r="A10" t="inlineStr">
        <is>
          <t>Canada</t>
        </is>
      </c>
      <c r="B10" t="inlineStr">
        <is>
          <t>Canada</t>
        </is>
      </c>
      <c r="C10" t="n">
        <v>14.3</v>
      </c>
      <c r="D10" t="n">
        <v>0</v>
      </c>
      <c r="E10" t="n">
        <v>2.1</v>
      </c>
      <c r="F10" t="n">
        <v>0</v>
      </c>
      <c r="G10" t="n">
        <v>0</v>
      </c>
      <c r="H10" t="n">
        <v>14</v>
      </c>
      <c r="I10" t="n">
        <v>0</v>
      </c>
      <c r="J10" t="n">
        <v>12</v>
      </c>
      <c r="K10" t="n">
        <v>0</v>
      </c>
      <c r="L10" t="n">
        <v>16.4</v>
      </c>
      <c r="M10" t="n">
        <v>16.4</v>
      </c>
      <c r="N10" t="n">
        <v>30.4</v>
      </c>
      <c r="O10" t="n">
        <v>1.88</v>
      </c>
      <c r="P10" t="n">
        <v>2.157</v>
      </c>
    </row>
    <row r="11">
      <c r="A11" t="inlineStr">
        <is>
          <t>Egypt</t>
        </is>
      </c>
      <c r="B11" t="inlineStr">
        <is>
          <t>Africa</t>
        </is>
      </c>
      <c r="C11" t="n">
        <v>12.2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12.2</v>
      </c>
      <c r="M11" t="n">
        <v>12.2</v>
      </c>
      <c r="N11" t="n">
        <v>12.2</v>
      </c>
      <c r="O11" t="n">
        <v>1.604</v>
      </c>
      <c r="P11" t="n">
        <v>1.604</v>
      </c>
    </row>
    <row r="12">
      <c r="A12" t="inlineStr">
        <is>
          <t>Trinidad and Tobago</t>
        </is>
      </c>
      <c r="B12" t="inlineStr">
        <is>
          <t>Other</t>
        </is>
      </c>
      <c r="C12" t="n">
        <v>11.8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11.8</v>
      </c>
      <c r="M12" t="n">
        <v>11.8</v>
      </c>
      <c r="N12" t="n">
        <v>11.8</v>
      </c>
      <c r="O12" t="n">
        <v>1.552</v>
      </c>
      <c r="P12" t="n">
        <v>1.552</v>
      </c>
    </row>
    <row r="13">
      <c r="A13" t="inlineStr">
        <is>
          <t>Oman</t>
        </is>
      </c>
      <c r="B13" t="inlineStr">
        <is>
          <t>Other</t>
        </is>
      </c>
      <c r="C13" t="n">
        <v>11.5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12.5</v>
      </c>
      <c r="M13" t="n">
        <v>12.5</v>
      </c>
      <c r="N13" t="n">
        <v>12.5</v>
      </c>
      <c r="O13" t="n">
        <v>1.512</v>
      </c>
      <c r="P13" t="n">
        <v>1.644</v>
      </c>
    </row>
    <row r="14">
      <c r="A14" t="inlineStr">
        <is>
          <t>Papua New Guinea</t>
        </is>
      </c>
      <c r="B14" t="inlineStr">
        <is>
          <t>Other</t>
        </is>
      </c>
      <c r="C14" t="n">
        <v>8.300000000000001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8.300000000000001</v>
      </c>
      <c r="M14" t="n">
        <v>8.300000000000001</v>
      </c>
      <c r="N14" t="n">
        <v>8.300000000000001</v>
      </c>
      <c r="O14" t="n">
        <v>1.091</v>
      </c>
      <c r="P14" t="n">
        <v>1.091</v>
      </c>
    </row>
    <row r="15">
      <c r="A15" t="inlineStr">
        <is>
          <t>Brunei</t>
        </is>
      </c>
      <c r="B15" t="inlineStr">
        <is>
          <t>Other</t>
        </is>
      </c>
      <c r="C15" t="n">
        <v>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</v>
      </c>
      <c r="M15" t="n">
        <v>7</v>
      </c>
      <c r="N15" t="n">
        <v>7</v>
      </c>
      <c r="O15" t="n">
        <v>0.921</v>
      </c>
      <c r="P15" t="n">
        <v>0.921</v>
      </c>
    </row>
    <row r="16">
      <c r="A16" t="inlineStr">
        <is>
          <t>United Arab Emirates</t>
        </is>
      </c>
      <c r="B16" t="inlineStr">
        <is>
          <t>Other</t>
        </is>
      </c>
      <c r="C16" t="n">
        <v>5.8</v>
      </c>
      <c r="D16" t="n">
        <v>0</v>
      </c>
      <c r="E16" t="n">
        <v>9.6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15.4</v>
      </c>
      <c r="M16" t="n">
        <v>15.4</v>
      </c>
      <c r="N16" t="n">
        <v>15.4</v>
      </c>
      <c r="O16" t="n">
        <v>0.763</v>
      </c>
      <c r="P16" t="n">
        <v>2.025</v>
      </c>
    </row>
    <row r="17">
      <c r="A17" t="inlineStr">
        <is>
          <t>Angola</t>
        </is>
      </c>
      <c r="B17" t="inlineStr">
        <is>
          <t>Africa</t>
        </is>
      </c>
      <c r="C17" t="n">
        <v>5.2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5.2</v>
      </c>
      <c r="M17" t="n">
        <v>5.2</v>
      </c>
      <c r="N17" t="n">
        <v>5.2</v>
      </c>
      <c r="O17" t="n">
        <v>0.6840000000000001</v>
      </c>
      <c r="P17" t="n">
        <v>0.6840000000000001</v>
      </c>
    </row>
    <row r="18">
      <c r="A18" t="inlineStr">
        <is>
          <t>Mexico</t>
        </is>
      </c>
      <c r="B18" t="inlineStr">
        <is>
          <t>Mexico</t>
        </is>
      </c>
      <c r="C18" t="n">
        <v>4.65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4.65</v>
      </c>
      <c r="M18" t="n">
        <v>4.65</v>
      </c>
      <c r="N18" t="n">
        <v>4.65</v>
      </c>
      <c r="O18" t="n">
        <v>0.611</v>
      </c>
      <c r="P18" t="n">
        <v>0.611</v>
      </c>
    </row>
    <row r="19">
      <c r="A19" t="inlineStr">
        <is>
          <t>Peru</t>
        </is>
      </c>
      <c r="B19" t="inlineStr">
        <is>
          <t>Other</t>
        </is>
      </c>
      <c r="C19" t="n">
        <v>4.5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4.5</v>
      </c>
      <c r="M19" t="n">
        <v>4.5</v>
      </c>
      <c r="N19" t="n">
        <v>4.5</v>
      </c>
      <c r="O19" t="n">
        <v>0.592</v>
      </c>
      <c r="P19" t="n">
        <v>0.592</v>
      </c>
    </row>
    <row r="20">
      <c r="A20" t="inlineStr">
        <is>
          <t>Norway</t>
        </is>
      </c>
      <c r="B20" t="inlineStr">
        <is>
          <t>Other</t>
        </is>
      </c>
      <c r="C20" t="n">
        <v>4.2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4.2</v>
      </c>
      <c r="M20" t="n">
        <v>4.2</v>
      </c>
      <c r="N20" t="n">
        <v>4.2</v>
      </c>
      <c r="O20" t="n">
        <v>0.552</v>
      </c>
      <c r="P20" t="n">
        <v>0.552</v>
      </c>
    </row>
    <row r="21">
      <c r="A21" t="inlineStr">
        <is>
          <t>Equatorial Guinea</t>
        </is>
      </c>
      <c r="B21" t="inlineStr">
        <is>
          <t>Africa</t>
        </is>
      </c>
      <c r="C21" t="n">
        <v>3.7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3.7</v>
      </c>
      <c r="M21" t="n">
        <v>3.7</v>
      </c>
      <c r="N21" t="n">
        <v>3.7</v>
      </c>
      <c r="O21" t="n">
        <v>0.487</v>
      </c>
      <c r="P21" t="n">
        <v>0.487</v>
      </c>
    </row>
    <row r="22">
      <c r="A22" t="inlineStr">
        <is>
          <t>Mozambique</t>
        </is>
      </c>
      <c r="B22" t="inlineStr">
        <is>
          <t>Africa</t>
        </is>
      </c>
      <c r="C22" t="n">
        <v>3.4</v>
      </c>
      <c r="D22" t="n">
        <v>0</v>
      </c>
      <c r="E22" t="n">
        <v>13.12</v>
      </c>
      <c r="F22" t="n">
        <v>0</v>
      </c>
      <c r="G22" t="n">
        <v>3.6</v>
      </c>
      <c r="H22" t="n">
        <v>0</v>
      </c>
      <c r="I22" t="n">
        <v>0</v>
      </c>
      <c r="J22" t="n">
        <v>0</v>
      </c>
      <c r="K22" t="n">
        <v>0</v>
      </c>
      <c r="L22" t="n">
        <v>20.12</v>
      </c>
      <c r="M22" t="n">
        <v>20.12</v>
      </c>
      <c r="N22" t="n">
        <v>20.12</v>
      </c>
      <c r="O22" t="n">
        <v>0.447</v>
      </c>
      <c r="P22" t="n">
        <v>2.646</v>
      </c>
    </row>
    <row r="23">
      <c r="A23" t="inlineStr">
        <is>
          <t>Congo</t>
        </is>
      </c>
      <c r="B23" t="inlineStr">
        <is>
          <t>Africa</t>
        </is>
      </c>
      <c r="C23" t="n">
        <v>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</v>
      </c>
      <c r="N23" t="n">
        <v>3</v>
      </c>
      <c r="O23" t="n">
        <v>0.394</v>
      </c>
      <c r="P23" t="n">
        <v>0.394</v>
      </c>
    </row>
    <row r="24">
      <c r="A24" t="inlineStr">
        <is>
          <t>Mauritania/Senegal</t>
        </is>
      </c>
      <c r="B24" t="inlineStr">
        <is>
          <t>Africa</t>
        </is>
      </c>
      <c r="C24" t="n">
        <v>2.3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2.3</v>
      </c>
      <c r="M24" t="n">
        <v>2.3</v>
      </c>
      <c r="N24" t="n">
        <v>2.3</v>
      </c>
      <c r="O24" t="n">
        <v>0.302</v>
      </c>
      <c r="P24" t="n">
        <v>0.302</v>
      </c>
    </row>
    <row r="25">
      <c r="A25" t="inlineStr">
        <is>
          <t>Cameroon</t>
        </is>
      </c>
      <c r="B25" t="inlineStr">
        <is>
          <t>Africa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Argentina</t>
        </is>
      </c>
      <c r="B26" t="inlineStr">
        <is>
          <t>Other</t>
        </is>
      </c>
      <c r="C26" t="n">
        <v>0</v>
      </c>
      <c r="D26" t="n">
        <v>0</v>
      </c>
      <c r="E26" t="n">
        <v>3.5</v>
      </c>
      <c r="F26" t="n">
        <v>0</v>
      </c>
      <c r="G26" t="n">
        <v>2.45</v>
      </c>
      <c r="H26" t="n">
        <v>0</v>
      </c>
      <c r="I26" t="n">
        <v>0</v>
      </c>
      <c r="J26" t="n">
        <v>0</v>
      </c>
      <c r="K26" t="n">
        <v>0</v>
      </c>
      <c r="L26" t="n">
        <v>5.95</v>
      </c>
      <c r="M26" t="n">
        <v>5.95</v>
      </c>
      <c r="N26" t="n">
        <v>5.95</v>
      </c>
      <c r="O26" t="n">
        <v>0</v>
      </c>
      <c r="P26" t="n">
        <v>0.782</v>
      </c>
    </row>
    <row r="27">
      <c r="A27" t="inlineStr">
        <is>
          <t>Unallocated (FLNG)</t>
        </is>
      </c>
      <c r="B27" t="inlineStr">
        <is>
          <t>Other</t>
        </is>
      </c>
      <c r="C27" t="n">
        <v>0</v>
      </c>
      <c r="D27" t="n">
        <v>0</v>
      </c>
      <c r="E27" t="n">
        <v>0</v>
      </c>
      <c r="F27" t="n">
        <v>0</v>
      </c>
      <c r="G27" t="n">
        <v>3.5</v>
      </c>
      <c r="H27" t="n">
        <v>0</v>
      </c>
      <c r="I27" t="n">
        <v>0</v>
      </c>
      <c r="J27" t="n">
        <v>0</v>
      </c>
      <c r="K27" t="n">
        <v>0</v>
      </c>
      <c r="L27" t="n">
        <v>3.5</v>
      </c>
      <c r="M27" t="n">
        <v>3.5</v>
      </c>
      <c r="N27" t="n">
        <v>3.5</v>
      </c>
      <c r="O27" t="n">
        <v>0</v>
      </c>
      <c r="P27" t="n">
        <v>0.46</v>
      </c>
    </row>
    <row r="28">
      <c r="A28" t="inlineStr">
        <is>
          <t>Yemen</t>
        </is>
      </c>
      <c r="B28" t="inlineStr">
        <is>
          <t>Other</t>
        </is>
      </c>
      <c r="C28" t="n">
        <v>0</v>
      </c>
      <c r="D28" t="n">
        <v>7.2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WORLD TOTAL</t>
        </is>
      </c>
      <c r="C29" t="n">
        <v>519.734</v>
      </c>
      <c r="D29" t="n">
        <v>23</v>
      </c>
      <c r="E29" t="n">
        <v>134.689</v>
      </c>
      <c r="F29" t="n">
        <v>48</v>
      </c>
      <c r="G29" t="n">
        <v>9.550000000000001</v>
      </c>
      <c r="H29" t="n">
        <v>14</v>
      </c>
      <c r="I29" t="n">
        <v>0</v>
      </c>
      <c r="J29" t="n">
        <v>112.24</v>
      </c>
      <c r="K29" t="n">
        <v>16.5</v>
      </c>
      <c r="L29" t="n">
        <v>663.973</v>
      </c>
      <c r="M29" t="n">
        <v>663.973</v>
      </c>
      <c r="N29" t="n">
        <v>725.973</v>
      </c>
      <c r="O29" t="n">
        <v>68.345</v>
      </c>
      <c r="P29" t="n">
        <v>87.312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5" t="inlineStr">
        <is>
          <t>year</t>
        </is>
      </c>
      <c r="B1" s="5" t="inlineStr">
        <is>
          <t>United States (additions)</t>
        </is>
      </c>
      <c r="C1" s="5" t="inlineStr">
        <is>
          <t>Qatar (additions)</t>
        </is>
      </c>
      <c r="D1" s="5" t="inlineStr">
        <is>
          <t>Australia (additions)</t>
        </is>
      </c>
      <c r="E1" s="5" t="inlineStr">
        <is>
          <t>Canada (additions)</t>
        </is>
      </c>
      <c r="F1" s="5" t="inlineStr">
        <is>
          <t>Mexico (additions)</t>
        </is>
      </c>
      <c r="G1" s="5" t="inlineStr">
        <is>
          <t>Russia (additions)</t>
        </is>
      </c>
      <c r="H1" s="5" t="inlineStr">
        <is>
          <t>Africa (additions)</t>
        </is>
      </c>
      <c r="I1" s="5" t="inlineStr">
        <is>
          <t>Other (additions)</t>
        </is>
      </c>
      <c r="J1" s="5" t="inlineStr">
        <is>
          <t>United States (offline/closed)</t>
        </is>
      </c>
      <c r="K1" s="5" t="inlineStr">
        <is>
          <t>Qatar (offline/closed)</t>
        </is>
      </c>
      <c r="L1" s="5" t="inlineStr">
        <is>
          <t>Australia (offline/closed)</t>
        </is>
      </c>
      <c r="M1" s="5" t="inlineStr">
        <is>
          <t>Canada (offline/closed)</t>
        </is>
      </c>
      <c r="N1" s="5" t="inlineStr">
        <is>
          <t>Mexico (offline/closed)</t>
        </is>
      </c>
      <c r="O1" s="5" t="inlineStr">
        <is>
          <t>Russia (offline/closed)</t>
        </is>
      </c>
      <c r="P1" s="5" t="inlineStr">
        <is>
          <t>Africa (offline/closed)</t>
        </is>
      </c>
      <c r="Q1" s="5" t="inlineStr">
        <is>
          <t>Other (offline/closed)</t>
        </is>
      </c>
    </row>
    <row r="2">
      <c r="A2" t="n">
        <v>2021</v>
      </c>
      <c r="B2" t="n">
        <v>4.5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2022</v>
      </c>
      <c r="B3" t="n">
        <v>10</v>
      </c>
      <c r="C3" t="n">
        <v>0</v>
      </c>
      <c r="D3" t="n">
        <v>0</v>
      </c>
      <c r="E3" t="n">
        <v>0</v>
      </c>
      <c r="F3" t="n">
        <v>0</v>
      </c>
      <c r="G3" t="n">
        <v>1.5</v>
      </c>
      <c r="H3" t="n">
        <v>3.4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2024</v>
      </c>
      <c r="B5" t="n">
        <v>9.9</v>
      </c>
      <c r="C5" t="n">
        <v>0</v>
      </c>
      <c r="D5" t="n">
        <v>0</v>
      </c>
      <c r="E5" t="n">
        <v>0</v>
      </c>
      <c r="F5" t="n">
        <v>1.4</v>
      </c>
      <c r="G5" t="n">
        <v>6.6</v>
      </c>
      <c r="H5" t="n">
        <v>0.6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2025</v>
      </c>
      <c r="B6" t="n">
        <v>15.616</v>
      </c>
      <c r="C6" t="n">
        <v>0</v>
      </c>
      <c r="D6" t="n">
        <v>0</v>
      </c>
      <c r="E6" t="n">
        <v>14</v>
      </c>
      <c r="F6" t="n">
        <v>0</v>
      </c>
      <c r="G6" t="n">
        <v>6.6</v>
      </c>
      <c r="H6" t="n">
        <v>2.3</v>
      </c>
      <c r="I6" t="n">
        <v>0</v>
      </c>
      <c r="J6" t="n">
        <v>0</v>
      </c>
      <c r="K6" t="n">
        <v>0</v>
      </c>
      <c r="L6" t="n">
        <v>2.6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n">
        <v>2026</v>
      </c>
      <c r="B7" t="n">
        <v>14.687</v>
      </c>
      <c r="C7" t="n">
        <v>0</v>
      </c>
      <c r="D7" t="n">
        <v>0</v>
      </c>
      <c r="E7" t="n">
        <v>0</v>
      </c>
      <c r="F7" t="n">
        <v>3.25</v>
      </c>
      <c r="G7" t="n">
        <v>0</v>
      </c>
      <c r="H7" t="n">
        <v>2.4</v>
      </c>
      <c r="I7" t="n">
        <v>0</v>
      </c>
      <c r="J7" t="n">
        <v>0</v>
      </c>
      <c r="K7" t="n">
        <v>12.8</v>
      </c>
      <c r="L7" t="n">
        <v>0</v>
      </c>
      <c r="M7" t="n">
        <v>0</v>
      </c>
      <c r="N7" t="n">
        <v>0</v>
      </c>
      <c r="O7" t="n">
        <v>0</v>
      </c>
      <c r="P7" t="n">
        <v>2.4</v>
      </c>
      <c r="Q7" t="n">
        <v>0</v>
      </c>
    </row>
    <row r="8">
      <c r="A8" t="n">
        <v>2027</v>
      </c>
      <c r="B8" t="n">
        <v>42.4</v>
      </c>
      <c r="C8" t="n">
        <v>8</v>
      </c>
      <c r="D8" t="n">
        <v>0</v>
      </c>
      <c r="E8" t="n">
        <v>2.1</v>
      </c>
      <c r="F8" t="n">
        <v>0</v>
      </c>
      <c r="G8" t="n">
        <v>0</v>
      </c>
      <c r="H8" t="n">
        <v>0</v>
      </c>
      <c r="I8" t="n">
        <v>2.45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n">
        <v>2028</v>
      </c>
      <c r="B9" t="n">
        <v>8.380000000000001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3.6</v>
      </c>
      <c r="I9" t="n">
        <v>14.1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n">
        <v>2029</v>
      </c>
      <c r="B10" t="n">
        <v>22.16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13.12</v>
      </c>
      <c r="I10" t="n">
        <v>3.5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n">
        <v>2030</v>
      </c>
      <c r="B11" t="n">
        <v>17.8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project</t>
        </is>
      </c>
      <c r="B1" s="5" t="inlineStr">
        <is>
          <t>country</t>
        </is>
      </c>
      <c r="C1" s="5" t="inlineStr">
        <is>
          <t>layer</t>
        </is>
      </c>
      <c r="D1" s="5" t="inlineStr">
        <is>
          <t>source_date_text</t>
        </is>
      </c>
      <c r="E1" s="5" t="inlineStr">
        <is>
          <t>rule</t>
        </is>
      </c>
      <c r="F1" s="5" t="inlineStr">
        <is>
          <t>placed_month</t>
        </is>
      </c>
      <c r="G1" s="5" t="inlineStr">
        <is>
          <t>start_not_in_raw_source</t>
        </is>
      </c>
      <c r="H1" s="5" t="inlineStr">
        <is>
          <t>source_date_already_past</t>
        </is>
      </c>
      <c r="I1" s="5" t="inlineStr">
        <is>
          <t>end_month</t>
        </is>
      </c>
      <c r="J1" s="5" t="inlineStr">
        <is>
          <t>offline_from</t>
        </is>
      </c>
      <c r="K1" s="5" t="inlineStr">
        <is>
          <t>chart_group</t>
        </is>
      </c>
    </row>
    <row r="2">
      <c r="A2" t="inlineStr">
        <is>
          <t>Sabine Pass Train 1</t>
        </is>
      </c>
      <c r="B2" t="inlineStr">
        <is>
          <t>United States</t>
        </is>
      </c>
      <c r="C2" t="inlineStr">
        <is>
          <t>OP</t>
        </is>
      </c>
      <c r="D2" t="inlineStr">
        <is>
          <t>2016-02</t>
        </is>
      </c>
      <c r="E2" t="inlineStr">
        <is>
          <t>month as published</t>
        </is>
      </c>
      <c r="F2" t="inlineStr">
        <is>
          <t>2016-02</t>
        </is>
      </c>
      <c r="K2" t="inlineStr">
        <is>
          <t>United States</t>
        </is>
      </c>
    </row>
    <row r="3">
      <c r="A3" t="inlineStr">
        <is>
          <t>Sabine Pass Train 2</t>
        </is>
      </c>
      <c r="B3" t="inlineStr">
        <is>
          <t>United States</t>
        </is>
      </c>
      <c r="C3" t="inlineStr">
        <is>
          <t>OP</t>
        </is>
      </c>
      <c r="D3" t="inlineStr">
        <is>
          <t>2016-08</t>
        </is>
      </c>
      <c r="E3" t="inlineStr">
        <is>
          <t>month as published</t>
        </is>
      </c>
      <c r="F3" t="inlineStr">
        <is>
          <t>2016-08</t>
        </is>
      </c>
      <c r="K3" t="inlineStr">
        <is>
          <t>United States</t>
        </is>
      </c>
    </row>
    <row r="4">
      <c r="A4" t="inlineStr">
        <is>
          <t>Sabine Pass Train 3</t>
        </is>
      </c>
      <c r="B4" t="inlineStr">
        <is>
          <t>United States</t>
        </is>
      </c>
      <c r="C4" t="inlineStr">
        <is>
          <t>OP</t>
        </is>
      </c>
      <c r="D4" t="inlineStr">
        <is>
          <t>2017-01</t>
        </is>
      </c>
      <c r="E4" t="inlineStr">
        <is>
          <t>month as published</t>
        </is>
      </c>
      <c r="F4" t="inlineStr">
        <is>
          <t>2017-01</t>
        </is>
      </c>
      <c r="K4" t="inlineStr">
        <is>
          <t>United States</t>
        </is>
      </c>
    </row>
    <row r="5">
      <c r="A5" t="inlineStr">
        <is>
          <t>Sabine Pass Train 4</t>
        </is>
      </c>
      <c r="B5" t="inlineStr">
        <is>
          <t>United States</t>
        </is>
      </c>
      <c r="C5" t="inlineStr">
        <is>
          <t>OP</t>
        </is>
      </c>
      <c r="D5" t="inlineStr">
        <is>
          <t>2017-08</t>
        </is>
      </c>
      <c r="E5" t="inlineStr">
        <is>
          <t>month as published</t>
        </is>
      </c>
      <c r="F5" t="inlineStr">
        <is>
          <t>2017-08</t>
        </is>
      </c>
      <c r="K5" t="inlineStr">
        <is>
          <t>United States</t>
        </is>
      </c>
    </row>
    <row r="6">
      <c r="A6" t="inlineStr">
        <is>
          <t>Sabine Pass Train 5</t>
        </is>
      </c>
      <c r="B6" t="inlineStr">
        <is>
          <t>United States</t>
        </is>
      </c>
      <c r="C6" t="inlineStr">
        <is>
          <t>OP</t>
        </is>
      </c>
      <c r="D6" t="inlineStr">
        <is>
          <t>2018-11</t>
        </is>
      </c>
      <c r="E6" t="inlineStr">
        <is>
          <t>month as published</t>
        </is>
      </c>
      <c r="F6" t="inlineStr">
        <is>
          <t>2018-11</t>
        </is>
      </c>
      <c r="K6" t="inlineStr">
        <is>
          <t>United States</t>
        </is>
      </c>
    </row>
    <row r="7">
      <c r="A7" t="inlineStr">
        <is>
          <t>Sabine Pass Train 6</t>
        </is>
      </c>
      <c r="B7" t="inlineStr">
        <is>
          <t>United States</t>
        </is>
      </c>
      <c r="C7" t="inlineStr">
        <is>
          <t>OP</t>
        </is>
      </c>
      <c r="D7" t="inlineStr">
        <is>
          <t>2021-12</t>
        </is>
      </c>
      <c r="E7" t="inlineStr">
        <is>
          <t>month as published</t>
        </is>
      </c>
      <c r="F7" t="inlineStr">
        <is>
          <t>2021-12</t>
        </is>
      </c>
      <c r="K7" t="inlineStr">
        <is>
          <t>United States</t>
        </is>
      </c>
    </row>
    <row r="8">
      <c r="A8" t="inlineStr">
        <is>
          <t>Cove Point Train 1</t>
        </is>
      </c>
      <c r="B8" t="inlineStr">
        <is>
          <t>United States</t>
        </is>
      </c>
      <c r="C8" t="inlineStr">
        <is>
          <t>OP</t>
        </is>
      </c>
      <c r="D8" t="inlineStr">
        <is>
          <t>2018-03</t>
        </is>
      </c>
      <c r="E8" t="inlineStr">
        <is>
          <t>month as published</t>
        </is>
      </c>
      <c r="F8" t="inlineStr">
        <is>
          <t>2018-03</t>
        </is>
      </c>
      <c r="K8" t="inlineStr">
        <is>
          <t>United States</t>
        </is>
      </c>
    </row>
    <row r="9">
      <c r="A9" t="inlineStr">
        <is>
          <t>Elba Island Trains 1-5A</t>
        </is>
      </c>
      <c r="B9" t="inlineStr">
        <is>
          <t>United States</t>
        </is>
      </c>
      <c r="C9" t="inlineStr">
        <is>
          <t>OP</t>
        </is>
      </c>
      <c r="D9" t="inlineStr">
        <is>
          <t>2019-09</t>
        </is>
      </c>
      <c r="E9" t="inlineStr">
        <is>
          <t>month as published</t>
        </is>
      </c>
      <c r="F9" t="inlineStr">
        <is>
          <t>2019-09</t>
        </is>
      </c>
      <c r="K9" t="inlineStr">
        <is>
          <t>United States</t>
        </is>
      </c>
    </row>
    <row r="10">
      <c r="A10" t="inlineStr">
        <is>
          <t>Elba Island Trains 6-10A</t>
        </is>
      </c>
      <c r="B10" t="inlineStr">
        <is>
          <t>United States</t>
        </is>
      </c>
      <c r="C10" t="inlineStr">
        <is>
          <t>OP</t>
        </is>
      </c>
      <c r="D10" t="inlineStr">
        <is>
          <t>2020-05</t>
        </is>
      </c>
      <c r="E10" t="inlineStr">
        <is>
          <t>month as published</t>
        </is>
      </c>
      <c r="F10" t="inlineStr">
        <is>
          <t>2020-05</t>
        </is>
      </c>
      <c r="K10" t="inlineStr">
        <is>
          <t>United States</t>
        </is>
      </c>
    </row>
    <row r="11">
      <c r="A11" t="inlineStr">
        <is>
          <t>Corpus Christi Train 1</t>
        </is>
      </c>
      <c r="B11" t="inlineStr">
        <is>
          <t>United States</t>
        </is>
      </c>
      <c r="C11" t="inlineStr">
        <is>
          <t>OP</t>
        </is>
      </c>
      <c r="D11" t="inlineStr">
        <is>
          <t>2018-12</t>
        </is>
      </c>
      <c r="E11" t="inlineStr">
        <is>
          <t>month as published</t>
        </is>
      </c>
      <c r="F11" t="inlineStr">
        <is>
          <t>2018-12</t>
        </is>
      </c>
      <c r="K11" t="inlineStr">
        <is>
          <t>United States</t>
        </is>
      </c>
    </row>
    <row r="12">
      <c r="A12" t="inlineStr">
        <is>
          <t>Corpus Christi Train 2</t>
        </is>
      </c>
      <c r="B12" t="inlineStr">
        <is>
          <t>United States</t>
        </is>
      </c>
      <c r="C12" t="inlineStr">
        <is>
          <t>OP</t>
        </is>
      </c>
      <c r="D12" t="inlineStr">
        <is>
          <t>2019-07</t>
        </is>
      </c>
      <c r="E12" t="inlineStr">
        <is>
          <t>month as published</t>
        </is>
      </c>
      <c r="F12" t="inlineStr">
        <is>
          <t>2019-07</t>
        </is>
      </c>
      <c r="K12" t="inlineStr">
        <is>
          <t>United States</t>
        </is>
      </c>
    </row>
    <row r="13">
      <c r="A13" t="inlineStr">
        <is>
          <t>Corpus Christi Train 3</t>
        </is>
      </c>
      <c r="B13" t="inlineStr">
        <is>
          <t>United States</t>
        </is>
      </c>
      <c r="C13" t="inlineStr">
        <is>
          <t>OP</t>
        </is>
      </c>
      <c r="D13" t="inlineStr">
        <is>
          <t>2020-12</t>
        </is>
      </c>
      <c r="E13" t="inlineStr">
        <is>
          <t>month as published</t>
        </is>
      </c>
      <c r="F13" t="inlineStr">
        <is>
          <t>2020-12</t>
        </is>
      </c>
      <c r="K13" t="inlineStr">
        <is>
          <t>United States</t>
        </is>
      </c>
    </row>
    <row r="14">
      <c r="A14" t="inlineStr">
        <is>
          <t>Cameron Train 1B</t>
        </is>
      </c>
      <c r="B14" t="inlineStr">
        <is>
          <t>United States</t>
        </is>
      </c>
      <c r="C14" t="inlineStr">
        <is>
          <t>OP</t>
        </is>
      </c>
      <c r="D14" t="inlineStr">
        <is>
          <t>2019-05</t>
        </is>
      </c>
      <c r="E14" t="inlineStr">
        <is>
          <t>month as published</t>
        </is>
      </c>
      <c r="F14" t="inlineStr">
        <is>
          <t>2019-05</t>
        </is>
      </c>
      <c r="K14" t="inlineStr">
        <is>
          <t>United States</t>
        </is>
      </c>
    </row>
    <row r="15">
      <c r="A15" t="inlineStr">
        <is>
          <t>Cameron Train 2B</t>
        </is>
      </c>
      <c r="B15" t="inlineStr">
        <is>
          <t>United States</t>
        </is>
      </c>
      <c r="C15" t="inlineStr">
        <is>
          <t>OP</t>
        </is>
      </c>
      <c r="D15" t="inlineStr">
        <is>
          <t>2019-12</t>
        </is>
      </c>
      <c r="E15" t="inlineStr">
        <is>
          <t>month as published</t>
        </is>
      </c>
      <c r="F15" t="inlineStr">
        <is>
          <t>2019-12</t>
        </is>
      </c>
      <c r="K15" t="inlineStr">
        <is>
          <t>United States</t>
        </is>
      </c>
    </row>
    <row r="16">
      <c r="A16" t="inlineStr">
        <is>
          <t>Cameron Train 3B</t>
        </is>
      </c>
      <c r="B16" t="inlineStr">
        <is>
          <t>United States</t>
        </is>
      </c>
      <c r="C16" t="inlineStr">
        <is>
          <t>OP</t>
        </is>
      </c>
      <c r="D16" t="inlineStr">
        <is>
          <t>2020-08</t>
        </is>
      </c>
      <c r="E16" t="inlineStr">
        <is>
          <t>month as published</t>
        </is>
      </c>
      <c r="F16" t="inlineStr">
        <is>
          <t>2020-08</t>
        </is>
      </c>
      <c r="K16" t="inlineStr">
        <is>
          <t>United States</t>
        </is>
      </c>
    </row>
    <row r="17">
      <c r="A17" t="inlineStr">
        <is>
          <t>Freeport Train 1</t>
        </is>
      </c>
      <c r="B17" t="inlineStr">
        <is>
          <t>United States</t>
        </is>
      </c>
      <c r="C17" t="inlineStr">
        <is>
          <t>OP</t>
        </is>
      </c>
      <c r="D17" t="inlineStr">
        <is>
          <t>2019-09</t>
        </is>
      </c>
      <c r="E17" t="inlineStr">
        <is>
          <t>month as published</t>
        </is>
      </c>
      <c r="F17" t="inlineStr">
        <is>
          <t>2019-09</t>
        </is>
      </c>
      <c r="K17" t="inlineStr">
        <is>
          <t>United States</t>
        </is>
      </c>
    </row>
    <row r="18">
      <c r="A18" t="inlineStr">
        <is>
          <t>Freeport Train 2</t>
        </is>
      </c>
      <c r="B18" t="inlineStr">
        <is>
          <t>United States</t>
        </is>
      </c>
      <c r="C18" t="inlineStr">
        <is>
          <t>OP</t>
        </is>
      </c>
      <c r="D18" t="inlineStr">
        <is>
          <t>2019-12</t>
        </is>
      </c>
      <c r="E18" t="inlineStr">
        <is>
          <t>month as published</t>
        </is>
      </c>
      <c r="F18" t="inlineStr">
        <is>
          <t>2019-12</t>
        </is>
      </c>
      <c r="K18" t="inlineStr">
        <is>
          <t>United States</t>
        </is>
      </c>
    </row>
    <row r="19">
      <c r="A19" t="inlineStr">
        <is>
          <t>Freeport Train 3</t>
        </is>
      </c>
      <c r="B19" t="inlineStr">
        <is>
          <t>United States</t>
        </is>
      </c>
      <c r="C19" t="inlineStr">
        <is>
          <t>OP</t>
        </is>
      </c>
      <c r="D19" t="inlineStr">
        <is>
          <t>2020-03</t>
        </is>
      </c>
      <c r="E19" t="inlineStr">
        <is>
          <t>month as published</t>
        </is>
      </c>
      <c r="F19" t="inlineStr">
        <is>
          <t>2020-03</t>
        </is>
      </c>
      <c r="K19" t="inlineStr">
        <is>
          <t>United States</t>
        </is>
      </c>
    </row>
    <row r="20">
      <c r="A20" t="inlineStr">
        <is>
          <t>Calcasieu Pass Trains 1-9C</t>
        </is>
      </c>
      <c r="B20" t="inlineStr">
        <is>
          <t>United States</t>
        </is>
      </c>
      <c r="C20" t="inlineStr">
        <is>
          <t>OP</t>
        </is>
      </c>
      <c r="D20" t="inlineStr">
        <is>
          <t>2022-03</t>
        </is>
      </c>
      <c r="E20" t="inlineStr">
        <is>
          <t>month as published</t>
        </is>
      </c>
      <c r="F20" t="inlineStr">
        <is>
          <t>2022-03</t>
        </is>
      </c>
      <c r="K20" t="inlineStr">
        <is>
          <t>United States</t>
        </is>
      </c>
    </row>
    <row r="21">
      <c r="A21" t="inlineStr">
        <is>
          <t>Calcasieu Pass Trains 10-18C</t>
        </is>
      </c>
      <c r="B21" t="inlineStr">
        <is>
          <t>United States</t>
        </is>
      </c>
      <c r="C21" t="inlineStr">
        <is>
          <t>OP</t>
        </is>
      </c>
      <c r="D21" t="inlineStr">
        <is>
          <t>2022-09</t>
        </is>
      </c>
      <c r="E21" t="inlineStr">
        <is>
          <t>month as published</t>
        </is>
      </c>
      <c r="F21" t="inlineStr">
        <is>
          <t>2022-09</t>
        </is>
      </c>
      <c r="K21" t="inlineStr">
        <is>
          <t>United States</t>
        </is>
      </c>
    </row>
    <row r="22">
      <c r="A22" t="inlineStr">
        <is>
          <t>Plaquemines LNG Phase 1 Trains 1-18E</t>
        </is>
      </c>
      <c r="B22" t="inlineStr">
        <is>
          <t>United States</t>
        </is>
      </c>
      <c r="C22" t="inlineStr">
        <is>
          <t>OP</t>
        </is>
      </c>
      <c r="D22" t="inlineStr">
        <is>
          <t>2024-12</t>
        </is>
      </c>
      <c r="E22" t="inlineStr">
        <is>
          <t>month as published</t>
        </is>
      </c>
      <c r="F22" t="inlineStr">
        <is>
          <t>2024-12</t>
        </is>
      </c>
      <c r="K22" t="inlineStr">
        <is>
          <t>United States</t>
        </is>
      </c>
    </row>
    <row r="23">
      <c r="A23" t="inlineStr">
        <is>
          <t>Plaquemines LNG Phase 2 Trains 19-36E</t>
        </is>
      </c>
      <c r="B23" t="inlineStr">
        <is>
          <t>United States</t>
        </is>
      </c>
      <c r="C23" t="inlineStr">
        <is>
          <t>OP</t>
        </is>
      </c>
      <c r="D23" t="inlineStr">
        <is>
          <t>2025-09</t>
        </is>
      </c>
      <c r="E23" t="inlineStr">
        <is>
          <t>month as published</t>
        </is>
      </c>
      <c r="F23" t="inlineStr">
        <is>
          <t>2025-09</t>
        </is>
      </c>
      <c r="K23" t="inlineStr">
        <is>
          <t>United States</t>
        </is>
      </c>
    </row>
    <row r="24">
      <c r="A24" t="inlineStr">
        <is>
          <t>Corpus Christi Stage 3 Midscale Train 1</t>
        </is>
      </c>
      <c r="B24" t="inlineStr">
        <is>
          <t>United States</t>
        </is>
      </c>
      <c r="C24" t="inlineStr">
        <is>
          <t>OP</t>
        </is>
      </c>
      <c r="D24" t="inlineStr">
        <is>
          <t>2025</t>
        </is>
      </c>
      <c r="E24" t="inlineStr">
        <is>
          <t>July (middle of the year)</t>
        </is>
      </c>
      <c r="F24" t="inlineStr">
        <is>
          <t>2025-07</t>
        </is>
      </c>
      <c r="K24" t="inlineStr">
        <is>
          <t>United States</t>
        </is>
      </c>
    </row>
    <row r="25">
      <c r="A25" t="inlineStr">
        <is>
          <t>Corpus Christi Stage 3 Midscale Train 2</t>
        </is>
      </c>
      <c r="B25" t="inlineStr">
        <is>
          <t>United States</t>
        </is>
      </c>
      <c r="C25" t="inlineStr">
        <is>
          <t>OP</t>
        </is>
      </c>
      <c r="D25" t="inlineStr">
        <is>
          <t>2025</t>
        </is>
      </c>
      <c r="E25" t="inlineStr">
        <is>
          <t>July (middle of the year)</t>
        </is>
      </c>
      <c r="F25" t="inlineStr">
        <is>
          <t>2025-07</t>
        </is>
      </c>
      <c r="K25" t="inlineStr">
        <is>
          <t>United States</t>
        </is>
      </c>
    </row>
    <row r="26">
      <c r="A26" t="inlineStr">
        <is>
          <t>Corpus Christi Stage 3 Midscale Train 3</t>
        </is>
      </c>
      <c r="B26" t="inlineStr">
        <is>
          <t>United States</t>
        </is>
      </c>
      <c r="C26" t="inlineStr">
        <is>
          <t>OP</t>
        </is>
      </c>
      <c r="D26" t="inlineStr">
        <is>
          <t>2025</t>
        </is>
      </c>
      <c r="E26" t="inlineStr">
        <is>
          <t>July (middle of the year)</t>
        </is>
      </c>
      <c r="F26" t="inlineStr">
        <is>
          <t>2025-07</t>
        </is>
      </c>
      <c r="K26" t="inlineStr">
        <is>
          <t>United States</t>
        </is>
      </c>
    </row>
    <row r="27">
      <c r="A27" t="inlineStr">
        <is>
          <t>Corpus Christi Stage 3 Midscale Train 4</t>
        </is>
      </c>
      <c r="B27" t="inlineStr">
        <is>
          <t>United States</t>
        </is>
      </c>
      <c r="C27" t="inlineStr">
        <is>
          <t>OP</t>
        </is>
      </c>
      <c r="D27" t="inlineStr">
        <is>
          <t>2025</t>
        </is>
      </c>
      <c r="E27" t="inlineStr">
        <is>
          <t>July (middle of the year)</t>
        </is>
      </c>
      <c r="F27" t="inlineStr">
        <is>
          <t>2025-07</t>
        </is>
      </c>
      <c r="K27" t="inlineStr">
        <is>
          <t>United States</t>
        </is>
      </c>
    </row>
    <row r="28">
      <c r="A28" t="inlineStr">
        <is>
          <t>Corpus Christi Stage 3 Midscale Train 5</t>
        </is>
      </c>
      <c r="B28" t="inlineStr">
        <is>
          <t>United States</t>
        </is>
      </c>
      <c r="C28" t="inlineStr">
        <is>
          <t>OP</t>
        </is>
      </c>
      <c r="D28" t="inlineStr">
        <is>
          <t>2026-03</t>
        </is>
      </c>
      <c r="E28" t="inlineStr">
        <is>
          <t>month as published</t>
        </is>
      </c>
      <c r="F28" t="inlineStr">
        <is>
          <t>2026-03</t>
        </is>
      </c>
      <c r="K28" t="inlineStr">
        <is>
          <t>United States</t>
        </is>
      </c>
    </row>
    <row r="29">
      <c r="A29" t="inlineStr">
        <is>
          <t>Corpus Christi Stage 3 Midscale Train 6</t>
        </is>
      </c>
      <c r="B29" t="inlineStr">
        <is>
          <t>United States</t>
        </is>
      </c>
      <c r="C29" t="inlineStr">
        <is>
          <t>OP</t>
        </is>
      </c>
      <c r="D29" t="inlineStr">
        <is>
          <t>2026-06</t>
        </is>
      </c>
      <c r="E29" t="inlineStr">
        <is>
          <t>month as published</t>
        </is>
      </c>
      <c r="F29" t="inlineStr">
        <is>
          <t>2026-06</t>
        </is>
      </c>
      <c r="K29" t="inlineStr">
        <is>
          <t>United States</t>
        </is>
      </c>
    </row>
    <row r="30">
      <c r="A30" t="inlineStr">
        <is>
          <t>Corpus Christi Stage 3 Midscale Train 7</t>
        </is>
      </c>
      <c r="B30" t="inlineStr">
        <is>
          <t>United States</t>
        </is>
      </c>
      <c r="C30" t="inlineStr">
        <is>
          <t>UC</t>
        </is>
      </c>
      <c r="D30" t="inlineStr">
        <is>
          <t>2026-Q4</t>
        </is>
      </c>
      <c r="E30" t="inlineStr">
        <is>
          <t>middle month of the quarter</t>
        </is>
      </c>
      <c r="F30" t="inlineStr">
        <is>
          <t>2026-11</t>
        </is>
      </c>
      <c r="K30" t="inlineStr">
        <is>
          <t>United States</t>
        </is>
      </c>
    </row>
    <row r="31">
      <c r="A31" t="inlineStr">
        <is>
          <t>Corpus Christi Liquefaction Midscale Trains 8-9G</t>
        </is>
      </c>
      <c r="B31" t="inlineStr">
        <is>
          <t>United States</t>
        </is>
      </c>
      <c r="C31" t="inlineStr">
        <is>
          <t>UC</t>
        </is>
      </c>
      <c r="D31" t="inlineStr">
        <is>
          <t>2028</t>
        </is>
      </c>
      <c r="E31" t="inlineStr">
        <is>
          <t>July (middle of the year)</t>
        </is>
      </c>
      <c r="F31" t="inlineStr">
        <is>
          <t>2028-07</t>
        </is>
      </c>
      <c r="K31" t="inlineStr">
        <is>
          <t>United States</t>
        </is>
      </c>
    </row>
    <row r="32">
      <c r="A32" t="inlineStr">
        <is>
          <t>Golden Pass Train 1D</t>
        </is>
      </c>
      <c r="B32" t="inlineStr">
        <is>
          <t>United States</t>
        </is>
      </c>
      <c r="C32" t="inlineStr">
        <is>
          <t>OP</t>
        </is>
      </c>
      <c r="D32" t="inlineStr">
        <is>
          <t>2026-04</t>
        </is>
      </c>
      <c r="E32" t="inlineStr">
        <is>
          <t>month as published</t>
        </is>
      </c>
      <c r="F32" t="inlineStr">
        <is>
          <t>2026-04</t>
        </is>
      </c>
      <c r="K32" t="inlineStr">
        <is>
          <t>United States</t>
        </is>
      </c>
    </row>
    <row r="33">
      <c r="A33" t="inlineStr">
        <is>
          <t>Golden Pass Train 2D</t>
        </is>
      </c>
      <c r="B33" t="inlineStr">
        <is>
          <t>United States</t>
        </is>
      </c>
      <c r="C33" t="inlineStr">
        <is>
          <t>UC</t>
        </is>
      </c>
      <c r="D33" t="inlineStr">
        <is>
          <t>2026-H2</t>
        </is>
      </c>
      <c r="E33" t="inlineStr">
        <is>
          <t>October (middle of H2)</t>
        </is>
      </c>
      <c r="F33" t="inlineStr">
        <is>
          <t>2026-10</t>
        </is>
      </c>
      <c r="K33" t="inlineStr">
        <is>
          <t>United States</t>
        </is>
      </c>
    </row>
    <row r="34">
      <c r="A34" t="inlineStr">
        <is>
          <t>Golden Pass Train 3D</t>
        </is>
      </c>
      <c r="B34" t="inlineStr">
        <is>
          <t>United States</t>
        </is>
      </c>
      <c r="C34" t="inlineStr">
        <is>
          <t>UC</t>
        </is>
      </c>
      <c r="D34" t="inlineStr">
        <is>
          <t>2027-H1</t>
        </is>
      </c>
      <c r="E34" t="inlineStr">
        <is>
          <t>April (middle of H1)</t>
        </is>
      </c>
      <c r="F34" t="inlineStr">
        <is>
          <t>2027-04</t>
        </is>
      </c>
      <c r="K34" t="inlineStr">
        <is>
          <t>United States</t>
        </is>
      </c>
    </row>
    <row r="35">
      <c r="A35" t="inlineStr">
        <is>
          <t>Port Arthur LNG Phase 1 Trains 1-2</t>
        </is>
      </c>
      <c r="B35" t="inlineStr">
        <is>
          <t>United States</t>
        </is>
      </c>
      <c r="C35" t="inlineStr">
        <is>
          <t>UC</t>
        </is>
      </c>
      <c r="D35" t="inlineStr">
        <is>
          <t>2027</t>
        </is>
      </c>
      <c r="E35" t="inlineStr">
        <is>
          <t>July (middle of the year)</t>
        </is>
      </c>
      <c r="F35" t="inlineStr">
        <is>
          <t>2027-07</t>
        </is>
      </c>
      <c r="K35" t="inlineStr">
        <is>
          <t>United States</t>
        </is>
      </c>
    </row>
    <row r="36">
      <c r="A36" t="inlineStr">
        <is>
          <t>Port Arthur LNG Phase 2 Trains 3-4</t>
        </is>
      </c>
      <c r="B36" t="inlineStr">
        <is>
          <t>United States</t>
        </is>
      </c>
      <c r="C36" t="inlineStr">
        <is>
          <t>UC</t>
        </is>
      </c>
      <c r="D36" t="inlineStr">
        <is>
          <t>2031</t>
        </is>
      </c>
      <c r="E36" t="inlineStr">
        <is>
          <t>July (middle of the year)</t>
        </is>
      </c>
      <c r="F36" t="inlineStr">
        <is>
          <t>2031-07</t>
        </is>
      </c>
      <c r="K36" t="inlineStr">
        <is>
          <t>United States</t>
        </is>
      </c>
    </row>
    <row r="37">
      <c r="A37" t="inlineStr">
        <is>
          <t>Rio Grande LNG Phase 1 Train 1I</t>
        </is>
      </c>
      <c r="B37" t="inlineStr">
        <is>
          <t>United States</t>
        </is>
      </c>
      <c r="C37" t="inlineStr">
        <is>
          <t>UC</t>
        </is>
      </c>
      <c r="D37" t="inlineStr">
        <is>
          <t>2027</t>
        </is>
      </c>
      <c r="E37" t="inlineStr">
        <is>
          <t>July (middle of the year)</t>
        </is>
      </c>
      <c r="F37" t="inlineStr">
        <is>
          <t>2027-07</t>
        </is>
      </c>
      <c r="K37" t="inlineStr">
        <is>
          <t>United States</t>
        </is>
      </c>
    </row>
    <row r="38">
      <c r="A38" t="inlineStr">
        <is>
          <t>Rio Grande LNG Phase 1 Train 2I</t>
        </is>
      </c>
      <c r="B38" t="inlineStr">
        <is>
          <t>United States</t>
        </is>
      </c>
      <c r="C38" t="inlineStr">
        <is>
          <t>UC</t>
        </is>
      </c>
      <c r="D38" t="inlineStr">
        <is>
          <t>2027</t>
        </is>
      </c>
      <c r="E38" t="inlineStr">
        <is>
          <t>July (middle of the year)</t>
        </is>
      </c>
      <c r="F38" t="inlineStr">
        <is>
          <t>2027-07</t>
        </is>
      </c>
      <c r="K38" t="inlineStr">
        <is>
          <t>United States</t>
        </is>
      </c>
    </row>
    <row r="39">
      <c r="A39" t="inlineStr">
        <is>
          <t>Rio Grande LNG Phase 1 Train 3I</t>
        </is>
      </c>
      <c r="B39" t="inlineStr">
        <is>
          <t>United States</t>
        </is>
      </c>
      <c r="C39" t="inlineStr">
        <is>
          <t>UC</t>
        </is>
      </c>
      <c r="D39" t="inlineStr">
        <is>
          <t>2028</t>
        </is>
      </c>
      <c r="E39" t="inlineStr">
        <is>
          <t>July (middle of the year)</t>
        </is>
      </c>
      <c r="F39" t="inlineStr">
        <is>
          <t>2028-07</t>
        </is>
      </c>
      <c r="K39" t="inlineStr">
        <is>
          <t>United States</t>
        </is>
      </c>
    </row>
    <row r="40">
      <c r="A40" t="inlineStr">
        <is>
          <t>Rio Grande LNG Phase 2 Train 4I</t>
        </is>
      </c>
      <c r="B40" t="inlineStr">
        <is>
          <t>United States</t>
        </is>
      </c>
      <c r="C40" t="inlineStr">
        <is>
          <t>UC</t>
        </is>
      </c>
      <c r="D40" t="inlineStr">
        <is>
          <t>2030</t>
        </is>
      </c>
      <c r="E40" t="inlineStr">
        <is>
          <t>July (middle of the year)</t>
        </is>
      </c>
      <c r="F40" t="inlineStr">
        <is>
          <t>2030-07</t>
        </is>
      </c>
      <c r="K40" t="inlineStr">
        <is>
          <t>United States</t>
        </is>
      </c>
    </row>
    <row r="41">
      <c r="A41" t="inlineStr">
        <is>
          <t>Rio Grande LNG Phase 2 Train 5I</t>
        </is>
      </c>
      <c r="B41" t="inlineStr">
        <is>
          <t>United States</t>
        </is>
      </c>
      <c r="C41" t="inlineStr">
        <is>
          <t>UC</t>
        </is>
      </c>
      <c r="D41" t="inlineStr">
        <is>
          <t>2031</t>
        </is>
      </c>
      <c r="E41" t="inlineStr">
        <is>
          <t>July (middle of the year)</t>
        </is>
      </c>
      <c r="F41" t="inlineStr">
        <is>
          <t>2031-07</t>
        </is>
      </c>
      <c r="K41" t="inlineStr">
        <is>
          <t>United States</t>
        </is>
      </c>
    </row>
    <row r="42">
      <c r="A42" t="inlineStr">
        <is>
          <t>Woodside Louisiana LNG Phase 1 Trains 1-3</t>
        </is>
      </c>
      <c r="B42" t="inlineStr">
        <is>
          <t>United States</t>
        </is>
      </c>
      <c r="C42" t="inlineStr">
        <is>
          <t>UC</t>
        </is>
      </c>
      <c r="D42" t="inlineStr">
        <is>
          <t>2029</t>
        </is>
      </c>
      <c r="E42" t="inlineStr">
        <is>
          <t>July (middle of the year)</t>
        </is>
      </c>
      <c r="F42" t="inlineStr">
        <is>
          <t>2029-07</t>
        </is>
      </c>
      <c r="K42" t="inlineStr">
        <is>
          <t>United States</t>
        </is>
      </c>
    </row>
    <row r="43">
      <c r="A43" t="inlineStr">
        <is>
          <t>Venture Global CP2 Phase 1 Trains 1-26</t>
        </is>
      </c>
      <c r="B43" t="inlineStr">
        <is>
          <t>United States</t>
        </is>
      </c>
      <c r="C43" t="inlineStr">
        <is>
          <t>UC</t>
        </is>
      </c>
      <c r="D43" t="inlineStr">
        <is>
          <t>2027-H2</t>
        </is>
      </c>
      <c r="E43" t="inlineStr">
        <is>
          <t>October (middle of H2)</t>
        </is>
      </c>
      <c r="F43" t="inlineStr">
        <is>
          <t>2027-10</t>
        </is>
      </c>
      <c r="K43" t="inlineStr">
        <is>
          <t>United States</t>
        </is>
      </c>
    </row>
    <row r="44">
      <c r="A44" t="inlineStr">
        <is>
          <t>Venture Global CP2 Phase 2 Trains 27-36</t>
        </is>
      </c>
      <c r="B44" t="inlineStr">
        <is>
          <t>United States</t>
        </is>
      </c>
      <c r="C44" t="inlineStr">
        <is>
          <t>UC</t>
        </is>
      </c>
      <c r="D44" t="inlineStr">
        <is>
          <t>2029-H1</t>
        </is>
      </c>
      <c r="E44" t="inlineStr">
        <is>
          <t>April (middle of H1)</t>
        </is>
      </c>
      <c r="F44" t="inlineStr">
        <is>
          <t>2029-04</t>
        </is>
      </c>
      <c r="K44" t="inlineStr">
        <is>
          <t>United States</t>
        </is>
      </c>
    </row>
    <row r="45">
      <c r="A45" t="inlineStr">
        <is>
          <t>Commonwealth LNG Trains 1-6</t>
        </is>
      </c>
      <c r="B45" t="inlineStr">
        <is>
          <t>United States</t>
        </is>
      </c>
      <c r="C45" t="inlineStr">
        <is>
          <t>UC</t>
        </is>
      </c>
      <c r="D45" t="inlineStr">
        <is>
          <t>2030</t>
        </is>
      </c>
      <c r="E45" t="inlineStr">
        <is>
          <t>July (middle of the year)</t>
        </is>
      </c>
      <c r="F45" t="inlineStr">
        <is>
          <t>2030-07</t>
        </is>
      </c>
      <c r="K45" t="inlineStr">
        <is>
          <t>United States</t>
        </is>
      </c>
    </row>
    <row r="46">
      <c r="A46" t="inlineStr">
        <is>
          <t>Delfin FLNG Train 1</t>
        </is>
      </c>
      <c r="B46" t="inlineStr">
        <is>
          <t>United States</t>
        </is>
      </c>
      <c r="C46" t="inlineStr">
        <is>
          <t>UC</t>
        </is>
      </c>
      <c r="D46" t="inlineStr">
        <is>
          <t>2030</t>
        </is>
      </c>
      <c r="E46" t="inlineStr">
        <is>
          <t>July (middle of the year)</t>
        </is>
      </c>
      <c r="F46" t="inlineStr">
        <is>
          <t>2030-07</t>
        </is>
      </c>
      <c r="K46" t="inlineStr">
        <is>
          <t>United States</t>
        </is>
      </c>
    </row>
    <row r="47">
      <c r="A47" t="inlineStr">
        <is>
          <t>Cameron LNG Train 4A</t>
        </is>
      </c>
      <c r="B47" t="inlineStr">
        <is>
          <t>United States</t>
        </is>
      </c>
      <c r="C47" t="inlineStr">
        <is>
          <t>PL</t>
        </is>
      </c>
      <c r="E47" t="inlineStr">
        <is>
          <t>no date in an opened source - not in the dated series</t>
        </is>
      </c>
      <c r="K47" t="inlineStr">
        <is>
          <t>United States</t>
        </is>
      </c>
    </row>
    <row r="48">
      <c r="A48" t="inlineStr">
        <is>
          <t>Lake Charles LNG</t>
        </is>
      </c>
      <c r="B48" t="inlineStr">
        <is>
          <t>United States</t>
        </is>
      </c>
      <c r="C48" t="inlineStr">
        <is>
          <t>MEMO</t>
        </is>
      </c>
      <c r="E48" t="inlineStr">
        <is>
          <t>no date in an opened source - not in the dated series</t>
        </is>
      </c>
      <c r="K48" t="inlineStr">
        <is>
          <t>United States</t>
        </is>
      </c>
    </row>
    <row r="49">
      <c r="A49" t="inlineStr">
        <is>
          <t>Woodside Louisiana LNG (formerly Driftwood LNG) Phase 2</t>
        </is>
      </c>
      <c r="B49" t="inlineStr">
        <is>
          <t>United States</t>
        </is>
      </c>
      <c r="C49" t="inlineStr">
        <is>
          <t>PL</t>
        </is>
      </c>
      <c r="E49" t="inlineStr">
        <is>
          <t>no date in an opened source - not in the dated series</t>
        </is>
      </c>
      <c r="K49" t="inlineStr">
        <is>
          <t>United States</t>
        </is>
      </c>
    </row>
    <row r="50">
      <c r="A50" t="inlineStr">
        <is>
          <t>Freeport LNG Train 4C</t>
        </is>
      </c>
      <c r="B50" t="inlineStr">
        <is>
          <t>United States</t>
        </is>
      </c>
      <c r="C50" t="inlineStr">
        <is>
          <t>PL</t>
        </is>
      </c>
      <c r="E50" t="inlineStr">
        <is>
          <t>no date in an opened source - not in the dated series</t>
        </is>
      </c>
      <c r="K50" t="inlineStr">
        <is>
          <t>United States</t>
        </is>
      </c>
    </row>
    <row r="51">
      <c r="A51" t="inlineStr">
        <is>
          <t>Texas LNG</t>
        </is>
      </c>
      <c r="B51" t="inlineStr">
        <is>
          <t>United States</t>
        </is>
      </c>
      <c r="C51" t="inlineStr">
        <is>
          <t>PL</t>
        </is>
      </c>
      <c r="E51" t="inlineStr">
        <is>
          <t>no date in an opened source - not in the dated series</t>
        </is>
      </c>
      <c r="K51" t="inlineStr">
        <is>
          <t>United States</t>
        </is>
      </c>
    </row>
    <row r="52">
      <c r="A52" t="inlineStr">
        <is>
          <t>Gulf LNGE</t>
        </is>
      </c>
      <c r="B52" t="inlineStr">
        <is>
          <t>United States</t>
        </is>
      </c>
      <c r="C52" t="inlineStr">
        <is>
          <t>PL</t>
        </is>
      </c>
      <c r="E52" t="inlineStr">
        <is>
          <t>no date in an opened source - not in the dated series</t>
        </is>
      </c>
      <c r="K52" t="inlineStr">
        <is>
          <t>United States</t>
        </is>
      </c>
    </row>
    <row r="53">
      <c r="A53" t="inlineStr">
        <is>
          <t>Delfin FLNG additional vessels (beyond Train 1)</t>
        </is>
      </c>
      <c r="B53" t="inlineStr">
        <is>
          <t>United States</t>
        </is>
      </c>
      <c r="C53" t="inlineStr">
        <is>
          <t>PL</t>
        </is>
      </c>
      <c r="E53" t="inlineStr">
        <is>
          <t>no date in an opened source - not in the dated series</t>
        </is>
      </c>
      <c r="K53" t="inlineStr">
        <is>
          <t>United States</t>
        </is>
      </c>
    </row>
    <row r="54">
      <c r="A54" t="inlineStr">
        <is>
          <t>Alaska LNG</t>
        </is>
      </c>
      <c r="B54" t="inlineStr">
        <is>
          <t>United States</t>
        </is>
      </c>
      <c r="C54" t="inlineStr">
        <is>
          <t>PL</t>
        </is>
      </c>
      <c r="E54" t="inlineStr">
        <is>
          <t>no date in an opened source - not in the dated series</t>
        </is>
      </c>
      <c r="K54" t="inlineStr">
        <is>
          <t>United States</t>
        </is>
      </c>
    </row>
    <row r="55">
      <c r="A55" t="inlineStr">
        <is>
          <t>Existing LNG trains at Ras Laffan (14 trains) excl. the two damaged trains</t>
        </is>
      </c>
      <c r="B55" t="inlineStr">
        <is>
          <t>Qatar</t>
        </is>
      </c>
      <c r="C55" t="inlineStr">
        <is>
          <t>OP</t>
        </is>
      </c>
      <c r="D55" t="inlineStr">
        <is>
          <t>1996</t>
        </is>
      </c>
      <c r="E55" t="inlineStr">
        <is>
          <t>July (middle of the year)</t>
        </is>
      </c>
      <c r="F55" t="inlineStr">
        <is>
          <t>1996-07</t>
        </is>
      </c>
      <c r="K55" t="inlineStr">
        <is>
          <t>Qatar</t>
        </is>
      </c>
    </row>
    <row r="56">
      <c r="A56" t="inlineStr">
        <is>
          <t>Ras Laffan LNG Trains 4 and 6 (damaged by missile strikes 18 Mar 2026)</t>
        </is>
      </c>
      <c r="B56" t="inlineStr">
        <is>
          <t>Qatar</t>
        </is>
      </c>
      <c r="C56" t="inlineStr">
        <is>
          <t>OFF</t>
        </is>
      </c>
      <c r="D56" t="inlineStr">
        <is>
          <t>1996</t>
        </is>
      </c>
      <c r="E56" t="inlineStr">
        <is>
          <t>July (middle of the year)</t>
        </is>
      </c>
      <c r="F56" t="inlineStr">
        <is>
          <t>1996-07</t>
        </is>
      </c>
      <c r="J56" t="inlineStr">
        <is>
          <t>2026-03</t>
        </is>
      </c>
      <c r="K56" t="inlineStr">
        <is>
          <t>Qatar</t>
        </is>
      </c>
    </row>
    <row r="57">
      <c r="A57" t="inlineStr">
        <is>
          <t>North Field East expansion, Train 1 of 4 (8 mtpa)</t>
        </is>
      </c>
      <c r="B57" t="inlineStr">
        <is>
          <t>Qatar</t>
        </is>
      </c>
      <c r="C57" t="inlineStr">
        <is>
          <t>UC</t>
        </is>
      </c>
      <c r="D57" t="inlineStr">
        <is>
          <t>2027-H1</t>
        </is>
      </c>
      <c r="E57" t="inlineStr">
        <is>
          <t>April (middle of H1)</t>
        </is>
      </c>
      <c r="F57" t="inlineStr">
        <is>
          <t>2027-04</t>
        </is>
      </c>
      <c r="K57" t="inlineStr">
        <is>
          <t>Qatar</t>
        </is>
      </c>
    </row>
    <row r="58">
      <c r="A58" t="inlineStr">
        <is>
          <t>North Field East expansion, Trains 2-4 (3 x 8 mtpa)</t>
        </is>
      </c>
      <c r="B58" t="inlineStr">
        <is>
          <t>Qatar</t>
        </is>
      </c>
      <c r="C58" t="inlineStr">
        <is>
          <t>UC</t>
        </is>
      </c>
      <c r="E58" t="inlineStr">
        <is>
          <t>no date in an opened source - not in the dated series</t>
        </is>
      </c>
      <c r="K58" t="inlineStr">
        <is>
          <t>Qatar</t>
        </is>
      </c>
    </row>
    <row r="59">
      <c r="A59" t="inlineStr">
        <is>
          <t>North Field South expansion (2 trains x 8 mtpa)</t>
        </is>
      </c>
      <c r="B59" t="inlineStr">
        <is>
          <t>Qatar</t>
        </is>
      </c>
      <c r="C59" t="inlineStr">
        <is>
          <t>UC</t>
        </is>
      </c>
      <c r="E59" t="inlineStr">
        <is>
          <t>no date in an opened source - not in the dated series</t>
        </is>
      </c>
      <c r="K59" t="inlineStr">
        <is>
          <t>Qatar</t>
        </is>
      </c>
    </row>
    <row r="60">
      <c r="A60" t="inlineStr">
        <is>
          <t>North Field West expansion (2 trains x 8 mtpa)</t>
        </is>
      </c>
      <c r="B60" t="inlineStr">
        <is>
          <t>Qatar</t>
        </is>
      </c>
      <c r="C60" t="inlineStr">
        <is>
          <t>PL</t>
        </is>
      </c>
      <c r="E60" t="inlineStr">
        <is>
          <t>no date in an opened source - not in the dated series</t>
        </is>
      </c>
      <c r="K60" t="inlineStr">
        <is>
          <t>Qatar</t>
        </is>
      </c>
    </row>
    <row r="61">
      <c r="A61" t="inlineStr">
        <is>
          <t>LNG Canada Phase 1 (2 trains)</t>
        </is>
      </c>
      <c r="B61" t="inlineStr">
        <is>
          <t>Canada</t>
        </is>
      </c>
      <c r="C61" t="inlineStr">
        <is>
          <t>OP</t>
        </is>
      </c>
      <c r="D61" t="inlineStr">
        <is>
          <t>2025</t>
        </is>
      </c>
      <c r="E61" t="inlineStr">
        <is>
          <t>July (middle of the year)</t>
        </is>
      </c>
      <c r="F61" t="inlineStr">
        <is>
          <t>2025-07</t>
        </is>
      </c>
      <c r="K61" t="inlineStr">
        <is>
          <t>Canada</t>
        </is>
      </c>
    </row>
    <row r="62">
      <c r="A62" t="inlineStr">
        <is>
          <t>Tilbury LNG</t>
        </is>
      </c>
      <c r="B62" t="inlineStr">
        <is>
          <t>Canada</t>
        </is>
      </c>
      <c r="C62" t="inlineStr">
        <is>
          <t>OP</t>
        </is>
      </c>
      <c r="D62" t="inlineStr">
        <is>
          <t>1971</t>
        </is>
      </c>
      <c r="E62" t="inlineStr">
        <is>
          <t>July (middle of the year)</t>
        </is>
      </c>
      <c r="F62" t="inlineStr">
        <is>
          <t>1971-07</t>
        </is>
      </c>
      <c r="K62" t="inlineStr">
        <is>
          <t>Canada</t>
        </is>
      </c>
    </row>
    <row r="63">
      <c r="A63" t="inlineStr">
        <is>
          <t>LNG Canada Phase 2 (2 trains, +14 mtpa)</t>
        </is>
      </c>
      <c r="B63" t="inlineStr">
        <is>
          <t>Canada</t>
        </is>
      </c>
      <c r="C63" t="inlineStr">
        <is>
          <t>FID</t>
        </is>
      </c>
      <c r="E63" t="inlineStr">
        <is>
          <t>no date in an opened source - not in the dated series</t>
        </is>
      </c>
      <c r="K63" t="inlineStr">
        <is>
          <t>Canada</t>
        </is>
      </c>
    </row>
    <row r="64">
      <c r="A64" t="inlineStr">
        <is>
          <t>Woodfibre LNG</t>
        </is>
      </c>
      <c r="B64" t="inlineStr">
        <is>
          <t>Canada</t>
        </is>
      </c>
      <c r="C64" t="inlineStr">
        <is>
          <t>UC</t>
        </is>
      </c>
      <c r="D64" t="inlineStr">
        <is>
          <t>2027</t>
        </is>
      </c>
      <c r="E64" t="inlineStr">
        <is>
          <t>July (middle of the year)</t>
        </is>
      </c>
      <c r="F64" t="inlineStr">
        <is>
          <t>2027-07</t>
        </is>
      </c>
      <c r="K64" t="inlineStr">
        <is>
          <t>Canada</t>
        </is>
      </c>
    </row>
    <row r="65">
      <c r="A65" t="inlineStr">
        <is>
          <t>Cedar LNG (floating, Kitimat)</t>
        </is>
      </c>
      <c r="B65" t="inlineStr">
        <is>
          <t>Canada</t>
        </is>
      </c>
      <c r="C65" t="inlineStr">
        <is>
          <t>UC</t>
        </is>
      </c>
      <c r="D65" t="inlineStr">
        <is>
          <t>2028-Q4</t>
        </is>
      </c>
      <c r="E65" t="inlineStr">
        <is>
          <t>middle month of the quarter</t>
        </is>
      </c>
      <c r="F65" t="inlineStr">
        <is>
          <t>2028-11</t>
        </is>
      </c>
      <c r="K65" t="inlineStr">
        <is>
          <t>Canada</t>
        </is>
      </c>
    </row>
    <row r="66">
      <c r="A66" t="inlineStr">
        <is>
          <t>Ksi Lisims LNG (floating, 12 mtpa)</t>
        </is>
      </c>
      <c r="B66" t="inlineStr">
        <is>
          <t>Canada</t>
        </is>
      </c>
      <c r="C66" t="inlineStr">
        <is>
          <t>PL</t>
        </is>
      </c>
      <c r="E66" t="inlineStr">
        <is>
          <t>no date in an opened source - not in the dated series</t>
        </is>
      </c>
      <c r="K66" t="inlineStr">
        <is>
          <t>Canada</t>
        </is>
      </c>
    </row>
    <row r="67">
      <c r="A67" t="inlineStr">
        <is>
          <t>Energia Costa Azul LNG Phase 1 (1 train, 3.25 mtpa)</t>
        </is>
      </c>
      <c r="B67" t="inlineStr">
        <is>
          <t>Mexico</t>
        </is>
      </c>
      <c r="C67" t="inlineStr">
        <is>
          <t>OP</t>
        </is>
      </c>
      <c r="D67" t="inlineStr">
        <is>
          <t>2026-07</t>
        </is>
      </c>
      <c r="E67" t="inlineStr">
        <is>
          <t>month as published</t>
        </is>
      </c>
      <c r="F67" t="inlineStr">
        <is>
          <t>2026-10</t>
        </is>
      </c>
      <c r="H67" t="inlineStr">
        <is>
          <t>yes - shown from run month</t>
        </is>
      </c>
      <c r="K67" t="inlineStr">
        <is>
          <t>Mexico</t>
        </is>
      </c>
    </row>
    <row r="68">
      <c r="A68" t="inlineStr">
        <is>
          <t>Altamira FLNG 1 (floating)</t>
        </is>
      </c>
      <c r="B68" t="inlineStr">
        <is>
          <t>Mexico</t>
        </is>
      </c>
      <c r="C68" t="inlineStr">
        <is>
          <t>OP</t>
        </is>
      </c>
      <c r="D68" t="inlineStr">
        <is>
          <t>2024</t>
        </is>
      </c>
      <c r="E68" t="inlineStr">
        <is>
          <t>July (middle of the year)</t>
        </is>
      </c>
      <c r="F68" t="inlineStr">
        <is>
          <t>2024-07</t>
        </is>
      </c>
      <c r="K68" t="inlineStr">
        <is>
          <t>Mexico</t>
        </is>
      </c>
    </row>
    <row r="69">
      <c r="A69" t="inlineStr">
        <is>
          <t>Gorgon LNG</t>
        </is>
      </c>
      <c r="B69" t="inlineStr">
        <is>
          <t>Australia</t>
        </is>
      </c>
      <c r="C69" t="inlineStr">
        <is>
          <t>OP</t>
        </is>
      </c>
      <c r="D69" t="inlineStr">
        <is>
          <t>2016</t>
        </is>
      </c>
      <c r="E69" t="inlineStr">
        <is>
          <t>July (middle of the year)</t>
        </is>
      </c>
      <c r="F69" t="inlineStr">
        <is>
          <t>2016-07</t>
        </is>
      </c>
      <c r="K69" t="inlineStr">
        <is>
          <t>Australia</t>
        </is>
      </c>
    </row>
    <row r="70">
      <c r="A70" t="inlineStr">
        <is>
          <t>Wheatstone LNG</t>
        </is>
      </c>
      <c r="B70" t="inlineStr">
        <is>
          <t>Australia</t>
        </is>
      </c>
      <c r="C70" t="inlineStr">
        <is>
          <t>OP</t>
        </is>
      </c>
      <c r="D70" t="inlineStr">
        <is>
          <t>2017</t>
        </is>
      </c>
      <c r="E70" t="inlineStr">
        <is>
          <t>July (middle of the year)</t>
        </is>
      </c>
      <c r="F70" t="inlineStr">
        <is>
          <t>2017-07</t>
        </is>
      </c>
      <c r="K70" t="inlineStr">
        <is>
          <t>Australia</t>
        </is>
      </c>
    </row>
    <row r="71">
      <c r="A71" t="inlineStr">
        <is>
          <t>Ichthys LNG</t>
        </is>
      </c>
      <c r="B71" t="inlineStr">
        <is>
          <t>Australia</t>
        </is>
      </c>
      <c r="C71" t="inlineStr">
        <is>
          <t>OP</t>
        </is>
      </c>
      <c r="D71" t="inlineStr">
        <is>
          <t>2018</t>
        </is>
      </c>
      <c r="E71" t="inlineStr">
        <is>
          <t>July (middle of the year)</t>
        </is>
      </c>
      <c r="F71" t="inlineStr">
        <is>
          <t>2018-07</t>
        </is>
      </c>
      <c r="K71" t="inlineStr">
        <is>
          <t>Australia</t>
        </is>
      </c>
    </row>
    <row r="72">
      <c r="A72" t="inlineStr">
        <is>
          <t>Pluto LNG Train 1</t>
        </is>
      </c>
      <c r="B72" t="inlineStr">
        <is>
          <t>Australia</t>
        </is>
      </c>
      <c r="C72" t="inlineStr">
        <is>
          <t>OP</t>
        </is>
      </c>
      <c r="D72" t="inlineStr">
        <is>
          <t>2012</t>
        </is>
      </c>
      <c r="E72" t="inlineStr">
        <is>
          <t>July (middle of the year)</t>
        </is>
      </c>
      <c r="F72" t="inlineStr">
        <is>
          <t>2012-07</t>
        </is>
      </c>
      <c r="K72" t="inlineStr">
        <is>
          <t>Australia</t>
        </is>
      </c>
    </row>
    <row r="73">
      <c r="A73" t="inlineStr">
        <is>
          <t>Prelude FLNG</t>
        </is>
      </c>
      <c r="B73" t="inlineStr">
        <is>
          <t>Australia</t>
        </is>
      </c>
      <c r="C73" t="inlineStr">
        <is>
          <t>OP</t>
        </is>
      </c>
      <c r="D73" t="inlineStr">
        <is>
          <t>2019</t>
        </is>
      </c>
      <c r="E73" t="inlineStr">
        <is>
          <t>July (middle of the year)</t>
        </is>
      </c>
      <c r="F73" t="inlineStr">
        <is>
          <t>2019-07</t>
        </is>
      </c>
      <c r="K73" t="inlineStr">
        <is>
          <t>Australia</t>
        </is>
      </c>
    </row>
    <row r="74">
      <c r="A74" t="inlineStr">
        <is>
          <t>Darwin LNG</t>
        </is>
      </c>
      <c r="B74" t="inlineStr">
        <is>
          <t>Australia</t>
        </is>
      </c>
      <c r="C74" t="inlineStr">
        <is>
          <t>OP</t>
        </is>
      </c>
      <c r="D74" t="inlineStr">
        <is>
          <t>2006</t>
        </is>
      </c>
      <c r="E74" t="inlineStr">
        <is>
          <t>July (middle of the year)</t>
        </is>
      </c>
      <c r="F74" t="inlineStr">
        <is>
          <t>2006-07</t>
        </is>
      </c>
      <c r="K74" t="inlineStr">
        <is>
          <t>Australia</t>
        </is>
      </c>
    </row>
    <row r="75">
      <c r="A75" t="inlineStr">
        <is>
          <t>Australia Pacific LNG (APLNG)</t>
        </is>
      </c>
      <c r="B75" t="inlineStr">
        <is>
          <t>Australia</t>
        </is>
      </c>
      <c r="C75" t="inlineStr">
        <is>
          <t>OP</t>
        </is>
      </c>
      <c r="D75" t="inlineStr">
        <is>
          <t>2016</t>
        </is>
      </c>
      <c r="E75" t="inlineStr">
        <is>
          <t>July (middle of the year)</t>
        </is>
      </c>
      <c r="F75" t="inlineStr">
        <is>
          <t>2016-07</t>
        </is>
      </c>
      <c r="K75" t="inlineStr">
        <is>
          <t>Australia</t>
        </is>
      </c>
    </row>
    <row r="76">
      <c r="A76" t="inlineStr">
        <is>
          <t>Gladstone LNG (GLNG)</t>
        </is>
      </c>
      <c r="B76" t="inlineStr">
        <is>
          <t>Australia</t>
        </is>
      </c>
      <c r="C76" t="inlineStr">
        <is>
          <t>OP</t>
        </is>
      </c>
      <c r="D76" t="inlineStr">
        <is>
          <t>2015</t>
        </is>
      </c>
      <c r="E76" t="inlineStr">
        <is>
          <t>July (middle of the year)</t>
        </is>
      </c>
      <c r="F76" t="inlineStr">
        <is>
          <t>2015-07</t>
        </is>
      </c>
      <c r="K76" t="inlineStr">
        <is>
          <t>Australia</t>
        </is>
      </c>
    </row>
    <row r="77">
      <c r="A77" t="inlineStr">
        <is>
          <t>Queensland Curtis LNG (QCLNG)</t>
        </is>
      </c>
      <c r="B77" t="inlineStr">
        <is>
          <t>Australia</t>
        </is>
      </c>
      <c r="C77" t="inlineStr">
        <is>
          <t>OP</t>
        </is>
      </c>
      <c r="D77" t="inlineStr">
        <is>
          <t>2015</t>
        </is>
      </c>
      <c r="E77" t="inlineStr">
        <is>
          <t>July (middle of the year)</t>
        </is>
      </c>
      <c r="F77" t="inlineStr">
        <is>
          <t>2015-07</t>
        </is>
      </c>
      <c r="K77" t="inlineStr">
        <is>
          <t>Australia</t>
        </is>
      </c>
    </row>
    <row r="78">
      <c r="A78" t="inlineStr">
        <is>
          <t>North West Shelf LNG, four remaining trains</t>
        </is>
      </c>
      <c r="B78" t="inlineStr">
        <is>
          <t>Australia</t>
        </is>
      </c>
      <c r="C78" t="inlineStr">
        <is>
          <t>OP</t>
        </is>
      </c>
      <c r="D78" t="inlineStr">
        <is>
          <t>1989</t>
        </is>
      </c>
      <c r="E78" t="inlineStr">
        <is>
          <t>July (middle of the year)</t>
        </is>
      </c>
      <c r="F78" t="inlineStr">
        <is>
          <t>1989-07</t>
        </is>
      </c>
      <c r="K78" t="inlineStr">
        <is>
          <t>Australia</t>
        </is>
      </c>
    </row>
    <row r="79">
      <c r="A79" t="inlineStr">
        <is>
          <t>North West Shelf LNG Train 2 (permanently ceased)</t>
        </is>
      </c>
      <c r="B79" t="inlineStr">
        <is>
          <t>Australia</t>
        </is>
      </c>
      <c r="C79" t="inlineStr">
        <is>
          <t>OP</t>
        </is>
      </c>
      <c r="D79" t="inlineStr">
        <is>
          <t>1989</t>
        </is>
      </c>
      <c r="E79" t="inlineStr">
        <is>
          <t>July (middle of the year)</t>
        </is>
      </c>
      <c r="F79" t="inlineStr">
        <is>
          <t>1989-07</t>
        </is>
      </c>
      <c r="I79" t="inlineStr">
        <is>
          <t>2025-07</t>
        </is>
      </c>
      <c r="K79" t="inlineStr">
        <is>
          <t>Australia</t>
        </is>
      </c>
    </row>
    <row r="80">
      <c r="A80" t="inlineStr">
        <is>
          <t>Pluto Train 2 (Scarborough Energy Project)</t>
        </is>
      </c>
      <c r="B80" t="inlineStr">
        <is>
          <t>Australia</t>
        </is>
      </c>
      <c r="C80" t="inlineStr">
        <is>
          <t>UC</t>
        </is>
      </c>
      <c r="D80" t="inlineStr">
        <is>
          <t>2026-Q4</t>
        </is>
      </c>
      <c r="E80" t="inlineStr">
        <is>
          <t>middle month of the quarter</t>
        </is>
      </c>
      <c r="F80" t="inlineStr">
        <is>
          <t>2026-11</t>
        </is>
      </c>
      <c r="K80" t="inlineStr">
        <is>
          <t>Australia</t>
        </is>
      </c>
    </row>
    <row r="81">
      <c r="A81" t="inlineStr">
        <is>
          <t>Yamal LNG, Trains 1-4</t>
        </is>
      </c>
      <c r="B81" t="inlineStr">
        <is>
          <t>Russia</t>
        </is>
      </c>
      <c r="C81" t="inlineStr">
        <is>
          <t>OP</t>
        </is>
      </c>
      <c r="D81" t="inlineStr">
        <is>
          <t>2017</t>
        </is>
      </c>
      <c r="E81" t="inlineStr">
        <is>
          <t>July (middle of the year)</t>
        </is>
      </c>
      <c r="F81" t="inlineStr">
        <is>
          <t>2017-07</t>
        </is>
      </c>
      <c r="K81" t="inlineStr">
        <is>
          <t>Russia</t>
        </is>
      </c>
    </row>
    <row r="82">
      <c r="A82" t="inlineStr">
        <is>
          <t>Sakhalin-2 (2 trains)</t>
        </is>
      </c>
      <c r="B82" t="inlineStr">
        <is>
          <t>Russia</t>
        </is>
      </c>
      <c r="C82" t="inlineStr">
        <is>
          <t>OP</t>
        </is>
      </c>
      <c r="D82" t="inlineStr">
        <is>
          <t>2009</t>
        </is>
      </c>
      <c r="E82" t="inlineStr">
        <is>
          <t>July (middle of the year)</t>
        </is>
      </c>
      <c r="F82" t="inlineStr">
        <is>
          <t>2009-07</t>
        </is>
      </c>
      <c r="K82" t="inlineStr">
        <is>
          <t>Russia</t>
        </is>
      </c>
    </row>
    <row r="83">
      <c r="A83" t="inlineStr">
        <is>
          <t>Portovaya LNG</t>
        </is>
      </c>
      <c r="B83" t="inlineStr">
        <is>
          <t>Russia</t>
        </is>
      </c>
      <c r="C83" t="inlineStr">
        <is>
          <t>OP</t>
        </is>
      </c>
      <c r="D83" t="inlineStr">
        <is>
          <t>2022</t>
        </is>
      </c>
      <c r="E83" t="inlineStr">
        <is>
          <t>July (middle of the year)</t>
        </is>
      </c>
      <c r="F83" t="inlineStr">
        <is>
          <t>2022-07</t>
        </is>
      </c>
      <c r="K83" t="inlineStr">
        <is>
          <t>Russia</t>
        </is>
      </c>
    </row>
    <row r="84">
      <c r="A84" t="inlineStr">
        <is>
          <t>Vysotsk LNG</t>
        </is>
      </c>
      <c r="B84" t="inlineStr">
        <is>
          <t>Russia</t>
        </is>
      </c>
      <c r="C84" t="inlineStr">
        <is>
          <t>OP</t>
        </is>
      </c>
      <c r="D84" t="inlineStr">
        <is>
          <t>2019</t>
        </is>
      </c>
      <c r="E84" t="inlineStr">
        <is>
          <t>July (middle of the year)</t>
        </is>
      </c>
      <c r="F84" t="inlineStr">
        <is>
          <t>2019-07</t>
        </is>
      </c>
      <c r="K84" t="inlineStr">
        <is>
          <t>Russia</t>
        </is>
      </c>
    </row>
    <row r="85">
      <c r="A85" t="inlineStr">
        <is>
          <t>Arctic LNG 2, Train 1</t>
        </is>
      </c>
      <c r="B85" t="inlineStr">
        <is>
          <t>Russia</t>
        </is>
      </c>
      <c r="C85" t="inlineStr">
        <is>
          <t>OP</t>
        </is>
      </c>
      <c r="D85" t="inlineStr">
        <is>
          <t>2024</t>
        </is>
      </c>
      <c r="E85" t="inlineStr">
        <is>
          <t>July (middle of the year)</t>
        </is>
      </c>
      <c r="F85" t="inlineStr">
        <is>
          <t>2024-07</t>
        </is>
      </c>
      <c r="K85" t="inlineStr">
        <is>
          <t>Russia</t>
        </is>
      </c>
    </row>
    <row r="86">
      <c r="A86" t="inlineStr">
        <is>
          <t>Arctic LNG 2, Train 2</t>
        </is>
      </c>
      <c r="B86" t="inlineStr">
        <is>
          <t>Russia</t>
        </is>
      </c>
      <c r="C86" t="inlineStr">
        <is>
          <t>OP</t>
        </is>
      </c>
      <c r="D86" t="inlineStr">
        <is>
          <t>2025</t>
        </is>
      </c>
      <c r="E86" t="inlineStr">
        <is>
          <t>July (middle of the year)</t>
        </is>
      </c>
      <c r="F86" t="inlineStr">
        <is>
          <t>2025-07</t>
        </is>
      </c>
      <c r="K86" t="inlineStr">
        <is>
          <t>Russia</t>
        </is>
      </c>
    </row>
    <row r="87">
      <c r="A87" t="inlineStr">
        <is>
          <t>Arctic LNG 2, Train 3</t>
        </is>
      </c>
      <c r="B87" t="inlineStr">
        <is>
          <t>Russia</t>
        </is>
      </c>
      <c r="C87" t="inlineStr">
        <is>
          <t>PL</t>
        </is>
      </c>
      <c r="E87" t="inlineStr">
        <is>
          <t>no date in an opened source - not in the dated series</t>
        </is>
      </c>
      <c r="K87" t="inlineStr">
        <is>
          <t>Russia</t>
        </is>
      </c>
    </row>
    <row r="88">
      <c r="A88" t="inlineStr">
        <is>
          <t>Nigeria LNG, Trains 1-6</t>
        </is>
      </c>
      <c r="B88" t="inlineStr">
        <is>
          <t>Nigeria</t>
        </is>
      </c>
      <c r="C88" t="inlineStr">
        <is>
          <t>OP</t>
        </is>
      </c>
      <c r="D88" t="inlineStr">
        <is>
          <t>1999</t>
        </is>
      </c>
      <c r="E88" t="inlineStr">
        <is>
          <t>July (middle of the year)</t>
        </is>
      </c>
      <c r="F88" t="inlineStr">
        <is>
          <t>1999-07</t>
        </is>
      </c>
      <c r="K88" t="inlineStr">
        <is>
          <t>Africa</t>
        </is>
      </c>
    </row>
    <row r="89">
      <c r="A89" t="inlineStr">
        <is>
          <t>Nigeria LNG Train 7</t>
        </is>
      </c>
      <c r="B89" t="inlineStr">
        <is>
          <t>Nigeria</t>
        </is>
      </c>
      <c r="C89" t="inlineStr">
        <is>
          <t>UC</t>
        </is>
      </c>
      <c r="E89" t="inlineStr">
        <is>
          <t>no date in an opened source - not in the dated series</t>
        </is>
      </c>
      <c r="K89" t="inlineStr">
        <is>
          <t>Africa</t>
        </is>
      </c>
    </row>
    <row r="90">
      <c r="A90" t="inlineStr">
        <is>
          <t>Arzew GL1Z, GL2Z, GL3Z and Skikda GL1K</t>
        </is>
      </c>
      <c r="B90" t="inlineStr">
        <is>
          <t>Algeria</t>
        </is>
      </c>
      <c r="C90" t="inlineStr">
        <is>
          <t>OP</t>
        </is>
      </c>
      <c r="D90" t="inlineStr">
        <is>
          <t>1978</t>
        </is>
      </c>
      <c r="E90" t="inlineStr">
        <is>
          <t>July (middle of the year)</t>
        </is>
      </c>
      <c r="F90" t="inlineStr">
        <is>
          <t>1978-07</t>
        </is>
      </c>
      <c r="K90" t="inlineStr">
        <is>
          <t>Africa</t>
        </is>
      </c>
    </row>
    <row r="91">
      <c r="A91" t="inlineStr">
        <is>
          <t>Damietta LNG and Idku (Egyptian LNG) T1-T2</t>
        </is>
      </c>
      <c r="B91" t="inlineStr">
        <is>
          <t>Egypt</t>
        </is>
      </c>
      <c r="C91" t="inlineStr">
        <is>
          <t>OP</t>
        </is>
      </c>
      <c r="D91" t="inlineStr">
        <is>
          <t>2005</t>
        </is>
      </c>
      <c r="E91" t="inlineStr">
        <is>
          <t>July (middle of the year)</t>
        </is>
      </c>
      <c r="F91" t="inlineStr">
        <is>
          <t>2005-07</t>
        </is>
      </c>
      <c r="K91" t="inlineStr">
        <is>
          <t>Africa</t>
        </is>
      </c>
    </row>
    <row r="92">
      <c r="A92" t="inlineStr">
        <is>
          <t>Angola LNG</t>
        </is>
      </c>
      <c r="B92" t="inlineStr">
        <is>
          <t>Angola</t>
        </is>
      </c>
      <c r="C92" t="inlineStr">
        <is>
          <t>OP</t>
        </is>
      </c>
      <c r="D92" t="inlineStr">
        <is>
          <t>2013</t>
        </is>
      </c>
      <c r="E92" t="inlineStr">
        <is>
          <t>July (middle of the year)</t>
        </is>
      </c>
      <c r="F92" t="inlineStr">
        <is>
          <t>2013-07</t>
        </is>
      </c>
      <c r="K92" t="inlineStr">
        <is>
          <t>Africa</t>
        </is>
      </c>
    </row>
    <row r="93">
      <c r="A93" t="inlineStr">
        <is>
          <t>EG LNG</t>
        </is>
      </c>
      <c r="B93" t="inlineStr">
        <is>
          <t>Equatorial Guinea</t>
        </is>
      </c>
      <c r="C93" t="inlineStr">
        <is>
          <t>OP</t>
        </is>
      </c>
      <c r="D93" t="inlineStr">
        <is>
          <t>2007</t>
        </is>
      </c>
      <c r="E93" t="inlineStr">
        <is>
          <t>July (middle of the year)</t>
        </is>
      </c>
      <c r="F93" t="inlineStr">
        <is>
          <t>2007-07</t>
        </is>
      </c>
      <c r="K93" t="inlineStr">
        <is>
          <t>Africa</t>
        </is>
      </c>
    </row>
    <row r="94">
      <c r="A94" t="inlineStr">
        <is>
          <t>Coral South FLNG</t>
        </is>
      </c>
      <c r="B94" t="inlineStr">
        <is>
          <t>Mozambique</t>
        </is>
      </c>
      <c r="C94" t="inlineStr">
        <is>
          <t>OP</t>
        </is>
      </c>
      <c r="D94" t="inlineStr">
        <is>
          <t>2022</t>
        </is>
      </c>
      <c r="E94" t="inlineStr">
        <is>
          <t>July (middle of the year)</t>
        </is>
      </c>
      <c r="F94" t="inlineStr">
        <is>
          <t>2022-07</t>
        </is>
      </c>
      <c r="K94" t="inlineStr">
        <is>
          <t>Africa</t>
        </is>
      </c>
    </row>
    <row r="95">
      <c r="A95" t="inlineStr">
        <is>
          <t>Kribi FLNG Hilli Episeyo (contract ended, relocating to Argentina)</t>
        </is>
      </c>
      <c r="B95" t="inlineStr">
        <is>
          <t>Cameroon</t>
        </is>
      </c>
      <c r="C95" t="inlineStr">
        <is>
          <t>OP</t>
        </is>
      </c>
      <c r="D95" t="inlineStr">
        <is>
          <t>2018</t>
        </is>
      </c>
      <c r="E95" t="inlineStr">
        <is>
          <t>July (middle of the year)</t>
        </is>
      </c>
      <c r="F95" t="inlineStr">
        <is>
          <t>2018-07</t>
        </is>
      </c>
      <c r="I95" t="inlineStr">
        <is>
          <t>2026-07</t>
        </is>
      </c>
      <c r="K95" t="inlineStr">
        <is>
          <t>Africa</t>
        </is>
      </c>
    </row>
    <row r="96">
      <c r="A96" t="inlineStr">
        <is>
          <t>Tango FLNG</t>
        </is>
      </c>
      <c r="B96" t="inlineStr">
        <is>
          <t>Congo</t>
        </is>
      </c>
      <c r="C96" t="inlineStr">
        <is>
          <t>OP</t>
        </is>
      </c>
      <c r="D96" t="inlineStr">
        <is>
          <t>2024</t>
        </is>
      </c>
      <c r="E96" t="inlineStr">
        <is>
          <t>July (middle of the year)</t>
        </is>
      </c>
      <c r="F96" t="inlineStr">
        <is>
          <t>2024-07</t>
        </is>
      </c>
      <c r="K96" t="inlineStr">
        <is>
          <t>Africa</t>
        </is>
      </c>
    </row>
    <row r="97">
      <c r="A97" t="inlineStr">
        <is>
          <t>Nguya FLNG (Congo LNG Phase 2)</t>
        </is>
      </c>
      <c r="B97" t="inlineStr">
        <is>
          <t>Congo</t>
        </is>
      </c>
      <c r="C97" t="inlineStr">
        <is>
          <t>OP</t>
        </is>
      </c>
      <c r="D97" t="inlineStr">
        <is>
          <t>2026-02</t>
        </is>
      </c>
      <c r="E97" t="inlineStr">
        <is>
          <t>month as published</t>
        </is>
      </c>
      <c r="F97" t="inlineStr">
        <is>
          <t>2026-02</t>
        </is>
      </c>
      <c r="K97" t="inlineStr">
        <is>
          <t>Africa</t>
        </is>
      </c>
    </row>
    <row r="98">
      <c r="A98" t="inlineStr">
        <is>
          <t>Greater Tortue Ahmeyim (GTA) Phase 1, FLNG Gimi</t>
        </is>
      </c>
      <c r="B98" t="inlineStr">
        <is>
          <t>Mauritania/Senegal</t>
        </is>
      </c>
      <c r="C98" t="inlineStr">
        <is>
          <t>OP</t>
        </is>
      </c>
      <c r="D98" t="inlineStr">
        <is>
          <t>2025</t>
        </is>
      </c>
      <c r="E98" t="inlineStr">
        <is>
          <t>July (middle of the year)</t>
        </is>
      </c>
      <c r="F98" t="inlineStr">
        <is>
          <t>2025-07</t>
        </is>
      </c>
      <c r="K98" t="inlineStr">
        <is>
          <t>Africa</t>
        </is>
      </c>
    </row>
    <row r="99">
      <c r="A99" t="inlineStr">
        <is>
          <t>Mozambique LNG (Afungi, 2 units)</t>
        </is>
      </c>
      <c r="B99" t="inlineStr">
        <is>
          <t>Mozambique</t>
        </is>
      </c>
      <c r="C99" t="inlineStr">
        <is>
          <t>UC</t>
        </is>
      </c>
      <c r="D99" t="inlineStr">
        <is>
          <t>2029</t>
        </is>
      </c>
      <c r="E99" t="inlineStr">
        <is>
          <t>July (middle of the year)</t>
        </is>
      </c>
      <c r="F99" t="inlineStr">
        <is>
          <t>2029-07</t>
        </is>
      </c>
      <c r="K99" t="inlineStr">
        <is>
          <t>Africa</t>
        </is>
      </c>
    </row>
    <row r="100">
      <c r="A100" t="inlineStr">
        <is>
          <t>Coral North FLNG (Eni, Area 4)</t>
        </is>
      </c>
      <c r="B100" t="inlineStr">
        <is>
          <t>Mozambique</t>
        </is>
      </c>
      <c r="C100" t="inlineStr">
        <is>
          <t>FID</t>
        </is>
      </c>
      <c r="D100" t="inlineStr">
        <is>
          <t>2028</t>
        </is>
      </c>
      <c r="E100" t="inlineStr">
        <is>
          <t>July (middle of the year)</t>
        </is>
      </c>
      <c r="F100" t="inlineStr">
        <is>
          <t>2028-07</t>
        </is>
      </c>
      <c r="K100" t="inlineStr">
        <is>
          <t>Africa</t>
        </is>
      </c>
    </row>
    <row r="101">
      <c r="A101" t="inlineStr">
        <is>
          <t>Hammerfest LNG (Snohvit)</t>
        </is>
      </c>
      <c r="B101" t="inlineStr">
        <is>
          <t>Norway</t>
        </is>
      </c>
      <c r="C101" t="inlineStr">
        <is>
          <t>OP</t>
        </is>
      </c>
      <c r="D101" t="inlineStr">
        <is>
          <t>2007</t>
        </is>
      </c>
      <c r="E101" t="inlineStr">
        <is>
          <t>July (middle of the year)</t>
        </is>
      </c>
      <c r="F101" t="inlineStr">
        <is>
          <t>2007-07</t>
        </is>
      </c>
      <c r="K101" t="inlineStr">
        <is>
          <t>Other</t>
        </is>
      </c>
    </row>
    <row r="102">
      <c r="A102" t="inlineStr">
        <is>
          <t>Peru LNG</t>
        </is>
      </c>
      <c r="B102" t="inlineStr">
        <is>
          <t>Peru</t>
        </is>
      </c>
      <c r="C102" t="inlineStr">
        <is>
          <t>OP</t>
        </is>
      </c>
      <c r="D102" t="inlineStr">
        <is>
          <t>2010</t>
        </is>
      </c>
      <c r="E102" t="inlineStr">
        <is>
          <t>July (middle of the year)</t>
        </is>
      </c>
      <c r="F102" t="inlineStr">
        <is>
          <t>2010-07</t>
        </is>
      </c>
      <c r="K102" t="inlineStr">
        <is>
          <t>Other</t>
        </is>
      </c>
    </row>
    <row r="103">
      <c r="A103" t="inlineStr">
        <is>
          <t>Atlantic LNG Trains 2-4</t>
        </is>
      </c>
      <c r="B103" t="inlineStr">
        <is>
          <t>Trinidad and Tobago</t>
        </is>
      </c>
      <c r="C103" t="inlineStr">
        <is>
          <t>OP</t>
        </is>
      </c>
      <c r="D103" t="inlineStr">
        <is>
          <t>2002</t>
        </is>
      </c>
      <c r="E103" t="inlineStr">
        <is>
          <t>July (middle of the year)</t>
        </is>
      </c>
      <c r="F103" t="inlineStr">
        <is>
          <t>2002-07</t>
        </is>
      </c>
      <c r="K103" t="inlineStr">
        <is>
          <t>Other</t>
        </is>
      </c>
    </row>
    <row r="104">
      <c r="A104" t="inlineStr">
        <is>
          <t>Atlantic LNG Train 1 (mothballed)</t>
        </is>
      </c>
      <c r="B104" t="inlineStr">
        <is>
          <t>Trinidad and Tobago</t>
        </is>
      </c>
      <c r="C104" t="inlineStr">
        <is>
          <t>OFF</t>
        </is>
      </c>
      <c r="D104" t="inlineStr">
        <is>
          <t>1999</t>
        </is>
      </c>
      <c r="E104" t="inlineStr">
        <is>
          <t>July (middle of the year)</t>
        </is>
      </c>
      <c r="F104" t="inlineStr">
        <is>
          <t>1999-07</t>
        </is>
      </c>
      <c r="J104" t="inlineStr">
        <is>
          <t>2000-01</t>
        </is>
      </c>
      <c r="K104" t="inlineStr">
        <is>
          <t>Other</t>
        </is>
      </c>
    </row>
    <row r="105">
      <c r="A105" t="inlineStr">
        <is>
          <t>Balhaf LNG (2 trains)</t>
        </is>
      </c>
      <c r="B105" t="inlineStr">
        <is>
          <t>Yemen</t>
        </is>
      </c>
      <c r="C105" t="inlineStr">
        <is>
          <t>OFF</t>
        </is>
      </c>
      <c r="D105" t="inlineStr">
        <is>
          <t>2009</t>
        </is>
      </c>
      <c r="E105" t="inlineStr">
        <is>
          <t>July (middle of the year)</t>
        </is>
      </c>
      <c r="F105" t="inlineStr">
        <is>
          <t>2009-07</t>
        </is>
      </c>
      <c r="J105" t="inlineStr">
        <is>
          <t>2015-01</t>
        </is>
      </c>
      <c r="K105" t="inlineStr">
        <is>
          <t>Other</t>
        </is>
      </c>
    </row>
    <row r="106">
      <c r="A106" t="inlineStr">
        <is>
          <t>Oman LNG (Qalhat), Trains 1-2 and Qalhat LNG</t>
        </is>
      </c>
      <c r="B106" t="inlineStr">
        <is>
          <t>Oman</t>
        </is>
      </c>
      <c r="C106" t="inlineStr">
        <is>
          <t>OP</t>
        </is>
      </c>
      <c r="D106" t="inlineStr">
        <is>
          <t>2000</t>
        </is>
      </c>
      <c r="E106" t="inlineStr">
        <is>
          <t>July (middle of the year)</t>
        </is>
      </c>
      <c r="F106" t="inlineStr">
        <is>
          <t>2000-07</t>
        </is>
      </c>
      <c r="K106" t="inlineStr">
        <is>
          <t>Other</t>
        </is>
      </c>
    </row>
    <row r="107">
      <c r="A107" t="inlineStr">
        <is>
          <t>Marsa LNG (1 mtpa)</t>
        </is>
      </c>
      <c r="B107" t="inlineStr">
        <is>
          <t>Oman</t>
        </is>
      </c>
      <c r="C107" t="inlineStr">
        <is>
          <t>UC</t>
        </is>
      </c>
      <c r="D107" t="inlineStr">
        <is>
          <t>2028</t>
        </is>
      </c>
      <c r="E107" t="inlineStr">
        <is>
          <t>July (middle of the year)</t>
        </is>
      </c>
      <c r="F107" t="inlineStr">
        <is>
          <t>2028-07</t>
        </is>
      </c>
      <c r="K107" t="inlineStr">
        <is>
          <t>Other</t>
        </is>
      </c>
    </row>
    <row r="108">
      <c r="A108" t="inlineStr">
        <is>
          <t>Das Island LNG (3 trains)</t>
        </is>
      </c>
      <c r="B108" t="inlineStr">
        <is>
          <t>United Arab Emirates</t>
        </is>
      </c>
      <c r="C108" t="inlineStr">
        <is>
          <t>OP</t>
        </is>
      </c>
      <c r="D108" t="inlineStr">
        <is>
          <t>1977</t>
        </is>
      </c>
      <c r="E108" t="inlineStr">
        <is>
          <t>July (middle of the year)</t>
        </is>
      </c>
      <c r="F108" t="inlineStr">
        <is>
          <t>1977-07</t>
        </is>
      </c>
      <c r="K108" t="inlineStr">
        <is>
          <t>Other</t>
        </is>
      </c>
    </row>
    <row r="109">
      <c r="A109" t="inlineStr">
        <is>
          <t>Ruwais LNG (2 trains)</t>
        </is>
      </c>
      <c r="B109" t="inlineStr">
        <is>
          <t>United Arab Emirates</t>
        </is>
      </c>
      <c r="C109" t="inlineStr">
        <is>
          <t>UC</t>
        </is>
      </c>
      <c r="D109" t="inlineStr">
        <is>
          <t>2028</t>
        </is>
      </c>
      <c r="E109" t="inlineStr">
        <is>
          <t>July (middle of the year)</t>
        </is>
      </c>
      <c r="F109" t="inlineStr">
        <is>
          <t>2028-07</t>
        </is>
      </c>
      <c r="K109" t="inlineStr">
        <is>
          <t>Other</t>
        </is>
      </c>
    </row>
    <row r="110">
      <c r="A110" t="inlineStr">
        <is>
          <t>PETRONAS LNG complex (Bintulu, MLNG T1-T9) and PFLNG Satu / Dua</t>
        </is>
      </c>
      <c r="B110" t="inlineStr">
        <is>
          <t>Malaysia</t>
        </is>
      </c>
      <c r="C110" t="inlineStr">
        <is>
          <t>OP</t>
        </is>
      </c>
      <c r="D110" t="inlineStr">
        <is>
          <t>1983</t>
        </is>
      </c>
      <c r="E110" t="inlineStr">
        <is>
          <t>July (middle of the year)</t>
        </is>
      </c>
      <c r="F110" t="inlineStr">
        <is>
          <t>1983-07</t>
        </is>
      </c>
      <c r="K110" t="inlineStr">
        <is>
          <t>Other</t>
        </is>
      </c>
    </row>
    <row r="111">
      <c r="A111" t="inlineStr">
        <is>
          <t>Brunei LNG (5 trains)</t>
        </is>
      </c>
      <c r="B111" t="inlineStr">
        <is>
          <t>Brunei</t>
        </is>
      </c>
      <c r="C111" t="inlineStr">
        <is>
          <t>OP</t>
        </is>
      </c>
      <c r="D111" t="inlineStr">
        <is>
          <t>1973</t>
        </is>
      </c>
      <c r="E111" t="inlineStr">
        <is>
          <t>July (middle of the year)</t>
        </is>
      </c>
      <c r="F111" t="inlineStr">
        <is>
          <t>1973-07</t>
        </is>
      </c>
      <c r="K111" t="inlineStr">
        <is>
          <t>Other</t>
        </is>
      </c>
    </row>
    <row r="112">
      <c r="A112" t="inlineStr">
        <is>
          <t>Tangguh LNG, Trains 1-3</t>
        </is>
      </c>
      <c r="B112" t="inlineStr">
        <is>
          <t>Indonesia</t>
        </is>
      </c>
      <c r="C112" t="inlineStr">
        <is>
          <t>OP</t>
        </is>
      </c>
      <c r="D112" t="inlineStr">
        <is>
          <t>2009</t>
        </is>
      </c>
      <c r="E112" t="inlineStr">
        <is>
          <t>July (middle of the year)</t>
        </is>
      </c>
      <c r="F112" t="inlineStr">
        <is>
          <t>2009-07</t>
        </is>
      </c>
      <c r="K112" t="inlineStr">
        <is>
          <t>Other</t>
        </is>
      </c>
    </row>
    <row r="113">
      <c r="A113" t="inlineStr">
        <is>
          <t>Donggi-Senoro LNG</t>
        </is>
      </c>
      <c r="B113" t="inlineStr">
        <is>
          <t>Indonesia</t>
        </is>
      </c>
      <c r="C113" t="inlineStr">
        <is>
          <t>OP</t>
        </is>
      </c>
      <c r="D113" t="inlineStr">
        <is>
          <t>2015</t>
        </is>
      </c>
      <c r="E113" t="inlineStr">
        <is>
          <t>July (middle of the year)</t>
        </is>
      </c>
      <c r="F113" t="inlineStr">
        <is>
          <t>2015-07</t>
        </is>
      </c>
      <c r="K113" t="inlineStr">
        <is>
          <t>Other</t>
        </is>
      </c>
    </row>
    <row r="114">
      <c r="A114" t="inlineStr">
        <is>
          <t>Bontang LNG (Train E on standby, F-H operating)</t>
        </is>
      </c>
      <c r="B114" t="inlineStr">
        <is>
          <t>Indonesia</t>
        </is>
      </c>
      <c r="C114" t="inlineStr">
        <is>
          <t>OP</t>
        </is>
      </c>
      <c r="D114" t="inlineStr">
        <is>
          <t>1977</t>
        </is>
      </c>
      <c r="E114" t="inlineStr">
        <is>
          <t>July (middle of the year)</t>
        </is>
      </c>
      <c r="F114" t="inlineStr">
        <is>
          <t>1977-07</t>
        </is>
      </c>
      <c r="K114" t="inlineStr">
        <is>
          <t>Other</t>
        </is>
      </c>
    </row>
    <row r="115">
      <c r="A115" t="inlineStr">
        <is>
          <t>Abadi LNG (Masela)</t>
        </is>
      </c>
      <c r="B115" t="inlineStr">
        <is>
          <t>Indonesia</t>
        </is>
      </c>
      <c r="C115" t="inlineStr">
        <is>
          <t>PL</t>
        </is>
      </c>
      <c r="E115" t="inlineStr">
        <is>
          <t>no date in an opened source - not in the dated series</t>
        </is>
      </c>
      <c r="K115" t="inlineStr">
        <is>
          <t>Other</t>
        </is>
      </c>
    </row>
    <row r="116">
      <c r="A116" t="inlineStr">
        <is>
          <t>PNG LNG (2 trains)</t>
        </is>
      </c>
      <c r="B116" t="inlineStr">
        <is>
          <t>Papua New Guinea</t>
        </is>
      </c>
      <c r="C116" t="inlineStr">
        <is>
          <t>OP</t>
        </is>
      </c>
      <c r="D116" t="inlineStr">
        <is>
          <t>2014</t>
        </is>
      </c>
      <c r="E116" t="inlineStr">
        <is>
          <t>July (middle of the year)</t>
        </is>
      </c>
      <c r="F116" t="inlineStr">
        <is>
          <t>2014-07</t>
        </is>
      </c>
      <c r="K116" t="inlineStr">
        <is>
          <t>Other</t>
        </is>
      </c>
    </row>
    <row r="117">
      <c r="A117" t="inlineStr">
        <is>
          <t>Southern Energy (SESA) FLNG Hilli Episeyo (relocated from Cameroon)</t>
        </is>
      </c>
      <c r="B117" t="inlineStr">
        <is>
          <t>Argentina</t>
        </is>
      </c>
      <c r="C117" t="inlineStr">
        <is>
          <t>FID</t>
        </is>
      </c>
      <c r="D117" t="inlineStr">
        <is>
          <t>2027-H2</t>
        </is>
      </c>
      <c r="E117" t="inlineStr">
        <is>
          <t>October (middle of H2)</t>
        </is>
      </c>
      <c r="F117" t="inlineStr">
        <is>
          <t>2027-10</t>
        </is>
      </c>
      <c r="K117" t="inlineStr">
        <is>
          <t>Other</t>
        </is>
      </c>
    </row>
    <row r="118">
      <c r="A118" t="inlineStr">
        <is>
          <t>Southern Energy (SESA) FLNG Esperanza (MKII)</t>
        </is>
      </c>
      <c r="B118" t="inlineStr">
        <is>
          <t>Argentina</t>
        </is>
      </c>
      <c r="C118" t="inlineStr">
        <is>
          <t>UC</t>
        </is>
      </c>
      <c r="D118" t="inlineStr">
        <is>
          <t>2028-H2</t>
        </is>
      </c>
      <c r="E118" t="inlineStr">
        <is>
          <t>October (middle of H2)</t>
        </is>
      </c>
      <c r="F118" t="inlineStr">
        <is>
          <t>2028-10</t>
        </is>
      </c>
      <c r="K118" t="inlineStr">
        <is>
          <t>Other</t>
        </is>
      </c>
    </row>
    <row r="119">
      <c r="A119" t="inlineStr">
        <is>
          <t>Golar FLNG Four (MKII, no charter yet)</t>
        </is>
      </c>
      <c r="B119" t="inlineStr">
        <is>
          <t>Unallocated (FLNG)</t>
        </is>
      </c>
      <c r="C119" t="inlineStr">
        <is>
          <t>FID</t>
        </is>
      </c>
      <c r="D119" t="inlineStr">
        <is>
          <t>2029</t>
        </is>
      </c>
      <c r="E119" t="inlineStr">
        <is>
          <t>July (middle of the year)</t>
        </is>
      </c>
      <c r="F119" t="inlineStr">
        <is>
          <t>2029-07</t>
        </is>
      </c>
      <c r="K119" t="inlineStr">
        <is>
          <t>Other</t>
        </is>
      </c>
    </row>
    <row r="120">
      <c r="A120" t="inlineStr">
        <is>
          <t>Sabine Pass Stage 5 expansion (Train 7 + BOG re-liquefaction)</t>
        </is>
      </c>
      <c r="B120" t="inlineStr">
        <is>
          <t>United States</t>
        </is>
      </c>
      <c r="C120" t="inlineStr">
        <is>
          <t>PL</t>
        </is>
      </c>
      <c r="E120" t="inlineStr">
        <is>
          <t>no date in an opened source - not in the dated series</t>
        </is>
      </c>
      <c r="K120" t="inlineStr">
        <is>
          <t>United States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2" customWidth="1" min="3" max="3"/>
    <col width="50" customWidth="1" min="4" max="4"/>
    <col width="16" customWidth="1" min="5" max="5"/>
    <col width="16" customWidth="1" min="6" max="6"/>
  </cols>
  <sheetData>
    <row r="1">
      <c r="A1" s="5" t="inlineStr">
        <is>
          <t>publisher</t>
        </is>
      </c>
      <c r="B1" s="5" t="inlineStr">
        <is>
          <t>role</t>
        </is>
      </c>
      <c r="C1" s="5" t="inlineStr">
        <is>
          <t>document</t>
        </is>
      </c>
      <c r="D1" s="5" t="inlineStr">
        <is>
          <t>url</t>
        </is>
      </c>
      <c r="E1" s="5" t="inlineStr">
        <is>
          <t>as_of_date</t>
        </is>
      </c>
      <c r="F1" s="5" t="inlineStr">
        <is>
          <t>used_for</t>
        </is>
      </c>
    </row>
    <row r="2">
      <c r="A2" t="inlineStr">
        <is>
          <t>Department of Industry, Science and Resources (Australia)</t>
        </is>
      </c>
      <c r="B2" t="inlineStr">
        <is>
          <t>Official / operator source of Projects numbers</t>
        </is>
      </c>
      <c r="C2" t="inlineStr">
        <is>
          <t>Resources and Energy Quarterly, September 2026 (section 6 LNG; map 'Nameplate capacity, million tonnes per annum')</t>
        </is>
      </c>
      <c r="D2" t="inlineStr">
        <is>
          <t>https://www.industry.gov.au/sites/default/files/2026-10/resources-and-energy-quarterly-september-2026.pdf</t>
        </is>
      </c>
      <c r="E2" t="inlineStr">
        <is>
          <t>2026-10-02</t>
        </is>
      </c>
      <c r="F2" t="inlineStr">
        <is>
          <t>Australian plant nameplates (map, 88 Mtpa total); GTA 2.3 Mtpa; Congo Nguya 2.4 Mtpa; Mozambique LNG 13.2 Mtpa from 2029; Qatar 77 -&gt; 133 Mt by 2031 trajectory; Ras Laffan / Hormuz context.</t>
        </is>
      </c>
    </row>
    <row r="3">
      <c r="A3" t="inlineStr">
        <is>
          <t>QatarEnergy</t>
        </is>
      </c>
      <c r="B3" t="inlineStr">
        <is>
          <t>Official / operator source of Projects numbers</t>
        </is>
      </c>
      <c r="C3" t="inlineStr">
        <is>
          <t>Update to Investors, November 2025 (North Field expansion programme, p.9)</t>
        </is>
      </c>
      <c r="D3" t="inlineStr">
        <is>
          <t>https://www.qatarenergy.qa/en/MediaCenter/Publications/QatarEnergy_Investors_Presentation_November_2025.pdf</t>
        </is>
      </c>
      <c r="E3" t="inlineStr">
        <is>
          <t>2025-11-01</t>
        </is>
      </c>
      <c r="F3" t="inlineStr">
        <is>
          <t>Qatar 77 mtpa (14 trains) now; NFE 32 (4 x 8), NFS 16 (2 x 8), NFW 16 (2 x 8); 142 mtpa by 2030.</t>
        </is>
      </c>
    </row>
    <row r="4">
      <c r="A4" t="inlineStr">
        <is>
          <t>QatarEnergy</t>
        </is>
      </c>
      <c r="B4" t="inlineStr">
        <is>
          <t>Official / operator source of Projects numbers</t>
        </is>
      </c>
      <c r="C4" t="inlineStr">
        <is>
          <t>Annual Review 2024</t>
        </is>
      </c>
      <c r="D4" t="inlineStr">
        <is>
          <t>https://www.qatarenergy.qa/en/MediaCenter/Publications/%E2%80%8BQatarEnergy%20Annual%20Review%202024.pdf</t>
        </is>
      </c>
      <c r="E4" t="inlineStr">
        <is>
          <t>2025-06-01</t>
        </is>
      </c>
      <c r="F4" t="inlineStr">
        <is>
          <t>Qatar programme background (no per-train dates).</t>
        </is>
      </c>
    </row>
    <row r="5">
      <c r="A5" t="inlineStr">
        <is>
          <t>Cheniere Energy</t>
        </is>
      </c>
      <c r="B5" t="inlineStr">
        <is>
          <t>Official / operator source of Projects numbers</t>
        </is>
      </c>
      <c r="C5" t="inlineStr">
        <is>
          <t>Cheniere Reports Second Quarter 2026 Results (6 Aug 2026)</t>
        </is>
      </c>
      <c r="D5" t="inlineStr">
        <is>
          <t>https://lngir.cheniere.com/_assets/_75dc2c9a1fb706f14e67cee93b0e9e5a/cheniere/news/2026-08-06_Cheniere_Reports_Second_Quarter_2026_Results_and_343.pdf</t>
        </is>
      </c>
      <c r="E5" t="inlineStr">
        <is>
          <t>2026-08-06</t>
        </is>
      </c>
      <c r="F5" t="inlineStr">
        <is>
          <t>Corpus Christi Stage 3 train dates; Sabine Pass + Corpus Christi operating capacity (~55 mtpa).</t>
        </is>
      </c>
    </row>
    <row r="6">
      <c r="A6" t="inlineStr">
        <is>
          <t>Golar LNG</t>
        </is>
      </c>
      <c r="B6" t="inlineStr">
        <is>
          <t>Official / operator source of Projects numbers</t>
        </is>
      </c>
      <c r="C6" t="inlineStr">
        <is>
          <t>Interim results for the period ended June 30, 2026</t>
        </is>
      </c>
      <c r="D6" t="inlineStr">
        <is>
          <t>https://mfn.se/one/a/golar-lng/golar-lng-limited-interim-results-for-the-period-ended-june-30-2026-b168e773</t>
        </is>
      </c>
      <c r="E6" t="inlineStr">
        <is>
          <t>2026-08-13</t>
        </is>
      </c>
      <c r="F6" t="inlineStr">
        <is>
          <t>Esperanza 3.5 MTPA (H2 2028); fourth FLNG 3.5 MTPA (end-2029).</t>
        </is>
      </c>
    </row>
    <row r="7">
      <c r="A7" t="inlineStr">
        <is>
          <t>Eni</t>
        </is>
      </c>
      <c r="B7" t="inlineStr">
        <is>
          <t>Official / operator source of Projects numbers</t>
        </is>
      </c>
      <c r="C7" t="inlineStr">
        <is>
          <t>Eni announces Final Investment Decision for Mozambique's Coral North project (2 Oct 2025)</t>
        </is>
      </c>
      <c r="D7" t="inlineStr">
        <is>
          <t>https://www.eni.com/en-IT/media/press-release/2025/10/pr-eni-announces-final-investment-decision-mozambique-coral-north-project.html</t>
        </is>
      </c>
      <c r="E7" t="inlineStr">
        <is>
          <t>2025-10-02</t>
        </is>
      </c>
      <c r="F7" t="inlineStr">
        <is>
          <t>Coral North 3.6 MTPA, 2028.</t>
        </is>
      </c>
    </row>
    <row r="8">
      <c r="A8" t="inlineStr">
        <is>
          <t>Nigeria LNG Limited</t>
        </is>
      </c>
      <c r="B8" t="inlineStr">
        <is>
          <t>Official / operator source of Projects numbers</t>
        </is>
      </c>
      <c r="C8" t="inlineStr">
        <is>
          <t>Facts and Figures 2024 (six trains 22 MTPA; Train 7 lifts capacity to 30 MTPA; FID Dec 2019)</t>
        </is>
      </c>
      <c r="D8" t="inlineStr">
        <is>
          <t>https://www.nlng.com/documents/2024_NLNG_FACTS_FIGURESB_compressed.pdf</t>
        </is>
      </c>
      <c r="E8" t="inlineStr">
        <is>
          <t>2025-01-01</t>
        </is>
      </c>
      <c r="F8" t="inlineStr">
        <is>
          <t>Nigeria 22 MTPA, Train 7 to 30 MTPA.</t>
        </is>
      </c>
    </row>
    <row r="9">
      <c r="A9" t="inlineStr">
        <is>
          <t>Novatek</t>
        </is>
      </c>
      <c r="B9" t="inlineStr">
        <is>
          <t>Official / operator source of Projects numbers</t>
        </is>
      </c>
      <c r="C9" t="inlineStr">
        <is>
          <t>FID release, Arctic LNG 2 (2019: three trains of 6.6 mtpa; schedule since changed)</t>
        </is>
      </c>
      <c r="D9" t="inlineStr">
        <is>
          <t>https://www.novatek.ru/common/upload/press/FID_Arctic_LNG_2_Eng.pdf</t>
        </is>
      </c>
      <c r="E9" t="inlineStr">
        <is>
          <t>2019-09-01</t>
        </is>
      </c>
      <c r="F9" t="inlineStr">
        <is>
          <t>Arctic LNG 2 6.6 mtpa per train (design).</t>
        </is>
      </c>
    </row>
    <row r="10">
      <c r="A10" t="inlineStr">
        <is>
          <t>Shell Canada Energy / Shell plc (release text as republished by Hellenic Shipping News)</t>
        </is>
      </c>
      <c r="B10" t="inlineStr">
        <is>
          <t>Official / operator source of Projects numbers</t>
        </is>
      </c>
      <c r="C10" t="inlineStr">
        <is>
          <t>Shell takes final investment decision to double LNG Canada capacity (29 Sep 2026)</t>
        </is>
      </c>
      <c r="D10" t="inlineStr">
        <is>
          <t>https://www.hellenicshippingnews.com/shell-takes-final-investment-decision-to-double-lng-canada-capacity</t>
        </is>
      </c>
      <c r="E10" t="inlineStr">
        <is>
          <t>2026-09-29</t>
        </is>
      </c>
      <c r="F10" t="inlineStr">
        <is>
          <t>LNG Canada Phase 1 = 14 mtpa; Phase 2 FID, +14 mtpa, early 2030s.</t>
        </is>
      </c>
    </row>
    <row r="11">
      <c r="A11" t="inlineStr">
        <is>
          <t>Mozambique LNG (TotalEnergies-operated project site)</t>
        </is>
      </c>
      <c r="B11" t="inlineStr">
        <is>
          <t>Official / operator source of Projects numbers</t>
        </is>
      </c>
      <c r="C11" t="inlineStr">
        <is>
          <t>Project page: development (two liquefaction units, 13.12 MTPA)</t>
        </is>
      </c>
      <c r="D11" t="inlineStr">
        <is>
          <t>https://mozambiquelng.co.mz/about-the-mozambique-liquefied-natural-gas-project/development/</t>
        </is>
      </c>
      <c r="E11" t="inlineStr">
        <is>
          <t>2026-10-12</t>
        </is>
      </c>
      <c r="F11" t="inlineStr">
        <is>
          <t>Mozambique LNG 13.12 MTPA.</t>
        </is>
      </c>
    </row>
    <row r="12">
      <c r="A12" t="inlineStr">
        <is>
          <t>Woodfibre LNG</t>
        </is>
      </c>
      <c r="B12" t="inlineStr">
        <is>
          <t>Official / operator source of Projects numbers</t>
        </is>
      </c>
      <c r="C12" t="inlineStr">
        <is>
          <t>Construction page (2.1 million tonnes of LNG per year; substantial completion expected by 2027)</t>
        </is>
      </c>
      <c r="D12" t="inlineStr">
        <is>
          <t>https://woodfibrelng.ca/construction/</t>
        </is>
      </c>
      <c r="E12" t="inlineStr">
        <is>
          <t>2026-10-12</t>
        </is>
      </c>
      <c r="F12" t="inlineStr">
        <is>
          <t>Woodfibre 2.1 mtpa, completion by 2027.</t>
        </is>
      </c>
    </row>
    <row r="13">
      <c r="A13" t="inlineStr">
        <is>
          <t>Cheniere Energy</t>
        </is>
      </c>
      <c r="B13" t="inlineStr">
        <is>
          <t>Official / operator source of Projects numbers</t>
        </is>
      </c>
      <c r="C13" t="inlineStr">
        <is>
          <t>Cheniere Reports Second Quarter 2026 Results (Sabine Pass Stage 5 expansion)</t>
        </is>
      </c>
      <c r="D13" t="inlineStr">
        <is>
          <t>https://lngir.cheniere.com/_assets/_75dc2c9a1fb706f14e67cee93b0e9e5a/cheniere/news/2026-08-06_Cheniere_Reports_Second_Quarter_2026_Results_and_343.pdf</t>
        </is>
      </c>
      <c r="E13" t="inlineStr">
        <is>
          <t>2026-08-06</t>
        </is>
      </c>
      <c r="F13" t="inlineStr">
        <is>
          <t>Sabine Pass Stage 5 (&gt; 6 mtpa).</t>
        </is>
      </c>
    </row>
    <row r="14">
      <c r="A14" t="inlineStr">
        <is>
          <t>U.S. Energy Information Administration</t>
        </is>
      </c>
      <c r="B14" t="inlineStr">
        <is>
          <t>Official / operator source of Projects numbers</t>
        </is>
      </c>
      <c r="C14" t="inlineStr">
        <is>
          <t>U.S. Liquefaction Capacity workbook (newest quarterly file; sheets Existing &amp; Under Construction, Approved)</t>
        </is>
      </c>
      <c r="D14" t="inlineStr">
        <is>
          <t>https://www.eia.gov/naturalgas/importsexports/liquefactioncapacity/U.S.liquefactioncapacity_YYYY_QQ.xlsx</t>
        </is>
      </c>
      <c r="E14" t="inlineStr">
        <is>
          <t>see 'Releases'</t>
        </is>
      </c>
      <c r="F14" t="inlineStr">
        <is>
          <t>United States trains: baseload and peak nameplate, status, in-service dates; approved-not-built projects (cites FERC / DOE dockets).</t>
        </is>
      </c>
    </row>
    <row r="15">
      <c r="A15" t="inlineStr">
        <is>
          <t>GIIGNL (used only where no official figure was opened; named as publisher)</t>
        </is>
      </c>
      <c r="B15" t="inlineStr">
        <is>
          <t>GIIGNL: number used only where no official figure was opened (labelled); otherwise cross-check. Others: dates / background</t>
        </is>
      </c>
      <c r="C15" t="inlineStr">
        <is>
          <t>GIIGNL Annual Report 2026 edition (2025 data): liquefaction plants table and 'Liquefaction' regional sections</t>
        </is>
      </c>
      <c r="D15" t="inlineStr">
        <is>
          <t>https://giignl-documents.s3.fr-par.scw.cloud/public/giignl-2026-annual-report.pdf</t>
        </is>
      </c>
      <c r="E15" t="inlineStr">
        <is>
          <t>2026-05-20</t>
        </is>
      </c>
      <c r="F15" t="inlineStr">
        <is>
          <t>Numbers where no official figure was opened (existing non-US plants outside Australia / Nigeria / Qatar total, damaged Ras Laffan trains, NWS Train 2 closure, Marsa, Ruwais, Abadi, Ksi Lisims, Hilli, ECA capacity, start years of LNG Canada / GTA / Arctic LNG 2); cross-checks on 'Cross-check'.</t>
        </is>
      </c>
    </row>
    <row r="16">
      <c r="A16" t="inlineStr">
        <is>
          <t>Woodside Energy</t>
        </is>
      </c>
      <c r="B16" t="inlineStr">
        <is>
          <t>GIIGNL: number used only where no official figure was opened (labelled); otherwise cross-check. Others: dates / background</t>
        </is>
      </c>
      <c r="C16" t="inlineStr">
        <is>
          <t>Second Quarter Report 2026 (period ended 30 June 2026)</t>
        </is>
      </c>
      <c r="D16" t="inlineStr">
        <is>
          <t>https://www.woodside.com/docs/default-source/investor-documents/quarterly-and-half-yearly-pdfs-and-data-tables/2026/second-quarter-2026-report.pdf</t>
        </is>
      </c>
      <c r="E16" t="inlineStr">
        <is>
          <t>2026-07-29</t>
        </is>
      </c>
      <c r="F16" t="inlineStr">
        <is>
          <t>Pluto Train 2 / Scarborough dates (first LNG Q4 2026) - no capacity, so not in Projects ('Tried').</t>
        </is>
      </c>
    </row>
    <row r="17">
      <c r="A17" t="inlineStr">
        <is>
          <t>Woodside Energy</t>
        </is>
      </c>
      <c r="B17" t="inlineStr">
        <is>
          <t>GIIGNL: number used only where no official figure was opened (labelled); otherwise cross-check. Others: dates / background</t>
        </is>
      </c>
      <c r="C17" t="inlineStr">
        <is>
          <t>Half-Year Report 2026 (period ended 30 June 2026)</t>
        </is>
      </c>
      <c r="D17" t="inlineStr">
        <is>
          <t>https://www.woodside.com/docs/default-source/investor-documents/quarterly-and-half-yearly-pdfs-and-data-tables/2026/half-year-2026-report.pdf?sfvrsn=df6d6ddc_6</t>
        </is>
      </c>
      <c r="E17" t="inlineStr">
        <is>
          <t>2026-08-26</t>
        </is>
      </c>
      <c r="F17" t="inlineStr">
        <is>
          <t>NWS four onshore trains (note on the NWS row); Pluto Train 2 dates; Louisiana LNG 16.5 mtpa (its EIA row is the Projects source).</t>
        </is>
      </c>
    </row>
    <row r="18">
      <c r="A18" t="inlineStr">
        <is>
          <t>TotalEnergies</t>
        </is>
      </c>
      <c r="B18" t="inlineStr">
        <is>
          <t>GIIGNL: number used only where no official figure was opened (labelled); otherwise cross-check. Others: dates / background</t>
        </is>
      </c>
      <c r="C18" t="inlineStr">
        <is>
          <t>2Q26 results press release (ECA LNG start-up early July 2026)</t>
        </is>
      </c>
      <c r="D18" t="inlineStr">
        <is>
          <t>https://totalenergies.com/system/files/documents/totalenergies_pr-results-2q26_2026_en.pdf</t>
        </is>
      </c>
      <c r="E18" t="inlineStr">
        <is>
          <t>2026-07-22</t>
        </is>
      </c>
      <c r="F18" t="inlineStr">
        <is>
          <t>ECA LNG start-up early July 2026 - no capacity, so not in Projects ('Tried').</t>
        </is>
      </c>
    </row>
    <row r="19">
      <c r="A19" t="inlineStr">
        <is>
          <t>Pembina Pipeline Corporation</t>
        </is>
      </c>
      <c r="B19" t="inlineStr">
        <is>
          <t>GIIGNL: number used only where no official figure was opened (labelled); otherwise cross-check. Others: dates / background</t>
        </is>
      </c>
      <c r="C19" t="inlineStr">
        <is>
          <t>Q2 2026 results news release (Cedar LNG first exports late 2028)</t>
        </is>
      </c>
      <c r="D19" t="inlineStr">
        <is>
          <t>https://www.pembina.com/media-centre/news/details/fa13b9e4-bbc0-44d0-9ab6-88c72cbd54e5</t>
        </is>
      </c>
      <c r="E19" t="inlineStr">
        <is>
          <t>2026-07-30</t>
        </is>
      </c>
      <c r="F19" t="inlineStr">
        <is>
          <t>Cedar LNG first exports late 2028 - no capacity, so not in Projects ('Tried').</t>
        </is>
      </c>
    </row>
    <row r="20">
      <c r="A20" t="inlineStr">
        <is>
          <t>Reuters (copy on BOE Report)</t>
        </is>
      </c>
      <c r="B20" t="inlineStr">
        <is>
          <t>GIIGNL: number used only where no official figure was opened (labelled); otherwise cross-check. Others: dates / background</t>
        </is>
      </c>
      <c r="C20" t="inlineStr">
        <is>
          <t>QatarEnergy's LNG expansion project poised to start operations in November, sources say (7 Oct 2026)</t>
        </is>
      </c>
      <c r="D20" t="inlineStr">
        <is>
          <t>https://boereport.com/2026/10/07/qatarenergys-lng-expansion-project-poised-to-start-operations-in-november-sources-say/amp/</t>
        </is>
      </c>
      <c r="E20" t="inlineStr">
        <is>
          <t>2026-10-07</t>
        </is>
      </c>
      <c r="F20" t="inlineStr">
        <is>
          <t>Press copy: NFE first train timing, Ras Laffan damage - 'Cross-check' only.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5" t="inlineStr">
        <is>
          <t>country</t>
        </is>
      </c>
      <c r="B1" s="5" t="inlineStr">
        <is>
          <t>item</t>
        </is>
      </c>
      <c r="C1" s="5" t="inlineStr">
        <is>
          <t>publisher</t>
        </is>
      </c>
      <c r="D1" s="5" t="inlineStr">
        <is>
          <t>cross_check_value_mtpa</t>
        </is>
      </c>
      <c r="E1" s="5" t="inlineStr">
        <is>
          <t>raw_operating_in_Projects_mtpa</t>
        </is>
      </c>
      <c r="F1" s="5" t="inlineStr">
        <is>
          <t>difference_mtpa</t>
        </is>
      </c>
      <c r="G1" s="5" t="inlineStr">
        <is>
          <t>text</t>
        </is>
      </c>
    </row>
    <row r="2">
      <c r="A2" t="inlineStr">
        <is>
          <t>WORLD</t>
        </is>
      </c>
      <c r="B2" t="inlineStr">
        <is>
          <t>Global liquefaction nominal capacity end-2025</t>
        </is>
      </c>
      <c r="C2" t="inlineStr">
        <is>
          <t>GIIGNL Annual Report 2026</t>
        </is>
      </c>
      <c r="D2" t="n">
        <v>524</v>
      </c>
      <c r="E2" t="n">
        <v>519.7339999999999</v>
      </c>
      <c r="F2" t="n">
        <v>-4.266000000000076</v>
      </c>
      <c r="G2" t="inlineStr">
        <is>
          <t>524 MTPA incl. 16.5 MTPA FLNG (executive summary)</t>
        </is>
      </c>
    </row>
    <row r="3">
      <c r="A3" t="inlineStr">
        <is>
          <t>United States</t>
        </is>
      </c>
      <c r="B3" t="inlineStr">
        <is>
          <t>US liquefaction capacity 2025</t>
        </is>
      </c>
      <c r="C3" t="inlineStr">
        <is>
          <t>GIIGNL Annual Report 2026</t>
        </is>
      </c>
      <c r="D3" t="n">
        <v>110</v>
      </c>
      <c r="E3" t="n">
        <v>120.384</v>
      </c>
      <c r="F3" t="n">
        <v>10.38400000000001</v>
      </c>
      <c r="G3" t="inlineStr">
        <is>
          <t>'nearly 110 MTPA' (nominal basis; EIA baseload sum is on a different basis and includes units commissioned in 2026)</t>
        </is>
      </c>
    </row>
    <row r="4">
      <c r="A4" t="inlineStr">
        <is>
          <t>Qatar</t>
        </is>
      </c>
      <c r="B4" t="inlineStr">
        <is>
          <t>Existing trains</t>
        </is>
      </c>
      <c r="C4" t="inlineStr">
        <is>
          <t>GIIGNL Annual Report 2026</t>
        </is>
      </c>
      <c r="D4" t="n">
        <v>77</v>
      </c>
      <c r="E4" t="n">
        <v>64.2</v>
      </c>
      <c r="F4" t="n">
        <v>-12.8</v>
      </c>
      <c r="G4" t="inlineStr">
        <is>
          <t>Plants table / narrative: 77 MTPA</t>
        </is>
      </c>
    </row>
    <row r="5">
      <c r="A5" t="inlineStr">
        <is>
          <t>Qatar</t>
        </is>
      </c>
      <c r="B5" t="inlineStr">
        <is>
          <t>Ras Laffan Trains 4 and 6 damaged 18 Mar 2026</t>
        </is>
      </c>
      <c r="C5" t="inlineStr">
        <is>
          <t>GIIGNL Annual Report 2026</t>
        </is>
      </c>
      <c r="D5" t="n">
        <v>12.8</v>
      </c>
      <c r="G5" t="inlineStr">
        <is>
          <t>Per QatarEnergy's March 2026 statement as quoted by GIIGNL: repairs 3-5 years; possible force majeure up to five years. Reuters (7 Oct 2026, via BOE Report): two trains damaged, repairs ~3 years, 17% of capacity.</t>
        </is>
      </c>
    </row>
    <row r="6">
      <c r="A6" t="inlineStr">
        <is>
          <t>Qatar</t>
        </is>
      </c>
      <c r="B6" t="inlineStr">
        <is>
          <t>North Field East first train</t>
        </is>
      </c>
      <c r="C6" t="inlineStr">
        <is>
          <t>Reuters via BOE Report (press copy)</t>
        </is>
      </c>
      <c r="G6" t="inlineStr">
        <is>
          <t>CEO: production expected H1 2027; first train ready to start in Nov 2026, LNG from it in Q1 2027 (two unnamed sources). GIIGNL: first two NFE trains had been expected late 2026, likely postponed.</t>
        </is>
      </c>
    </row>
    <row r="7">
      <c r="A7" t="inlineStr">
        <is>
          <t>Australia</t>
        </is>
      </c>
      <c r="B7" t="inlineStr">
        <is>
          <t>Plants table total</t>
        </is>
      </c>
      <c r="C7" t="inlineStr">
        <is>
          <t>GIIGNL Annual Report 2026</t>
        </is>
      </c>
      <c r="D7" t="n">
        <v>85.8</v>
      </c>
      <c r="E7" t="n">
        <v>85.2</v>
      </c>
      <c r="F7" t="n">
        <v>-0.5999999999999943</v>
      </c>
      <c r="G7" t="inlineStr">
        <is>
          <t>GIIGNL Australia total (DISR REQ nameplate map sums to 88)</t>
        </is>
      </c>
    </row>
    <row r="8">
      <c r="A8" t="inlineStr">
        <is>
          <t>Australia</t>
        </is>
      </c>
      <c r="B8" t="inlineStr">
        <is>
          <t>North West Shelf after Train 2 closure</t>
        </is>
      </c>
      <c r="C8" t="inlineStr">
        <is>
          <t>GIIGNL Annual Report 2026</t>
        </is>
      </c>
      <c r="D8" t="n">
        <v>14.5</v>
      </c>
      <c r="G8" t="inlineStr">
        <is>
          <t>Train 2 (2.6 MTPA) permanently ceased; total from 17 to 14.5 MTPA</t>
        </is>
      </c>
    </row>
    <row r="9">
      <c r="A9" t="inlineStr">
        <is>
          <t>Australia</t>
        </is>
      </c>
      <c r="B9" t="inlineStr">
        <is>
          <t>Pluto Train 2 (Scarborough)</t>
        </is>
      </c>
      <c r="C9" t="inlineStr">
        <is>
          <t>Woodside (dates) / none (capacity)</t>
        </is>
      </c>
      <c r="G9" t="inlineStr">
        <is>
          <t>First LNG cargo Q4 2026 (Woodside H1 2026); no Mtpa figure in an opened raw source</t>
        </is>
      </c>
    </row>
    <row r="10">
      <c r="A10" t="inlineStr">
        <is>
          <t>Canada</t>
        </is>
      </c>
      <c r="B10" t="inlineStr">
        <is>
          <t>LNG Canada Trains 1-2 + Tilbury</t>
        </is>
      </c>
      <c r="C10" t="inlineStr">
        <is>
          <t>GIIGNL Annual Report 2026</t>
        </is>
      </c>
      <c r="D10" t="n">
        <v>14.3</v>
      </c>
      <c r="E10" t="n">
        <v>14.3</v>
      </c>
      <c r="F10" t="n">
        <v>0</v>
      </c>
      <c r="G10" t="inlineStr">
        <is>
          <t>7.0 + 7.0 online in 2025, Tilbury 0.3</t>
        </is>
      </c>
    </row>
    <row r="11">
      <c r="A11" t="inlineStr">
        <is>
          <t>Canada</t>
        </is>
      </c>
      <c r="B11" t="inlineStr">
        <is>
          <t>Cedar LNG (floating)</t>
        </is>
      </c>
      <c r="C11" t="inlineStr">
        <is>
          <t>GIIGNL Annual Report 2026</t>
        </is>
      </c>
      <c r="G11" t="inlineStr">
        <is>
          <t>Start-up targeted 2028 (Pembina: late 2028); no mtpa in the opened documents</t>
        </is>
      </c>
    </row>
    <row r="12">
      <c r="A12" t="inlineStr">
        <is>
          <t>Canada</t>
        </is>
      </c>
      <c r="B12" t="inlineStr">
        <is>
          <t>Ksi Lisims LNG (floating)</t>
        </is>
      </c>
      <c r="C12" t="inlineStr">
        <is>
          <t>GIIGNL Annual Report 2026</t>
        </is>
      </c>
      <c r="D12" t="n">
        <v>12</v>
      </c>
      <c r="G12" t="inlineStr">
        <is>
          <t>12 MTPA FLNG, federal approvals, fast-tracked; no FID</t>
        </is>
      </c>
    </row>
    <row r="13">
      <c r="A13" t="inlineStr">
        <is>
          <t>Mexico</t>
        </is>
      </c>
      <c r="B13" t="inlineStr">
        <is>
          <t>Energia Costa Azul Phase 1 + Altamira FLNG 1</t>
        </is>
      </c>
      <c r="C13" t="inlineStr">
        <is>
          <t>GIIGNL Annual Report 2026</t>
        </is>
      </c>
      <c r="D13" t="n">
        <v>4.65</v>
      </c>
      <c r="G13" t="inlineStr">
        <is>
          <t>3.25 + 1.4. TotalEnergies 2Q26 release: ECA started up early July 2026 (no capacity)</t>
        </is>
      </c>
    </row>
    <row r="14">
      <c r="A14" t="inlineStr">
        <is>
          <t>Russia</t>
        </is>
      </c>
      <c r="B14" t="inlineStr">
        <is>
          <t>Russia plants (Yamal 17.4, Sakhalin-2 10.8, Portovaya 1.5, Vysotsk 0.9, Arctic LNG 2 T1 6.6)</t>
        </is>
      </c>
      <c r="C14" t="inlineStr">
        <is>
          <t>GIIGNL Annual Report 2026</t>
        </is>
      </c>
      <c r="D14" t="n">
        <v>37.2</v>
      </c>
      <c r="E14" t="n">
        <v>43.8</v>
      </c>
      <c r="F14" t="n">
        <v>6.599999999999994</v>
      </c>
      <c r="G14" t="inlineStr">
        <is>
          <t>GIIGNL Russia total 26.4 excl. Sakhalin-2; Arctic LNG 2 Train 2 started May 2025</t>
        </is>
      </c>
    </row>
    <row r="15">
      <c r="A15" t="inlineStr">
        <is>
          <t>Nigeria</t>
        </is>
      </c>
      <c r="B15" t="inlineStr">
        <is>
          <t>NLNG six trains</t>
        </is>
      </c>
      <c r="C15" t="inlineStr">
        <is>
          <t>GIIGNL Annual Report 2026</t>
        </is>
      </c>
      <c r="D15" t="n">
        <v>22.2</v>
      </c>
      <c r="E15" t="n">
        <v>22</v>
      </c>
      <c r="F15" t="n">
        <v>-0.1999999999999993</v>
      </c>
      <c r="G15" t="inlineStr">
        <is>
          <t>3.3x3 + 4.1x3 (operator says 22)</t>
        </is>
      </c>
    </row>
    <row r="16">
      <c r="A16" t="inlineStr">
        <is>
          <t>Algeria</t>
        </is>
      </c>
      <c r="B16" t="inlineStr">
        <is>
          <t>Arzew GL1Z/GL2Z/GL3Z, Skikda</t>
        </is>
      </c>
      <c r="C16" t="inlineStr">
        <is>
          <t>GIIGNL Annual Report 2026</t>
        </is>
      </c>
      <c r="D16" t="n">
        <v>25.3</v>
      </c>
      <c r="G16" t="inlineStr">
        <is>
          <t>Plants table</t>
        </is>
      </c>
    </row>
    <row r="17">
      <c r="A17" t="inlineStr">
        <is>
          <t>Egypt</t>
        </is>
      </c>
      <c r="B17" t="inlineStr">
        <is>
          <t>Damietta + Idku</t>
        </is>
      </c>
      <c r="C17" t="inlineStr">
        <is>
          <t>GIIGNL Annual Report 2026</t>
        </is>
      </c>
      <c r="D17" t="n">
        <v>12.2</v>
      </c>
      <c r="G17" t="inlineStr">
        <is>
          <t>5.0 + 3.6 + 3.6</t>
        </is>
      </c>
    </row>
    <row r="18">
      <c r="A18" t="inlineStr">
        <is>
          <t>Angola</t>
        </is>
      </c>
      <c r="B18" t="inlineStr">
        <is>
          <t>Angola LNG</t>
        </is>
      </c>
      <c r="C18" t="inlineStr">
        <is>
          <t>GIIGNL Annual Report 2026</t>
        </is>
      </c>
      <c r="D18" t="n">
        <v>5.2</v>
      </c>
    </row>
    <row r="19">
      <c r="A19" t="inlineStr">
        <is>
          <t>Equatorial Guinea</t>
        </is>
      </c>
      <c r="B19" t="inlineStr">
        <is>
          <t>EG LNG</t>
        </is>
      </c>
      <c r="C19" t="inlineStr">
        <is>
          <t>GIIGNL Annual Report 2026</t>
        </is>
      </c>
      <c r="D19" t="n">
        <v>3.7</v>
      </c>
    </row>
    <row r="20">
      <c r="A20" t="inlineStr">
        <is>
          <t>Mozambique</t>
        </is>
      </c>
      <c r="B20" t="inlineStr">
        <is>
          <t>Coral South FLNG</t>
        </is>
      </c>
      <c r="C20" t="inlineStr">
        <is>
          <t>GIIGNL Annual Report 2026</t>
        </is>
      </c>
      <c r="D20" t="n">
        <v>3.4</v>
      </c>
      <c r="G20" t="inlineStr">
        <is>
          <t>Operating since 2022</t>
        </is>
      </c>
    </row>
    <row r="21">
      <c r="A21" t="inlineStr">
        <is>
          <t>Mozambique</t>
        </is>
      </c>
      <c r="B21" t="inlineStr">
        <is>
          <t>Mozambique LNG</t>
        </is>
      </c>
      <c r="C21" t="inlineStr">
        <is>
          <t>GIIGNL Annual Report 2026</t>
        </is>
      </c>
      <c r="D21" t="n">
        <v>12.8</v>
      </c>
      <c r="G21" t="inlineStr">
        <is>
          <t>Narrative figure; operator site says 13.12</t>
        </is>
      </c>
    </row>
    <row r="22">
      <c r="A22" t="inlineStr">
        <is>
          <t>Cameroon</t>
        </is>
      </c>
      <c r="B22" t="inlineStr">
        <is>
          <t>Hilli Episeyo FLNG (Kribi)</t>
        </is>
      </c>
      <c r="C22" t="inlineStr">
        <is>
          <t>GIIGNL Annual Report 2026</t>
        </is>
      </c>
      <c r="D22" t="n">
        <v>2.4</v>
      </c>
      <c r="G22" t="inlineStr">
        <is>
          <t>Golar Q2 2026: contract ended, relocating to Argentina (Hilli + Gimi together 5.1 MTPA)</t>
        </is>
      </c>
    </row>
    <row r="23">
      <c r="A23" t="inlineStr">
        <is>
          <t>Argentina</t>
        </is>
      </c>
      <c r="B23" t="inlineStr">
        <is>
          <t>Hilli Episeyo (SESA)</t>
        </is>
      </c>
      <c r="C23" t="inlineStr">
        <is>
          <t>GIIGNL Annual Report 2026</t>
        </is>
      </c>
      <c r="D23" t="n">
        <v>2.45</v>
      </c>
      <c r="G23" t="inlineStr">
        <is>
          <t>Golar Q2 2026: 20-year contract commencing H2 2027</t>
        </is>
      </c>
    </row>
    <row r="24">
      <c r="A24" t="inlineStr">
        <is>
          <t>Congo</t>
        </is>
      </c>
      <c r="B24" t="inlineStr">
        <is>
          <t>Tango FLNG 0.6 + Nguya 2.4</t>
        </is>
      </c>
      <c r="C24" t="inlineStr">
        <is>
          <t>GIIGNL Annual Report 2026</t>
        </is>
      </c>
      <c r="D24" t="n">
        <v>3</v>
      </c>
      <c r="G24" t="inlineStr">
        <is>
          <t>Nguya first cargo Feb 2026 per GIIGNL</t>
        </is>
      </c>
    </row>
    <row r="25">
      <c r="A25" t="inlineStr">
        <is>
          <t>Mauritania/Senegal</t>
        </is>
      </c>
      <c r="B25" t="inlineStr">
        <is>
          <t>GTA Phase 1 (Gimi)</t>
        </is>
      </c>
      <c r="C25" t="inlineStr">
        <is>
          <t>GIIGNL Annual Report 2026</t>
        </is>
      </c>
      <c r="D25" t="n">
        <v>2.4</v>
      </c>
      <c r="E25" t="n">
        <v>2.3</v>
      </c>
      <c r="F25" t="n">
        <v>-0.1000000000000001</v>
      </c>
      <c r="G25" t="inlineStr">
        <is>
          <t>plants table; narrative 'around 2.3'</t>
        </is>
      </c>
    </row>
    <row r="26">
      <c r="A26" t="inlineStr">
        <is>
          <t>Norway</t>
        </is>
      </c>
      <c r="B26" t="inlineStr">
        <is>
          <t>Hammerfest LNG</t>
        </is>
      </c>
      <c r="C26" t="inlineStr">
        <is>
          <t>GIIGNL Annual Report 2026</t>
        </is>
      </c>
      <c r="D26" t="n">
        <v>4.2</v>
      </c>
    </row>
    <row r="27">
      <c r="A27" t="inlineStr">
        <is>
          <t>Peru</t>
        </is>
      </c>
      <c r="B27" t="inlineStr">
        <is>
          <t>Peru LNG</t>
        </is>
      </c>
      <c r="C27" t="inlineStr">
        <is>
          <t>GIIGNL Annual Report 2026</t>
        </is>
      </c>
      <c r="D27" t="n">
        <v>4.5</v>
      </c>
    </row>
    <row r="28">
      <c r="A28" t="inlineStr">
        <is>
          <t>Trinidad and Tobago</t>
        </is>
      </c>
      <c r="B28" t="inlineStr">
        <is>
          <t>Atlantic LNG T1-T4 (T1 mothballed)</t>
        </is>
      </c>
      <c r="C28" t="inlineStr">
        <is>
          <t>GIIGNL Annual Report 2026</t>
        </is>
      </c>
      <c r="D28" t="n">
        <v>14.8</v>
      </c>
    </row>
    <row r="29">
      <c r="A29" t="inlineStr">
        <is>
          <t>Yemen</t>
        </is>
      </c>
      <c r="B29" t="inlineStr">
        <is>
          <t>Balhaf LNG (shut since 2015)</t>
        </is>
      </c>
      <c r="C29" t="inlineStr">
        <is>
          <t>GIIGNL Annual Report 2026</t>
        </is>
      </c>
      <c r="D29" t="n">
        <v>7.2</v>
      </c>
      <c r="G29" t="inlineStr">
        <is>
          <t>table 2 x 3.6; narrative 6.7</t>
        </is>
      </c>
    </row>
    <row r="30">
      <c r="A30" t="inlineStr">
        <is>
          <t>Oman</t>
        </is>
      </c>
      <c r="B30" t="inlineStr">
        <is>
          <t>Oman LNG + Qalhat</t>
        </is>
      </c>
      <c r="C30" t="inlineStr">
        <is>
          <t>GIIGNL Annual Report 2026</t>
        </is>
      </c>
      <c r="D30" t="n">
        <v>11.5</v>
      </c>
    </row>
    <row r="31">
      <c r="A31" t="inlineStr">
        <is>
          <t>Oman</t>
        </is>
      </c>
      <c r="B31" t="inlineStr">
        <is>
          <t>Marsa LNG</t>
        </is>
      </c>
      <c r="C31" t="inlineStr">
        <is>
          <t>GIIGNL Annual Report 2026</t>
        </is>
      </c>
      <c r="D31" t="n">
        <v>1</v>
      </c>
      <c r="G31" t="inlineStr">
        <is>
          <t>FID Apr 2024, 2028</t>
        </is>
      </c>
    </row>
    <row r="32">
      <c r="A32" t="inlineStr">
        <is>
          <t>United Arab Emirates</t>
        </is>
      </c>
      <c r="B32" t="inlineStr">
        <is>
          <t>Das Island</t>
        </is>
      </c>
      <c r="C32" t="inlineStr">
        <is>
          <t>GIIGNL Annual Report 2026</t>
        </is>
      </c>
      <c r="D32" t="n">
        <v>5.8</v>
      </c>
    </row>
    <row r="33">
      <c r="A33" t="inlineStr">
        <is>
          <t>United Arab Emirates</t>
        </is>
      </c>
      <c r="B33" t="inlineStr">
        <is>
          <t>Ruwais LNG</t>
        </is>
      </c>
      <c r="C33" t="inlineStr">
        <is>
          <t>GIIGNL Annual Report 2026</t>
        </is>
      </c>
      <c r="D33" t="n">
        <v>9.6</v>
      </c>
      <c r="G33" t="inlineStr">
        <is>
          <t>FID June 2024, start-up 2028</t>
        </is>
      </c>
    </row>
    <row r="34">
      <c r="A34" t="inlineStr">
        <is>
          <t>Malaysia</t>
        </is>
      </c>
      <c r="B34" t="inlineStr">
        <is>
          <t>PETRONAS LNG complex + PFLNG</t>
        </is>
      </c>
      <c r="C34" t="inlineStr">
        <is>
          <t>GIIGNL Annual Report 2026</t>
        </is>
      </c>
      <c r="D34" t="n">
        <v>32.1</v>
      </c>
    </row>
    <row r="35">
      <c r="A35" t="inlineStr">
        <is>
          <t>Brunei</t>
        </is>
      </c>
      <c r="B35" t="inlineStr">
        <is>
          <t>Brunei LNG</t>
        </is>
      </c>
      <c r="C35" t="inlineStr">
        <is>
          <t>GIIGNL Annual Report 2026</t>
        </is>
      </c>
      <c r="D35" t="n">
        <v>7</v>
      </c>
    </row>
    <row r="36">
      <c r="A36" t="inlineStr">
        <is>
          <t>Indonesia</t>
        </is>
      </c>
      <c r="B36" t="inlineStr">
        <is>
          <t>Bontang, Tangguh, Donggi-Senoro</t>
        </is>
      </c>
      <c r="C36" t="inlineStr">
        <is>
          <t>GIIGNL Annual Report 2026</t>
        </is>
      </c>
      <c r="D36" t="n">
        <v>24.9</v>
      </c>
      <c r="G36" t="inlineStr">
        <is>
          <t>Abadi LNG 9.5 MTPA planned (FEED end-2026)</t>
        </is>
      </c>
    </row>
    <row r="37">
      <c r="A37" t="inlineStr">
        <is>
          <t>Papua New Guinea</t>
        </is>
      </c>
      <c r="B37" t="inlineStr">
        <is>
          <t>PNG LNG</t>
        </is>
      </c>
      <c r="C37" t="inlineStr">
        <is>
          <t>GIIGNL Annual Report 2026</t>
        </is>
      </c>
      <c r="D37" t="n">
        <v>8.300000000000001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50" customWidth="1" min="2" max="2"/>
    <col width="42" customWidth="1" min="3" max="3"/>
  </cols>
  <sheetData>
    <row r="1">
      <c r="A1" s="5" t="inlineStr">
        <is>
          <t>what</t>
        </is>
      </c>
      <c r="B1" s="5" t="inlineStr">
        <is>
          <t>url</t>
        </is>
      </c>
      <c r="C1" s="5" t="inlineStr">
        <is>
          <t>result</t>
        </is>
      </c>
    </row>
    <row r="2">
      <c r="A2" t="inlineStr">
        <is>
          <t>SOURCE: FERC 'North American LNG Export Terminals - Existing, Approved not yet built, Proposed'</t>
        </is>
      </c>
      <c r="B2" t="inlineStr">
        <is>
          <t>https://www.ferc.gov/media/north-american-lng-export-terminals-existing-approved-not-yet-built-and-proposed</t>
        </is>
      </c>
      <c r="C2" t="inlineStr">
        <is>
          <t>Page reachable (12 Oct 2026) but the list is a linked document the HTML does not expose; FERC's earlier LNG pages list no start dates (TEXAS_STEO_FERC_PROBE). EIA's liquefaction workbook (cites the FERC and DOE dockets) is the US source.</t>
        </is>
      </c>
    </row>
    <row r="3">
      <c r="A3" t="inlineStr">
        <is>
          <t>SOURCE: Canada Energy Regulator LNG export licences</t>
        </is>
      </c>
      <c r="B3" t="inlineStr">
        <is>
          <t>https://www.cer-rec.gc.ca/en/data-analysis/energy-commodities/natural-gas/report/lng-export-licences/index.html</t>
        </is>
      </c>
      <c r="C3" t="inlineStr">
        <is>
          <t>404 after the CER site relaunch; replacement page not found. Licence volumes are not plant capacity in any case; operator releases are used for Canada.</t>
        </is>
      </c>
    </row>
    <row r="4">
      <c r="A4" t="inlineStr">
        <is>
          <t>SOURCE: LNG Canada site (Phase 1 / Phase 2 pages)</t>
        </is>
      </c>
      <c r="B4" t="inlineStr">
        <is>
          <t>https://www.lngcanada.ca/</t>
        </is>
      </c>
      <c r="C4" t="inlineStr">
        <is>
          <t>HTTP 202 (no content) from Actions on every inner page; Shell's release text (as republished) used.</t>
        </is>
      </c>
    </row>
    <row r="5">
      <c r="A5" t="inlineStr">
        <is>
          <t>SOURCE: Shell release on shell.com</t>
        </is>
      </c>
      <c r="B5" t="inlineStr">
        <is>
          <t>https://www.shell.com/news-and-insights/newsroom/news-and-media-releases/2026/shell-takes-final-investment-decision-to-double-lng-canada-capacity.html</t>
        </is>
      </c>
      <c r="C5" t="inlineStr">
        <is>
          <t>Script-rendered page; the 14 -&gt; 28 mtpa text is not in the HTML. The same release text was read on Hellenic Shipping News and is labelled so.</t>
        </is>
      </c>
    </row>
    <row r="6">
      <c r="A6" t="inlineStr">
        <is>
          <t>SOURCE: DISR REQ Excel data (forecast / historical)</t>
        </is>
      </c>
      <c r="B6" t="inlineStr">
        <is>
          <t>https://www.industry.gov.au/sites/default/files/2026-10/resources-and-energy-quarterly-september-2026-forecast-data.xlsx</t>
        </is>
      </c>
      <c r="C6" t="inlineStr">
        <is>
          <t>Opened: Australian export volumes and prices only, no project capacity table. The PDF nameplate map is used.</t>
        </is>
      </c>
    </row>
    <row r="7">
      <c r="A7" t="inlineStr">
        <is>
          <t>SOURCE: QatarEnergy statements on the Ras Laffan strikes (March 2026) and on per-train start dates</t>
        </is>
      </c>
      <c r="B7" t="inlineStr">
        <is>
          <t>https://www.qatarenergy.qa/en/MediaCenter/Pages/News.aspx</t>
        </is>
      </c>
      <c r="C7" t="inlineStr">
        <is>
          <t>News list is script-rendered (link templates only); the March statement, a damaged-train figure and a dated NFE/NFS/NFW schedule are NOT in any QatarEnergy document opened (deck Nov 2025, Annual Review 2024). The 12.8 mtpa / three-to-five-year figures are GIIGNL / Reuters: 'Cross-check' only.</t>
        </is>
      </c>
    </row>
    <row r="8">
      <c r="A8" t="inlineStr">
        <is>
          <t>SOURCE: IGU World LNG Report 2026</t>
        </is>
      </c>
      <c r="B8" t="inlineStr">
        <is>
          <t>https://www.igu.org/resources/world-lng-report-2025/</t>
        </is>
      </c>
      <c r="C8" t="inlineStr">
        <is>
          <t>404 on the guessed address; no direct PDF link found.</t>
        </is>
      </c>
    </row>
    <row r="9">
      <c r="A9" t="inlineStr">
        <is>
          <t>SOURCE: TotalEnergies / Mozambique LNG restart release (businesswire)</t>
        </is>
      </c>
      <c r="B9" t="inlineStr">
        <is>
          <t>https://www.businesswire.com/news/home/20260129402488/en/</t>
        </is>
      </c>
      <c r="C9" t="inlineStr">
        <is>
          <t>403 from Actions; project site and DISR REQ used.</t>
        </is>
      </c>
    </row>
    <row r="10">
      <c r="A10" t="inlineStr">
        <is>
          <t>SOURCE: Sempra Q2 2026 release; Kosmos GTA release; SEC exhibits</t>
        </is>
      </c>
      <c r="B10" t="inlineStr">
        <is>
          <t>https://www.sempra.com/newsroom/press-releases/sempra-reports-strong-second-quarter-2026-results</t>
        </is>
      </c>
      <c r="C10" t="inlineStr">
        <is>
          <t>403 from Actions.</t>
        </is>
      </c>
    </row>
    <row r="11">
      <c r="A11" t="inlineStr">
        <is>
          <t>SOURCE: GIIGNL Excel tables / LNG Trade Matrix / World LNG Map</t>
        </is>
      </c>
      <c r="B11" t="inlineStr">
        <is>
          <t>https://giignl.org/resources/</t>
        </is>
      </c>
      <c r="C11" t="inlineStr">
        <is>
          <t>Members only; the free annual report PDF is used on 'Cross-check' only.</t>
        </is>
      </c>
    </row>
    <row r="12">
      <c r="A12" t="inlineStr">
        <is>
          <t>NOT SOURCED: Qatar damaged-train size and return date from QatarEnergy itself</t>
        </is>
      </c>
      <c r="B12" t="inlineStr">
        <is>
          <t>https://www.qatarenergy.qa/en/MediaCenter/Pages/News.aspx</t>
        </is>
      </c>
      <c r="C12" t="inlineStr">
        <is>
          <t>March 2026 statement not reachable; 12.8 mtpa / 3-5 years are GIIGNL (labelled in Projects).</t>
        </is>
      </c>
    </row>
    <row r="13">
      <c r="A13" t="inlineStr">
        <is>
          <t>NOT SOURCED: Qatar North Field East Trains 2-4, South and West start dates</t>
        </is>
      </c>
      <c r="B13" t="inlineStr">
        <is>
          <t>https://www.qatarenergy.qa/en/MediaCenter/Publications/QatarEnergy_Investors_Presentation_November_2025.pdf</t>
        </is>
      </c>
      <c r="C13" t="inlineStr">
        <is>
          <t>Only 'by 2030' for the programme; trains are undated (NFE Train 1: CEO H1 2027 via Reuters copy).</t>
        </is>
      </c>
    </row>
    <row r="14">
      <c r="A14" t="inlineStr">
        <is>
          <t>NOT SOURCED: Pluto Train 2 (Scarborough) capacity</t>
        </is>
      </c>
      <c r="B14" t="inlineStr">
        <is>
          <t>https://www.woodside.com/investors/reports-investor-briefings</t>
        </is>
      </c>
      <c r="C14" t="inlineStr">
        <is>
          <t>Woodside Q2/H1 2026 and FY2025 briefing opened: first LNG cargo Q4 2026, no Mtpa for Train 2; DISR REQ and GIIGNL have none. Row kept with blank capacity (not in totals).</t>
        </is>
      </c>
    </row>
    <row r="15">
      <c r="A15" t="inlineStr">
        <is>
          <t>NOT SOURCED: Cedar LNG capacity</t>
        </is>
      </c>
      <c r="B15" t="inlineStr">
        <is>
          <t>https://www.pembina.com/media-centre/news/details/fa13b9e4-bbc0-44d0-9ab6-88c72cbd54e5</t>
        </is>
      </c>
      <c r="C15" t="inlineStr">
        <is>
          <t>Pembina Q2 2026 gives late 2028, no mtpa; Cedar site and GIIGNL none. Row kept with blank capacity.</t>
        </is>
      </c>
    </row>
    <row r="16">
      <c r="A16" t="inlineStr">
        <is>
          <t>NOT SOURCED: Hilli-only capacity from Golar</t>
        </is>
      </c>
      <c r="B16" t="inlineStr">
        <is>
          <t>https://mfn.se/one/a/golar-lng/golar-lng-limited-interim-results-for-the-period-ended-june-30-2026-b168e773</t>
        </is>
      </c>
      <c r="C16" t="inlineStr">
        <is>
          <t>Golar gives 'Hilli + Gimi = 5.1 MTPA'; Hilli's own 2.4 / 2.45 mtpa is GIIGNL (labelled).</t>
        </is>
      </c>
    </row>
    <row r="17">
      <c r="A17" t="inlineStr">
        <is>
          <t>NOT SOURCED: North West Shelf Train 2 closure month; LNG Canada / GTA / Arctic LNG 2 start months</t>
        </is>
      </c>
      <c r="B17" t="inlineStr">
        <is>
          <t>https://www.industry.gov.au/publications/resources-and-energy-quarterly-september-2026</t>
        </is>
      </c>
      <c r="C17" t="inlineStr">
        <is>
          <t>Only years (GIIGNL) or none; placed as stated on 'Placement'.</t>
        </is>
      </c>
    </row>
    <row r="18">
      <c r="A18" t="inlineStr">
        <is>
          <t>NOT SOURCED: Papua LNG, Rovuma LNG, Tanzania LNG, GTA Phase 2, Yakaar-Teranga, Mexico Pacific Saguaro, Argentina LNG (YPF/Eni), Murmansk / Ob LNG, other US proposals</t>
        </is>
      </c>
      <c r="B18" t="inlineStr">
        <is>
          <t>(none)</t>
        </is>
      </c>
      <c r="C18" t="inlineStr">
        <is>
          <t>No opened document with a capacity and status (Santos Q2 2026 has no Papua LNG). Search snippets are never used. Add when a release is opened.</t>
        </is>
      </c>
    </row>
    <row r="19">
      <c r="A19" t="inlineStr">
        <is>
          <t>NOT SOURCED: Nigeria LNG Train 7 start date</t>
        </is>
      </c>
      <c r="B19" t="inlineStr">
        <is>
          <t>https://www.nlng.com/operations/train-7</t>
        </is>
      </c>
      <c r="C19" t="inlineStr">
        <is>
          <t>Official page text empty (script-rendered); Facts and Figures 2024 gives capacity only.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5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42" customWidth="1" min="8" max="8"/>
    <col width="16" customWidth="1" min="9" max="9"/>
  </cols>
  <sheetData>
    <row r="1">
      <c r="A1" s="5" t="inlineStr">
        <is>
          <t>document</t>
        </is>
      </c>
      <c r="B1" s="5" t="inlineStr">
        <is>
          <t>url</t>
        </is>
      </c>
      <c r="C1" s="5" t="inlineStr">
        <is>
          <t>etag</t>
        </is>
      </c>
      <c r="D1" s="5" t="inlineStr">
        <is>
          <t>last_modified</t>
        </is>
      </c>
      <c r="E1" s="5" t="inlineStr">
        <is>
          <t>size</t>
        </is>
      </c>
      <c r="F1" s="5" t="inlineStr">
        <is>
          <t>sha256</t>
        </is>
      </c>
      <c r="G1" s="5" t="inlineStr">
        <is>
          <t>checked</t>
        </is>
      </c>
      <c r="H1" s="5" t="inlineStr">
        <is>
          <t>result</t>
        </is>
      </c>
      <c r="I1" s="5" t="inlineStr">
        <is>
          <t>release_date</t>
        </is>
      </c>
    </row>
    <row r="2">
      <c r="A2" t="inlineStr">
        <is>
          <t>EIA U.S. liquefaction capacity workbook</t>
        </is>
      </c>
      <c r="B2" t="inlineStr">
        <is>
          <t>https://www.eia.gov/naturalgas/importsexports/liquefactioncapacity/U.S.liquefactioncapacity_2026_Q3.xlsx</t>
        </is>
      </c>
      <c r="C2" t="inlineStr">
        <is>
          <t>"0d74ba3e551dd1:0"</t>
        </is>
      </c>
      <c r="D2" t="inlineStr">
        <is>
          <t>Thu, 01 Oct 2026 20:44:22 GMT</t>
        </is>
      </c>
      <c r="E2" t="n">
        <v>43840</v>
      </c>
      <c r="F2" t="inlineStr">
        <is>
          <t>c9acf6dc640b7428eb4370c9b44149df73bab5dec3b9b5f88b93c0b815142677</t>
        </is>
      </c>
      <c r="G2" t="inlineStr">
        <is>
          <t>2026-10-12</t>
        </is>
      </c>
      <c r="H2" t="inlineStr">
        <is>
          <t>NEW/CHANGED - parsed</t>
        </is>
      </c>
      <c r="I2" t="inlineStr">
        <is>
          <t>2026-10-01</t>
        </is>
      </c>
    </row>
    <row r="3">
      <c r="A3" t="inlineStr">
        <is>
          <t>Department of Industry, Science and Resources (Australia): Resources and Energy Quarterly, September 2026 (section 6 LNG; map 'Nameplate capacity, million tonnes per annum')</t>
        </is>
      </c>
      <c r="B3" t="inlineStr">
        <is>
          <t>https://www.industry.gov.au/sites/default/files/2026-10/resources-and-energy-quarterly-september-2026.pdf</t>
        </is>
      </c>
      <c r="G3" t="inlineStr">
        <is>
          <t>2026-10-12</t>
        </is>
      </c>
      <c r="H3" t="inlineStr">
        <is>
          <t>UNREACHABLE (ReadTimeout)</t>
        </is>
      </c>
    </row>
    <row r="4">
      <c r="A4" t="inlineStr">
        <is>
          <t>QatarEnergy: Update to Investors, November 2025 (North Field expansion programme, p.9)</t>
        </is>
      </c>
      <c r="B4" t="inlineStr">
        <is>
          <t>https://www.qatarenergy.qa/en/MediaCenter/Publications/QatarEnergy_Investors_Presentation_November_2025.pdf</t>
        </is>
      </c>
      <c r="C4" t="inlineStr">
        <is>
          <t>"{8B5669FD-1086-42E6-AAB0-9B4ABA1C4BCD},2"</t>
        </is>
      </c>
      <c r="D4" t="inlineStr">
        <is>
          <t>Sun, 30 Nov 2025 07:14:24 GMT</t>
        </is>
      </c>
      <c r="E4" t="n">
        <v>5032257</v>
      </c>
      <c r="G4" t="inlineStr">
        <is>
          <t>2026-10-12</t>
        </is>
      </c>
      <c r="H4" t="inlineStr">
        <is>
          <t>FIRST SEEN</t>
        </is>
      </c>
    </row>
    <row r="5">
      <c r="A5" t="inlineStr">
        <is>
          <t>QatarEnergy: Annual Review 2024</t>
        </is>
      </c>
      <c r="B5" t="inlineStr">
        <is>
          <t>https://www.qatarenergy.qa/en/MediaCenter/Publications/%E2%80%8BQatarEnergy%20Annual%20Review%202024.pdf</t>
        </is>
      </c>
      <c r="C5" t="inlineStr">
        <is>
          <t>"{B58CFE52-159E-4EB4-92CC-B561A7C304ED},1"</t>
        </is>
      </c>
      <c r="D5" t="inlineStr">
        <is>
          <t>Sun, 21 Sep 2025 05:38:28 GMT</t>
        </is>
      </c>
      <c r="E5" t="n">
        <v>13226936</v>
      </c>
      <c r="G5" t="inlineStr">
        <is>
          <t>2026-10-12</t>
        </is>
      </c>
      <c r="H5" t="inlineStr">
        <is>
          <t>FIRST SEEN</t>
        </is>
      </c>
    </row>
    <row r="6">
      <c r="A6" t="inlineStr">
        <is>
          <t>Cheniere Energy: Cheniere Reports Second Quarter 2026 Results (6 Aug 2026)</t>
        </is>
      </c>
      <c r="B6" t="inlineStr">
        <is>
          <t>https://lngir.cheniere.com/_assets/_75dc2c9a1fb706f14e67cee93b0e9e5a/cheniere/news/2026-08-06_Cheniere_Reports_Second_Quarter_2026_Results_and_343.pdf</t>
        </is>
      </c>
      <c r="C6" t="inlineStr">
        <is>
          <t>"ca6fd7d90151f7cd4bb3262a53ef161e"</t>
        </is>
      </c>
      <c r="D6" t="inlineStr">
        <is>
          <t>Thu, 06 Aug 2026 11:36:42 GMT</t>
        </is>
      </c>
      <c r="E6" t="n">
        <v>123866</v>
      </c>
      <c r="G6" t="inlineStr">
        <is>
          <t>2026-10-12</t>
        </is>
      </c>
      <c r="H6" t="inlineStr">
        <is>
          <t>FIRST SEEN</t>
        </is>
      </c>
    </row>
    <row r="7">
      <c r="A7" t="inlineStr">
        <is>
          <t>Golar LNG: Interim results for the period ended June 30, 2026</t>
        </is>
      </c>
      <c r="B7" t="inlineStr">
        <is>
          <t>https://mfn.se/one/a/golar-lng/golar-lng-limited-interim-results-for-the-period-ended-june-30-2026-b168e773</t>
        </is>
      </c>
      <c r="E7" t="n">
        <v>78242</v>
      </c>
      <c r="F7" t="inlineStr">
        <is>
          <t>ee363ea67ce7eb565ae64d8f614e5398bc6496572abeb90bef162874096e1129</t>
        </is>
      </c>
      <c r="G7" t="inlineStr">
        <is>
          <t>2026-10-12</t>
        </is>
      </c>
      <c r="H7" t="inlineStr">
        <is>
          <t>FIRST SEEN</t>
        </is>
      </c>
    </row>
    <row r="8">
      <c r="A8" t="inlineStr">
        <is>
          <t>Eni: Eni announces Final Investment Decision for Mozambique's Coral North project (2 Oct 2025)</t>
        </is>
      </c>
      <c r="B8" t="inlineStr">
        <is>
          <t>https://www.eni.com/en-IT/media/press-release/2025/10/pr-eni-announces-final-investment-decision-mozambique-coral-north-project.html</t>
        </is>
      </c>
      <c r="C8" t="inlineStr">
        <is>
          <t>"6203d-65da2d598c64a-gzip"</t>
        </is>
      </c>
      <c r="D8" t="inlineStr">
        <is>
          <t>Mon, 12 Oct 2026 11:16:49 GMT</t>
        </is>
      </c>
      <c r="E8" t="n">
        <v>36781</v>
      </c>
      <c r="G8" t="inlineStr">
        <is>
          <t>2026-10-12</t>
        </is>
      </c>
      <c r="H8" t="inlineStr">
        <is>
          <t>FIRST SEEN</t>
        </is>
      </c>
    </row>
    <row r="9">
      <c r="A9" t="inlineStr">
        <is>
          <t>Nigeria LNG Limited: Facts and Figures 2024 (six trains 22 MTPA; Train 7 lifts capacity to 30 MTPA; FID Dec 2019)</t>
        </is>
      </c>
      <c r="B9" t="inlineStr">
        <is>
          <t>https://www.nlng.com/documents/2024_NLNG_FACTS_FIGURESB_compressed.pdf</t>
        </is>
      </c>
      <c r="C9" t="inlineStr">
        <is>
          <t>"8b769b-gjNnKhPc9L1uQPS6FP/AZDKctG0"</t>
        </is>
      </c>
      <c r="D9" t="inlineStr">
        <is>
          <t>Wed, 10 Jun 2026 08:53:56 GMT</t>
        </is>
      </c>
      <c r="E9" t="n">
        <v>9139867</v>
      </c>
      <c r="G9" t="inlineStr">
        <is>
          <t>2026-10-12</t>
        </is>
      </c>
      <c r="H9" t="inlineStr">
        <is>
          <t>FIRST SEEN</t>
        </is>
      </c>
    </row>
    <row r="10">
      <c r="A10" t="inlineStr">
        <is>
          <t>Novatek: FID release, Arctic LNG 2 (2019: three trains of 6.6 mtpa; schedule since changed)</t>
        </is>
      </c>
      <c r="B10" t="inlineStr">
        <is>
          <t>https://www.novatek.ru/common/upload/press/FID_Arctic_LNG_2_Eng.pdf</t>
        </is>
      </c>
      <c r="C10" t="inlineStr">
        <is>
          <t>"5d70a544-2d879"</t>
        </is>
      </c>
      <c r="D10" t="inlineStr">
        <is>
          <t>Thu, 05 Sep 2019 06:03:48 GMT</t>
        </is>
      </c>
      <c r="E10" t="n">
        <v>186489</v>
      </c>
      <c r="G10" t="inlineStr">
        <is>
          <t>2026-10-12</t>
        </is>
      </c>
      <c r="H10" t="inlineStr">
        <is>
          <t>FIRST SEEN</t>
        </is>
      </c>
    </row>
    <row r="11">
      <c r="A11" t="inlineStr">
        <is>
          <t>Shell Canada Energy / Shell plc (release text as republished by Hellenic Shipping News): Shell takes final investment decision to double LNG Canada capacity (29 Sep 2026)</t>
        </is>
      </c>
      <c r="B11" t="inlineStr">
        <is>
          <t>https://www.hellenicshippingnews.com/shell-takes-final-investment-decision-to-double-lng-canada-capacity</t>
        </is>
      </c>
      <c r="E11" t="n">
        <v>119417</v>
      </c>
      <c r="F11" t="inlineStr">
        <is>
          <t>7c0b68510b8462f12ddf4eb4f46638ab41f7abc57e8652e8d2b70fa347fbf4c0</t>
        </is>
      </c>
      <c r="G11" t="inlineStr">
        <is>
          <t>2026-10-12</t>
        </is>
      </c>
      <c r="H11" t="inlineStr">
        <is>
          <t>FIRST SEEN</t>
        </is>
      </c>
    </row>
    <row r="12">
      <c r="A12" t="inlineStr">
        <is>
          <t>Mozambique LNG (TotalEnergies-operated project site): Project page: development (two liquefaction units, 13.12 MTPA)</t>
        </is>
      </c>
      <c r="B12" t="inlineStr">
        <is>
          <t>https://mozambiquelng.co.mz/about-the-mozambique-liquefied-natural-gas-project/development/</t>
        </is>
      </c>
      <c r="D12" t="inlineStr">
        <is>
          <t>Mon, 12 Oct 2026 00:05:19 GMT</t>
        </is>
      </c>
      <c r="G12" t="inlineStr">
        <is>
          <t>2026-10-12</t>
        </is>
      </c>
      <c r="H12" t="inlineStr">
        <is>
          <t>FIRST SEEN</t>
        </is>
      </c>
    </row>
    <row r="13">
      <c r="A13" t="inlineStr">
        <is>
          <t>Woodfibre LNG: Construction page (2.1 million tonnes of LNG per year; substantial completion expected by 2027)</t>
        </is>
      </c>
      <c r="B13" t="inlineStr">
        <is>
          <t>https://woodfibrelng.ca/construction/</t>
        </is>
      </c>
      <c r="E13" t="n">
        <v>300145</v>
      </c>
      <c r="F13" t="inlineStr">
        <is>
          <t>fd6c274108f3abcb0eda2f9054c84702684daaa03cacecd6c33274eedd490298</t>
        </is>
      </c>
      <c r="G13" t="inlineStr">
        <is>
          <t>2026-10-12</t>
        </is>
      </c>
      <c r="H13" t="inlineStr">
        <is>
          <t>FIRST SEEN</t>
        </is>
      </c>
    </row>
    <row r="14">
      <c r="A14" t="inlineStr">
        <is>
          <t>GIIGNL (used only where no official figure was opened; named as publisher): GIIGNL Annual Report 2026 edition (2025 data): liquefaction plants table and 'Liquefaction' regional sections</t>
        </is>
      </c>
      <c r="B14" t="inlineStr">
        <is>
          <t>https://giignl-documents.s3.fr-par.scw.cloud/public/giignl-2026-annual-report.pdf</t>
        </is>
      </c>
      <c r="C14" t="inlineStr">
        <is>
          <t>"13af79b9282b79dd60720d67ca8a2b74"</t>
        </is>
      </c>
      <c r="D14" t="inlineStr">
        <is>
          <t>Tue, 06 Oct 2026 13:10:27 GMT</t>
        </is>
      </c>
      <c r="E14" t="n">
        <v>8355455</v>
      </c>
      <c r="G14" t="inlineStr">
        <is>
          <t>2026-10-12</t>
        </is>
      </c>
      <c r="H14" t="inlineStr">
        <is>
          <t>FIRST SEEN</t>
        </is>
      </c>
    </row>
    <row r="15">
      <c r="A15" t="inlineStr">
        <is>
          <t>Woodside Energy: Second Quarter Report 2026 (period ended 30 June 2026)</t>
        </is>
      </c>
      <c r="B15" t="inlineStr">
        <is>
          <t>https://www.woodside.com/docs/default-source/investor-documents/quarterly-and-half-yearly-pdfs-and-data-tables/2026/second-quarter-2026-report.pdf</t>
        </is>
      </c>
      <c r="D15" t="inlineStr">
        <is>
          <t>Tue, 28 Jul 2026 23:07:17 GMT</t>
        </is>
      </c>
      <c r="E15" t="n">
        <v>261755</v>
      </c>
      <c r="G15" t="inlineStr">
        <is>
          <t>2026-10-12</t>
        </is>
      </c>
      <c r="H15" t="inlineStr">
        <is>
          <t>FIRST SEEN</t>
        </is>
      </c>
    </row>
    <row r="16">
      <c r="A16" t="inlineStr">
        <is>
          <t>Woodside Energy: Half-Year Report 2026 (period ended 30 June 2026)</t>
        </is>
      </c>
      <c r="B16" t="inlineStr">
        <is>
          <t>https://www.woodside.com/docs/default-source/investor-documents/quarterly-and-half-yearly-pdfs-and-data-tables/2026/half-year-2026-report.pdf?sfvrsn=df6d6ddc_6</t>
        </is>
      </c>
      <c r="D16" t="inlineStr">
        <is>
          <t>Mon, 24 Aug 2026 22:35:45 GMT</t>
        </is>
      </c>
      <c r="E16" t="n">
        <v>897154</v>
      </c>
      <c r="G16" t="inlineStr">
        <is>
          <t>2026-10-12</t>
        </is>
      </c>
      <c r="H16" t="inlineStr">
        <is>
          <t>FIRST SEEN</t>
        </is>
      </c>
    </row>
    <row r="17">
      <c r="A17" t="inlineStr">
        <is>
          <t>TotalEnergies: 2Q26 results press release (ECA LNG start-up early July 2026)</t>
        </is>
      </c>
      <c r="B17" t="inlineStr">
        <is>
          <t>https://totalenergies.com/system/files/documents/totalenergies_pr-results-2q26_2026_en.pdf</t>
        </is>
      </c>
      <c r="D17" t="inlineStr">
        <is>
          <t>Mon, 27 Jul 2026 12:01:55 GMT</t>
        </is>
      </c>
      <c r="E17" t="n">
        <v>989621</v>
      </c>
      <c r="G17" t="inlineStr">
        <is>
          <t>2026-10-12</t>
        </is>
      </c>
      <c r="H17" t="inlineStr">
        <is>
          <t>FIRST SEEN</t>
        </is>
      </c>
    </row>
    <row r="18">
      <c r="A18" t="inlineStr">
        <is>
          <t>Pembina Pipeline Corporation: Q2 2026 results news release (Cedar LNG first exports late 2028)</t>
        </is>
      </c>
      <c r="B18" t="inlineStr">
        <is>
          <t>https://www.pembina.com/media-centre/news/details/fa13b9e4-bbc0-44d0-9ab6-88c72cbd54e5</t>
        </is>
      </c>
      <c r="E18" t="n">
        <v>319744</v>
      </c>
      <c r="F18" t="inlineStr">
        <is>
          <t>68061fb2da55d5d73fb292f68f0449ef109866098c5bf68b2d13a700fb45d224</t>
        </is>
      </c>
      <c r="G18" t="inlineStr">
        <is>
          <t>2026-10-12</t>
        </is>
      </c>
      <c r="H18" t="inlineStr">
        <is>
          <t>FIRST SEEN</t>
        </is>
      </c>
    </row>
    <row r="19">
      <c r="A19" t="inlineStr">
        <is>
          <t>Reuters (copy on BOE Report): QatarEnergy's LNG expansion project poised to start operations in November, sources say (7 Oct 2026)</t>
        </is>
      </c>
      <c r="B19" t="inlineStr">
        <is>
          <t>https://boereport.com/2026/10/07/qatarenergys-lng-expansion-project-poised-to-start-operations-in-november-sources-say/amp/</t>
        </is>
      </c>
      <c r="D19" t="inlineStr">
        <is>
          <t>Mon, 12 Oct 2026 11:50:15 GMT</t>
        </is>
      </c>
      <c r="G19" t="inlineStr">
        <is>
          <t>2026-10-12</t>
        </is>
      </c>
      <c r="H19" t="inlineStr">
        <is>
          <t>FIRST SEEN</t>
        </is>
      </c>
    </row>
    <row r="20">
      <c r="A20" t="inlineStr">
        <is>
          <t>DISR REQ listing</t>
        </is>
      </c>
      <c r="B20" t="inlineStr">
        <is>
          <t>https://www.industry.gov.au/publications/resources-and-energy-quarterly</t>
        </is>
      </c>
      <c r="G20" t="inlineStr">
        <is>
          <t>2026-10-12</t>
        </is>
      </c>
      <c r="H20" t="inlineStr">
        <is>
          <t>UNREACHABLE (ReadTimeout)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2" customWidth="1" min="10" max="10"/>
    <col width="60" customWidth="1" min="11" max="11"/>
    <col width="16" customWidth="1" min="12" max="12"/>
    <col width="16" customWidth="1" min="13" max="13"/>
  </cols>
  <sheetData>
    <row r="1">
      <c r="A1" s="5" t="inlineStr">
        <is>
          <t>sheet</t>
        </is>
      </c>
      <c r="B1" s="5" t="inlineStr">
        <is>
          <t>project</t>
        </is>
      </c>
      <c r="C1" s="5" t="inlineStr">
        <is>
          <t>train</t>
        </is>
      </c>
      <c r="D1" s="5" t="inlineStr">
        <is>
          <t>base_bcfd</t>
        </is>
      </c>
      <c r="E1" s="5" t="inlineStr">
        <is>
          <t>base_mtpa</t>
        </is>
      </c>
      <c r="F1" s="5" t="inlineStr">
        <is>
          <t>peak_bcfd</t>
        </is>
      </c>
      <c r="G1" s="5" t="inlineStr">
        <is>
          <t>peak_mtpa</t>
        </is>
      </c>
      <c r="H1" s="5" t="inlineStr">
        <is>
          <t>status_raw</t>
        </is>
      </c>
      <c r="I1" s="5" t="inlineStr">
        <is>
          <t>in_service_raw</t>
        </is>
      </c>
      <c r="J1" s="5" t="inlineStr">
        <is>
          <t>operator</t>
        </is>
      </c>
      <c r="K1" s="5" t="inlineStr">
        <is>
          <t>detail</t>
        </is>
      </c>
      <c r="L1" s="5" t="inlineStr">
        <is>
          <t>release_date</t>
        </is>
      </c>
      <c r="M1" s="5" t="inlineStr">
        <is>
          <t>file</t>
        </is>
      </c>
    </row>
    <row r="2">
      <c r="A2" t="inlineStr">
        <is>
          <t>UC</t>
        </is>
      </c>
      <c r="B2" t="inlineStr">
        <is>
          <t>Sabine Pass</t>
        </is>
      </c>
      <c r="C2" t="inlineStr">
        <is>
          <t>Train 1</t>
        </is>
      </c>
      <c r="D2" t="n">
        <v>0.59</v>
      </c>
      <c r="E2" t="n">
        <v>4.5</v>
      </c>
      <c r="F2" t="n">
        <v>0.76</v>
      </c>
      <c r="G2" t="n">
        <v>5.76</v>
      </c>
      <c r="H2" t="inlineStr">
        <is>
          <t>Commercial operation</t>
        </is>
      </c>
      <c r="I2" t="inlineStr">
        <is>
          <t>2016-02-01</t>
        </is>
      </c>
      <c r="J2" t="inlineStr">
        <is>
          <t>Cheniere Energy</t>
        </is>
      </c>
      <c r="L2" t="inlineStr">
        <is>
          <t>2026-10-01</t>
        </is>
      </c>
      <c r="M2" t="inlineStr">
        <is>
          <t>U.S.liquefactioncapacity_2026_Q3.xlsx</t>
        </is>
      </c>
    </row>
    <row r="3">
      <c r="A3" t="inlineStr">
        <is>
          <t>UC</t>
        </is>
      </c>
      <c r="B3" t="inlineStr">
        <is>
          <t>Sabine Pass</t>
        </is>
      </c>
      <c r="C3" t="inlineStr">
        <is>
          <t>Train 2</t>
        </is>
      </c>
      <c r="D3" t="n">
        <v>0.59</v>
      </c>
      <c r="E3" t="n">
        <v>4.5</v>
      </c>
      <c r="F3" t="n">
        <v>0.76</v>
      </c>
      <c r="G3" t="n">
        <v>5.76</v>
      </c>
      <c r="H3" t="inlineStr">
        <is>
          <t>Commercial operation</t>
        </is>
      </c>
      <c r="I3" t="inlineStr">
        <is>
          <t>2016-08-01</t>
        </is>
      </c>
      <c r="J3" t="inlineStr">
        <is>
          <t>Cheniere Energy</t>
        </is>
      </c>
      <c r="L3" t="inlineStr">
        <is>
          <t>2026-10-01</t>
        </is>
      </c>
      <c r="M3" t="inlineStr">
        <is>
          <t>U.S.liquefactioncapacity_2026_Q3.xlsx</t>
        </is>
      </c>
    </row>
    <row r="4">
      <c r="A4" t="inlineStr">
        <is>
          <t>UC</t>
        </is>
      </c>
      <c r="B4" t="inlineStr">
        <is>
          <t>Sabine Pass</t>
        </is>
      </c>
      <c r="C4" t="inlineStr">
        <is>
          <t>Train 3</t>
        </is>
      </c>
      <c r="D4" t="n">
        <v>0.59</v>
      </c>
      <c r="E4" t="n">
        <v>4.5</v>
      </c>
      <c r="F4" t="n">
        <v>0.76</v>
      </c>
      <c r="G4" t="n">
        <v>5.76</v>
      </c>
      <c r="H4" t="inlineStr">
        <is>
          <t>Commercial operation</t>
        </is>
      </c>
      <c r="I4" t="inlineStr">
        <is>
          <t>2017-01-01</t>
        </is>
      </c>
      <c r="J4" t="inlineStr">
        <is>
          <t>Cheniere Energy</t>
        </is>
      </c>
      <c r="L4" t="inlineStr">
        <is>
          <t>2026-10-01</t>
        </is>
      </c>
      <c r="M4" t="inlineStr">
        <is>
          <t>U.S.liquefactioncapacity_2026_Q3.xlsx</t>
        </is>
      </c>
    </row>
    <row r="5">
      <c r="A5" t="inlineStr">
        <is>
          <t>UC</t>
        </is>
      </c>
      <c r="B5" t="inlineStr">
        <is>
          <t>Sabine Pass</t>
        </is>
      </c>
      <c r="C5" t="inlineStr">
        <is>
          <t>Train 4</t>
        </is>
      </c>
      <c r="D5" t="n">
        <v>0.59</v>
      </c>
      <c r="E5" t="n">
        <v>4.5</v>
      </c>
      <c r="F5" t="n">
        <v>0.76</v>
      </c>
      <c r="G5" t="n">
        <v>5.76</v>
      </c>
      <c r="H5" t="inlineStr">
        <is>
          <t>Commercial operation</t>
        </is>
      </c>
      <c r="I5" t="inlineStr">
        <is>
          <t>2017-08-01</t>
        </is>
      </c>
      <c r="J5" t="inlineStr">
        <is>
          <t>Cheniere Energy</t>
        </is>
      </c>
      <c r="L5" t="inlineStr">
        <is>
          <t>2026-10-01</t>
        </is>
      </c>
      <c r="M5" t="inlineStr">
        <is>
          <t>U.S.liquefactioncapacity_2026_Q3.xlsx</t>
        </is>
      </c>
    </row>
    <row r="6">
      <c r="A6" t="inlineStr">
        <is>
          <t>UC</t>
        </is>
      </c>
      <c r="B6" t="inlineStr">
        <is>
          <t>Sabine Pass</t>
        </is>
      </c>
      <c r="C6" t="inlineStr">
        <is>
          <t>Train 5</t>
        </is>
      </c>
      <c r="D6" t="n">
        <v>0.59</v>
      </c>
      <c r="E6" t="n">
        <v>4.5</v>
      </c>
      <c r="F6" t="n">
        <v>0.76</v>
      </c>
      <c r="G6" t="n">
        <v>5.76</v>
      </c>
      <c r="H6" t="inlineStr">
        <is>
          <t>Commercial operation</t>
        </is>
      </c>
      <c r="I6" t="inlineStr">
        <is>
          <t>2018-11-01</t>
        </is>
      </c>
      <c r="J6" t="inlineStr">
        <is>
          <t>Cheniere Energy</t>
        </is>
      </c>
      <c r="L6" t="inlineStr">
        <is>
          <t>2026-10-01</t>
        </is>
      </c>
      <c r="M6" t="inlineStr">
        <is>
          <t>U.S.liquefactioncapacity_2026_Q3.xlsx</t>
        </is>
      </c>
    </row>
    <row r="7">
      <c r="A7" t="inlineStr">
        <is>
          <t>UC</t>
        </is>
      </c>
      <c r="B7" t="inlineStr">
        <is>
          <t>Sabine Pass</t>
        </is>
      </c>
      <c r="C7" t="inlineStr">
        <is>
          <t>Train 6</t>
        </is>
      </c>
      <c r="D7" t="n">
        <v>0.59</v>
      </c>
      <c r="E7" t="n">
        <v>4.5</v>
      </c>
      <c r="F7" t="n">
        <v>0.76</v>
      </c>
      <c r="G7" t="n">
        <v>5.76</v>
      </c>
      <c r="H7" t="inlineStr">
        <is>
          <t>Commercial operation</t>
        </is>
      </c>
      <c r="I7" t="inlineStr">
        <is>
          <t>2021-12-01</t>
        </is>
      </c>
      <c r="J7" t="inlineStr">
        <is>
          <t>Cheniere Energy</t>
        </is>
      </c>
      <c r="L7" t="inlineStr">
        <is>
          <t>2026-10-01</t>
        </is>
      </c>
      <c r="M7" t="inlineStr">
        <is>
          <t>U.S.liquefactioncapacity_2026_Q3.xlsx</t>
        </is>
      </c>
    </row>
    <row r="8">
      <c r="A8" t="inlineStr">
        <is>
          <t>UC</t>
        </is>
      </c>
      <c r="B8" t="inlineStr">
        <is>
          <t>Cove Point</t>
        </is>
      </c>
      <c r="C8" t="inlineStr">
        <is>
          <t>Train 1</t>
        </is>
      </c>
      <c r="D8" t="n">
        <v>0.6899999999999999</v>
      </c>
      <c r="E8" t="n">
        <v>5.25</v>
      </c>
      <c r="F8" t="n">
        <v>0.76</v>
      </c>
      <c r="G8" t="n">
        <v>5.75</v>
      </c>
      <c r="H8" t="inlineStr">
        <is>
          <t>Commercial operation</t>
        </is>
      </c>
      <c r="I8" t="inlineStr">
        <is>
          <t>2018-03-01</t>
        </is>
      </c>
      <c r="J8" t="inlineStr">
        <is>
          <t>Berkshire Hathaway BHE GT&amp;S</t>
        </is>
      </c>
      <c r="L8" t="inlineStr">
        <is>
          <t>2026-10-01</t>
        </is>
      </c>
      <c r="M8" t="inlineStr">
        <is>
          <t>U.S.liquefactioncapacity_2026_Q3.xlsx</t>
        </is>
      </c>
    </row>
    <row r="9">
      <c r="A9" t="inlineStr">
        <is>
          <t>UC</t>
        </is>
      </c>
      <c r="B9" t="inlineStr">
        <is>
          <t>Elba Island</t>
        </is>
      </c>
      <c r="C9" t="inlineStr">
        <is>
          <t>Trains 1-5A</t>
        </is>
      </c>
      <c r="D9" t="n">
        <v>0.16</v>
      </c>
      <c r="E9" t="n">
        <v>1.25</v>
      </c>
      <c r="F9" t="n">
        <v>0.22</v>
      </c>
      <c r="G9" t="n">
        <v>1.45</v>
      </c>
      <c r="H9" t="inlineStr">
        <is>
          <t>Commercial operation</t>
        </is>
      </c>
      <c r="I9" t="inlineStr">
        <is>
          <t>2019-09-01</t>
        </is>
      </c>
      <c r="J9" t="inlineStr">
        <is>
          <t>Kinder Morgan</t>
        </is>
      </c>
      <c r="L9" t="inlineStr">
        <is>
          <t>2026-10-01</t>
        </is>
      </c>
      <c r="M9" t="inlineStr">
        <is>
          <t>U.S.liquefactioncapacity_2026_Q3.xlsx</t>
        </is>
      </c>
    </row>
    <row r="10">
      <c r="A10" t="inlineStr">
        <is>
          <t>UC</t>
        </is>
      </c>
      <c r="B10" t="inlineStr">
        <is>
          <t>Elba Island</t>
        </is>
      </c>
      <c r="C10" t="inlineStr">
        <is>
          <t>Trains 6-10A</t>
        </is>
      </c>
      <c r="D10" t="n">
        <v>0.16</v>
      </c>
      <c r="E10" t="n">
        <v>1.25</v>
      </c>
      <c r="F10" t="n">
        <v>0.22</v>
      </c>
      <c r="G10" t="n">
        <v>1.45</v>
      </c>
      <c r="H10" t="inlineStr">
        <is>
          <t>Commercial operation</t>
        </is>
      </c>
      <c r="I10" t="inlineStr">
        <is>
          <t>2020-05-01</t>
        </is>
      </c>
      <c r="J10" t="inlineStr">
        <is>
          <t>Kinder Morgan</t>
        </is>
      </c>
      <c r="L10" t="inlineStr">
        <is>
          <t>2026-10-01</t>
        </is>
      </c>
      <c r="M10" t="inlineStr">
        <is>
          <t>U.S.liquefactioncapacity_2026_Q3.xlsx</t>
        </is>
      </c>
    </row>
    <row r="11">
      <c r="A11" t="inlineStr">
        <is>
          <t>UC</t>
        </is>
      </c>
      <c r="B11" t="inlineStr">
        <is>
          <t>Corpus Christi</t>
        </is>
      </c>
      <c r="C11" t="inlineStr">
        <is>
          <t>Train 1</t>
        </is>
      </c>
      <c r="D11" t="n">
        <v>0.6</v>
      </c>
      <c r="E11" t="n">
        <v>4.52</v>
      </c>
      <c r="F11" t="n">
        <v>0.8</v>
      </c>
      <c r="G11" t="n">
        <v>6.07</v>
      </c>
      <c r="H11" t="inlineStr">
        <is>
          <t>Commercial operation</t>
        </is>
      </c>
      <c r="I11" t="inlineStr">
        <is>
          <t>2018-12-01</t>
        </is>
      </c>
      <c r="J11" t="inlineStr">
        <is>
          <t>Cheniere Energy</t>
        </is>
      </c>
      <c r="L11" t="inlineStr">
        <is>
          <t>2026-10-01</t>
        </is>
      </c>
      <c r="M11" t="inlineStr">
        <is>
          <t>U.S.liquefactioncapacity_2026_Q3.xlsx</t>
        </is>
      </c>
    </row>
    <row r="12">
      <c r="A12" t="inlineStr">
        <is>
          <t>UC</t>
        </is>
      </c>
      <c r="B12" t="inlineStr">
        <is>
          <t>Corpus Christi</t>
        </is>
      </c>
      <c r="C12" t="inlineStr">
        <is>
          <t>Train 2</t>
        </is>
      </c>
      <c r="D12" t="n">
        <v>0.6</v>
      </c>
      <c r="E12" t="n">
        <v>4.52</v>
      </c>
      <c r="F12" t="n">
        <v>0.8</v>
      </c>
      <c r="G12" t="n">
        <v>6.07</v>
      </c>
      <c r="H12" t="inlineStr">
        <is>
          <t>Commercial operation</t>
        </is>
      </c>
      <c r="I12" t="inlineStr">
        <is>
          <t>2019-07-01</t>
        </is>
      </c>
      <c r="J12" t="inlineStr">
        <is>
          <t>Cheniere Energy</t>
        </is>
      </c>
      <c r="L12" t="inlineStr">
        <is>
          <t>2026-10-01</t>
        </is>
      </c>
      <c r="M12" t="inlineStr">
        <is>
          <t>U.S.liquefactioncapacity_2026_Q3.xlsx</t>
        </is>
      </c>
    </row>
    <row r="13">
      <c r="A13" t="inlineStr">
        <is>
          <t>UC</t>
        </is>
      </c>
      <c r="B13" t="inlineStr">
        <is>
          <t>Corpus Christi</t>
        </is>
      </c>
      <c r="C13" t="inlineStr">
        <is>
          <t>Train 3</t>
        </is>
      </c>
      <c r="D13" t="n">
        <v>0.6</v>
      </c>
      <c r="E13" t="n">
        <v>4.52</v>
      </c>
      <c r="F13" t="n">
        <v>0.8</v>
      </c>
      <c r="G13" t="n">
        <v>6.07</v>
      </c>
      <c r="H13" t="inlineStr">
        <is>
          <t>Commercial operation</t>
        </is>
      </c>
      <c r="I13" t="inlineStr">
        <is>
          <t>2020-12-01</t>
        </is>
      </c>
      <c r="J13" t="inlineStr">
        <is>
          <t>Cheniere Energy</t>
        </is>
      </c>
      <c r="L13" t="inlineStr">
        <is>
          <t>2026-10-01</t>
        </is>
      </c>
      <c r="M13" t="inlineStr">
        <is>
          <t>U.S.liquefactioncapacity_2026_Q3.xlsx</t>
        </is>
      </c>
    </row>
    <row r="14">
      <c r="A14" t="inlineStr">
        <is>
          <t>UC</t>
        </is>
      </c>
      <c r="B14" t="inlineStr">
        <is>
          <t>Cameron</t>
        </is>
      </c>
      <c r="C14" t="inlineStr">
        <is>
          <t>Train 1B</t>
        </is>
      </c>
      <c r="D14" t="n">
        <v>0.59</v>
      </c>
      <c r="E14" t="n">
        <v>4.5</v>
      </c>
      <c r="F14" t="n">
        <v>0.66</v>
      </c>
      <c r="G14" t="n">
        <v>4.99</v>
      </c>
      <c r="H14" t="inlineStr">
        <is>
          <t>Commercial operation</t>
        </is>
      </c>
      <c r="I14" t="inlineStr">
        <is>
          <t>2019-05-01</t>
        </is>
      </c>
      <c r="J14" t="inlineStr">
        <is>
          <t>Sempra LNG</t>
        </is>
      </c>
      <c r="L14" t="inlineStr">
        <is>
          <t>2026-10-01</t>
        </is>
      </c>
      <c r="M14" t="inlineStr">
        <is>
          <t>U.S.liquefactioncapacity_2026_Q3.xlsx</t>
        </is>
      </c>
    </row>
    <row r="15">
      <c r="A15" t="inlineStr">
        <is>
          <t>UC</t>
        </is>
      </c>
      <c r="B15" t="inlineStr">
        <is>
          <t>Cameron</t>
        </is>
      </c>
      <c r="C15" t="inlineStr">
        <is>
          <t>Train 2B</t>
        </is>
      </c>
      <c r="D15" t="n">
        <v>0.59</v>
      </c>
      <c r="E15" t="n">
        <v>4.5</v>
      </c>
      <c r="F15" t="n">
        <v>0.66</v>
      </c>
      <c r="G15" t="n">
        <v>4.99</v>
      </c>
      <c r="H15" t="inlineStr">
        <is>
          <t>Commercial operation</t>
        </is>
      </c>
      <c r="I15" t="inlineStr">
        <is>
          <t>2019-12-01</t>
        </is>
      </c>
      <c r="J15" t="inlineStr">
        <is>
          <t>Sempra LNG</t>
        </is>
      </c>
      <c r="L15" t="inlineStr">
        <is>
          <t>2026-10-01</t>
        </is>
      </c>
      <c r="M15" t="inlineStr">
        <is>
          <t>U.S.liquefactioncapacity_2026_Q3.xlsx</t>
        </is>
      </c>
    </row>
    <row r="16">
      <c r="A16" t="inlineStr">
        <is>
          <t>UC</t>
        </is>
      </c>
      <c r="B16" t="inlineStr">
        <is>
          <t>Cameron</t>
        </is>
      </c>
      <c r="C16" t="inlineStr">
        <is>
          <t>Train 3B</t>
        </is>
      </c>
      <c r="D16" t="n">
        <v>0.59</v>
      </c>
      <c r="E16" t="n">
        <v>4.5</v>
      </c>
      <c r="F16" t="n">
        <v>0.66</v>
      </c>
      <c r="G16" t="n">
        <v>4.99</v>
      </c>
      <c r="H16" t="inlineStr">
        <is>
          <t>Commercial operation</t>
        </is>
      </c>
      <c r="I16" t="inlineStr">
        <is>
          <t>2020-08-01</t>
        </is>
      </c>
      <c r="J16" t="inlineStr">
        <is>
          <t>Sempra LNG</t>
        </is>
      </c>
      <c r="L16" t="inlineStr">
        <is>
          <t>2026-10-01</t>
        </is>
      </c>
      <c r="M16" t="inlineStr">
        <is>
          <t>U.S.liquefactioncapacity_2026_Q3.xlsx</t>
        </is>
      </c>
    </row>
    <row r="17">
      <c r="A17" t="inlineStr">
        <is>
          <t>UC</t>
        </is>
      </c>
      <c r="B17" t="inlineStr">
        <is>
          <t>Freeport</t>
        </is>
      </c>
      <c r="C17" t="inlineStr">
        <is>
          <t>Train 1</t>
        </is>
      </c>
      <c r="D17" t="n">
        <v>0.66</v>
      </c>
      <c r="E17" t="n">
        <v>5</v>
      </c>
      <c r="F17" t="n">
        <v>0.79</v>
      </c>
      <c r="G17" t="n">
        <v>6.02</v>
      </c>
      <c r="H17" t="inlineStr">
        <is>
          <t>Commercial operation</t>
        </is>
      </c>
      <c r="I17" t="inlineStr">
        <is>
          <t>2019-09-01</t>
        </is>
      </c>
      <c r="J17" t="inlineStr">
        <is>
          <t>Freeport LNG Development, L.P.</t>
        </is>
      </c>
      <c r="L17" t="inlineStr">
        <is>
          <t>2026-10-01</t>
        </is>
      </c>
      <c r="M17" t="inlineStr">
        <is>
          <t>U.S.liquefactioncapacity_2026_Q3.xlsx</t>
        </is>
      </c>
    </row>
    <row r="18">
      <c r="A18" t="inlineStr">
        <is>
          <t>UC</t>
        </is>
      </c>
      <c r="B18" t="inlineStr">
        <is>
          <t>Freeport</t>
        </is>
      </c>
      <c r="C18" t="inlineStr">
        <is>
          <t>Train 2</t>
        </is>
      </c>
      <c r="D18" t="n">
        <v>0.66</v>
      </c>
      <c r="E18" t="n">
        <v>5</v>
      </c>
      <c r="F18" t="n">
        <v>0.79</v>
      </c>
      <c r="G18" t="n">
        <v>6.02</v>
      </c>
      <c r="H18" t="inlineStr">
        <is>
          <t>Commercial operation</t>
        </is>
      </c>
      <c r="I18" t="inlineStr">
        <is>
          <t>2019-12-01</t>
        </is>
      </c>
      <c r="J18" t="inlineStr">
        <is>
          <t>Freeport LNG Development, L.P.</t>
        </is>
      </c>
      <c r="L18" t="inlineStr">
        <is>
          <t>2026-10-01</t>
        </is>
      </c>
      <c r="M18" t="inlineStr">
        <is>
          <t>U.S.liquefactioncapacity_2026_Q3.xlsx</t>
        </is>
      </c>
    </row>
    <row r="19">
      <c r="A19" t="inlineStr">
        <is>
          <t>UC</t>
        </is>
      </c>
      <c r="B19" t="inlineStr">
        <is>
          <t>Freeport</t>
        </is>
      </c>
      <c r="C19" t="inlineStr">
        <is>
          <t>Train 3</t>
        </is>
      </c>
      <c r="D19" t="n">
        <v>0.66</v>
      </c>
      <c r="E19" t="n">
        <v>5</v>
      </c>
      <c r="F19" t="n">
        <v>0.79</v>
      </c>
      <c r="G19" t="n">
        <v>6.02</v>
      </c>
      <c r="H19" t="inlineStr">
        <is>
          <t>Commercial operation</t>
        </is>
      </c>
      <c r="I19" t="inlineStr">
        <is>
          <t>2020-03-01</t>
        </is>
      </c>
      <c r="J19" t="inlineStr">
        <is>
          <t>Freeport LNG Development, L.P.</t>
        </is>
      </c>
      <c r="L19" t="inlineStr">
        <is>
          <t>2026-10-01</t>
        </is>
      </c>
      <c r="M19" t="inlineStr">
        <is>
          <t>U.S.liquefactioncapacity_2026_Q3.xlsx</t>
        </is>
      </c>
    </row>
    <row r="20">
      <c r="A20" t="inlineStr">
        <is>
          <t>UC</t>
        </is>
      </c>
      <c r="B20" t="inlineStr">
        <is>
          <t>Calcasieu Pass</t>
        </is>
      </c>
      <c r="C20" t="inlineStr">
        <is>
          <t>Trains 1-9C</t>
        </is>
      </c>
      <c r="D20" t="n">
        <v>0.66</v>
      </c>
      <c r="E20" t="n">
        <v>5</v>
      </c>
      <c r="F20" t="n">
        <v>0.88</v>
      </c>
      <c r="G20" t="n">
        <v>6.2</v>
      </c>
      <c r="H20" t="inlineStr">
        <is>
          <t>Commercial operation</t>
        </is>
      </c>
      <c r="I20" t="inlineStr">
        <is>
          <t>2022-03-01</t>
        </is>
      </c>
      <c r="J20" t="inlineStr">
        <is>
          <t>Venture Global LNG, Inc.</t>
        </is>
      </c>
      <c r="L20" t="inlineStr">
        <is>
          <t>2026-10-01</t>
        </is>
      </c>
      <c r="M20" t="inlineStr">
        <is>
          <t>U.S.liquefactioncapacity_2026_Q3.xlsx</t>
        </is>
      </c>
    </row>
    <row r="21">
      <c r="A21" t="inlineStr">
        <is>
          <t>UC</t>
        </is>
      </c>
      <c r="B21" t="inlineStr">
        <is>
          <t>Calcasieu Pass</t>
        </is>
      </c>
      <c r="C21" t="inlineStr">
        <is>
          <t>Trains 10-18C</t>
        </is>
      </c>
      <c r="D21" t="n">
        <v>0.66</v>
      </c>
      <c r="E21" t="n">
        <v>5</v>
      </c>
      <c r="F21" t="n">
        <v>0.88</v>
      </c>
      <c r="G21" t="n">
        <v>6.2</v>
      </c>
      <c r="H21" t="inlineStr">
        <is>
          <t>Commercial operation</t>
        </is>
      </c>
      <c r="I21" t="inlineStr">
        <is>
          <t>2022-09-01</t>
        </is>
      </c>
      <c r="J21" t="inlineStr">
        <is>
          <t>Venture Global LNG, Inc.</t>
        </is>
      </c>
      <c r="L21" t="inlineStr">
        <is>
          <t>2026-10-01</t>
        </is>
      </c>
      <c r="M21" t="inlineStr">
        <is>
          <t>U.S.liquefactioncapacity_2026_Q3.xlsx</t>
        </is>
      </c>
    </row>
    <row r="22">
      <c r="A22" t="inlineStr">
        <is>
          <t>UC</t>
        </is>
      </c>
      <c r="B22" t="inlineStr">
        <is>
          <t>Plaquemines LNG Phase 1</t>
        </is>
      </c>
      <c r="C22" t="inlineStr">
        <is>
          <t>Trains 1-18E</t>
        </is>
      </c>
      <c r="D22" t="n">
        <v>1.32</v>
      </c>
      <c r="E22" t="n">
        <v>9.9</v>
      </c>
      <c r="F22" t="n">
        <v>1.89</v>
      </c>
      <c r="G22" t="n">
        <v>13.33</v>
      </c>
      <c r="H22" t="inlineStr">
        <is>
          <t>Commissioning</t>
        </is>
      </c>
      <c r="I22" t="inlineStr">
        <is>
          <t>2024-12-01</t>
        </is>
      </c>
      <c r="J22" t="inlineStr">
        <is>
          <t>Venture Global LNG</t>
        </is>
      </c>
      <c r="L22" t="inlineStr">
        <is>
          <t>2026-10-01</t>
        </is>
      </c>
      <c r="M22" t="inlineStr">
        <is>
          <t>U.S.liquefactioncapacity_2026_Q3.xlsx</t>
        </is>
      </c>
    </row>
    <row r="23">
      <c r="A23" t="inlineStr">
        <is>
          <t>UC</t>
        </is>
      </c>
      <c r="B23" t="inlineStr">
        <is>
          <t>Plaquemines LNG Phase 2</t>
        </is>
      </c>
      <c r="C23" t="inlineStr">
        <is>
          <t>Trains 19-36E</t>
        </is>
      </c>
      <c r="D23" t="n">
        <v>1.32</v>
      </c>
      <c r="E23" t="n">
        <v>9.9</v>
      </c>
      <c r="F23" t="n">
        <v>1.96</v>
      </c>
      <c r="G23" t="n">
        <v>13.82</v>
      </c>
      <c r="H23" t="inlineStr">
        <is>
          <t>Commissioning</t>
        </is>
      </c>
      <c r="I23" t="inlineStr">
        <is>
          <t>2025-09-01</t>
        </is>
      </c>
      <c r="J23" t="inlineStr">
        <is>
          <t>Venture Global LNG</t>
        </is>
      </c>
      <c r="L23" t="inlineStr">
        <is>
          <t>2026-10-01</t>
        </is>
      </c>
      <c r="M23" t="inlineStr">
        <is>
          <t>U.S.liquefactioncapacity_2026_Q3.xlsx</t>
        </is>
      </c>
    </row>
    <row r="24">
      <c r="A24" t="inlineStr">
        <is>
          <t>UC</t>
        </is>
      </c>
      <c r="B24" t="inlineStr">
        <is>
          <t>Corpus Christi Liquefaction Stage 3</t>
        </is>
      </c>
      <c r="C24" t="inlineStr">
        <is>
          <t>Trains 1-7F</t>
        </is>
      </c>
      <c r="D24" t="n">
        <v>1.32</v>
      </c>
      <c r="E24" t="n">
        <v>10</v>
      </c>
      <c r="F24" t="n">
        <v>2.14</v>
      </c>
      <c r="G24" t="n">
        <v>16.22</v>
      </c>
      <c r="H24" t="inlineStr">
        <is>
          <t>Commissioning</t>
        </is>
      </c>
      <c r="I24" t="inlineStr">
        <is>
          <t>2025-02-01</t>
        </is>
      </c>
      <c r="J24" t="inlineStr">
        <is>
          <t>Corpus Christi Liquefaction Stage III, LLC</t>
        </is>
      </c>
      <c r="L24" t="inlineStr">
        <is>
          <t>2026-10-01</t>
        </is>
      </c>
      <c r="M24" t="inlineStr">
        <is>
          <t>U.S.liquefactioncapacity_2026_Q3.xlsx</t>
        </is>
      </c>
    </row>
    <row r="25">
      <c r="A25" t="inlineStr">
        <is>
          <t>UC</t>
        </is>
      </c>
      <c r="B25" t="inlineStr">
        <is>
          <t>Corpus Christi Liquefaction Midscale</t>
        </is>
      </c>
      <c r="C25" t="inlineStr">
        <is>
          <t>Trains 8-9G</t>
        </is>
      </c>
      <c r="D25" t="n">
        <v>0.39</v>
      </c>
      <c r="E25" t="n">
        <v>2.98</v>
      </c>
      <c r="F25" t="n">
        <v>0.61</v>
      </c>
      <c r="G25" t="n">
        <v>4.63</v>
      </c>
      <c r="H25" t="inlineStr">
        <is>
          <t>Under Construction</t>
        </is>
      </c>
      <c r="I25" t="inlineStr">
        <is>
          <t>2028</t>
        </is>
      </c>
      <c r="J25" t="inlineStr">
        <is>
          <t>Corpus Christi Liquefaction, LLC</t>
        </is>
      </c>
      <c r="L25" t="inlineStr">
        <is>
          <t>2026-10-01</t>
        </is>
      </c>
      <c r="M25" t="inlineStr">
        <is>
          <t>U.S.liquefactioncapacity_2026_Q3.xlsx</t>
        </is>
      </c>
    </row>
    <row r="26">
      <c r="A26" t="inlineStr">
        <is>
          <t>UC</t>
        </is>
      </c>
      <c r="B26" t="inlineStr">
        <is>
          <t>Golden Pass</t>
        </is>
      </c>
      <c r="C26" t="inlineStr">
        <is>
          <t>Train 1D</t>
        </is>
      </c>
      <c r="D26" t="n">
        <v>0.68</v>
      </c>
      <c r="E26" t="n">
        <v>5.2</v>
      </c>
      <c r="F26" t="n">
        <v>0.8</v>
      </c>
      <c r="G26" t="n">
        <v>6.03</v>
      </c>
      <c r="H26" t="inlineStr">
        <is>
          <t>Commissioning</t>
        </is>
      </c>
      <c r="I26" t="inlineStr">
        <is>
          <t>2026-04-01</t>
        </is>
      </c>
      <c r="J26" t="inlineStr">
        <is>
          <t>Qatar Petroleum, ExxonMobil</t>
        </is>
      </c>
      <c r="L26" t="inlineStr">
        <is>
          <t>2026-10-01</t>
        </is>
      </c>
      <c r="M26" t="inlineStr">
        <is>
          <t>U.S.liquefactioncapacity_2026_Q3.xlsx</t>
        </is>
      </c>
    </row>
    <row r="27">
      <c r="A27" t="inlineStr">
        <is>
          <t>UC</t>
        </is>
      </c>
      <c r="B27" t="inlineStr">
        <is>
          <t>Golden Pass</t>
        </is>
      </c>
      <c r="C27" t="inlineStr">
        <is>
          <t>Train 2D</t>
        </is>
      </c>
      <c r="D27" t="n">
        <v>0.68</v>
      </c>
      <c r="E27" t="n">
        <v>5.2</v>
      </c>
      <c r="F27" t="n">
        <v>0.8</v>
      </c>
      <c r="G27" t="n">
        <v>6.03</v>
      </c>
      <c r="H27" t="inlineStr">
        <is>
          <t>Under construction</t>
        </is>
      </c>
      <c r="I27" t="inlineStr">
        <is>
          <t>2H2026</t>
        </is>
      </c>
      <c r="J27" t="inlineStr">
        <is>
          <t>Qatar Petroleum, ExxonMobil</t>
        </is>
      </c>
      <c r="L27" t="inlineStr">
        <is>
          <t>2026-10-01</t>
        </is>
      </c>
      <c r="M27" t="inlineStr">
        <is>
          <t>U.S.liquefactioncapacity_2026_Q3.xlsx</t>
        </is>
      </c>
    </row>
    <row r="28">
      <c r="A28" t="inlineStr">
        <is>
          <t>UC</t>
        </is>
      </c>
      <c r="B28" t="inlineStr">
        <is>
          <t>Golden Pass</t>
        </is>
      </c>
      <c r="C28" t="inlineStr">
        <is>
          <t>Train 3D</t>
        </is>
      </c>
      <c r="D28" t="n">
        <v>0.68</v>
      </c>
      <c r="E28" t="n">
        <v>5.2</v>
      </c>
      <c r="F28" t="n">
        <v>0.8</v>
      </c>
      <c r="G28" t="n">
        <v>6.03</v>
      </c>
      <c r="H28" t="inlineStr">
        <is>
          <t>Under construction</t>
        </is>
      </c>
      <c r="I28" t="inlineStr">
        <is>
          <t>1H2027</t>
        </is>
      </c>
      <c r="J28" t="inlineStr">
        <is>
          <t>Qatar Petroleum, ExxonMobil</t>
        </is>
      </c>
      <c r="L28" t="inlineStr">
        <is>
          <t>2026-10-01</t>
        </is>
      </c>
      <c r="M28" t="inlineStr">
        <is>
          <t>U.S.liquefactioncapacity_2026_Q3.xlsx</t>
        </is>
      </c>
    </row>
    <row r="29">
      <c r="A29" t="inlineStr">
        <is>
          <t>UC</t>
        </is>
      </c>
      <c r="B29" t="inlineStr">
        <is>
          <t>Port Arthur LNG Phase 1</t>
        </is>
      </c>
      <c r="C29" t="inlineStr">
        <is>
          <t>Trains 1-2</t>
        </is>
      </c>
      <c r="D29" t="n">
        <v>1.58</v>
      </c>
      <c r="E29" t="n">
        <v>12</v>
      </c>
      <c r="F29" t="n">
        <v>1.78</v>
      </c>
      <c r="G29" t="n">
        <v>13.5</v>
      </c>
      <c r="H29" t="inlineStr">
        <is>
          <t>Under construction</t>
        </is>
      </c>
      <c r="I29" t="inlineStr">
        <is>
          <t>2027</t>
        </is>
      </c>
      <c r="J29" t="inlineStr">
        <is>
          <t>Sempra Energy</t>
        </is>
      </c>
      <c r="L29" t="inlineStr">
        <is>
          <t>2026-10-01</t>
        </is>
      </c>
      <c r="M29" t="inlineStr">
        <is>
          <t>U.S.liquefactioncapacity_2026_Q3.xlsx</t>
        </is>
      </c>
    </row>
    <row r="30">
      <c r="A30" t="inlineStr">
        <is>
          <t>UC</t>
        </is>
      </c>
      <c r="B30" t="inlineStr">
        <is>
          <t>Port Arthur LNG Phase 2</t>
        </is>
      </c>
      <c r="C30" t="inlineStr">
        <is>
          <t>Trains 3-4</t>
        </is>
      </c>
      <c r="D30" t="n">
        <v>1.58</v>
      </c>
      <c r="E30" t="n">
        <v>12</v>
      </c>
      <c r="F30" t="n">
        <v>1.78</v>
      </c>
      <c r="G30" t="n">
        <v>13.5</v>
      </c>
      <c r="H30" t="inlineStr">
        <is>
          <t>Under construction</t>
        </is>
      </c>
      <c r="I30" t="inlineStr">
        <is>
          <t>2031</t>
        </is>
      </c>
      <c r="J30" t="inlineStr">
        <is>
          <t>Sempra Energy</t>
        </is>
      </c>
      <c r="L30" t="inlineStr">
        <is>
          <t>2026-10-01</t>
        </is>
      </c>
      <c r="M30" t="inlineStr">
        <is>
          <t>U.S.liquefactioncapacity_2026_Q3.xlsx</t>
        </is>
      </c>
    </row>
    <row r="31">
      <c r="A31" t="inlineStr">
        <is>
          <t>UC</t>
        </is>
      </c>
      <c r="B31" t="inlineStr">
        <is>
          <t>Rio Grande LNG Phase 1</t>
        </is>
      </c>
      <c r="C31" t="inlineStr">
        <is>
          <t>Train 1I</t>
        </is>
      </c>
      <c r="D31" t="n">
        <v>0.72</v>
      </c>
      <c r="E31" t="n">
        <v>5.4</v>
      </c>
      <c r="F31" t="n">
        <v>0.79</v>
      </c>
      <c r="G31" t="n">
        <v>6.03</v>
      </c>
      <c r="H31" t="inlineStr">
        <is>
          <t>Under construction</t>
        </is>
      </c>
      <c r="I31" t="inlineStr">
        <is>
          <t>2027</t>
        </is>
      </c>
      <c r="J31" t="inlineStr">
        <is>
          <t>NextDecade Corporation</t>
        </is>
      </c>
      <c r="L31" t="inlineStr">
        <is>
          <t>2026-10-01</t>
        </is>
      </c>
      <c r="M31" t="inlineStr">
        <is>
          <t>U.S.liquefactioncapacity_2026_Q3.xlsx</t>
        </is>
      </c>
    </row>
    <row r="32">
      <c r="A32" t="inlineStr">
        <is>
          <t>UC</t>
        </is>
      </c>
      <c r="B32" t="inlineStr">
        <is>
          <t>Rio Grande LNG Phase 1</t>
        </is>
      </c>
      <c r="C32" t="inlineStr">
        <is>
          <t>Train 2I</t>
        </is>
      </c>
      <c r="D32" t="n">
        <v>0.72</v>
      </c>
      <c r="E32" t="n">
        <v>5.4</v>
      </c>
      <c r="F32" t="n">
        <v>0.79</v>
      </c>
      <c r="G32" t="n">
        <v>6.03</v>
      </c>
      <c r="H32" t="inlineStr">
        <is>
          <t>Under construction</t>
        </is>
      </c>
      <c r="I32" t="inlineStr">
        <is>
          <t>2027</t>
        </is>
      </c>
      <c r="J32" t="inlineStr">
        <is>
          <t>NextDecade Corporation</t>
        </is>
      </c>
      <c r="L32" t="inlineStr">
        <is>
          <t>2026-10-01</t>
        </is>
      </c>
      <c r="M32" t="inlineStr">
        <is>
          <t>U.S.liquefactioncapacity_2026_Q3.xlsx</t>
        </is>
      </c>
    </row>
    <row r="33">
      <c r="A33" t="inlineStr">
        <is>
          <t>UC</t>
        </is>
      </c>
      <c r="B33" t="inlineStr">
        <is>
          <t>Rio Grande LNG Phase 1</t>
        </is>
      </c>
      <c r="C33" t="inlineStr">
        <is>
          <t>Train 3I</t>
        </is>
      </c>
      <c r="D33" t="n">
        <v>0.72</v>
      </c>
      <c r="E33" t="n">
        <v>5.4</v>
      </c>
      <c r="F33" t="n">
        <v>0.79</v>
      </c>
      <c r="G33" t="n">
        <v>6.03</v>
      </c>
      <c r="H33" t="inlineStr">
        <is>
          <t>Under construction</t>
        </is>
      </c>
      <c r="I33" t="inlineStr">
        <is>
          <t>2028</t>
        </is>
      </c>
      <c r="J33" t="inlineStr">
        <is>
          <t>NextDecade Corporation</t>
        </is>
      </c>
      <c r="L33" t="inlineStr">
        <is>
          <t>2026-10-01</t>
        </is>
      </c>
      <c r="M33" t="inlineStr">
        <is>
          <t>U.S.liquefactioncapacity_2026_Q3.xlsx</t>
        </is>
      </c>
    </row>
    <row r="34">
      <c r="A34" t="inlineStr">
        <is>
          <t>UC</t>
        </is>
      </c>
      <c r="B34" t="inlineStr">
        <is>
          <t>Rio Grande LNG Phase 2</t>
        </is>
      </c>
      <c r="C34" t="inlineStr">
        <is>
          <t>Train 4I</t>
        </is>
      </c>
      <c r="D34" t="n">
        <v>0.72</v>
      </c>
      <c r="E34" t="n">
        <v>5.4</v>
      </c>
      <c r="F34" t="n">
        <v>0.79</v>
      </c>
      <c r="G34" t="n">
        <v>6.03</v>
      </c>
      <c r="H34" t="inlineStr">
        <is>
          <t>Under construction</t>
        </is>
      </c>
      <c r="I34" t="inlineStr">
        <is>
          <t>2030</t>
        </is>
      </c>
      <c r="J34" t="inlineStr">
        <is>
          <t>NextDecade Corporation</t>
        </is>
      </c>
      <c r="L34" t="inlineStr">
        <is>
          <t>2026-10-01</t>
        </is>
      </c>
      <c r="M34" t="inlineStr">
        <is>
          <t>U.S.liquefactioncapacity_2026_Q3.xlsx</t>
        </is>
      </c>
    </row>
    <row r="35">
      <c r="A35" t="inlineStr">
        <is>
          <t>UC</t>
        </is>
      </c>
      <c r="B35" t="inlineStr">
        <is>
          <t>Rio Grande LNG Phase 2</t>
        </is>
      </c>
      <c r="C35" t="inlineStr">
        <is>
          <t>Train 5I</t>
        </is>
      </c>
      <c r="D35" t="n">
        <v>0.72</v>
      </c>
      <c r="E35" t="n">
        <v>5.4</v>
      </c>
      <c r="F35" t="n">
        <v>0.79</v>
      </c>
      <c r="G35" t="n">
        <v>6.03</v>
      </c>
      <c r="H35" t="inlineStr">
        <is>
          <t>Under construction</t>
        </is>
      </c>
      <c r="I35" t="inlineStr">
        <is>
          <t>2031</t>
        </is>
      </c>
      <c r="J35" t="inlineStr">
        <is>
          <t>NextDecade Corporation</t>
        </is>
      </c>
      <c r="L35" t="inlineStr">
        <is>
          <t>2026-10-01</t>
        </is>
      </c>
      <c r="M35" t="inlineStr">
        <is>
          <t>U.S.liquefactioncapacity_2026_Q3.xlsx</t>
        </is>
      </c>
    </row>
    <row r="36">
      <c r="A36" t="inlineStr">
        <is>
          <t>UC</t>
        </is>
      </c>
      <c r="B36" t="inlineStr">
        <is>
          <t>Woodside Louisiana LNG Phase 1</t>
        </is>
      </c>
      <c r="C36" t="inlineStr">
        <is>
          <t>Trains 1-3</t>
        </is>
      </c>
      <c r="D36" t="n">
        <v>2.18</v>
      </c>
      <c r="E36" t="n">
        <v>16.56</v>
      </c>
      <c r="F36" t="n">
        <v>2.18</v>
      </c>
      <c r="G36" t="n">
        <v>16.56</v>
      </c>
      <c r="H36" t="inlineStr">
        <is>
          <t>Under constructionH</t>
        </is>
      </c>
      <c r="I36" t="inlineStr">
        <is>
          <t>2029</t>
        </is>
      </c>
      <c r="J36" t="inlineStr">
        <is>
          <t>Woodside Energy</t>
        </is>
      </c>
      <c r="L36" t="inlineStr">
        <is>
          <t>2026-10-01</t>
        </is>
      </c>
      <c r="M36" t="inlineStr">
        <is>
          <t>U.S.liquefactioncapacity_2026_Q3.xlsx</t>
        </is>
      </c>
    </row>
    <row r="37">
      <c r="A37" t="inlineStr">
        <is>
          <t>UC</t>
        </is>
      </c>
      <c r="B37" t="inlineStr">
        <is>
          <t>Venture Global CP2 Phase 1</t>
        </is>
      </c>
      <c r="C37" t="inlineStr">
        <is>
          <t>Trains 1-26</t>
        </is>
      </c>
      <c r="D37" t="n">
        <v>2.04</v>
      </c>
      <c r="E37" t="n">
        <v>14.4</v>
      </c>
      <c r="F37" t="n">
        <v>2.86</v>
      </c>
      <c r="G37" t="n">
        <v>20.22</v>
      </c>
      <c r="H37" t="inlineStr">
        <is>
          <t>Under construction</t>
        </is>
      </c>
      <c r="I37" t="inlineStr">
        <is>
          <t>2H2027</t>
        </is>
      </c>
      <c r="J37" t="inlineStr">
        <is>
          <t>Venture Global LNG</t>
        </is>
      </c>
      <c r="L37" t="inlineStr">
        <is>
          <t>2026-10-01</t>
        </is>
      </c>
      <c r="M37" t="inlineStr">
        <is>
          <t>U.S.liquefactioncapacity_2026_Q3.xlsx</t>
        </is>
      </c>
    </row>
    <row r="38">
      <c r="A38" t="inlineStr">
        <is>
          <t>UC</t>
        </is>
      </c>
      <c r="B38" t="inlineStr">
        <is>
          <t>Venture Global CP2 Phase 2</t>
        </is>
      </c>
      <c r="C38" t="inlineStr">
        <is>
          <t>Trains 27-36</t>
        </is>
      </c>
      <c r="D38" t="n">
        <v>0.61</v>
      </c>
      <c r="E38" t="n">
        <v>5.6</v>
      </c>
      <c r="F38" t="n">
        <v>1.1</v>
      </c>
      <c r="G38" t="n">
        <v>7.78</v>
      </c>
      <c r="H38" t="inlineStr">
        <is>
          <t>Under construction</t>
        </is>
      </c>
      <c r="I38" t="inlineStr">
        <is>
          <t>1H2029</t>
        </is>
      </c>
      <c r="J38" t="inlineStr">
        <is>
          <t>Venture Global LNG</t>
        </is>
      </c>
      <c r="L38" t="inlineStr">
        <is>
          <t>2026-10-01</t>
        </is>
      </c>
      <c r="M38" t="inlineStr">
        <is>
          <t>U.S.liquefactioncapacity_2026_Q3.xlsx</t>
        </is>
      </c>
    </row>
    <row r="39">
      <c r="A39" t="inlineStr">
        <is>
          <t>UC</t>
        </is>
      </c>
      <c r="B39" t="inlineStr">
        <is>
          <t>Commonwealth LNG</t>
        </is>
      </c>
      <c r="C39" t="inlineStr">
        <is>
          <t>Trains 1-6</t>
        </is>
      </c>
      <c r="D39" t="n">
        <v>1.09</v>
      </c>
      <c r="E39" t="n">
        <v>8.4</v>
      </c>
      <c r="F39" t="n">
        <v>1.21</v>
      </c>
      <c r="G39" t="n">
        <v>9.5</v>
      </c>
      <c r="H39" t="inlineStr">
        <is>
          <t>Under construction</t>
        </is>
      </c>
      <c r="I39" t="inlineStr">
        <is>
          <t>2030</t>
        </is>
      </c>
      <c r="J39" t="inlineStr">
        <is>
          <t>Kimmeridge Energy Management</t>
        </is>
      </c>
      <c r="L39" t="inlineStr">
        <is>
          <t>2026-10-01</t>
        </is>
      </c>
      <c r="M39" t="inlineStr">
        <is>
          <t>U.S.liquefactioncapacity_2026_Q3.xlsx</t>
        </is>
      </c>
    </row>
    <row r="40">
      <c r="A40" t="inlineStr">
        <is>
          <t>UC</t>
        </is>
      </c>
      <c r="B40" t="inlineStr">
        <is>
          <t>Delfin FLNG</t>
        </is>
      </c>
      <c r="C40" t="inlineStr">
        <is>
          <t>Train 1</t>
        </is>
      </c>
      <c r="D40" t="n">
        <v>0.53</v>
      </c>
      <c r="E40" t="n">
        <v>4</v>
      </c>
      <c r="F40" t="n">
        <v>0.58</v>
      </c>
      <c r="G40" t="n">
        <v>4.4</v>
      </c>
      <c r="H40" t="inlineStr">
        <is>
          <t>Under construction</t>
        </is>
      </c>
      <c r="I40" t="inlineStr">
        <is>
          <t>2030</t>
        </is>
      </c>
      <c r="J40" t="inlineStr">
        <is>
          <t>Fairwood Group</t>
        </is>
      </c>
      <c r="L40" t="inlineStr">
        <is>
          <t>2026-10-01</t>
        </is>
      </c>
      <c r="M40" t="inlineStr">
        <is>
          <t>U.S.liquefactioncapacity_2026_Q3.xlsx</t>
        </is>
      </c>
    </row>
    <row r="41">
      <c r="A41" t="inlineStr">
        <is>
          <t>APPROVED</t>
        </is>
      </c>
      <c r="B41" t="inlineStr">
        <is>
          <t>Cameron LNG Train 4A</t>
        </is>
      </c>
      <c r="C41" t="inlineStr">
        <is>
          <t>1</t>
        </is>
      </c>
      <c r="D41" t="n">
        <v>0.96</v>
      </c>
      <c r="E41" t="n">
        <v>6.75</v>
      </c>
      <c r="F41" t="n">
        <v>0.96</v>
      </c>
      <c r="G41" t="n">
        <v>6.75</v>
      </c>
      <c r="H41" t="inlineStr">
        <is>
          <t>Approved</t>
        </is>
      </c>
      <c r="J41" t="inlineStr">
        <is>
          <t>Cameron LNG, LLC</t>
        </is>
      </c>
      <c r="K41" t="inlineStr">
        <is>
          <t>Completed FEED on a new design of one larger-size train, rather than 2 trains as was initially proposed. Awarded EPC contract to Bechtel. FID TBA</t>
        </is>
      </c>
      <c r="L41" t="inlineStr">
        <is>
          <t>2026-10-01</t>
        </is>
      </c>
      <c r="M41" t="inlineStr">
        <is>
          <t>U.S.liquefactioncapacity_2026_Q3.xlsx</t>
        </is>
      </c>
    </row>
    <row r="42">
      <c r="A42" t="inlineStr">
        <is>
          <t>APPROVED</t>
        </is>
      </c>
      <c r="B42" t="inlineStr">
        <is>
          <t>Lake Charles LNG</t>
        </is>
      </c>
      <c r="C42" t="inlineStr">
        <is>
          <t>3</t>
        </is>
      </c>
      <c r="D42" t="n">
        <v>0.72</v>
      </c>
      <c r="E42" t="n">
        <v>5.5</v>
      </c>
      <c r="F42" t="n">
        <v>2.17</v>
      </c>
      <c r="G42" t="n">
        <v>16.5</v>
      </c>
      <c r="H42" t="inlineStr">
        <is>
          <t>Approved</t>
        </is>
      </c>
      <c r="J42" t="inlineStr">
        <is>
          <t>Energy Transfer, LP</t>
        </is>
      </c>
      <c r="K42" t="inlineStr">
        <is>
          <t>Completed FEED, reviewed EPC tenders, signed a preliminary EPC contract with a consortium led by Technip Energies and KBR. FID TBAD</t>
        </is>
      </c>
      <c r="L42" t="inlineStr">
        <is>
          <t>2026-10-01</t>
        </is>
      </c>
      <c r="M42" t="inlineStr">
        <is>
          <t>U.S.liquefactioncapacity_2026_Q3.xlsx</t>
        </is>
      </c>
    </row>
    <row r="43">
      <c r="A43" t="inlineStr">
        <is>
          <t>APPROVED</t>
        </is>
      </c>
      <c r="B43" t="inlineStr">
        <is>
          <t>Lake Charles LNG (additional DOE application)</t>
        </is>
      </c>
      <c r="C43" t="inlineStr">
        <is>
          <t>n/a</t>
        </is>
      </c>
      <c r="H43" t="inlineStr">
        <is>
          <t>Approved</t>
        </is>
      </c>
      <c r="J43" t="inlineStr">
        <is>
          <t>Energy Transfer, LP</t>
        </is>
      </c>
      <c r="K43" t="inlineStr">
        <is>
          <t>Completed FEED, reviewed EPC tenders, signed a preliminary EPC contract with a consortium led by Technip Energies and KBR, FID TBAD</t>
        </is>
      </c>
      <c r="L43" t="inlineStr">
        <is>
          <t>2026-10-01</t>
        </is>
      </c>
      <c r="M43" t="inlineStr">
        <is>
          <t>U.S.liquefactioncapacity_2026_Q3.xlsx</t>
        </is>
      </c>
    </row>
    <row r="44">
      <c r="A44" t="inlineStr">
        <is>
          <t>APPROVED</t>
        </is>
      </c>
      <c r="B44" t="inlineStr">
        <is>
          <t>Woodside Louisiana LNG (formerly Driftwood LNG) Phase 2</t>
        </is>
      </c>
      <c r="C44" t="inlineStr">
        <is>
          <t>2</t>
        </is>
      </c>
      <c r="D44" t="n">
        <v>0.73</v>
      </c>
      <c r="E44" t="n">
        <v>5.52</v>
      </c>
      <c r="F44" t="n">
        <v>1.45</v>
      </c>
      <c r="G44" t="n">
        <v>11.04</v>
      </c>
      <c r="H44" t="inlineStr">
        <is>
          <t>Approved</t>
        </is>
      </c>
      <c r="J44" t="inlineStr">
        <is>
          <t>Woodside Energy</t>
        </is>
      </c>
      <c r="K44" t="inlineStr">
        <is>
          <t>Completed FEED, awarded EPC contract to Bechtel Energy, issued limited notice to proceed to commence construction, FID TBA</t>
        </is>
      </c>
      <c r="L44" t="inlineStr">
        <is>
          <t>2026-10-01</t>
        </is>
      </c>
      <c r="M44" t="inlineStr">
        <is>
          <t>U.S.liquefactioncapacity_2026_Q3.xlsx</t>
        </is>
      </c>
    </row>
    <row r="45">
      <c r="A45" t="inlineStr">
        <is>
          <t>APPROVED</t>
        </is>
      </c>
      <c r="B45" t="inlineStr">
        <is>
          <t>Freeport LNG Train 4C</t>
        </is>
      </c>
      <c r="C45" t="inlineStr">
        <is>
          <t>1</t>
        </is>
      </c>
      <c r="D45" t="n">
        <v>0.74</v>
      </c>
      <c r="E45" t="n">
        <v>5.1</v>
      </c>
      <c r="F45" t="n">
        <v>0.74</v>
      </c>
      <c r="G45" t="n">
        <v>5.1</v>
      </c>
      <c r="H45" t="inlineStr">
        <is>
          <t>Approved</t>
        </is>
      </c>
      <c r="J45" t="inlineStr">
        <is>
          <t>Freeport LNG</t>
        </is>
      </c>
      <c r="K45" t="inlineStr">
        <is>
          <t>Completed FEED, awarded EPC contract to Kiewit Energy. FID TBA</t>
        </is>
      </c>
      <c r="L45" t="inlineStr">
        <is>
          <t>2026-10-01</t>
        </is>
      </c>
      <c r="M45" t="inlineStr">
        <is>
          <t>U.S.liquefactioncapacity_2026_Q3.xlsx</t>
        </is>
      </c>
    </row>
    <row r="46">
      <c r="A46" t="inlineStr">
        <is>
          <t>APPROVED</t>
        </is>
      </c>
      <c r="B46" t="inlineStr">
        <is>
          <t>Texas LNG</t>
        </is>
      </c>
      <c r="C46" t="inlineStr">
        <is>
          <t>2</t>
        </is>
      </c>
      <c r="D46" t="n">
        <v>0.28</v>
      </c>
      <c r="E46" t="n">
        <v>2</v>
      </c>
      <c r="F46" t="n">
        <v>0.5600000000000001</v>
      </c>
      <c r="G46" t="n">
        <v>4</v>
      </c>
      <c r="H46" t="inlineStr">
        <is>
          <t>Approved</t>
        </is>
      </c>
      <c r="J46" t="inlineStr">
        <is>
          <t>Glenfarne Energy Transition, LLC</t>
        </is>
      </c>
      <c r="K46" t="inlineStr">
        <is>
          <t>Completed FEED, selected engineering, procurement, and construction (EPC) contractor. FID targeted for 2026.</t>
        </is>
      </c>
      <c r="L46" t="inlineStr">
        <is>
          <t>2026-10-01</t>
        </is>
      </c>
      <c r="M46" t="inlineStr">
        <is>
          <t>U.S.liquefactioncapacity_2026_Q3.xlsx</t>
        </is>
      </c>
    </row>
    <row r="47">
      <c r="A47" t="inlineStr">
        <is>
          <t>APPROVED</t>
        </is>
      </c>
      <c r="B47" t="inlineStr">
        <is>
          <t>Gulf LNGE</t>
        </is>
      </c>
      <c r="C47" t="inlineStr">
        <is>
          <t>2</t>
        </is>
      </c>
      <c r="D47" t="n">
        <v>0.71</v>
      </c>
      <c r="E47" t="n">
        <v>5.43</v>
      </c>
      <c r="F47" t="n">
        <v>1.43</v>
      </c>
      <c r="G47" t="n">
        <v>10.85</v>
      </c>
      <c r="H47" t="inlineStr">
        <is>
          <t>Approved</t>
        </is>
      </c>
      <c r="J47" t="inlineStr">
        <is>
          <t>Gulf LNG Liquefaction Company, LLC</t>
        </is>
      </c>
      <c r="K47" t="inlineStr">
        <is>
          <t>Undergoing FEED</t>
        </is>
      </c>
      <c r="L47" t="inlineStr">
        <is>
          <t>2026-10-01</t>
        </is>
      </c>
      <c r="M47" t="inlineStr">
        <is>
          <t>U.S.liquefactioncapacity_2026_Q3.xlsx</t>
        </is>
      </c>
    </row>
    <row r="48">
      <c r="A48" t="inlineStr">
        <is>
          <t>APPROVED</t>
        </is>
      </c>
      <c r="B48" t="inlineStr">
        <is>
          <t>Delfin FLNG</t>
        </is>
      </c>
      <c r="C48" t="inlineStr">
        <is>
          <t>2</t>
        </is>
      </c>
      <c r="D48" t="n">
        <v>0.53</v>
      </c>
      <c r="E48" t="n">
        <v>4.4</v>
      </c>
      <c r="F48" t="n">
        <v>1.05</v>
      </c>
      <c r="G48" t="n">
        <v>8.800000000000001</v>
      </c>
      <c r="H48" t="inlineStr">
        <is>
          <t>Approved</t>
        </is>
      </c>
      <c r="J48" t="inlineStr">
        <is>
          <t>Fairwood Group</t>
        </is>
      </c>
      <c r="K48" t="inlineStr">
        <is>
          <t xml:space="preserve">Completed FEED, awarded EPC contract to Samsung Heavy Industries and Black &amp; Veatch. Project was granted DOE authorization for a 5-year extension to 2029 to commence operations. </t>
        </is>
      </c>
      <c r="L48" t="inlineStr">
        <is>
          <t>2026-10-01</t>
        </is>
      </c>
      <c r="M48" t="inlineStr">
        <is>
          <t>U.S.liquefactioncapacity_2026_Q3.xlsx</t>
        </is>
      </c>
    </row>
    <row r="49">
      <c r="A49" t="inlineStr">
        <is>
          <t>APPROVED</t>
        </is>
      </c>
      <c r="B49" t="inlineStr">
        <is>
          <t>Alaska LNG</t>
        </is>
      </c>
      <c r="C49" t="inlineStr">
        <is>
          <t>3</t>
        </is>
      </c>
      <c r="D49" t="n">
        <v>0.85</v>
      </c>
      <c r="E49" t="n">
        <v>6.67</v>
      </c>
      <c r="F49" t="n">
        <v>2.55</v>
      </c>
      <c r="G49" t="n">
        <v>20</v>
      </c>
      <c r="H49" t="inlineStr">
        <is>
          <t>Approved</t>
        </is>
      </c>
      <c r="J49" t="inlineStr">
        <is>
          <t>Alaska Gasline Development Corporation (AGDC)</t>
        </is>
      </c>
      <c r="K49" t="inlineStr">
        <is>
          <t>Proposed</t>
        </is>
      </c>
      <c r="L49" t="inlineStr">
        <is>
          <t>2026-10-01</t>
        </is>
      </c>
      <c r="M49" t="inlineStr">
        <is>
          <t>U.S.liquefactioncapacity_2026_Q3.xlsx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B12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Month</t>
        </is>
      </c>
      <c r="B1" s="5" t="inlineStr">
        <is>
          <t>Corpus Christi Stage 3 Midscale Train 7</t>
        </is>
      </c>
      <c r="C1" s="5" t="inlineStr">
        <is>
          <t>Corpus Christi Liquefaction Midscale Trains 8-9G</t>
        </is>
      </c>
      <c r="D1" s="5" t="inlineStr">
        <is>
          <t>Golden Pass Train 2D</t>
        </is>
      </c>
      <c r="E1" s="5" t="inlineStr">
        <is>
          <t>Golden Pass Train 3D</t>
        </is>
      </c>
      <c r="F1" s="5" t="inlineStr">
        <is>
          <t>Port Arthur LNG Phase 1 Trains 1-2</t>
        </is>
      </c>
      <c r="G1" s="5" t="inlineStr">
        <is>
          <t>Port Arthur LNG Phase 2 Trains 3-4</t>
        </is>
      </c>
      <c r="H1" s="5" t="inlineStr">
        <is>
          <t>Rio Grande LNG Phase 1 Train 1I</t>
        </is>
      </c>
      <c r="I1" s="5" t="inlineStr">
        <is>
          <t>Rio Grande LNG Phase 1 Train 2I</t>
        </is>
      </c>
      <c r="J1" s="5" t="inlineStr">
        <is>
          <t>Rio Grande LNG Phase 1 Train 3I</t>
        </is>
      </c>
      <c r="K1" s="5" t="inlineStr">
        <is>
          <t>Rio Grande LNG Phase 2 Train 4I</t>
        </is>
      </c>
      <c r="L1" s="5" t="inlineStr">
        <is>
          <t>Rio Grande LNG Phase 2 Train 5I</t>
        </is>
      </c>
      <c r="M1" s="5" t="inlineStr">
        <is>
          <t>Woodside Louisiana LNG Phase 1 Trains 1-3</t>
        </is>
      </c>
      <c r="N1" s="5" t="inlineStr">
        <is>
          <t>Venture Global CP2 Phase 1 Trains 1-26</t>
        </is>
      </c>
      <c r="O1" s="5" t="inlineStr">
        <is>
          <t>Venture Global CP2 Phase 2 Trains 27-36</t>
        </is>
      </c>
      <c r="P1" s="5" t="inlineStr">
        <is>
          <t>Commonwealth LNG Trains 1-6</t>
        </is>
      </c>
      <c r="Q1" s="5" t="inlineStr">
        <is>
          <t>Delfin FLNG Train 1</t>
        </is>
      </c>
      <c r="R1" s="5" t="inlineStr">
        <is>
          <t>North Field East expansion, Train 1 of 4 (8 mtpa)</t>
        </is>
      </c>
      <c r="S1" s="5" t="inlineStr">
        <is>
          <t>Woodfibre LNG</t>
        </is>
      </c>
      <c r="T1" s="5" t="inlineStr">
        <is>
          <t>Mozambique LNG (Afungi, 2 units)</t>
        </is>
      </c>
      <c r="U1" s="5" t="inlineStr">
        <is>
          <t>Coral North FLNG (Eni, Area 4)</t>
        </is>
      </c>
      <c r="V1" s="5" t="inlineStr">
        <is>
          <t>Marsa LNG (1 mtpa)</t>
        </is>
      </c>
      <c r="W1" s="5" t="inlineStr">
        <is>
          <t>Ruwais LNG (2 trains)</t>
        </is>
      </c>
      <c r="X1" s="5" t="inlineStr">
        <is>
          <t>Southern Energy (SESA) FLNG Hilli Episeyo (relocated from Ca</t>
        </is>
      </c>
      <c r="Y1" s="5" t="inlineStr">
        <is>
          <t>Southern Energy (SESA) FLNG Esperanza (MKII)</t>
        </is>
      </c>
      <c r="Z1" s="5" t="inlineStr">
        <is>
          <t>Golar FLNG Four (MKII, no charter yet)</t>
        </is>
      </c>
      <c r="AA1" s="5" t="inlineStr">
        <is>
          <t>Operating UC + FID, ramped (sum)</t>
        </is>
      </c>
      <c r="AB1" s="5" t="inlineStr">
        <is>
          <t>Planned dated, ramped (sum)</t>
        </is>
      </c>
    </row>
    <row r="2">
      <c r="A2" t="inlineStr">
        <is>
          <t>capacity (mtpa)</t>
        </is>
      </c>
      <c r="B2" t="n">
        <v>1.429</v>
      </c>
      <c r="C2" t="n">
        <v>2.98</v>
      </c>
      <c r="D2" t="n">
        <v>5.2</v>
      </c>
      <c r="E2" t="n">
        <v>5.2</v>
      </c>
      <c r="F2" t="n">
        <v>12</v>
      </c>
      <c r="G2" t="n">
        <v>12</v>
      </c>
      <c r="H2" t="n">
        <v>5.4</v>
      </c>
      <c r="I2" t="n">
        <v>5.4</v>
      </c>
      <c r="J2" t="n">
        <v>5.4</v>
      </c>
      <c r="K2" t="n">
        <v>5.4</v>
      </c>
      <c r="L2" t="n">
        <v>5.4</v>
      </c>
      <c r="M2" t="n">
        <v>16.56</v>
      </c>
      <c r="N2" t="n">
        <v>14.4</v>
      </c>
      <c r="O2" t="n">
        <v>5.6</v>
      </c>
      <c r="P2" t="n">
        <v>8.4</v>
      </c>
      <c r="Q2" t="n">
        <v>4</v>
      </c>
      <c r="R2" t="n">
        <v>8</v>
      </c>
      <c r="S2" t="n">
        <v>2.1</v>
      </c>
      <c r="T2" t="n">
        <v>13.12</v>
      </c>
      <c r="U2" t="n">
        <v>3.6</v>
      </c>
      <c r="V2" t="n">
        <v>1</v>
      </c>
      <c r="W2" t="n">
        <v>9.6</v>
      </c>
      <c r="X2" t="n">
        <v>2.45</v>
      </c>
      <c r="Y2" t="n">
        <v>3.5</v>
      </c>
      <c r="Z2" t="n">
        <v>3.5</v>
      </c>
    </row>
    <row r="3">
      <c r="A3" t="inlineStr">
        <is>
          <t>start month</t>
        </is>
      </c>
      <c r="B3" s="8" t="n">
        <v>46327</v>
      </c>
      <c r="C3" s="8" t="n">
        <v>46935</v>
      </c>
      <c r="D3" s="8" t="n">
        <v>46296</v>
      </c>
      <c r="E3" s="8" t="n">
        <v>46478</v>
      </c>
      <c r="F3" s="8" t="n">
        <v>46569</v>
      </c>
      <c r="G3" s="8" t="n">
        <v>48030</v>
      </c>
      <c r="H3" s="8" t="n">
        <v>46569</v>
      </c>
      <c r="I3" s="8" t="n">
        <v>46569</v>
      </c>
      <c r="J3" s="8" t="n">
        <v>46935</v>
      </c>
      <c r="K3" s="8" t="n">
        <v>47665</v>
      </c>
      <c r="L3" s="8" t="n">
        <v>48030</v>
      </c>
      <c r="M3" s="8" t="n">
        <v>47300</v>
      </c>
      <c r="N3" s="8" t="n">
        <v>46661</v>
      </c>
      <c r="O3" s="8" t="n">
        <v>47209</v>
      </c>
      <c r="P3" s="8" t="n">
        <v>47665</v>
      </c>
      <c r="Q3" s="8" t="n">
        <v>47665</v>
      </c>
      <c r="R3" s="8" t="n">
        <v>46478</v>
      </c>
      <c r="S3" s="8" t="n">
        <v>46569</v>
      </c>
      <c r="T3" s="8" t="n">
        <v>47300</v>
      </c>
      <c r="U3" s="8" t="n">
        <v>46935</v>
      </c>
      <c r="V3" s="8" t="n">
        <v>46935</v>
      </c>
      <c r="W3" s="8" t="n">
        <v>46935</v>
      </c>
      <c r="X3" s="8" t="n">
        <v>46661</v>
      </c>
      <c r="Y3" s="8" t="n">
        <v>47027</v>
      </c>
      <c r="Z3" s="8" t="n">
        <v>47300</v>
      </c>
    </row>
    <row r="4">
      <c r="A4" s="8" t="n">
        <v>44197</v>
      </c>
      <c r="B4" s="9">
        <f>IF(ISNUMBER(B$3),B$2*MAX(0,MIN(1,((YEAR($A4)-YEAR(B$3))*12+MONTH($A4)-MONTH(B$3)+1)/'Capacity by month'!$O$2)),0)</f>
        <v/>
      </c>
      <c r="C4" s="9">
        <f>IF(ISNUMBER(C$3),C$2*MAX(0,MIN(1,((YEAR($A4)-YEAR(C$3))*12+MONTH($A4)-MONTH(C$3)+1)/'Capacity by month'!$O$2)),0)</f>
        <v/>
      </c>
      <c r="D4" s="9">
        <f>IF(ISNUMBER(D$3),D$2*MAX(0,MIN(1,((YEAR($A4)-YEAR(D$3))*12+MONTH($A4)-MONTH(D$3)+1)/'Capacity by month'!$O$2)),0)</f>
        <v/>
      </c>
      <c r="E4" s="9">
        <f>IF(ISNUMBER(E$3),E$2*MAX(0,MIN(1,((YEAR($A4)-YEAR(E$3))*12+MONTH($A4)-MONTH(E$3)+1)/'Capacity by month'!$O$2)),0)</f>
        <v/>
      </c>
      <c r="F4" s="9">
        <f>IF(ISNUMBER(F$3),F$2*MAX(0,MIN(1,((YEAR($A4)-YEAR(F$3))*12+MONTH($A4)-MONTH(F$3)+1)/'Capacity by month'!$O$2)),0)</f>
        <v/>
      </c>
      <c r="G4" s="9">
        <f>IF(ISNUMBER(G$3),G$2*MAX(0,MIN(1,((YEAR($A4)-YEAR(G$3))*12+MONTH($A4)-MONTH(G$3)+1)/'Capacity by month'!$O$2)),0)</f>
        <v/>
      </c>
      <c r="H4" s="9">
        <f>IF(ISNUMBER(H$3),H$2*MAX(0,MIN(1,((YEAR($A4)-YEAR(H$3))*12+MONTH($A4)-MONTH(H$3)+1)/'Capacity by month'!$O$2)),0)</f>
        <v/>
      </c>
      <c r="I4" s="9">
        <f>IF(ISNUMBER(I$3),I$2*MAX(0,MIN(1,((YEAR($A4)-YEAR(I$3))*12+MONTH($A4)-MONTH(I$3)+1)/'Capacity by month'!$O$2)),0)</f>
        <v/>
      </c>
      <c r="J4" s="9">
        <f>IF(ISNUMBER(J$3),J$2*MAX(0,MIN(1,((YEAR($A4)-YEAR(J$3))*12+MONTH($A4)-MONTH(J$3)+1)/'Capacity by month'!$O$2)),0)</f>
        <v/>
      </c>
      <c r="K4" s="9">
        <f>IF(ISNUMBER(K$3),K$2*MAX(0,MIN(1,((YEAR($A4)-YEAR(K$3))*12+MONTH($A4)-MONTH(K$3)+1)/'Capacity by month'!$O$2)),0)</f>
        <v/>
      </c>
      <c r="L4" s="9">
        <f>IF(ISNUMBER(L$3),L$2*MAX(0,MIN(1,((YEAR($A4)-YEAR(L$3))*12+MONTH($A4)-MONTH(L$3)+1)/'Capacity by month'!$O$2)),0)</f>
        <v/>
      </c>
      <c r="M4" s="9">
        <f>IF(ISNUMBER(M$3),M$2*MAX(0,MIN(1,((YEAR($A4)-YEAR(M$3))*12+MONTH($A4)-MONTH(M$3)+1)/'Capacity by month'!$O$2)),0)</f>
        <v/>
      </c>
      <c r="N4" s="9">
        <f>IF(ISNUMBER(N$3),N$2*MAX(0,MIN(1,((YEAR($A4)-YEAR(N$3))*12+MONTH($A4)-MONTH(N$3)+1)/'Capacity by month'!$O$2)),0)</f>
        <v/>
      </c>
      <c r="O4" s="9">
        <f>IF(ISNUMBER(O$3),O$2*MAX(0,MIN(1,((YEAR($A4)-YEAR(O$3))*12+MONTH($A4)-MONTH(O$3)+1)/'Capacity by month'!$O$2)),0)</f>
        <v/>
      </c>
      <c r="P4" s="9">
        <f>IF(ISNUMBER(P$3),P$2*MAX(0,MIN(1,((YEAR($A4)-YEAR(P$3))*12+MONTH($A4)-MONTH(P$3)+1)/'Capacity by month'!$O$2)),0)</f>
        <v/>
      </c>
      <c r="Q4" s="9">
        <f>IF(ISNUMBER(Q$3),Q$2*MAX(0,MIN(1,((YEAR($A4)-YEAR(Q$3))*12+MONTH($A4)-MONTH(Q$3)+1)/'Capacity by month'!$O$2)),0)</f>
        <v/>
      </c>
      <c r="R4" s="9">
        <f>IF(ISNUMBER(R$3),R$2*MAX(0,MIN(1,((YEAR($A4)-YEAR(R$3))*12+MONTH($A4)-MONTH(R$3)+1)/'Capacity by month'!$O$2)),0)</f>
        <v/>
      </c>
      <c r="S4" s="9">
        <f>IF(ISNUMBER(S$3),S$2*MAX(0,MIN(1,((YEAR($A4)-YEAR(S$3))*12+MONTH($A4)-MONTH(S$3)+1)/'Capacity by month'!$O$2)),0)</f>
        <v/>
      </c>
      <c r="T4" s="9">
        <f>IF(ISNUMBER(T$3),T$2*MAX(0,MIN(1,((YEAR($A4)-YEAR(T$3))*12+MONTH($A4)-MONTH(T$3)+1)/'Capacity by month'!$O$2)),0)</f>
        <v/>
      </c>
      <c r="U4" s="9">
        <f>IF(ISNUMBER(U$3),U$2*MAX(0,MIN(1,((YEAR($A4)-YEAR(U$3))*12+MONTH($A4)-MONTH(U$3)+1)/'Capacity by month'!$O$2)),0)</f>
        <v/>
      </c>
      <c r="V4" s="9">
        <f>IF(ISNUMBER(V$3),V$2*MAX(0,MIN(1,((YEAR($A4)-YEAR(V$3))*12+MONTH($A4)-MONTH(V$3)+1)/'Capacity by month'!$O$2)),0)</f>
        <v/>
      </c>
      <c r="W4" s="9">
        <f>IF(ISNUMBER(W$3),W$2*MAX(0,MIN(1,((YEAR($A4)-YEAR(W$3))*12+MONTH($A4)-MONTH(W$3)+1)/'Capacity by month'!$O$2)),0)</f>
        <v/>
      </c>
      <c r="X4" s="9">
        <f>IF(ISNUMBER(X$3),X$2*MAX(0,MIN(1,((YEAR($A4)-YEAR(X$3))*12+MONTH($A4)-MONTH(X$3)+1)/'Capacity by month'!$O$2)),0)</f>
        <v/>
      </c>
      <c r="Y4" s="9">
        <f>IF(ISNUMBER(Y$3),Y$2*MAX(0,MIN(1,((YEAR($A4)-YEAR(Y$3))*12+MONTH($A4)-MONTH(Y$3)+1)/'Capacity by month'!$O$2)),0)</f>
        <v/>
      </c>
      <c r="Z4" s="9">
        <f>IF(ISNUMBER(Z$3),Z$2*MAX(0,MIN(1,((YEAR($A4)-YEAR(Z$3))*12+MONTH($A4)-MONTH(Z$3)+1)/'Capacity by month'!$O$2)),0)</f>
        <v/>
      </c>
      <c r="AA4">
        <f>SUM(B4:Z4)</f>
        <v/>
      </c>
      <c r="AB4" t="n">
        <v>0</v>
      </c>
    </row>
    <row r="5">
      <c r="A5" s="8" t="n">
        <v>44228</v>
      </c>
      <c r="B5" s="9">
        <f>IF(ISNUMBER(B$3),B$2*MAX(0,MIN(1,((YEAR($A5)-YEAR(B$3))*12+MONTH($A5)-MONTH(B$3)+1)/'Capacity by month'!$O$2)),0)</f>
        <v/>
      </c>
      <c r="C5" s="9">
        <f>IF(ISNUMBER(C$3),C$2*MAX(0,MIN(1,((YEAR($A5)-YEAR(C$3))*12+MONTH($A5)-MONTH(C$3)+1)/'Capacity by month'!$O$2)),0)</f>
        <v/>
      </c>
      <c r="D5" s="9">
        <f>IF(ISNUMBER(D$3),D$2*MAX(0,MIN(1,((YEAR($A5)-YEAR(D$3))*12+MONTH($A5)-MONTH(D$3)+1)/'Capacity by month'!$O$2)),0)</f>
        <v/>
      </c>
      <c r="E5" s="9">
        <f>IF(ISNUMBER(E$3),E$2*MAX(0,MIN(1,((YEAR($A5)-YEAR(E$3))*12+MONTH($A5)-MONTH(E$3)+1)/'Capacity by month'!$O$2)),0)</f>
        <v/>
      </c>
      <c r="F5" s="9">
        <f>IF(ISNUMBER(F$3),F$2*MAX(0,MIN(1,((YEAR($A5)-YEAR(F$3))*12+MONTH($A5)-MONTH(F$3)+1)/'Capacity by month'!$O$2)),0)</f>
        <v/>
      </c>
      <c r="G5" s="9">
        <f>IF(ISNUMBER(G$3),G$2*MAX(0,MIN(1,((YEAR($A5)-YEAR(G$3))*12+MONTH($A5)-MONTH(G$3)+1)/'Capacity by month'!$O$2)),0)</f>
        <v/>
      </c>
      <c r="H5" s="9">
        <f>IF(ISNUMBER(H$3),H$2*MAX(0,MIN(1,((YEAR($A5)-YEAR(H$3))*12+MONTH($A5)-MONTH(H$3)+1)/'Capacity by month'!$O$2)),0)</f>
        <v/>
      </c>
      <c r="I5" s="9">
        <f>IF(ISNUMBER(I$3),I$2*MAX(0,MIN(1,((YEAR($A5)-YEAR(I$3))*12+MONTH($A5)-MONTH(I$3)+1)/'Capacity by month'!$O$2)),0)</f>
        <v/>
      </c>
      <c r="J5" s="9">
        <f>IF(ISNUMBER(J$3),J$2*MAX(0,MIN(1,((YEAR($A5)-YEAR(J$3))*12+MONTH($A5)-MONTH(J$3)+1)/'Capacity by month'!$O$2)),0)</f>
        <v/>
      </c>
      <c r="K5" s="9">
        <f>IF(ISNUMBER(K$3),K$2*MAX(0,MIN(1,((YEAR($A5)-YEAR(K$3))*12+MONTH($A5)-MONTH(K$3)+1)/'Capacity by month'!$O$2)),0)</f>
        <v/>
      </c>
      <c r="L5" s="9">
        <f>IF(ISNUMBER(L$3),L$2*MAX(0,MIN(1,((YEAR($A5)-YEAR(L$3))*12+MONTH($A5)-MONTH(L$3)+1)/'Capacity by month'!$O$2)),0)</f>
        <v/>
      </c>
      <c r="M5" s="9">
        <f>IF(ISNUMBER(M$3),M$2*MAX(0,MIN(1,((YEAR($A5)-YEAR(M$3))*12+MONTH($A5)-MONTH(M$3)+1)/'Capacity by month'!$O$2)),0)</f>
        <v/>
      </c>
      <c r="N5" s="9">
        <f>IF(ISNUMBER(N$3),N$2*MAX(0,MIN(1,((YEAR($A5)-YEAR(N$3))*12+MONTH($A5)-MONTH(N$3)+1)/'Capacity by month'!$O$2)),0)</f>
        <v/>
      </c>
      <c r="O5" s="9">
        <f>IF(ISNUMBER(O$3),O$2*MAX(0,MIN(1,((YEAR($A5)-YEAR(O$3))*12+MONTH($A5)-MONTH(O$3)+1)/'Capacity by month'!$O$2)),0)</f>
        <v/>
      </c>
      <c r="P5" s="9">
        <f>IF(ISNUMBER(P$3),P$2*MAX(0,MIN(1,((YEAR($A5)-YEAR(P$3))*12+MONTH($A5)-MONTH(P$3)+1)/'Capacity by month'!$O$2)),0)</f>
        <v/>
      </c>
      <c r="Q5" s="9">
        <f>IF(ISNUMBER(Q$3),Q$2*MAX(0,MIN(1,((YEAR($A5)-YEAR(Q$3))*12+MONTH($A5)-MONTH(Q$3)+1)/'Capacity by month'!$O$2)),0)</f>
        <v/>
      </c>
      <c r="R5" s="9">
        <f>IF(ISNUMBER(R$3),R$2*MAX(0,MIN(1,((YEAR($A5)-YEAR(R$3))*12+MONTH($A5)-MONTH(R$3)+1)/'Capacity by month'!$O$2)),0)</f>
        <v/>
      </c>
      <c r="S5" s="9">
        <f>IF(ISNUMBER(S$3),S$2*MAX(0,MIN(1,((YEAR($A5)-YEAR(S$3))*12+MONTH($A5)-MONTH(S$3)+1)/'Capacity by month'!$O$2)),0)</f>
        <v/>
      </c>
      <c r="T5" s="9">
        <f>IF(ISNUMBER(T$3),T$2*MAX(0,MIN(1,((YEAR($A5)-YEAR(T$3))*12+MONTH($A5)-MONTH(T$3)+1)/'Capacity by month'!$O$2)),0)</f>
        <v/>
      </c>
      <c r="U5" s="9">
        <f>IF(ISNUMBER(U$3),U$2*MAX(0,MIN(1,((YEAR($A5)-YEAR(U$3))*12+MONTH($A5)-MONTH(U$3)+1)/'Capacity by month'!$O$2)),0)</f>
        <v/>
      </c>
      <c r="V5" s="9">
        <f>IF(ISNUMBER(V$3),V$2*MAX(0,MIN(1,((YEAR($A5)-YEAR(V$3))*12+MONTH($A5)-MONTH(V$3)+1)/'Capacity by month'!$O$2)),0)</f>
        <v/>
      </c>
      <c r="W5" s="9">
        <f>IF(ISNUMBER(W$3),W$2*MAX(0,MIN(1,((YEAR($A5)-YEAR(W$3))*12+MONTH($A5)-MONTH(W$3)+1)/'Capacity by month'!$O$2)),0)</f>
        <v/>
      </c>
      <c r="X5" s="9">
        <f>IF(ISNUMBER(X$3),X$2*MAX(0,MIN(1,((YEAR($A5)-YEAR(X$3))*12+MONTH($A5)-MONTH(X$3)+1)/'Capacity by month'!$O$2)),0)</f>
        <v/>
      </c>
      <c r="Y5" s="9">
        <f>IF(ISNUMBER(Y$3),Y$2*MAX(0,MIN(1,((YEAR($A5)-YEAR(Y$3))*12+MONTH($A5)-MONTH(Y$3)+1)/'Capacity by month'!$O$2)),0)</f>
        <v/>
      </c>
      <c r="Z5" s="9">
        <f>IF(ISNUMBER(Z$3),Z$2*MAX(0,MIN(1,((YEAR($A5)-YEAR(Z$3))*12+MONTH($A5)-MONTH(Z$3)+1)/'Capacity by month'!$O$2)),0)</f>
        <v/>
      </c>
      <c r="AA5">
        <f>SUM(B5:Z5)</f>
        <v/>
      </c>
      <c r="AB5" t="n">
        <v>0</v>
      </c>
    </row>
    <row r="6">
      <c r="A6" s="8" t="n">
        <v>44256</v>
      </c>
      <c r="B6" s="9">
        <f>IF(ISNUMBER(B$3),B$2*MAX(0,MIN(1,((YEAR($A6)-YEAR(B$3))*12+MONTH($A6)-MONTH(B$3)+1)/'Capacity by month'!$O$2)),0)</f>
        <v/>
      </c>
      <c r="C6" s="9">
        <f>IF(ISNUMBER(C$3),C$2*MAX(0,MIN(1,((YEAR($A6)-YEAR(C$3))*12+MONTH($A6)-MONTH(C$3)+1)/'Capacity by month'!$O$2)),0)</f>
        <v/>
      </c>
      <c r="D6" s="9">
        <f>IF(ISNUMBER(D$3),D$2*MAX(0,MIN(1,((YEAR($A6)-YEAR(D$3))*12+MONTH($A6)-MONTH(D$3)+1)/'Capacity by month'!$O$2)),0)</f>
        <v/>
      </c>
      <c r="E6" s="9">
        <f>IF(ISNUMBER(E$3),E$2*MAX(0,MIN(1,((YEAR($A6)-YEAR(E$3))*12+MONTH($A6)-MONTH(E$3)+1)/'Capacity by month'!$O$2)),0)</f>
        <v/>
      </c>
      <c r="F6" s="9">
        <f>IF(ISNUMBER(F$3),F$2*MAX(0,MIN(1,((YEAR($A6)-YEAR(F$3))*12+MONTH($A6)-MONTH(F$3)+1)/'Capacity by month'!$O$2)),0)</f>
        <v/>
      </c>
      <c r="G6" s="9">
        <f>IF(ISNUMBER(G$3),G$2*MAX(0,MIN(1,((YEAR($A6)-YEAR(G$3))*12+MONTH($A6)-MONTH(G$3)+1)/'Capacity by month'!$O$2)),0)</f>
        <v/>
      </c>
      <c r="H6" s="9">
        <f>IF(ISNUMBER(H$3),H$2*MAX(0,MIN(1,((YEAR($A6)-YEAR(H$3))*12+MONTH($A6)-MONTH(H$3)+1)/'Capacity by month'!$O$2)),0)</f>
        <v/>
      </c>
      <c r="I6" s="9">
        <f>IF(ISNUMBER(I$3),I$2*MAX(0,MIN(1,((YEAR($A6)-YEAR(I$3))*12+MONTH($A6)-MONTH(I$3)+1)/'Capacity by month'!$O$2)),0)</f>
        <v/>
      </c>
      <c r="J6" s="9">
        <f>IF(ISNUMBER(J$3),J$2*MAX(0,MIN(1,((YEAR($A6)-YEAR(J$3))*12+MONTH($A6)-MONTH(J$3)+1)/'Capacity by month'!$O$2)),0)</f>
        <v/>
      </c>
      <c r="K6" s="9">
        <f>IF(ISNUMBER(K$3),K$2*MAX(0,MIN(1,((YEAR($A6)-YEAR(K$3))*12+MONTH($A6)-MONTH(K$3)+1)/'Capacity by month'!$O$2)),0)</f>
        <v/>
      </c>
      <c r="L6" s="9">
        <f>IF(ISNUMBER(L$3),L$2*MAX(0,MIN(1,((YEAR($A6)-YEAR(L$3))*12+MONTH($A6)-MONTH(L$3)+1)/'Capacity by month'!$O$2)),0)</f>
        <v/>
      </c>
      <c r="M6" s="9">
        <f>IF(ISNUMBER(M$3),M$2*MAX(0,MIN(1,((YEAR($A6)-YEAR(M$3))*12+MONTH($A6)-MONTH(M$3)+1)/'Capacity by month'!$O$2)),0)</f>
        <v/>
      </c>
      <c r="N6" s="9">
        <f>IF(ISNUMBER(N$3),N$2*MAX(0,MIN(1,((YEAR($A6)-YEAR(N$3))*12+MONTH($A6)-MONTH(N$3)+1)/'Capacity by month'!$O$2)),0)</f>
        <v/>
      </c>
      <c r="O6" s="9">
        <f>IF(ISNUMBER(O$3),O$2*MAX(0,MIN(1,((YEAR($A6)-YEAR(O$3))*12+MONTH($A6)-MONTH(O$3)+1)/'Capacity by month'!$O$2)),0)</f>
        <v/>
      </c>
      <c r="P6" s="9">
        <f>IF(ISNUMBER(P$3),P$2*MAX(0,MIN(1,((YEAR($A6)-YEAR(P$3))*12+MONTH($A6)-MONTH(P$3)+1)/'Capacity by month'!$O$2)),0)</f>
        <v/>
      </c>
      <c r="Q6" s="9">
        <f>IF(ISNUMBER(Q$3),Q$2*MAX(0,MIN(1,((YEAR($A6)-YEAR(Q$3))*12+MONTH($A6)-MONTH(Q$3)+1)/'Capacity by month'!$O$2)),0)</f>
        <v/>
      </c>
      <c r="R6" s="9">
        <f>IF(ISNUMBER(R$3),R$2*MAX(0,MIN(1,((YEAR($A6)-YEAR(R$3))*12+MONTH($A6)-MONTH(R$3)+1)/'Capacity by month'!$O$2)),0)</f>
        <v/>
      </c>
      <c r="S6" s="9">
        <f>IF(ISNUMBER(S$3),S$2*MAX(0,MIN(1,((YEAR($A6)-YEAR(S$3))*12+MONTH($A6)-MONTH(S$3)+1)/'Capacity by month'!$O$2)),0)</f>
        <v/>
      </c>
      <c r="T6" s="9">
        <f>IF(ISNUMBER(T$3),T$2*MAX(0,MIN(1,((YEAR($A6)-YEAR(T$3))*12+MONTH($A6)-MONTH(T$3)+1)/'Capacity by month'!$O$2)),0)</f>
        <v/>
      </c>
      <c r="U6" s="9">
        <f>IF(ISNUMBER(U$3),U$2*MAX(0,MIN(1,((YEAR($A6)-YEAR(U$3))*12+MONTH($A6)-MONTH(U$3)+1)/'Capacity by month'!$O$2)),0)</f>
        <v/>
      </c>
      <c r="V6" s="9">
        <f>IF(ISNUMBER(V$3),V$2*MAX(0,MIN(1,((YEAR($A6)-YEAR(V$3))*12+MONTH($A6)-MONTH(V$3)+1)/'Capacity by month'!$O$2)),0)</f>
        <v/>
      </c>
      <c r="W6" s="9">
        <f>IF(ISNUMBER(W$3),W$2*MAX(0,MIN(1,((YEAR($A6)-YEAR(W$3))*12+MONTH($A6)-MONTH(W$3)+1)/'Capacity by month'!$O$2)),0)</f>
        <v/>
      </c>
      <c r="X6" s="9">
        <f>IF(ISNUMBER(X$3),X$2*MAX(0,MIN(1,((YEAR($A6)-YEAR(X$3))*12+MONTH($A6)-MONTH(X$3)+1)/'Capacity by month'!$O$2)),0)</f>
        <v/>
      </c>
      <c r="Y6" s="9">
        <f>IF(ISNUMBER(Y$3),Y$2*MAX(0,MIN(1,((YEAR($A6)-YEAR(Y$3))*12+MONTH($A6)-MONTH(Y$3)+1)/'Capacity by month'!$O$2)),0)</f>
        <v/>
      </c>
      <c r="Z6" s="9">
        <f>IF(ISNUMBER(Z$3),Z$2*MAX(0,MIN(1,((YEAR($A6)-YEAR(Z$3))*12+MONTH($A6)-MONTH(Z$3)+1)/'Capacity by month'!$O$2)),0)</f>
        <v/>
      </c>
      <c r="AA6">
        <f>SUM(B6:Z6)</f>
        <v/>
      </c>
      <c r="AB6" t="n">
        <v>0</v>
      </c>
    </row>
    <row r="7">
      <c r="A7" s="8" t="n">
        <v>44287</v>
      </c>
      <c r="B7" s="9">
        <f>IF(ISNUMBER(B$3),B$2*MAX(0,MIN(1,((YEAR($A7)-YEAR(B$3))*12+MONTH($A7)-MONTH(B$3)+1)/'Capacity by month'!$O$2)),0)</f>
        <v/>
      </c>
      <c r="C7" s="9">
        <f>IF(ISNUMBER(C$3),C$2*MAX(0,MIN(1,((YEAR($A7)-YEAR(C$3))*12+MONTH($A7)-MONTH(C$3)+1)/'Capacity by month'!$O$2)),0)</f>
        <v/>
      </c>
      <c r="D7" s="9">
        <f>IF(ISNUMBER(D$3),D$2*MAX(0,MIN(1,((YEAR($A7)-YEAR(D$3))*12+MONTH($A7)-MONTH(D$3)+1)/'Capacity by month'!$O$2)),0)</f>
        <v/>
      </c>
      <c r="E7" s="9">
        <f>IF(ISNUMBER(E$3),E$2*MAX(0,MIN(1,((YEAR($A7)-YEAR(E$3))*12+MONTH($A7)-MONTH(E$3)+1)/'Capacity by month'!$O$2)),0)</f>
        <v/>
      </c>
      <c r="F7" s="9">
        <f>IF(ISNUMBER(F$3),F$2*MAX(0,MIN(1,((YEAR($A7)-YEAR(F$3))*12+MONTH($A7)-MONTH(F$3)+1)/'Capacity by month'!$O$2)),0)</f>
        <v/>
      </c>
      <c r="G7" s="9">
        <f>IF(ISNUMBER(G$3),G$2*MAX(0,MIN(1,((YEAR($A7)-YEAR(G$3))*12+MONTH($A7)-MONTH(G$3)+1)/'Capacity by month'!$O$2)),0)</f>
        <v/>
      </c>
      <c r="H7" s="9">
        <f>IF(ISNUMBER(H$3),H$2*MAX(0,MIN(1,((YEAR($A7)-YEAR(H$3))*12+MONTH($A7)-MONTH(H$3)+1)/'Capacity by month'!$O$2)),0)</f>
        <v/>
      </c>
      <c r="I7" s="9">
        <f>IF(ISNUMBER(I$3),I$2*MAX(0,MIN(1,((YEAR($A7)-YEAR(I$3))*12+MONTH($A7)-MONTH(I$3)+1)/'Capacity by month'!$O$2)),0)</f>
        <v/>
      </c>
      <c r="J7" s="9">
        <f>IF(ISNUMBER(J$3),J$2*MAX(0,MIN(1,((YEAR($A7)-YEAR(J$3))*12+MONTH($A7)-MONTH(J$3)+1)/'Capacity by month'!$O$2)),0)</f>
        <v/>
      </c>
      <c r="K7" s="9">
        <f>IF(ISNUMBER(K$3),K$2*MAX(0,MIN(1,((YEAR($A7)-YEAR(K$3))*12+MONTH($A7)-MONTH(K$3)+1)/'Capacity by month'!$O$2)),0)</f>
        <v/>
      </c>
      <c r="L7" s="9">
        <f>IF(ISNUMBER(L$3),L$2*MAX(0,MIN(1,((YEAR($A7)-YEAR(L$3))*12+MONTH($A7)-MONTH(L$3)+1)/'Capacity by month'!$O$2)),0)</f>
        <v/>
      </c>
      <c r="M7" s="9">
        <f>IF(ISNUMBER(M$3),M$2*MAX(0,MIN(1,((YEAR($A7)-YEAR(M$3))*12+MONTH($A7)-MONTH(M$3)+1)/'Capacity by month'!$O$2)),0)</f>
        <v/>
      </c>
      <c r="N7" s="9">
        <f>IF(ISNUMBER(N$3),N$2*MAX(0,MIN(1,((YEAR($A7)-YEAR(N$3))*12+MONTH($A7)-MONTH(N$3)+1)/'Capacity by month'!$O$2)),0)</f>
        <v/>
      </c>
      <c r="O7" s="9">
        <f>IF(ISNUMBER(O$3),O$2*MAX(0,MIN(1,((YEAR($A7)-YEAR(O$3))*12+MONTH($A7)-MONTH(O$3)+1)/'Capacity by month'!$O$2)),0)</f>
        <v/>
      </c>
      <c r="P7" s="9">
        <f>IF(ISNUMBER(P$3),P$2*MAX(0,MIN(1,((YEAR($A7)-YEAR(P$3))*12+MONTH($A7)-MONTH(P$3)+1)/'Capacity by month'!$O$2)),0)</f>
        <v/>
      </c>
      <c r="Q7" s="9">
        <f>IF(ISNUMBER(Q$3),Q$2*MAX(0,MIN(1,((YEAR($A7)-YEAR(Q$3))*12+MONTH($A7)-MONTH(Q$3)+1)/'Capacity by month'!$O$2)),0)</f>
        <v/>
      </c>
      <c r="R7" s="9">
        <f>IF(ISNUMBER(R$3),R$2*MAX(0,MIN(1,((YEAR($A7)-YEAR(R$3))*12+MONTH($A7)-MONTH(R$3)+1)/'Capacity by month'!$O$2)),0)</f>
        <v/>
      </c>
      <c r="S7" s="9">
        <f>IF(ISNUMBER(S$3),S$2*MAX(0,MIN(1,((YEAR($A7)-YEAR(S$3))*12+MONTH($A7)-MONTH(S$3)+1)/'Capacity by month'!$O$2)),0)</f>
        <v/>
      </c>
      <c r="T7" s="9">
        <f>IF(ISNUMBER(T$3),T$2*MAX(0,MIN(1,((YEAR($A7)-YEAR(T$3))*12+MONTH($A7)-MONTH(T$3)+1)/'Capacity by month'!$O$2)),0)</f>
        <v/>
      </c>
      <c r="U7" s="9">
        <f>IF(ISNUMBER(U$3),U$2*MAX(0,MIN(1,((YEAR($A7)-YEAR(U$3))*12+MONTH($A7)-MONTH(U$3)+1)/'Capacity by month'!$O$2)),0)</f>
        <v/>
      </c>
      <c r="V7" s="9">
        <f>IF(ISNUMBER(V$3),V$2*MAX(0,MIN(1,((YEAR($A7)-YEAR(V$3))*12+MONTH($A7)-MONTH(V$3)+1)/'Capacity by month'!$O$2)),0)</f>
        <v/>
      </c>
      <c r="W7" s="9">
        <f>IF(ISNUMBER(W$3),W$2*MAX(0,MIN(1,((YEAR($A7)-YEAR(W$3))*12+MONTH($A7)-MONTH(W$3)+1)/'Capacity by month'!$O$2)),0)</f>
        <v/>
      </c>
      <c r="X7" s="9">
        <f>IF(ISNUMBER(X$3),X$2*MAX(0,MIN(1,((YEAR($A7)-YEAR(X$3))*12+MONTH($A7)-MONTH(X$3)+1)/'Capacity by month'!$O$2)),0)</f>
        <v/>
      </c>
      <c r="Y7" s="9">
        <f>IF(ISNUMBER(Y$3),Y$2*MAX(0,MIN(1,((YEAR($A7)-YEAR(Y$3))*12+MONTH($A7)-MONTH(Y$3)+1)/'Capacity by month'!$O$2)),0)</f>
        <v/>
      </c>
      <c r="Z7" s="9">
        <f>IF(ISNUMBER(Z$3),Z$2*MAX(0,MIN(1,((YEAR($A7)-YEAR(Z$3))*12+MONTH($A7)-MONTH(Z$3)+1)/'Capacity by month'!$O$2)),0)</f>
        <v/>
      </c>
      <c r="AA7">
        <f>SUM(B7:Z7)</f>
        <v/>
      </c>
      <c r="AB7" t="n">
        <v>0</v>
      </c>
    </row>
    <row r="8">
      <c r="A8" s="8" t="n">
        <v>44317</v>
      </c>
      <c r="B8" s="9">
        <f>IF(ISNUMBER(B$3),B$2*MAX(0,MIN(1,((YEAR($A8)-YEAR(B$3))*12+MONTH($A8)-MONTH(B$3)+1)/'Capacity by month'!$O$2)),0)</f>
        <v/>
      </c>
      <c r="C8" s="9">
        <f>IF(ISNUMBER(C$3),C$2*MAX(0,MIN(1,((YEAR($A8)-YEAR(C$3))*12+MONTH($A8)-MONTH(C$3)+1)/'Capacity by month'!$O$2)),0)</f>
        <v/>
      </c>
      <c r="D8" s="9">
        <f>IF(ISNUMBER(D$3),D$2*MAX(0,MIN(1,((YEAR($A8)-YEAR(D$3))*12+MONTH($A8)-MONTH(D$3)+1)/'Capacity by month'!$O$2)),0)</f>
        <v/>
      </c>
      <c r="E8" s="9">
        <f>IF(ISNUMBER(E$3),E$2*MAX(0,MIN(1,((YEAR($A8)-YEAR(E$3))*12+MONTH($A8)-MONTH(E$3)+1)/'Capacity by month'!$O$2)),0)</f>
        <v/>
      </c>
      <c r="F8" s="9">
        <f>IF(ISNUMBER(F$3),F$2*MAX(0,MIN(1,((YEAR($A8)-YEAR(F$3))*12+MONTH($A8)-MONTH(F$3)+1)/'Capacity by month'!$O$2)),0)</f>
        <v/>
      </c>
      <c r="G8" s="9">
        <f>IF(ISNUMBER(G$3),G$2*MAX(0,MIN(1,((YEAR($A8)-YEAR(G$3))*12+MONTH($A8)-MONTH(G$3)+1)/'Capacity by month'!$O$2)),0)</f>
        <v/>
      </c>
      <c r="H8" s="9">
        <f>IF(ISNUMBER(H$3),H$2*MAX(0,MIN(1,((YEAR($A8)-YEAR(H$3))*12+MONTH($A8)-MONTH(H$3)+1)/'Capacity by month'!$O$2)),0)</f>
        <v/>
      </c>
      <c r="I8" s="9">
        <f>IF(ISNUMBER(I$3),I$2*MAX(0,MIN(1,((YEAR($A8)-YEAR(I$3))*12+MONTH($A8)-MONTH(I$3)+1)/'Capacity by month'!$O$2)),0)</f>
        <v/>
      </c>
      <c r="J8" s="9">
        <f>IF(ISNUMBER(J$3),J$2*MAX(0,MIN(1,((YEAR($A8)-YEAR(J$3))*12+MONTH($A8)-MONTH(J$3)+1)/'Capacity by month'!$O$2)),0)</f>
        <v/>
      </c>
      <c r="K8" s="9">
        <f>IF(ISNUMBER(K$3),K$2*MAX(0,MIN(1,((YEAR($A8)-YEAR(K$3))*12+MONTH($A8)-MONTH(K$3)+1)/'Capacity by month'!$O$2)),0)</f>
        <v/>
      </c>
      <c r="L8" s="9">
        <f>IF(ISNUMBER(L$3),L$2*MAX(0,MIN(1,((YEAR($A8)-YEAR(L$3))*12+MONTH($A8)-MONTH(L$3)+1)/'Capacity by month'!$O$2)),0)</f>
        <v/>
      </c>
      <c r="M8" s="9">
        <f>IF(ISNUMBER(M$3),M$2*MAX(0,MIN(1,((YEAR($A8)-YEAR(M$3))*12+MONTH($A8)-MONTH(M$3)+1)/'Capacity by month'!$O$2)),0)</f>
        <v/>
      </c>
      <c r="N8" s="9">
        <f>IF(ISNUMBER(N$3),N$2*MAX(0,MIN(1,((YEAR($A8)-YEAR(N$3))*12+MONTH($A8)-MONTH(N$3)+1)/'Capacity by month'!$O$2)),0)</f>
        <v/>
      </c>
      <c r="O8" s="9">
        <f>IF(ISNUMBER(O$3),O$2*MAX(0,MIN(1,((YEAR($A8)-YEAR(O$3))*12+MONTH($A8)-MONTH(O$3)+1)/'Capacity by month'!$O$2)),0)</f>
        <v/>
      </c>
      <c r="P8" s="9">
        <f>IF(ISNUMBER(P$3),P$2*MAX(0,MIN(1,((YEAR($A8)-YEAR(P$3))*12+MONTH($A8)-MONTH(P$3)+1)/'Capacity by month'!$O$2)),0)</f>
        <v/>
      </c>
      <c r="Q8" s="9">
        <f>IF(ISNUMBER(Q$3),Q$2*MAX(0,MIN(1,((YEAR($A8)-YEAR(Q$3))*12+MONTH($A8)-MONTH(Q$3)+1)/'Capacity by month'!$O$2)),0)</f>
        <v/>
      </c>
      <c r="R8" s="9">
        <f>IF(ISNUMBER(R$3),R$2*MAX(0,MIN(1,((YEAR($A8)-YEAR(R$3))*12+MONTH($A8)-MONTH(R$3)+1)/'Capacity by month'!$O$2)),0)</f>
        <v/>
      </c>
      <c r="S8" s="9">
        <f>IF(ISNUMBER(S$3),S$2*MAX(0,MIN(1,((YEAR($A8)-YEAR(S$3))*12+MONTH($A8)-MONTH(S$3)+1)/'Capacity by month'!$O$2)),0)</f>
        <v/>
      </c>
      <c r="T8" s="9">
        <f>IF(ISNUMBER(T$3),T$2*MAX(0,MIN(1,((YEAR($A8)-YEAR(T$3))*12+MONTH($A8)-MONTH(T$3)+1)/'Capacity by month'!$O$2)),0)</f>
        <v/>
      </c>
      <c r="U8" s="9">
        <f>IF(ISNUMBER(U$3),U$2*MAX(0,MIN(1,((YEAR($A8)-YEAR(U$3))*12+MONTH($A8)-MONTH(U$3)+1)/'Capacity by month'!$O$2)),0)</f>
        <v/>
      </c>
      <c r="V8" s="9">
        <f>IF(ISNUMBER(V$3),V$2*MAX(0,MIN(1,((YEAR($A8)-YEAR(V$3))*12+MONTH($A8)-MONTH(V$3)+1)/'Capacity by month'!$O$2)),0)</f>
        <v/>
      </c>
      <c r="W8" s="9">
        <f>IF(ISNUMBER(W$3),W$2*MAX(0,MIN(1,((YEAR($A8)-YEAR(W$3))*12+MONTH($A8)-MONTH(W$3)+1)/'Capacity by month'!$O$2)),0)</f>
        <v/>
      </c>
      <c r="X8" s="9">
        <f>IF(ISNUMBER(X$3),X$2*MAX(0,MIN(1,((YEAR($A8)-YEAR(X$3))*12+MONTH($A8)-MONTH(X$3)+1)/'Capacity by month'!$O$2)),0)</f>
        <v/>
      </c>
      <c r="Y8" s="9">
        <f>IF(ISNUMBER(Y$3),Y$2*MAX(0,MIN(1,((YEAR($A8)-YEAR(Y$3))*12+MONTH($A8)-MONTH(Y$3)+1)/'Capacity by month'!$O$2)),0)</f>
        <v/>
      </c>
      <c r="Z8" s="9">
        <f>IF(ISNUMBER(Z$3),Z$2*MAX(0,MIN(1,((YEAR($A8)-YEAR(Z$3))*12+MONTH($A8)-MONTH(Z$3)+1)/'Capacity by month'!$O$2)),0)</f>
        <v/>
      </c>
      <c r="AA8">
        <f>SUM(B8:Z8)</f>
        <v/>
      </c>
      <c r="AB8" t="n">
        <v>0</v>
      </c>
    </row>
    <row r="9">
      <c r="A9" s="8" t="n">
        <v>44348</v>
      </c>
      <c r="B9" s="9">
        <f>IF(ISNUMBER(B$3),B$2*MAX(0,MIN(1,((YEAR($A9)-YEAR(B$3))*12+MONTH($A9)-MONTH(B$3)+1)/'Capacity by month'!$O$2)),0)</f>
        <v/>
      </c>
      <c r="C9" s="9">
        <f>IF(ISNUMBER(C$3),C$2*MAX(0,MIN(1,((YEAR($A9)-YEAR(C$3))*12+MONTH($A9)-MONTH(C$3)+1)/'Capacity by month'!$O$2)),0)</f>
        <v/>
      </c>
      <c r="D9" s="9">
        <f>IF(ISNUMBER(D$3),D$2*MAX(0,MIN(1,((YEAR($A9)-YEAR(D$3))*12+MONTH($A9)-MONTH(D$3)+1)/'Capacity by month'!$O$2)),0)</f>
        <v/>
      </c>
      <c r="E9" s="9">
        <f>IF(ISNUMBER(E$3),E$2*MAX(0,MIN(1,((YEAR($A9)-YEAR(E$3))*12+MONTH($A9)-MONTH(E$3)+1)/'Capacity by month'!$O$2)),0)</f>
        <v/>
      </c>
      <c r="F9" s="9">
        <f>IF(ISNUMBER(F$3),F$2*MAX(0,MIN(1,((YEAR($A9)-YEAR(F$3))*12+MONTH($A9)-MONTH(F$3)+1)/'Capacity by month'!$O$2)),0)</f>
        <v/>
      </c>
      <c r="G9" s="9">
        <f>IF(ISNUMBER(G$3),G$2*MAX(0,MIN(1,((YEAR($A9)-YEAR(G$3))*12+MONTH($A9)-MONTH(G$3)+1)/'Capacity by month'!$O$2)),0)</f>
        <v/>
      </c>
      <c r="H9" s="9">
        <f>IF(ISNUMBER(H$3),H$2*MAX(0,MIN(1,((YEAR($A9)-YEAR(H$3))*12+MONTH($A9)-MONTH(H$3)+1)/'Capacity by month'!$O$2)),0)</f>
        <v/>
      </c>
      <c r="I9" s="9">
        <f>IF(ISNUMBER(I$3),I$2*MAX(0,MIN(1,((YEAR($A9)-YEAR(I$3))*12+MONTH($A9)-MONTH(I$3)+1)/'Capacity by month'!$O$2)),0)</f>
        <v/>
      </c>
      <c r="J9" s="9">
        <f>IF(ISNUMBER(J$3),J$2*MAX(0,MIN(1,((YEAR($A9)-YEAR(J$3))*12+MONTH($A9)-MONTH(J$3)+1)/'Capacity by month'!$O$2)),0)</f>
        <v/>
      </c>
      <c r="K9" s="9">
        <f>IF(ISNUMBER(K$3),K$2*MAX(0,MIN(1,((YEAR($A9)-YEAR(K$3))*12+MONTH($A9)-MONTH(K$3)+1)/'Capacity by month'!$O$2)),0)</f>
        <v/>
      </c>
      <c r="L9" s="9">
        <f>IF(ISNUMBER(L$3),L$2*MAX(0,MIN(1,((YEAR($A9)-YEAR(L$3))*12+MONTH($A9)-MONTH(L$3)+1)/'Capacity by month'!$O$2)),0)</f>
        <v/>
      </c>
      <c r="M9" s="9">
        <f>IF(ISNUMBER(M$3),M$2*MAX(0,MIN(1,((YEAR($A9)-YEAR(M$3))*12+MONTH($A9)-MONTH(M$3)+1)/'Capacity by month'!$O$2)),0)</f>
        <v/>
      </c>
      <c r="N9" s="9">
        <f>IF(ISNUMBER(N$3),N$2*MAX(0,MIN(1,((YEAR($A9)-YEAR(N$3))*12+MONTH($A9)-MONTH(N$3)+1)/'Capacity by month'!$O$2)),0)</f>
        <v/>
      </c>
      <c r="O9" s="9">
        <f>IF(ISNUMBER(O$3),O$2*MAX(0,MIN(1,((YEAR($A9)-YEAR(O$3))*12+MONTH($A9)-MONTH(O$3)+1)/'Capacity by month'!$O$2)),0)</f>
        <v/>
      </c>
      <c r="P9" s="9">
        <f>IF(ISNUMBER(P$3),P$2*MAX(0,MIN(1,((YEAR($A9)-YEAR(P$3))*12+MONTH($A9)-MONTH(P$3)+1)/'Capacity by month'!$O$2)),0)</f>
        <v/>
      </c>
      <c r="Q9" s="9">
        <f>IF(ISNUMBER(Q$3),Q$2*MAX(0,MIN(1,((YEAR($A9)-YEAR(Q$3))*12+MONTH($A9)-MONTH(Q$3)+1)/'Capacity by month'!$O$2)),0)</f>
        <v/>
      </c>
      <c r="R9" s="9">
        <f>IF(ISNUMBER(R$3),R$2*MAX(0,MIN(1,((YEAR($A9)-YEAR(R$3))*12+MONTH($A9)-MONTH(R$3)+1)/'Capacity by month'!$O$2)),0)</f>
        <v/>
      </c>
      <c r="S9" s="9">
        <f>IF(ISNUMBER(S$3),S$2*MAX(0,MIN(1,((YEAR($A9)-YEAR(S$3))*12+MONTH($A9)-MONTH(S$3)+1)/'Capacity by month'!$O$2)),0)</f>
        <v/>
      </c>
      <c r="T9" s="9">
        <f>IF(ISNUMBER(T$3),T$2*MAX(0,MIN(1,((YEAR($A9)-YEAR(T$3))*12+MONTH($A9)-MONTH(T$3)+1)/'Capacity by month'!$O$2)),0)</f>
        <v/>
      </c>
      <c r="U9" s="9">
        <f>IF(ISNUMBER(U$3),U$2*MAX(0,MIN(1,((YEAR($A9)-YEAR(U$3))*12+MONTH($A9)-MONTH(U$3)+1)/'Capacity by month'!$O$2)),0)</f>
        <v/>
      </c>
      <c r="V9" s="9">
        <f>IF(ISNUMBER(V$3),V$2*MAX(0,MIN(1,((YEAR($A9)-YEAR(V$3))*12+MONTH($A9)-MONTH(V$3)+1)/'Capacity by month'!$O$2)),0)</f>
        <v/>
      </c>
      <c r="W9" s="9">
        <f>IF(ISNUMBER(W$3),W$2*MAX(0,MIN(1,((YEAR($A9)-YEAR(W$3))*12+MONTH($A9)-MONTH(W$3)+1)/'Capacity by month'!$O$2)),0)</f>
        <v/>
      </c>
      <c r="X9" s="9">
        <f>IF(ISNUMBER(X$3),X$2*MAX(0,MIN(1,((YEAR($A9)-YEAR(X$3))*12+MONTH($A9)-MONTH(X$3)+1)/'Capacity by month'!$O$2)),0)</f>
        <v/>
      </c>
      <c r="Y9" s="9">
        <f>IF(ISNUMBER(Y$3),Y$2*MAX(0,MIN(1,((YEAR($A9)-YEAR(Y$3))*12+MONTH($A9)-MONTH(Y$3)+1)/'Capacity by month'!$O$2)),0)</f>
        <v/>
      </c>
      <c r="Z9" s="9">
        <f>IF(ISNUMBER(Z$3),Z$2*MAX(0,MIN(1,((YEAR($A9)-YEAR(Z$3))*12+MONTH($A9)-MONTH(Z$3)+1)/'Capacity by month'!$O$2)),0)</f>
        <v/>
      </c>
      <c r="AA9">
        <f>SUM(B9:Z9)</f>
        <v/>
      </c>
      <c r="AB9" t="n">
        <v>0</v>
      </c>
    </row>
    <row r="10">
      <c r="A10" s="8" t="n">
        <v>44378</v>
      </c>
      <c r="B10" s="9">
        <f>IF(ISNUMBER(B$3),B$2*MAX(0,MIN(1,((YEAR($A10)-YEAR(B$3))*12+MONTH($A10)-MONTH(B$3)+1)/'Capacity by month'!$O$2)),0)</f>
        <v/>
      </c>
      <c r="C10" s="9">
        <f>IF(ISNUMBER(C$3),C$2*MAX(0,MIN(1,((YEAR($A10)-YEAR(C$3))*12+MONTH($A10)-MONTH(C$3)+1)/'Capacity by month'!$O$2)),0)</f>
        <v/>
      </c>
      <c r="D10" s="9">
        <f>IF(ISNUMBER(D$3),D$2*MAX(0,MIN(1,((YEAR($A10)-YEAR(D$3))*12+MONTH($A10)-MONTH(D$3)+1)/'Capacity by month'!$O$2)),0)</f>
        <v/>
      </c>
      <c r="E10" s="9">
        <f>IF(ISNUMBER(E$3),E$2*MAX(0,MIN(1,((YEAR($A10)-YEAR(E$3))*12+MONTH($A10)-MONTH(E$3)+1)/'Capacity by month'!$O$2)),0)</f>
        <v/>
      </c>
      <c r="F10" s="9">
        <f>IF(ISNUMBER(F$3),F$2*MAX(0,MIN(1,((YEAR($A10)-YEAR(F$3))*12+MONTH($A10)-MONTH(F$3)+1)/'Capacity by month'!$O$2)),0)</f>
        <v/>
      </c>
      <c r="G10" s="9">
        <f>IF(ISNUMBER(G$3),G$2*MAX(0,MIN(1,((YEAR($A10)-YEAR(G$3))*12+MONTH($A10)-MONTH(G$3)+1)/'Capacity by month'!$O$2)),0)</f>
        <v/>
      </c>
      <c r="H10" s="9">
        <f>IF(ISNUMBER(H$3),H$2*MAX(0,MIN(1,((YEAR($A10)-YEAR(H$3))*12+MONTH($A10)-MONTH(H$3)+1)/'Capacity by month'!$O$2)),0)</f>
        <v/>
      </c>
      <c r="I10" s="9">
        <f>IF(ISNUMBER(I$3),I$2*MAX(0,MIN(1,((YEAR($A10)-YEAR(I$3))*12+MONTH($A10)-MONTH(I$3)+1)/'Capacity by month'!$O$2)),0)</f>
        <v/>
      </c>
      <c r="J10" s="9">
        <f>IF(ISNUMBER(J$3),J$2*MAX(0,MIN(1,((YEAR($A10)-YEAR(J$3))*12+MONTH($A10)-MONTH(J$3)+1)/'Capacity by month'!$O$2)),0)</f>
        <v/>
      </c>
      <c r="K10" s="9">
        <f>IF(ISNUMBER(K$3),K$2*MAX(0,MIN(1,((YEAR($A10)-YEAR(K$3))*12+MONTH($A10)-MONTH(K$3)+1)/'Capacity by month'!$O$2)),0)</f>
        <v/>
      </c>
      <c r="L10" s="9">
        <f>IF(ISNUMBER(L$3),L$2*MAX(0,MIN(1,((YEAR($A10)-YEAR(L$3))*12+MONTH($A10)-MONTH(L$3)+1)/'Capacity by month'!$O$2)),0)</f>
        <v/>
      </c>
      <c r="M10" s="9">
        <f>IF(ISNUMBER(M$3),M$2*MAX(0,MIN(1,((YEAR($A10)-YEAR(M$3))*12+MONTH($A10)-MONTH(M$3)+1)/'Capacity by month'!$O$2)),0)</f>
        <v/>
      </c>
      <c r="N10" s="9">
        <f>IF(ISNUMBER(N$3),N$2*MAX(0,MIN(1,((YEAR($A10)-YEAR(N$3))*12+MONTH($A10)-MONTH(N$3)+1)/'Capacity by month'!$O$2)),0)</f>
        <v/>
      </c>
      <c r="O10" s="9">
        <f>IF(ISNUMBER(O$3),O$2*MAX(0,MIN(1,((YEAR($A10)-YEAR(O$3))*12+MONTH($A10)-MONTH(O$3)+1)/'Capacity by month'!$O$2)),0)</f>
        <v/>
      </c>
      <c r="P10" s="9">
        <f>IF(ISNUMBER(P$3),P$2*MAX(0,MIN(1,((YEAR($A10)-YEAR(P$3))*12+MONTH($A10)-MONTH(P$3)+1)/'Capacity by month'!$O$2)),0)</f>
        <v/>
      </c>
      <c r="Q10" s="9">
        <f>IF(ISNUMBER(Q$3),Q$2*MAX(0,MIN(1,((YEAR($A10)-YEAR(Q$3))*12+MONTH($A10)-MONTH(Q$3)+1)/'Capacity by month'!$O$2)),0)</f>
        <v/>
      </c>
      <c r="R10" s="9">
        <f>IF(ISNUMBER(R$3),R$2*MAX(0,MIN(1,((YEAR($A10)-YEAR(R$3))*12+MONTH($A10)-MONTH(R$3)+1)/'Capacity by month'!$O$2)),0)</f>
        <v/>
      </c>
      <c r="S10" s="9">
        <f>IF(ISNUMBER(S$3),S$2*MAX(0,MIN(1,((YEAR($A10)-YEAR(S$3))*12+MONTH($A10)-MONTH(S$3)+1)/'Capacity by month'!$O$2)),0)</f>
        <v/>
      </c>
      <c r="T10" s="9">
        <f>IF(ISNUMBER(T$3),T$2*MAX(0,MIN(1,((YEAR($A10)-YEAR(T$3))*12+MONTH($A10)-MONTH(T$3)+1)/'Capacity by month'!$O$2)),0)</f>
        <v/>
      </c>
      <c r="U10" s="9">
        <f>IF(ISNUMBER(U$3),U$2*MAX(0,MIN(1,((YEAR($A10)-YEAR(U$3))*12+MONTH($A10)-MONTH(U$3)+1)/'Capacity by month'!$O$2)),0)</f>
        <v/>
      </c>
      <c r="V10" s="9">
        <f>IF(ISNUMBER(V$3),V$2*MAX(0,MIN(1,((YEAR($A10)-YEAR(V$3))*12+MONTH($A10)-MONTH(V$3)+1)/'Capacity by month'!$O$2)),0)</f>
        <v/>
      </c>
      <c r="W10" s="9">
        <f>IF(ISNUMBER(W$3),W$2*MAX(0,MIN(1,((YEAR($A10)-YEAR(W$3))*12+MONTH($A10)-MONTH(W$3)+1)/'Capacity by month'!$O$2)),0)</f>
        <v/>
      </c>
      <c r="X10" s="9">
        <f>IF(ISNUMBER(X$3),X$2*MAX(0,MIN(1,((YEAR($A10)-YEAR(X$3))*12+MONTH($A10)-MONTH(X$3)+1)/'Capacity by month'!$O$2)),0)</f>
        <v/>
      </c>
      <c r="Y10" s="9">
        <f>IF(ISNUMBER(Y$3),Y$2*MAX(0,MIN(1,((YEAR($A10)-YEAR(Y$3))*12+MONTH($A10)-MONTH(Y$3)+1)/'Capacity by month'!$O$2)),0)</f>
        <v/>
      </c>
      <c r="Z10" s="9">
        <f>IF(ISNUMBER(Z$3),Z$2*MAX(0,MIN(1,((YEAR($A10)-YEAR(Z$3))*12+MONTH($A10)-MONTH(Z$3)+1)/'Capacity by month'!$O$2)),0)</f>
        <v/>
      </c>
      <c r="AA10">
        <f>SUM(B10:Z10)</f>
        <v/>
      </c>
      <c r="AB10" t="n">
        <v>0</v>
      </c>
    </row>
    <row r="11">
      <c r="A11" s="8" t="n">
        <v>44409</v>
      </c>
      <c r="B11" s="9">
        <f>IF(ISNUMBER(B$3),B$2*MAX(0,MIN(1,((YEAR($A11)-YEAR(B$3))*12+MONTH($A11)-MONTH(B$3)+1)/'Capacity by month'!$O$2)),0)</f>
        <v/>
      </c>
      <c r="C11" s="9">
        <f>IF(ISNUMBER(C$3),C$2*MAX(0,MIN(1,((YEAR($A11)-YEAR(C$3))*12+MONTH($A11)-MONTH(C$3)+1)/'Capacity by month'!$O$2)),0)</f>
        <v/>
      </c>
      <c r="D11" s="9">
        <f>IF(ISNUMBER(D$3),D$2*MAX(0,MIN(1,((YEAR($A11)-YEAR(D$3))*12+MONTH($A11)-MONTH(D$3)+1)/'Capacity by month'!$O$2)),0)</f>
        <v/>
      </c>
      <c r="E11" s="9">
        <f>IF(ISNUMBER(E$3),E$2*MAX(0,MIN(1,((YEAR($A11)-YEAR(E$3))*12+MONTH($A11)-MONTH(E$3)+1)/'Capacity by month'!$O$2)),0)</f>
        <v/>
      </c>
      <c r="F11" s="9">
        <f>IF(ISNUMBER(F$3),F$2*MAX(0,MIN(1,((YEAR($A11)-YEAR(F$3))*12+MONTH($A11)-MONTH(F$3)+1)/'Capacity by month'!$O$2)),0)</f>
        <v/>
      </c>
      <c r="G11" s="9">
        <f>IF(ISNUMBER(G$3),G$2*MAX(0,MIN(1,((YEAR($A11)-YEAR(G$3))*12+MONTH($A11)-MONTH(G$3)+1)/'Capacity by month'!$O$2)),0)</f>
        <v/>
      </c>
      <c r="H11" s="9">
        <f>IF(ISNUMBER(H$3),H$2*MAX(0,MIN(1,((YEAR($A11)-YEAR(H$3))*12+MONTH($A11)-MONTH(H$3)+1)/'Capacity by month'!$O$2)),0)</f>
        <v/>
      </c>
      <c r="I11" s="9">
        <f>IF(ISNUMBER(I$3),I$2*MAX(0,MIN(1,((YEAR($A11)-YEAR(I$3))*12+MONTH($A11)-MONTH(I$3)+1)/'Capacity by month'!$O$2)),0)</f>
        <v/>
      </c>
      <c r="J11" s="9">
        <f>IF(ISNUMBER(J$3),J$2*MAX(0,MIN(1,((YEAR($A11)-YEAR(J$3))*12+MONTH($A11)-MONTH(J$3)+1)/'Capacity by month'!$O$2)),0)</f>
        <v/>
      </c>
      <c r="K11" s="9">
        <f>IF(ISNUMBER(K$3),K$2*MAX(0,MIN(1,((YEAR($A11)-YEAR(K$3))*12+MONTH($A11)-MONTH(K$3)+1)/'Capacity by month'!$O$2)),0)</f>
        <v/>
      </c>
      <c r="L11" s="9">
        <f>IF(ISNUMBER(L$3),L$2*MAX(0,MIN(1,((YEAR($A11)-YEAR(L$3))*12+MONTH($A11)-MONTH(L$3)+1)/'Capacity by month'!$O$2)),0)</f>
        <v/>
      </c>
      <c r="M11" s="9">
        <f>IF(ISNUMBER(M$3),M$2*MAX(0,MIN(1,((YEAR($A11)-YEAR(M$3))*12+MONTH($A11)-MONTH(M$3)+1)/'Capacity by month'!$O$2)),0)</f>
        <v/>
      </c>
      <c r="N11" s="9">
        <f>IF(ISNUMBER(N$3),N$2*MAX(0,MIN(1,((YEAR($A11)-YEAR(N$3))*12+MONTH($A11)-MONTH(N$3)+1)/'Capacity by month'!$O$2)),0)</f>
        <v/>
      </c>
      <c r="O11" s="9">
        <f>IF(ISNUMBER(O$3),O$2*MAX(0,MIN(1,((YEAR($A11)-YEAR(O$3))*12+MONTH($A11)-MONTH(O$3)+1)/'Capacity by month'!$O$2)),0)</f>
        <v/>
      </c>
      <c r="P11" s="9">
        <f>IF(ISNUMBER(P$3),P$2*MAX(0,MIN(1,((YEAR($A11)-YEAR(P$3))*12+MONTH($A11)-MONTH(P$3)+1)/'Capacity by month'!$O$2)),0)</f>
        <v/>
      </c>
      <c r="Q11" s="9">
        <f>IF(ISNUMBER(Q$3),Q$2*MAX(0,MIN(1,((YEAR($A11)-YEAR(Q$3))*12+MONTH($A11)-MONTH(Q$3)+1)/'Capacity by month'!$O$2)),0)</f>
        <v/>
      </c>
      <c r="R11" s="9">
        <f>IF(ISNUMBER(R$3),R$2*MAX(0,MIN(1,((YEAR($A11)-YEAR(R$3))*12+MONTH($A11)-MONTH(R$3)+1)/'Capacity by month'!$O$2)),0)</f>
        <v/>
      </c>
      <c r="S11" s="9">
        <f>IF(ISNUMBER(S$3),S$2*MAX(0,MIN(1,((YEAR($A11)-YEAR(S$3))*12+MONTH($A11)-MONTH(S$3)+1)/'Capacity by month'!$O$2)),0)</f>
        <v/>
      </c>
      <c r="T11" s="9">
        <f>IF(ISNUMBER(T$3),T$2*MAX(0,MIN(1,((YEAR($A11)-YEAR(T$3))*12+MONTH($A11)-MONTH(T$3)+1)/'Capacity by month'!$O$2)),0)</f>
        <v/>
      </c>
      <c r="U11" s="9">
        <f>IF(ISNUMBER(U$3),U$2*MAX(0,MIN(1,((YEAR($A11)-YEAR(U$3))*12+MONTH($A11)-MONTH(U$3)+1)/'Capacity by month'!$O$2)),0)</f>
        <v/>
      </c>
      <c r="V11" s="9">
        <f>IF(ISNUMBER(V$3),V$2*MAX(0,MIN(1,((YEAR($A11)-YEAR(V$3))*12+MONTH($A11)-MONTH(V$3)+1)/'Capacity by month'!$O$2)),0)</f>
        <v/>
      </c>
      <c r="W11" s="9">
        <f>IF(ISNUMBER(W$3),W$2*MAX(0,MIN(1,((YEAR($A11)-YEAR(W$3))*12+MONTH($A11)-MONTH(W$3)+1)/'Capacity by month'!$O$2)),0)</f>
        <v/>
      </c>
      <c r="X11" s="9">
        <f>IF(ISNUMBER(X$3),X$2*MAX(0,MIN(1,((YEAR($A11)-YEAR(X$3))*12+MONTH($A11)-MONTH(X$3)+1)/'Capacity by month'!$O$2)),0)</f>
        <v/>
      </c>
      <c r="Y11" s="9">
        <f>IF(ISNUMBER(Y$3),Y$2*MAX(0,MIN(1,((YEAR($A11)-YEAR(Y$3))*12+MONTH($A11)-MONTH(Y$3)+1)/'Capacity by month'!$O$2)),0)</f>
        <v/>
      </c>
      <c r="Z11" s="9">
        <f>IF(ISNUMBER(Z$3),Z$2*MAX(0,MIN(1,((YEAR($A11)-YEAR(Z$3))*12+MONTH($A11)-MONTH(Z$3)+1)/'Capacity by month'!$O$2)),0)</f>
        <v/>
      </c>
      <c r="AA11">
        <f>SUM(B11:Z11)</f>
        <v/>
      </c>
      <c r="AB11" t="n">
        <v>0</v>
      </c>
    </row>
    <row r="12">
      <c r="A12" s="8" t="n">
        <v>44440</v>
      </c>
      <c r="B12" s="9">
        <f>IF(ISNUMBER(B$3),B$2*MAX(0,MIN(1,((YEAR($A12)-YEAR(B$3))*12+MONTH($A12)-MONTH(B$3)+1)/'Capacity by month'!$O$2)),0)</f>
        <v/>
      </c>
      <c r="C12" s="9">
        <f>IF(ISNUMBER(C$3),C$2*MAX(0,MIN(1,((YEAR($A12)-YEAR(C$3))*12+MONTH($A12)-MONTH(C$3)+1)/'Capacity by month'!$O$2)),0)</f>
        <v/>
      </c>
      <c r="D12" s="9">
        <f>IF(ISNUMBER(D$3),D$2*MAX(0,MIN(1,((YEAR($A12)-YEAR(D$3))*12+MONTH($A12)-MONTH(D$3)+1)/'Capacity by month'!$O$2)),0)</f>
        <v/>
      </c>
      <c r="E12" s="9">
        <f>IF(ISNUMBER(E$3),E$2*MAX(0,MIN(1,((YEAR($A12)-YEAR(E$3))*12+MONTH($A12)-MONTH(E$3)+1)/'Capacity by month'!$O$2)),0)</f>
        <v/>
      </c>
      <c r="F12" s="9">
        <f>IF(ISNUMBER(F$3),F$2*MAX(0,MIN(1,((YEAR($A12)-YEAR(F$3))*12+MONTH($A12)-MONTH(F$3)+1)/'Capacity by month'!$O$2)),0)</f>
        <v/>
      </c>
      <c r="G12" s="9">
        <f>IF(ISNUMBER(G$3),G$2*MAX(0,MIN(1,((YEAR($A12)-YEAR(G$3))*12+MONTH($A12)-MONTH(G$3)+1)/'Capacity by month'!$O$2)),0)</f>
        <v/>
      </c>
      <c r="H12" s="9">
        <f>IF(ISNUMBER(H$3),H$2*MAX(0,MIN(1,((YEAR($A12)-YEAR(H$3))*12+MONTH($A12)-MONTH(H$3)+1)/'Capacity by month'!$O$2)),0)</f>
        <v/>
      </c>
      <c r="I12" s="9">
        <f>IF(ISNUMBER(I$3),I$2*MAX(0,MIN(1,((YEAR($A12)-YEAR(I$3))*12+MONTH($A12)-MONTH(I$3)+1)/'Capacity by month'!$O$2)),0)</f>
        <v/>
      </c>
      <c r="J12" s="9">
        <f>IF(ISNUMBER(J$3),J$2*MAX(0,MIN(1,((YEAR($A12)-YEAR(J$3))*12+MONTH($A12)-MONTH(J$3)+1)/'Capacity by month'!$O$2)),0)</f>
        <v/>
      </c>
      <c r="K12" s="9">
        <f>IF(ISNUMBER(K$3),K$2*MAX(0,MIN(1,((YEAR($A12)-YEAR(K$3))*12+MONTH($A12)-MONTH(K$3)+1)/'Capacity by month'!$O$2)),0)</f>
        <v/>
      </c>
      <c r="L12" s="9">
        <f>IF(ISNUMBER(L$3),L$2*MAX(0,MIN(1,((YEAR($A12)-YEAR(L$3))*12+MONTH($A12)-MONTH(L$3)+1)/'Capacity by month'!$O$2)),0)</f>
        <v/>
      </c>
      <c r="M12" s="9">
        <f>IF(ISNUMBER(M$3),M$2*MAX(0,MIN(1,((YEAR($A12)-YEAR(M$3))*12+MONTH($A12)-MONTH(M$3)+1)/'Capacity by month'!$O$2)),0)</f>
        <v/>
      </c>
      <c r="N12" s="9">
        <f>IF(ISNUMBER(N$3),N$2*MAX(0,MIN(1,((YEAR($A12)-YEAR(N$3))*12+MONTH($A12)-MONTH(N$3)+1)/'Capacity by month'!$O$2)),0)</f>
        <v/>
      </c>
      <c r="O12" s="9">
        <f>IF(ISNUMBER(O$3),O$2*MAX(0,MIN(1,((YEAR($A12)-YEAR(O$3))*12+MONTH($A12)-MONTH(O$3)+1)/'Capacity by month'!$O$2)),0)</f>
        <v/>
      </c>
      <c r="P12" s="9">
        <f>IF(ISNUMBER(P$3),P$2*MAX(0,MIN(1,((YEAR($A12)-YEAR(P$3))*12+MONTH($A12)-MONTH(P$3)+1)/'Capacity by month'!$O$2)),0)</f>
        <v/>
      </c>
      <c r="Q12" s="9">
        <f>IF(ISNUMBER(Q$3),Q$2*MAX(0,MIN(1,((YEAR($A12)-YEAR(Q$3))*12+MONTH($A12)-MONTH(Q$3)+1)/'Capacity by month'!$O$2)),0)</f>
        <v/>
      </c>
      <c r="R12" s="9">
        <f>IF(ISNUMBER(R$3),R$2*MAX(0,MIN(1,((YEAR($A12)-YEAR(R$3))*12+MONTH($A12)-MONTH(R$3)+1)/'Capacity by month'!$O$2)),0)</f>
        <v/>
      </c>
      <c r="S12" s="9">
        <f>IF(ISNUMBER(S$3),S$2*MAX(0,MIN(1,((YEAR($A12)-YEAR(S$3))*12+MONTH($A12)-MONTH(S$3)+1)/'Capacity by month'!$O$2)),0)</f>
        <v/>
      </c>
      <c r="T12" s="9">
        <f>IF(ISNUMBER(T$3),T$2*MAX(0,MIN(1,((YEAR($A12)-YEAR(T$3))*12+MONTH($A12)-MONTH(T$3)+1)/'Capacity by month'!$O$2)),0)</f>
        <v/>
      </c>
      <c r="U12" s="9">
        <f>IF(ISNUMBER(U$3),U$2*MAX(0,MIN(1,((YEAR($A12)-YEAR(U$3))*12+MONTH($A12)-MONTH(U$3)+1)/'Capacity by month'!$O$2)),0)</f>
        <v/>
      </c>
      <c r="V12" s="9">
        <f>IF(ISNUMBER(V$3),V$2*MAX(0,MIN(1,((YEAR($A12)-YEAR(V$3))*12+MONTH($A12)-MONTH(V$3)+1)/'Capacity by month'!$O$2)),0)</f>
        <v/>
      </c>
      <c r="W12" s="9">
        <f>IF(ISNUMBER(W$3),W$2*MAX(0,MIN(1,((YEAR($A12)-YEAR(W$3))*12+MONTH($A12)-MONTH(W$3)+1)/'Capacity by month'!$O$2)),0)</f>
        <v/>
      </c>
      <c r="X12" s="9">
        <f>IF(ISNUMBER(X$3),X$2*MAX(0,MIN(1,((YEAR($A12)-YEAR(X$3))*12+MONTH($A12)-MONTH(X$3)+1)/'Capacity by month'!$O$2)),0)</f>
        <v/>
      </c>
      <c r="Y12" s="9">
        <f>IF(ISNUMBER(Y$3),Y$2*MAX(0,MIN(1,((YEAR($A12)-YEAR(Y$3))*12+MONTH($A12)-MONTH(Y$3)+1)/'Capacity by month'!$O$2)),0)</f>
        <v/>
      </c>
      <c r="Z12" s="9">
        <f>IF(ISNUMBER(Z$3),Z$2*MAX(0,MIN(1,((YEAR($A12)-YEAR(Z$3))*12+MONTH($A12)-MONTH(Z$3)+1)/'Capacity by month'!$O$2)),0)</f>
        <v/>
      </c>
      <c r="AA12">
        <f>SUM(B12:Z12)</f>
        <v/>
      </c>
      <c r="AB12" t="n">
        <v>0</v>
      </c>
    </row>
    <row r="13">
      <c r="A13" s="8" t="n">
        <v>44470</v>
      </c>
      <c r="B13" s="9">
        <f>IF(ISNUMBER(B$3),B$2*MAX(0,MIN(1,((YEAR($A13)-YEAR(B$3))*12+MONTH($A13)-MONTH(B$3)+1)/'Capacity by month'!$O$2)),0)</f>
        <v/>
      </c>
      <c r="C13" s="9">
        <f>IF(ISNUMBER(C$3),C$2*MAX(0,MIN(1,((YEAR($A13)-YEAR(C$3))*12+MONTH($A13)-MONTH(C$3)+1)/'Capacity by month'!$O$2)),0)</f>
        <v/>
      </c>
      <c r="D13" s="9">
        <f>IF(ISNUMBER(D$3),D$2*MAX(0,MIN(1,((YEAR($A13)-YEAR(D$3))*12+MONTH($A13)-MONTH(D$3)+1)/'Capacity by month'!$O$2)),0)</f>
        <v/>
      </c>
      <c r="E13" s="9">
        <f>IF(ISNUMBER(E$3),E$2*MAX(0,MIN(1,((YEAR($A13)-YEAR(E$3))*12+MONTH($A13)-MONTH(E$3)+1)/'Capacity by month'!$O$2)),0)</f>
        <v/>
      </c>
      <c r="F13" s="9">
        <f>IF(ISNUMBER(F$3),F$2*MAX(0,MIN(1,((YEAR($A13)-YEAR(F$3))*12+MONTH($A13)-MONTH(F$3)+1)/'Capacity by month'!$O$2)),0)</f>
        <v/>
      </c>
      <c r="G13" s="9">
        <f>IF(ISNUMBER(G$3),G$2*MAX(0,MIN(1,((YEAR($A13)-YEAR(G$3))*12+MONTH($A13)-MONTH(G$3)+1)/'Capacity by month'!$O$2)),0)</f>
        <v/>
      </c>
      <c r="H13" s="9">
        <f>IF(ISNUMBER(H$3),H$2*MAX(0,MIN(1,((YEAR($A13)-YEAR(H$3))*12+MONTH($A13)-MONTH(H$3)+1)/'Capacity by month'!$O$2)),0)</f>
        <v/>
      </c>
      <c r="I13" s="9">
        <f>IF(ISNUMBER(I$3),I$2*MAX(0,MIN(1,((YEAR($A13)-YEAR(I$3))*12+MONTH($A13)-MONTH(I$3)+1)/'Capacity by month'!$O$2)),0)</f>
        <v/>
      </c>
      <c r="J13" s="9">
        <f>IF(ISNUMBER(J$3),J$2*MAX(0,MIN(1,((YEAR($A13)-YEAR(J$3))*12+MONTH($A13)-MONTH(J$3)+1)/'Capacity by month'!$O$2)),0)</f>
        <v/>
      </c>
      <c r="K13" s="9">
        <f>IF(ISNUMBER(K$3),K$2*MAX(0,MIN(1,((YEAR($A13)-YEAR(K$3))*12+MONTH($A13)-MONTH(K$3)+1)/'Capacity by month'!$O$2)),0)</f>
        <v/>
      </c>
      <c r="L13" s="9">
        <f>IF(ISNUMBER(L$3),L$2*MAX(0,MIN(1,((YEAR($A13)-YEAR(L$3))*12+MONTH($A13)-MONTH(L$3)+1)/'Capacity by month'!$O$2)),0)</f>
        <v/>
      </c>
      <c r="M13" s="9">
        <f>IF(ISNUMBER(M$3),M$2*MAX(0,MIN(1,((YEAR($A13)-YEAR(M$3))*12+MONTH($A13)-MONTH(M$3)+1)/'Capacity by month'!$O$2)),0)</f>
        <v/>
      </c>
      <c r="N13" s="9">
        <f>IF(ISNUMBER(N$3),N$2*MAX(0,MIN(1,((YEAR($A13)-YEAR(N$3))*12+MONTH($A13)-MONTH(N$3)+1)/'Capacity by month'!$O$2)),0)</f>
        <v/>
      </c>
      <c r="O13" s="9">
        <f>IF(ISNUMBER(O$3),O$2*MAX(0,MIN(1,((YEAR($A13)-YEAR(O$3))*12+MONTH($A13)-MONTH(O$3)+1)/'Capacity by month'!$O$2)),0)</f>
        <v/>
      </c>
      <c r="P13" s="9">
        <f>IF(ISNUMBER(P$3),P$2*MAX(0,MIN(1,((YEAR($A13)-YEAR(P$3))*12+MONTH($A13)-MONTH(P$3)+1)/'Capacity by month'!$O$2)),0)</f>
        <v/>
      </c>
      <c r="Q13" s="9">
        <f>IF(ISNUMBER(Q$3),Q$2*MAX(0,MIN(1,((YEAR($A13)-YEAR(Q$3))*12+MONTH($A13)-MONTH(Q$3)+1)/'Capacity by month'!$O$2)),0)</f>
        <v/>
      </c>
      <c r="R13" s="9">
        <f>IF(ISNUMBER(R$3),R$2*MAX(0,MIN(1,((YEAR($A13)-YEAR(R$3))*12+MONTH($A13)-MONTH(R$3)+1)/'Capacity by month'!$O$2)),0)</f>
        <v/>
      </c>
      <c r="S13" s="9">
        <f>IF(ISNUMBER(S$3),S$2*MAX(0,MIN(1,((YEAR($A13)-YEAR(S$3))*12+MONTH($A13)-MONTH(S$3)+1)/'Capacity by month'!$O$2)),0)</f>
        <v/>
      </c>
      <c r="T13" s="9">
        <f>IF(ISNUMBER(T$3),T$2*MAX(0,MIN(1,((YEAR($A13)-YEAR(T$3))*12+MONTH($A13)-MONTH(T$3)+1)/'Capacity by month'!$O$2)),0)</f>
        <v/>
      </c>
      <c r="U13" s="9">
        <f>IF(ISNUMBER(U$3),U$2*MAX(0,MIN(1,((YEAR($A13)-YEAR(U$3))*12+MONTH($A13)-MONTH(U$3)+1)/'Capacity by month'!$O$2)),0)</f>
        <v/>
      </c>
      <c r="V13" s="9">
        <f>IF(ISNUMBER(V$3),V$2*MAX(0,MIN(1,((YEAR($A13)-YEAR(V$3))*12+MONTH($A13)-MONTH(V$3)+1)/'Capacity by month'!$O$2)),0)</f>
        <v/>
      </c>
      <c r="W13" s="9">
        <f>IF(ISNUMBER(W$3),W$2*MAX(0,MIN(1,((YEAR($A13)-YEAR(W$3))*12+MONTH($A13)-MONTH(W$3)+1)/'Capacity by month'!$O$2)),0)</f>
        <v/>
      </c>
      <c r="X13" s="9">
        <f>IF(ISNUMBER(X$3),X$2*MAX(0,MIN(1,((YEAR($A13)-YEAR(X$3))*12+MONTH($A13)-MONTH(X$3)+1)/'Capacity by month'!$O$2)),0)</f>
        <v/>
      </c>
      <c r="Y13" s="9">
        <f>IF(ISNUMBER(Y$3),Y$2*MAX(0,MIN(1,((YEAR($A13)-YEAR(Y$3))*12+MONTH($A13)-MONTH(Y$3)+1)/'Capacity by month'!$O$2)),0)</f>
        <v/>
      </c>
      <c r="Z13" s="9">
        <f>IF(ISNUMBER(Z$3),Z$2*MAX(0,MIN(1,((YEAR($A13)-YEAR(Z$3))*12+MONTH($A13)-MONTH(Z$3)+1)/'Capacity by month'!$O$2)),0)</f>
        <v/>
      </c>
      <c r="AA13">
        <f>SUM(B13:Z13)</f>
        <v/>
      </c>
      <c r="AB13" t="n">
        <v>0</v>
      </c>
    </row>
    <row r="14">
      <c r="A14" s="8" t="n">
        <v>44501</v>
      </c>
      <c r="B14" s="9">
        <f>IF(ISNUMBER(B$3),B$2*MAX(0,MIN(1,((YEAR($A14)-YEAR(B$3))*12+MONTH($A14)-MONTH(B$3)+1)/'Capacity by month'!$O$2)),0)</f>
        <v/>
      </c>
      <c r="C14" s="9">
        <f>IF(ISNUMBER(C$3),C$2*MAX(0,MIN(1,((YEAR($A14)-YEAR(C$3))*12+MONTH($A14)-MONTH(C$3)+1)/'Capacity by month'!$O$2)),0)</f>
        <v/>
      </c>
      <c r="D14" s="9">
        <f>IF(ISNUMBER(D$3),D$2*MAX(0,MIN(1,((YEAR($A14)-YEAR(D$3))*12+MONTH($A14)-MONTH(D$3)+1)/'Capacity by month'!$O$2)),0)</f>
        <v/>
      </c>
      <c r="E14" s="9">
        <f>IF(ISNUMBER(E$3),E$2*MAX(0,MIN(1,((YEAR($A14)-YEAR(E$3))*12+MONTH($A14)-MONTH(E$3)+1)/'Capacity by month'!$O$2)),0)</f>
        <v/>
      </c>
      <c r="F14" s="9">
        <f>IF(ISNUMBER(F$3),F$2*MAX(0,MIN(1,((YEAR($A14)-YEAR(F$3))*12+MONTH($A14)-MONTH(F$3)+1)/'Capacity by month'!$O$2)),0)</f>
        <v/>
      </c>
      <c r="G14" s="9">
        <f>IF(ISNUMBER(G$3),G$2*MAX(0,MIN(1,((YEAR($A14)-YEAR(G$3))*12+MONTH($A14)-MONTH(G$3)+1)/'Capacity by month'!$O$2)),0)</f>
        <v/>
      </c>
      <c r="H14" s="9">
        <f>IF(ISNUMBER(H$3),H$2*MAX(0,MIN(1,((YEAR($A14)-YEAR(H$3))*12+MONTH($A14)-MONTH(H$3)+1)/'Capacity by month'!$O$2)),0)</f>
        <v/>
      </c>
      <c r="I14" s="9">
        <f>IF(ISNUMBER(I$3),I$2*MAX(0,MIN(1,((YEAR($A14)-YEAR(I$3))*12+MONTH($A14)-MONTH(I$3)+1)/'Capacity by month'!$O$2)),0)</f>
        <v/>
      </c>
      <c r="J14" s="9">
        <f>IF(ISNUMBER(J$3),J$2*MAX(0,MIN(1,((YEAR($A14)-YEAR(J$3))*12+MONTH($A14)-MONTH(J$3)+1)/'Capacity by month'!$O$2)),0)</f>
        <v/>
      </c>
      <c r="K14" s="9">
        <f>IF(ISNUMBER(K$3),K$2*MAX(0,MIN(1,((YEAR($A14)-YEAR(K$3))*12+MONTH($A14)-MONTH(K$3)+1)/'Capacity by month'!$O$2)),0)</f>
        <v/>
      </c>
      <c r="L14" s="9">
        <f>IF(ISNUMBER(L$3),L$2*MAX(0,MIN(1,((YEAR($A14)-YEAR(L$3))*12+MONTH($A14)-MONTH(L$3)+1)/'Capacity by month'!$O$2)),0)</f>
        <v/>
      </c>
      <c r="M14" s="9">
        <f>IF(ISNUMBER(M$3),M$2*MAX(0,MIN(1,((YEAR($A14)-YEAR(M$3))*12+MONTH($A14)-MONTH(M$3)+1)/'Capacity by month'!$O$2)),0)</f>
        <v/>
      </c>
      <c r="N14" s="9">
        <f>IF(ISNUMBER(N$3),N$2*MAX(0,MIN(1,((YEAR($A14)-YEAR(N$3))*12+MONTH($A14)-MONTH(N$3)+1)/'Capacity by month'!$O$2)),0)</f>
        <v/>
      </c>
      <c r="O14" s="9">
        <f>IF(ISNUMBER(O$3),O$2*MAX(0,MIN(1,((YEAR($A14)-YEAR(O$3))*12+MONTH($A14)-MONTH(O$3)+1)/'Capacity by month'!$O$2)),0)</f>
        <v/>
      </c>
      <c r="P14" s="9">
        <f>IF(ISNUMBER(P$3),P$2*MAX(0,MIN(1,((YEAR($A14)-YEAR(P$3))*12+MONTH($A14)-MONTH(P$3)+1)/'Capacity by month'!$O$2)),0)</f>
        <v/>
      </c>
      <c r="Q14" s="9">
        <f>IF(ISNUMBER(Q$3),Q$2*MAX(0,MIN(1,((YEAR($A14)-YEAR(Q$3))*12+MONTH($A14)-MONTH(Q$3)+1)/'Capacity by month'!$O$2)),0)</f>
        <v/>
      </c>
      <c r="R14" s="9">
        <f>IF(ISNUMBER(R$3),R$2*MAX(0,MIN(1,((YEAR($A14)-YEAR(R$3))*12+MONTH($A14)-MONTH(R$3)+1)/'Capacity by month'!$O$2)),0)</f>
        <v/>
      </c>
      <c r="S14" s="9">
        <f>IF(ISNUMBER(S$3),S$2*MAX(0,MIN(1,((YEAR($A14)-YEAR(S$3))*12+MONTH($A14)-MONTH(S$3)+1)/'Capacity by month'!$O$2)),0)</f>
        <v/>
      </c>
      <c r="T14" s="9">
        <f>IF(ISNUMBER(T$3),T$2*MAX(0,MIN(1,((YEAR($A14)-YEAR(T$3))*12+MONTH($A14)-MONTH(T$3)+1)/'Capacity by month'!$O$2)),0)</f>
        <v/>
      </c>
      <c r="U14" s="9">
        <f>IF(ISNUMBER(U$3),U$2*MAX(0,MIN(1,((YEAR($A14)-YEAR(U$3))*12+MONTH($A14)-MONTH(U$3)+1)/'Capacity by month'!$O$2)),0)</f>
        <v/>
      </c>
      <c r="V14" s="9">
        <f>IF(ISNUMBER(V$3),V$2*MAX(0,MIN(1,((YEAR($A14)-YEAR(V$3))*12+MONTH($A14)-MONTH(V$3)+1)/'Capacity by month'!$O$2)),0)</f>
        <v/>
      </c>
      <c r="W14" s="9">
        <f>IF(ISNUMBER(W$3),W$2*MAX(0,MIN(1,((YEAR($A14)-YEAR(W$3))*12+MONTH($A14)-MONTH(W$3)+1)/'Capacity by month'!$O$2)),0)</f>
        <v/>
      </c>
      <c r="X14" s="9">
        <f>IF(ISNUMBER(X$3),X$2*MAX(0,MIN(1,((YEAR($A14)-YEAR(X$3))*12+MONTH($A14)-MONTH(X$3)+1)/'Capacity by month'!$O$2)),0)</f>
        <v/>
      </c>
      <c r="Y14" s="9">
        <f>IF(ISNUMBER(Y$3),Y$2*MAX(0,MIN(1,((YEAR($A14)-YEAR(Y$3))*12+MONTH($A14)-MONTH(Y$3)+1)/'Capacity by month'!$O$2)),0)</f>
        <v/>
      </c>
      <c r="Z14" s="9">
        <f>IF(ISNUMBER(Z$3),Z$2*MAX(0,MIN(1,((YEAR($A14)-YEAR(Z$3))*12+MONTH($A14)-MONTH(Z$3)+1)/'Capacity by month'!$O$2)),0)</f>
        <v/>
      </c>
      <c r="AA14">
        <f>SUM(B14:Z14)</f>
        <v/>
      </c>
      <c r="AB14" t="n">
        <v>0</v>
      </c>
    </row>
    <row r="15">
      <c r="A15" s="8" t="n">
        <v>44531</v>
      </c>
      <c r="B15" s="9">
        <f>IF(ISNUMBER(B$3),B$2*MAX(0,MIN(1,((YEAR($A15)-YEAR(B$3))*12+MONTH($A15)-MONTH(B$3)+1)/'Capacity by month'!$O$2)),0)</f>
        <v/>
      </c>
      <c r="C15" s="9">
        <f>IF(ISNUMBER(C$3),C$2*MAX(0,MIN(1,((YEAR($A15)-YEAR(C$3))*12+MONTH($A15)-MONTH(C$3)+1)/'Capacity by month'!$O$2)),0)</f>
        <v/>
      </c>
      <c r="D15" s="9">
        <f>IF(ISNUMBER(D$3),D$2*MAX(0,MIN(1,((YEAR($A15)-YEAR(D$3))*12+MONTH($A15)-MONTH(D$3)+1)/'Capacity by month'!$O$2)),0)</f>
        <v/>
      </c>
      <c r="E15" s="9">
        <f>IF(ISNUMBER(E$3),E$2*MAX(0,MIN(1,((YEAR($A15)-YEAR(E$3))*12+MONTH($A15)-MONTH(E$3)+1)/'Capacity by month'!$O$2)),0)</f>
        <v/>
      </c>
      <c r="F15" s="9">
        <f>IF(ISNUMBER(F$3),F$2*MAX(0,MIN(1,((YEAR($A15)-YEAR(F$3))*12+MONTH($A15)-MONTH(F$3)+1)/'Capacity by month'!$O$2)),0)</f>
        <v/>
      </c>
      <c r="G15" s="9">
        <f>IF(ISNUMBER(G$3),G$2*MAX(0,MIN(1,((YEAR($A15)-YEAR(G$3))*12+MONTH($A15)-MONTH(G$3)+1)/'Capacity by month'!$O$2)),0)</f>
        <v/>
      </c>
      <c r="H15" s="9">
        <f>IF(ISNUMBER(H$3),H$2*MAX(0,MIN(1,((YEAR($A15)-YEAR(H$3))*12+MONTH($A15)-MONTH(H$3)+1)/'Capacity by month'!$O$2)),0)</f>
        <v/>
      </c>
      <c r="I15" s="9">
        <f>IF(ISNUMBER(I$3),I$2*MAX(0,MIN(1,((YEAR($A15)-YEAR(I$3))*12+MONTH($A15)-MONTH(I$3)+1)/'Capacity by month'!$O$2)),0)</f>
        <v/>
      </c>
      <c r="J15" s="9">
        <f>IF(ISNUMBER(J$3),J$2*MAX(0,MIN(1,((YEAR($A15)-YEAR(J$3))*12+MONTH($A15)-MONTH(J$3)+1)/'Capacity by month'!$O$2)),0)</f>
        <v/>
      </c>
      <c r="K15" s="9">
        <f>IF(ISNUMBER(K$3),K$2*MAX(0,MIN(1,((YEAR($A15)-YEAR(K$3))*12+MONTH($A15)-MONTH(K$3)+1)/'Capacity by month'!$O$2)),0)</f>
        <v/>
      </c>
      <c r="L15" s="9">
        <f>IF(ISNUMBER(L$3),L$2*MAX(0,MIN(1,((YEAR($A15)-YEAR(L$3))*12+MONTH($A15)-MONTH(L$3)+1)/'Capacity by month'!$O$2)),0)</f>
        <v/>
      </c>
      <c r="M15" s="9">
        <f>IF(ISNUMBER(M$3),M$2*MAX(0,MIN(1,((YEAR($A15)-YEAR(M$3))*12+MONTH($A15)-MONTH(M$3)+1)/'Capacity by month'!$O$2)),0)</f>
        <v/>
      </c>
      <c r="N15" s="9">
        <f>IF(ISNUMBER(N$3),N$2*MAX(0,MIN(1,((YEAR($A15)-YEAR(N$3))*12+MONTH($A15)-MONTH(N$3)+1)/'Capacity by month'!$O$2)),0)</f>
        <v/>
      </c>
      <c r="O15" s="9">
        <f>IF(ISNUMBER(O$3),O$2*MAX(0,MIN(1,((YEAR($A15)-YEAR(O$3))*12+MONTH($A15)-MONTH(O$3)+1)/'Capacity by month'!$O$2)),0)</f>
        <v/>
      </c>
      <c r="P15" s="9">
        <f>IF(ISNUMBER(P$3),P$2*MAX(0,MIN(1,((YEAR($A15)-YEAR(P$3))*12+MONTH($A15)-MONTH(P$3)+1)/'Capacity by month'!$O$2)),0)</f>
        <v/>
      </c>
      <c r="Q15" s="9">
        <f>IF(ISNUMBER(Q$3),Q$2*MAX(0,MIN(1,((YEAR($A15)-YEAR(Q$3))*12+MONTH($A15)-MONTH(Q$3)+1)/'Capacity by month'!$O$2)),0)</f>
        <v/>
      </c>
      <c r="R15" s="9">
        <f>IF(ISNUMBER(R$3),R$2*MAX(0,MIN(1,((YEAR($A15)-YEAR(R$3))*12+MONTH($A15)-MONTH(R$3)+1)/'Capacity by month'!$O$2)),0)</f>
        <v/>
      </c>
      <c r="S15" s="9">
        <f>IF(ISNUMBER(S$3),S$2*MAX(0,MIN(1,((YEAR($A15)-YEAR(S$3))*12+MONTH($A15)-MONTH(S$3)+1)/'Capacity by month'!$O$2)),0)</f>
        <v/>
      </c>
      <c r="T15" s="9">
        <f>IF(ISNUMBER(T$3),T$2*MAX(0,MIN(1,((YEAR($A15)-YEAR(T$3))*12+MONTH($A15)-MONTH(T$3)+1)/'Capacity by month'!$O$2)),0)</f>
        <v/>
      </c>
      <c r="U15" s="9">
        <f>IF(ISNUMBER(U$3),U$2*MAX(0,MIN(1,((YEAR($A15)-YEAR(U$3))*12+MONTH($A15)-MONTH(U$3)+1)/'Capacity by month'!$O$2)),0)</f>
        <v/>
      </c>
      <c r="V15" s="9">
        <f>IF(ISNUMBER(V$3),V$2*MAX(0,MIN(1,((YEAR($A15)-YEAR(V$3))*12+MONTH($A15)-MONTH(V$3)+1)/'Capacity by month'!$O$2)),0)</f>
        <v/>
      </c>
      <c r="W15" s="9">
        <f>IF(ISNUMBER(W$3),W$2*MAX(0,MIN(1,((YEAR($A15)-YEAR(W$3))*12+MONTH($A15)-MONTH(W$3)+1)/'Capacity by month'!$O$2)),0)</f>
        <v/>
      </c>
      <c r="X15" s="9">
        <f>IF(ISNUMBER(X$3),X$2*MAX(0,MIN(1,((YEAR($A15)-YEAR(X$3))*12+MONTH($A15)-MONTH(X$3)+1)/'Capacity by month'!$O$2)),0)</f>
        <v/>
      </c>
      <c r="Y15" s="9">
        <f>IF(ISNUMBER(Y$3),Y$2*MAX(0,MIN(1,((YEAR($A15)-YEAR(Y$3))*12+MONTH($A15)-MONTH(Y$3)+1)/'Capacity by month'!$O$2)),0)</f>
        <v/>
      </c>
      <c r="Z15" s="9">
        <f>IF(ISNUMBER(Z$3),Z$2*MAX(0,MIN(1,((YEAR($A15)-YEAR(Z$3))*12+MONTH($A15)-MONTH(Z$3)+1)/'Capacity by month'!$O$2)),0)</f>
        <v/>
      </c>
      <c r="AA15">
        <f>SUM(B15:Z15)</f>
        <v/>
      </c>
      <c r="AB15" t="n">
        <v>0</v>
      </c>
    </row>
    <row r="16">
      <c r="A16" s="8" t="n">
        <v>44562</v>
      </c>
      <c r="B16" s="9">
        <f>IF(ISNUMBER(B$3),B$2*MAX(0,MIN(1,((YEAR($A16)-YEAR(B$3))*12+MONTH($A16)-MONTH(B$3)+1)/'Capacity by month'!$O$2)),0)</f>
        <v/>
      </c>
      <c r="C16" s="9">
        <f>IF(ISNUMBER(C$3),C$2*MAX(0,MIN(1,((YEAR($A16)-YEAR(C$3))*12+MONTH($A16)-MONTH(C$3)+1)/'Capacity by month'!$O$2)),0)</f>
        <v/>
      </c>
      <c r="D16" s="9">
        <f>IF(ISNUMBER(D$3),D$2*MAX(0,MIN(1,((YEAR($A16)-YEAR(D$3))*12+MONTH($A16)-MONTH(D$3)+1)/'Capacity by month'!$O$2)),0)</f>
        <v/>
      </c>
      <c r="E16" s="9">
        <f>IF(ISNUMBER(E$3),E$2*MAX(0,MIN(1,((YEAR($A16)-YEAR(E$3))*12+MONTH($A16)-MONTH(E$3)+1)/'Capacity by month'!$O$2)),0)</f>
        <v/>
      </c>
      <c r="F16" s="9">
        <f>IF(ISNUMBER(F$3),F$2*MAX(0,MIN(1,((YEAR($A16)-YEAR(F$3))*12+MONTH($A16)-MONTH(F$3)+1)/'Capacity by month'!$O$2)),0)</f>
        <v/>
      </c>
      <c r="G16" s="9">
        <f>IF(ISNUMBER(G$3),G$2*MAX(0,MIN(1,((YEAR($A16)-YEAR(G$3))*12+MONTH($A16)-MONTH(G$3)+1)/'Capacity by month'!$O$2)),0)</f>
        <v/>
      </c>
      <c r="H16" s="9">
        <f>IF(ISNUMBER(H$3),H$2*MAX(0,MIN(1,((YEAR($A16)-YEAR(H$3))*12+MONTH($A16)-MONTH(H$3)+1)/'Capacity by month'!$O$2)),0)</f>
        <v/>
      </c>
      <c r="I16" s="9">
        <f>IF(ISNUMBER(I$3),I$2*MAX(0,MIN(1,((YEAR($A16)-YEAR(I$3))*12+MONTH($A16)-MONTH(I$3)+1)/'Capacity by month'!$O$2)),0)</f>
        <v/>
      </c>
      <c r="J16" s="9">
        <f>IF(ISNUMBER(J$3),J$2*MAX(0,MIN(1,((YEAR($A16)-YEAR(J$3))*12+MONTH($A16)-MONTH(J$3)+1)/'Capacity by month'!$O$2)),0)</f>
        <v/>
      </c>
      <c r="K16" s="9">
        <f>IF(ISNUMBER(K$3),K$2*MAX(0,MIN(1,((YEAR($A16)-YEAR(K$3))*12+MONTH($A16)-MONTH(K$3)+1)/'Capacity by month'!$O$2)),0)</f>
        <v/>
      </c>
      <c r="L16" s="9">
        <f>IF(ISNUMBER(L$3),L$2*MAX(0,MIN(1,((YEAR($A16)-YEAR(L$3))*12+MONTH($A16)-MONTH(L$3)+1)/'Capacity by month'!$O$2)),0)</f>
        <v/>
      </c>
      <c r="M16" s="9">
        <f>IF(ISNUMBER(M$3),M$2*MAX(0,MIN(1,((YEAR($A16)-YEAR(M$3))*12+MONTH($A16)-MONTH(M$3)+1)/'Capacity by month'!$O$2)),0)</f>
        <v/>
      </c>
      <c r="N16" s="9">
        <f>IF(ISNUMBER(N$3),N$2*MAX(0,MIN(1,((YEAR($A16)-YEAR(N$3))*12+MONTH($A16)-MONTH(N$3)+1)/'Capacity by month'!$O$2)),0)</f>
        <v/>
      </c>
      <c r="O16" s="9">
        <f>IF(ISNUMBER(O$3),O$2*MAX(0,MIN(1,((YEAR($A16)-YEAR(O$3))*12+MONTH($A16)-MONTH(O$3)+1)/'Capacity by month'!$O$2)),0)</f>
        <v/>
      </c>
      <c r="P16" s="9">
        <f>IF(ISNUMBER(P$3),P$2*MAX(0,MIN(1,((YEAR($A16)-YEAR(P$3))*12+MONTH($A16)-MONTH(P$3)+1)/'Capacity by month'!$O$2)),0)</f>
        <v/>
      </c>
      <c r="Q16" s="9">
        <f>IF(ISNUMBER(Q$3),Q$2*MAX(0,MIN(1,((YEAR($A16)-YEAR(Q$3))*12+MONTH($A16)-MONTH(Q$3)+1)/'Capacity by month'!$O$2)),0)</f>
        <v/>
      </c>
      <c r="R16" s="9">
        <f>IF(ISNUMBER(R$3),R$2*MAX(0,MIN(1,((YEAR($A16)-YEAR(R$3))*12+MONTH($A16)-MONTH(R$3)+1)/'Capacity by month'!$O$2)),0)</f>
        <v/>
      </c>
      <c r="S16" s="9">
        <f>IF(ISNUMBER(S$3),S$2*MAX(0,MIN(1,((YEAR($A16)-YEAR(S$3))*12+MONTH($A16)-MONTH(S$3)+1)/'Capacity by month'!$O$2)),0)</f>
        <v/>
      </c>
      <c r="T16" s="9">
        <f>IF(ISNUMBER(T$3),T$2*MAX(0,MIN(1,((YEAR($A16)-YEAR(T$3))*12+MONTH($A16)-MONTH(T$3)+1)/'Capacity by month'!$O$2)),0)</f>
        <v/>
      </c>
      <c r="U16" s="9">
        <f>IF(ISNUMBER(U$3),U$2*MAX(0,MIN(1,((YEAR($A16)-YEAR(U$3))*12+MONTH($A16)-MONTH(U$3)+1)/'Capacity by month'!$O$2)),0)</f>
        <v/>
      </c>
      <c r="V16" s="9">
        <f>IF(ISNUMBER(V$3),V$2*MAX(0,MIN(1,((YEAR($A16)-YEAR(V$3))*12+MONTH($A16)-MONTH(V$3)+1)/'Capacity by month'!$O$2)),0)</f>
        <v/>
      </c>
      <c r="W16" s="9">
        <f>IF(ISNUMBER(W$3),W$2*MAX(0,MIN(1,((YEAR($A16)-YEAR(W$3))*12+MONTH($A16)-MONTH(W$3)+1)/'Capacity by month'!$O$2)),0)</f>
        <v/>
      </c>
      <c r="X16" s="9">
        <f>IF(ISNUMBER(X$3),X$2*MAX(0,MIN(1,((YEAR($A16)-YEAR(X$3))*12+MONTH($A16)-MONTH(X$3)+1)/'Capacity by month'!$O$2)),0)</f>
        <v/>
      </c>
      <c r="Y16" s="9">
        <f>IF(ISNUMBER(Y$3),Y$2*MAX(0,MIN(1,((YEAR($A16)-YEAR(Y$3))*12+MONTH($A16)-MONTH(Y$3)+1)/'Capacity by month'!$O$2)),0)</f>
        <v/>
      </c>
      <c r="Z16" s="9">
        <f>IF(ISNUMBER(Z$3),Z$2*MAX(0,MIN(1,((YEAR($A16)-YEAR(Z$3))*12+MONTH($A16)-MONTH(Z$3)+1)/'Capacity by month'!$O$2)),0)</f>
        <v/>
      </c>
      <c r="AA16">
        <f>SUM(B16:Z16)</f>
        <v/>
      </c>
      <c r="AB16" t="n">
        <v>0</v>
      </c>
    </row>
    <row r="17">
      <c r="A17" s="8" t="n">
        <v>44593</v>
      </c>
      <c r="B17" s="9">
        <f>IF(ISNUMBER(B$3),B$2*MAX(0,MIN(1,((YEAR($A17)-YEAR(B$3))*12+MONTH($A17)-MONTH(B$3)+1)/'Capacity by month'!$O$2)),0)</f>
        <v/>
      </c>
      <c r="C17" s="9">
        <f>IF(ISNUMBER(C$3),C$2*MAX(0,MIN(1,((YEAR($A17)-YEAR(C$3))*12+MONTH($A17)-MONTH(C$3)+1)/'Capacity by month'!$O$2)),0)</f>
        <v/>
      </c>
      <c r="D17" s="9">
        <f>IF(ISNUMBER(D$3),D$2*MAX(0,MIN(1,((YEAR($A17)-YEAR(D$3))*12+MONTH($A17)-MONTH(D$3)+1)/'Capacity by month'!$O$2)),0)</f>
        <v/>
      </c>
      <c r="E17" s="9">
        <f>IF(ISNUMBER(E$3),E$2*MAX(0,MIN(1,((YEAR($A17)-YEAR(E$3))*12+MONTH($A17)-MONTH(E$3)+1)/'Capacity by month'!$O$2)),0)</f>
        <v/>
      </c>
      <c r="F17" s="9">
        <f>IF(ISNUMBER(F$3),F$2*MAX(0,MIN(1,((YEAR($A17)-YEAR(F$3))*12+MONTH($A17)-MONTH(F$3)+1)/'Capacity by month'!$O$2)),0)</f>
        <v/>
      </c>
      <c r="G17" s="9">
        <f>IF(ISNUMBER(G$3),G$2*MAX(0,MIN(1,((YEAR($A17)-YEAR(G$3))*12+MONTH($A17)-MONTH(G$3)+1)/'Capacity by month'!$O$2)),0)</f>
        <v/>
      </c>
      <c r="H17" s="9">
        <f>IF(ISNUMBER(H$3),H$2*MAX(0,MIN(1,((YEAR($A17)-YEAR(H$3))*12+MONTH($A17)-MONTH(H$3)+1)/'Capacity by month'!$O$2)),0)</f>
        <v/>
      </c>
      <c r="I17" s="9">
        <f>IF(ISNUMBER(I$3),I$2*MAX(0,MIN(1,((YEAR($A17)-YEAR(I$3))*12+MONTH($A17)-MONTH(I$3)+1)/'Capacity by month'!$O$2)),0)</f>
        <v/>
      </c>
      <c r="J17" s="9">
        <f>IF(ISNUMBER(J$3),J$2*MAX(0,MIN(1,((YEAR($A17)-YEAR(J$3))*12+MONTH($A17)-MONTH(J$3)+1)/'Capacity by month'!$O$2)),0)</f>
        <v/>
      </c>
      <c r="K17" s="9">
        <f>IF(ISNUMBER(K$3),K$2*MAX(0,MIN(1,((YEAR($A17)-YEAR(K$3))*12+MONTH($A17)-MONTH(K$3)+1)/'Capacity by month'!$O$2)),0)</f>
        <v/>
      </c>
      <c r="L17" s="9">
        <f>IF(ISNUMBER(L$3),L$2*MAX(0,MIN(1,((YEAR($A17)-YEAR(L$3))*12+MONTH($A17)-MONTH(L$3)+1)/'Capacity by month'!$O$2)),0)</f>
        <v/>
      </c>
      <c r="M17" s="9">
        <f>IF(ISNUMBER(M$3),M$2*MAX(0,MIN(1,((YEAR($A17)-YEAR(M$3))*12+MONTH($A17)-MONTH(M$3)+1)/'Capacity by month'!$O$2)),0)</f>
        <v/>
      </c>
      <c r="N17" s="9">
        <f>IF(ISNUMBER(N$3),N$2*MAX(0,MIN(1,((YEAR($A17)-YEAR(N$3))*12+MONTH($A17)-MONTH(N$3)+1)/'Capacity by month'!$O$2)),0)</f>
        <v/>
      </c>
      <c r="O17" s="9">
        <f>IF(ISNUMBER(O$3),O$2*MAX(0,MIN(1,((YEAR($A17)-YEAR(O$3))*12+MONTH($A17)-MONTH(O$3)+1)/'Capacity by month'!$O$2)),0)</f>
        <v/>
      </c>
      <c r="P17" s="9">
        <f>IF(ISNUMBER(P$3),P$2*MAX(0,MIN(1,((YEAR($A17)-YEAR(P$3))*12+MONTH($A17)-MONTH(P$3)+1)/'Capacity by month'!$O$2)),0)</f>
        <v/>
      </c>
      <c r="Q17" s="9">
        <f>IF(ISNUMBER(Q$3),Q$2*MAX(0,MIN(1,((YEAR($A17)-YEAR(Q$3))*12+MONTH($A17)-MONTH(Q$3)+1)/'Capacity by month'!$O$2)),0)</f>
        <v/>
      </c>
      <c r="R17" s="9">
        <f>IF(ISNUMBER(R$3),R$2*MAX(0,MIN(1,((YEAR($A17)-YEAR(R$3))*12+MONTH($A17)-MONTH(R$3)+1)/'Capacity by month'!$O$2)),0)</f>
        <v/>
      </c>
      <c r="S17" s="9">
        <f>IF(ISNUMBER(S$3),S$2*MAX(0,MIN(1,((YEAR($A17)-YEAR(S$3))*12+MONTH($A17)-MONTH(S$3)+1)/'Capacity by month'!$O$2)),0)</f>
        <v/>
      </c>
      <c r="T17" s="9">
        <f>IF(ISNUMBER(T$3),T$2*MAX(0,MIN(1,((YEAR($A17)-YEAR(T$3))*12+MONTH($A17)-MONTH(T$3)+1)/'Capacity by month'!$O$2)),0)</f>
        <v/>
      </c>
      <c r="U17" s="9">
        <f>IF(ISNUMBER(U$3),U$2*MAX(0,MIN(1,((YEAR($A17)-YEAR(U$3))*12+MONTH($A17)-MONTH(U$3)+1)/'Capacity by month'!$O$2)),0)</f>
        <v/>
      </c>
      <c r="V17" s="9">
        <f>IF(ISNUMBER(V$3),V$2*MAX(0,MIN(1,((YEAR($A17)-YEAR(V$3))*12+MONTH($A17)-MONTH(V$3)+1)/'Capacity by month'!$O$2)),0)</f>
        <v/>
      </c>
      <c r="W17" s="9">
        <f>IF(ISNUMBER(W$3),W$2*MAX(0,MIN(1,((YEAR($A17)-YEAR(W$3))*12+MONTH($A17)-MONTH(W$3)+1)/'Capacity by month'!$O$2)),0)</f>
        <v/>
      </c>
      <c r="X17" s="9">
        <f>IF(ISNUMBER(X$3),X$2*MAX(0,MIN(1,((YEAR($A17)-YEAR(X$3))*12+MONTH($A17)-MONTH(X$3)+1)/'Capacity by month'!$O$2)),0)</f>
        <v/>
      </c>
      <c r="Y17" s="9">
        <f>IF(ISNUMBER(Y$3),Y$2*MAX(0,MIN(1,((YEAR($A17)-YEAR(Y$3))*12+MONTH($A17)-MONTH(Y$3)+1)/'Capacity by month'!$O$2)),0)</f>
        <v/>
      </c>
      <c r="Z17" s="9">
        <f>IF(ISNUMBER(Z$3),Z$2*MAX(0,MIN(1,((YEAR($A17)-YEAR(Z$3))*12+MONTH($A17)-MONTH(Z$3)+1)/'Capacity by month'!$O$2)),0)</f>
        <v/>
      </c>
      <c r="AA17">
        <f>SUM(B17:Z17)</f>
        <v/>
      </c>
      <c r="AB17" t="n">
        <v>0</v>
      </c>
    </row>
    <row r="18">
      <c r="A18" s="8" t="n">
        <v>44621</v>
      </c>
      <c r="B18" s="9">
        <f>IF(ISNUMBER(B$3),B$2*MAX(0,MIN(1,((YEAR($A18)-YEAR(B$3))*12+MONTH($A18)-MONTH(B$3)+1)/'Capacity by month'!$O$2)),0)</f>
        <v/>
      </c>
      <c r="C18" s="9">
        <f>IF(ISNUMBER(C$3),C$2*MAX(0,MIN(1,((YEAR($A18)-YEAR(C$3))*12+MONTH($A18)-MONTH(C$3)+1)/'Capacity by month'!$O$2)),0)</f>
        <v/>
      </c>
      <c r="D18" s="9">
        <f>IF(ISNUMBER(D$3),D$2*MAX(0,MIN(1,((YEAR($A18)-YEAR(D$3))*12+MONTH($A18)-MONTH(D$3)+1)/'Capacity by month'!$O$2)),0)</f>
        <v/>
      </c>
      <c r="E18" s="9">
        <f>IF(ISNUMBER(E$3),E$2*MAX(0,MIN(1,((YEAR($A18)-YEAR(E$3))*12+MONTH($A18)-MONTH(E$3)+1)/'Capacity by month'!$O$2)),0)</f>
        <v/>
      </c>
      <c r="F18" s="9">
        <f>IF(ISNUMBER(F$3),F$2*MAX(0,MIN(1,((YEAR($A18)-YEAR(F$3))*12+MONTH($A18)-MONTH(F$3)+1)/'Capacity by month'!$O$2)),0)</f>
        <v/>
      </c>
      <c r="G18" s="9">
        <f>IF(ISNUMBER(G$3),G$2*MAX(0,MIN(1,((YEAR($A18)-YEAR(G$3))*12+MONTH($A18)-MONTH(G$3)+1)/'Capacity by month'!$O$2)),0)</f>
        <v/>
      </c>
      <c r="H18" s="9">
        <f>IF(ISNUMBER(H$3),H$2*MAX(0,MIN(1,((YEAR($A18)-YEAR(H$3))*12+MONTH($A18)-MONTH(H$3)+1)/'Capacity by month'!$O$2)),0)</f>
        <v/>
      </c>
      <c r="I18" s="9">
        <f>IF(ISNUMBER(I$3),I$2*MAX(0,MIN(1,((YEAR($A18)-YEAR(I$3))*12+MONTH($A18)-MONTH(I$3)+1)/'Capacity by month'!$O$2)),0)</f>
        <v/>
      </c>
      <c r="J18" s="9">
        <f>IF(ISNUMBER(J$3),J$2*MAX(0,MIN(1,((YEAR($A18)-YEAR(J$3))*12+MONTH($A18)-MONTH(J$3)+1)/'Capacity by month'!$O$2)),0)</f>
        <v/>
      </c>
      <c r="K18" s="9">
        <f>IF(ISNUMBER(K$3),K$2*MAX(0,MIN(1,((YEAR($A18)-YEAR(K$3))*12+MONTH($A18)-MONTH(K$3)+1)/'Capacity by month'!$O$2)),0)</f>
        <v/>
      </c>
      <c r="L18" s="9">
        <f>IF(ISNUMBER(L$3),L$2*MAX(0,MIN(1,((YEAR($A18)-YEAR(L$3))*12+MONTH($A18)-MONTH(L$3)+1)/'Capacity by month'!$O$2)),0)</f>
        <v/>
      </c>
      <c r="M18" s="9">
        <f>IF(ISNUMBER(M$3),M$2*MAX(0,MIN(1,((YEAR($A18)-YEAR(M$3))*12+MONTH($A18)-MONTH(M$3)+1)/'Capacity by month'!$O$2)),0)</f>
        <v/>
      </c>
      <c r="N18" s="9">
        <f>IF(ISNUMBER(N$3),N$2*MAX(0,MIN(1,((YEAR($A18)-YEAR(N$3))*12+MONTH($A18)-MONTH(N$3)+1)/'Capacity by month'!$O$2)),0)</f>
        <v/>
      </c>
      <c r="O18" s="9">
        <f>IF(ISNUMBER(O$3),O$2*MAX(0,MIN(1,((YEAR($A18)-YEAR(O$3))*12+MONTH($A18)-MONTH(O$3)+1)/'Capacity by month'!$O$2)),0)</f>
        <v/>
      </c>
      <c r="P18" s="9">
        <f>IF(ISNUMBER(P$3),P$2*MAX(0,MIN(1,((YEAR($A18)-YEAR(P$3))*12+MONTH($A18)-MONTH(P$3)+1)/'Capacity by month'!$O$2)),0)</f>
        <v/>
      </c>
      <c r="Q18" s="9">
        <f>IF(ISNUMBER(Q$3),Q$2*MAX(0,MIN(1,((YEAR($A18)-YEAR(Q$3))*12+MONTH($A18)-MONTH(Q$3)+1)/'Capacity by month'!$O$2)),0)</f>
        <v/>
      </c>
      <c r="R18" s="9">
        <f>IF(ISNUMBER(R$3),R$2*MAX(0,MIN(1,((YEAR($A18)-YEAR(R$3))*12+MONTH($A18)-MONTH(R$3)+1)/'Capacity by month'!$O$2)),0)</f>
        <v/>
      </c>
      <c r="S18" s="9">
        <f>IF(ISNUMBER(S$3),S$2*MAX(0,MIN(1,((YEAR($A18)-YEAR(S$3))*12+MONTH($A18)-MONTH(S$3)+1)/'Capacity by month'!$O$2)),0)</f>
        <v/>
      </c>
      <c r="T18" s="9">
        <f>IF(ISNUMBER(T$3),T$2*MAX(0,MIN(1,((YEAR($A18)-YEAR(T$3))*12+MONTH($A18)-MONTH(T$3)+1)/'Capacity by month'!$O$2)),0)</f>
        <v/>
      </c>
      <c r="U18" s="9">
        <f>IF(ISNUMBER(U$3),U$2*MAX(0,MIN(1,((YEAR($A18)-YEAR(U$3))*12+MONTH($A18)-MONTH(U$3)+1)/'Capacity by month'!$O$2)),0)</f>
        <v/>
      </c>
      <c r="V18" s="9">
        <f>IF(ISNUMBER(V$3),V$2*MAX(0,MIN(1,((YEAR($A18)-YEAR(V$3))*12+MONTH($A18)-MONTH(V$3)+1)/'Capacity by month'!$O$2)),0)</f>
        <v/>
      </c>
      <c r="W18" s="9">
        <f>IF(ISNUMBER(W$3),W$2*MAX(0,MIN(1,((YEAR($A18)-YEAR(W$3))*12+MONTH($A18)-MONTH(W$3)+1)/'Capacity by month'!$O$2)),0)</f>
        <v/>
      </c>
      <c r="X18" s="9">
        <f>IF(ISNUMBER(X$3),X$2*MAX(0,MIN(1,((YEAR($A18)-YEAR(X$3))*12+MONTH($A18)-MONTH(X$3)+1)/'Capacity by month'!$O$2)),0)</f>
        <v/>
      </c>
      <c r="Y18" s="9">
        <f>IF(ISNUMBER(Y$3),Y$2*MAX(0,MIN(1,((YEAR($A18)-YEAR(Y$3))*12+MONTH($A18)-MONTH(Y$3)+1)/'Capacity by month'!$O$2)),0)</f>
        <v/>
      </c>
      <c r="Z18" s="9">
        <f>IF(ISNUMBER(Z$3),Z$2*MAX(0,MIN(1,((YEAR($A18)-YEAR(Z$3))*12+MONTH($A18)-MONTH(Z$3)+1)/'Capacity by month'!$O$2)),0)</f>
        <v/>
      </c>
      <c r="AA18">
        <f>SUM(B18:Z18)</f>
        <v/>
      </c>
      <c r="AB18" t="n">
        <v>0</v>
      </c>
    </row>
    <row r="19">
      <c r="A19" s="8" t="n">
        <v>44652</v>
      </c>
      <c r="B19" s="9">
        <f>IF(ISNUMBER(B$3),B$2*MAX(0,MIN(1,((YEAR($A19)-YEAR(B$3))*12+MONTH($A19)-MONTH(B$3)+1)/'Capacity by month'!$O$2)),0)</f>
        <v/>
      </c>
      <c r="C19" s="9">
        <f>IF(ISNUMBER(C$3),C$2*MAX(0,MIN(1,((YEAR($A19)-YEAR(C$3))*12+MONTH($A19)-MONTH(C$3)+1)/'Capacity by month'!$O$2)),0)</f>
        <v/>
      </c>
      <c r="D19" s="9">
        <f>IF(ISNUMBER(D$3),D$2*MAX(0,MIN(1,((YEAR($A19)-YEAR(D$3))*12+MONTH($A19)-MONTH(D$3)+1)/'Capacity by month'!$O$2)),0)</f>
        <v/>
      </c>
      <c r="E19" s="9">
        <f>IF(ISNUMBER(E$3),E$2*MAX(0,MIN(1,((YEAR($A19)-YEAR(E$3))*12+MONTH($A19)-MONTH(E$3)+1)/'Capacity by month'!$O$2)),0)</f>
        <v/>
      </c>
      <c r="F19" s="9">
        <f>IF(ISNUMBER(F$3),F$2*MAX(0,MIN(1,((YEAR($A19)-YEAR(F$3))*12+MONTH($A19)-MONTH(F$3)+1)/'Capacity by month'!$O$2)),0)</f>
        <v/>
      </c>
      <c r="G19" s="9">
        <f>IF(ISNUMBER(G$3),G$2*MAX(0,MIN(1,((YEAR($A19)-YEAR(G$3))*12+MONTH($A19)-MONTH(G$3)+1)/'Capacity by month'!$O$2)),0)</f>
        <v/>
      </c>
      <c r="H19" s="9">
        <f>IF(ISNUMBER(H$3),H$2*MAX(0,MIN(1,((YEAR($A19)-YEAR(H$3))*12+MONTH($A19)-MONTH(H$3)+1)/'Capacity by month'!$O$2)),0)</f>
        <v/>
      </c>
      <c r="I19" s="9">
        <f>IF(ISNUMBER(I$3),I$2*MAX(0,MIN(1,((YEAR($A19)-YEAR(I$3))*12+MONTH($A19)-MONTH(I$3)+1)/'Capacity by month'!$O$2)),0)</f>
        <v/>
      </c>
      <c r="J19" s="9">
        <f>IF(ISNUMBER(J$3),J$2*MAX(0,MIN(1,((YEAR($A19)-YEAR(J$3))*12+MONTH($A19)-MONTH(J$3)+1)/'Capacity by month'!$O$2)),0)</f>
        <v/>
      </c>
      <c r="K19" s="9">
        <f>IF(ISNUMBER(K$3),K$2*MAX(0,MIN(1,((YEAR($A19)-YEAR(K$3))*12+MONTH($A19)-MONTH(K$3)+1)/'Capacity by month'!$O$2)),0)</f>
        <v/>
      </c>
      <c r="L19" s="9">
        <f>IF(ISNUMBER(L$3),L$2*MAX(0,MIN(1,((YEAR($A19)-YEAR(L$3))*12+MONTH($A19)-MONTH(L$3)+1)/'Capacity by month'!$O$2)),0)</f>
        <v/>
      </c>
      <c r="M19" s="9">
        <f>IF(ISNUMBER(M$3),M$2*MAX(0,MIN(1,((YEAR($A19)-YEAR(M$3))*12+MONTH($A19)-MONTH(M$3)+1)/'Capacity by month'!$O$2)),0)</f>
        <v/>
      </c>
      <c r="N19" s="9">
        <f>IF(ISNUMBER(N$3),N$2*MAX(0,MIN(1,((YEAR($A19)-YEAR(N$3))*12+MONTH($A19)-MONTH(N$3)+1)/'Capacity by month'!$O$2)),0)</f>
        <v/>
      </c>
      <c r="O19" s="9">
        <f>IF(ISNUMBER(O$3),O$2*MAX(0,MIN(1,((YEAR($A19)-YEAR(O$3))*12+MONTH($A19)-MONTH(O$3)+1)/'Capacity by month'!$O$2)),0)</f>
        <v/>
      </c>
      <c r="P19" s="9">
        <f>IF(ISNUMBER(P$3),P$2*MAX(0,MIN(1,((YEAR($A19)-YEAR(P$3))*12+MONTH($A19)-MONTH(P$3)+1)/'Capacity by month'!$O$2)),0)</f>
        <v/>
      </c>
      <c r="Q19" s="9">
        <f>IF(ISNUMBER(Q$3),Q$2*MAX(0,MIN(1,((YEAR($A19)-YEAR(Q$3))*12+MONTH($A19)-MONTH(Q$3)+1)/'Capacity by month'!$O$2)),0)</f>
        <v/>
      </c>
      <c r="R19" s="9">
        <f>IF(ISNUMBER(R$3),R$2*MAX(0,MIN(1,((YEAR($A19)-YEAR(R$3))*12+MONTH($A19)-MONTH(R$3)+1)/'Capacity by month'!$O$2)),0)</f>
        <v/>
      </c>
      <c r="S19" s="9">
        <f>IF(ISNUMBER(S$3),S$2*MAX(0,MIN(1,((YEAR($A19)-YEAR(S$3))*12+MONTH($A19)-MONTH(S$3)+1)/'Capacity by month'!$O$2)),0)</f>
        <v/>
      </c>
      <c r="T19" s="9">
        <f>IF(ISNUMBER(T$3),T$2*MAX(0,MIN(1,((YEAR($A19)-YEAR(T$3))*12+MONTH($A19)-MONTH(T$3)+1)/'Capacity by month'!$O$2)),0)</f>
        <v/>
      </c>
      <c r="U19" s="9">
        <f>IF(ISNUMBER(U$3),U$2*MAX(0,MIN(1,((YEAR($A19)-YEAR(U$3))*12+MONTH($A19)-MONTH(U$3)+1)/'Capacity by month'!$O$2)),0)</f>
        <v/>
      </c>
      <c r="V19" s="9">
        <f>IF(ISNUMBER(V$3),V$2*MAX(0,MIN(1,((YEAR($A19)-YEAR(V$3))*12+MONTH($A19)-MONTH(V$3)+1)/'Capacity by month'!$O$2)),0)</f>
        <v/>
      </c>
      <c r="W19" s="9">
        <f>IF(ISNUMBER(W$3),W$2*MAX(0,MIN(1,((YEAR($A19)-YEAR(W$3))*12+MONTH($A19)-MONTH(W$3)+1)/'Capacity by month'!$O$2)),0)</f>
        <v/>
      </c>
      <c r="X19" s="9">
        <f>IF(ISNUMBER(X$3),X$2*MAX(0,MIN(1,((YEAR($A19)-YEAR(X$3))*12+MONTH($A19)-MONTH(X$3)+1)/'Capacity by month'!$O$2)),0)</f>
        <v/>
      </c>
      <c r="Y19" s="9">
        <f>IF(ISNUMBER(Y$3),Y$2*MAX(0,MIN(1,((YEAR($A19)-YEAR(Y$3))*12+MONTH($A19)-MONTH(Y$3)+1)/'Capacity by month'!$O$2)),0)</f>
        <v/>
      </c>
      <c r="Z19" s="9">
        <f>IF(ISNUMBER(Z$3),Z$2*MAX(0,MIN(1,((YEAR($A19)-YEAR(Z$3))*12+MONTH($A19)-MONTH(Z$3)+1)/'Capacity by month'!$O$2)),0)</f>
        <v/>
      </c>
      <c r="AA19">
        <f>SUM(B19:Z19)</f>
        <v/>
      </c>
      <c r="AB19" t="n">
        <v>0</v>
      </c>
    </row>
    <row r="20">
      <c r="A20" s="8" t="n">
        <v>44682</v>
      </c>
      <c r="B20" s="9">
        <f>IF(ISNUMBER(B$3),B$2*MAX(0,MIN(1,((YEAR($A20)-YEAR(B$3))*12+MONTH($A20)-MONTH(B$3)+1)/'Capacity by month'!$O$2)),0)</f>
        <v/>
      </c>
      <c r="C20" s="9">
        <f>IF(ISNUMBER(C$3),C$2*MAX(0,MIN(1,((YEAR($A20)-YEAR(C$3))*12+MONTH($A20)-MONTH(C$3)+1)/'Capacity by month'!$O$2)),0)</f>
        <v/>
      </c>
      <c r="D20" s="9">
        <f>IF(ISNUMBER(D$3),D$2*MAX(0,MIN(1,((YEAR($A20)-YEAR(D$3))*12+MONTH($A20)-MONTH(D$3)+1)/'Capacity by month'!$O$2)),0)</f>
        <v/>
      </c>
      <c r="E20" s="9">
        <f>IF(ISNUMBER(E$3),E$2*MAX(0,MIN(1,((YEAR($A20)-YEAR(E$3))*12+MONTH($A20)-MONTH(E$3)+1)/'Capacity by month'!$O$2)),0)</f>
        <v/>
      </c>
      <c r="F20" s="9">
        <f>IF(ISNUMBER(F$3),F$2*MAX(0,MIN(1,((YEAR($A20)-YEAR(F$3))*12+MONTH($A20)-MONTH(F$3)+1)/'Capacity by month'!$O$2)),0)</f>
        <v/>
      </c>
      <c r="G20" s="9">
        <f>IF(ISNUMBER(G$3),G$2*MAX(0,MIN(1,((YEAR($A20)-YEAR(G$3))*12+MONTH($A20)-MONTH(G$3)+1)/'Capacity by month'!$O$2)),0)</f>
        <v/>
      </c>
      <c r="H20" s="9">
        <f>IF(ISNUMBER(H$3),H$2*MAX(0,MIN(1,((YEAR($A20)-YEAR(H$3))*12+MONTH($A20)-MONTH(H$3)+1)/'Capacity by month'!$O$2)),0)</f>
        <v/>
      </c>
      <c r="I20" s="9">
        <f>IF(ISNUMBER(I$3),I$2*MAX(0,MIN(1,((YEAR($A20)-YEAR(I$3))*12+MONTH($A20)-MONTH(I$3)+1)/'Capacity by month'!$O$2)),0)</f>
        <v/>
      </c>
      <c r="J20" s="9">
        <f>IF(ISNUMBER(J$3),J$2*MAX(0,MIN(1,((YEAR($A20)-YEAR(J$3))*12+MONTH($A20)-MONTH(J$3)+1)/'Capacity by month'!$O$2)),0)</f>
        <v/>
      </c>
      <c r="K20" s="9">
        <f>IF(ISNUMBER(K$3),K$2*MAX(0,MIN(1,((YEAR($A20)-YEAR(K$3))*12+MONTH($A20)-MONTH(K$3)+1)/'Capacity by month'!$O$2)),0)</f>
        <v/>
      </c>
      <c r="L20" s="9">
        <f>IF(ISNUMBER(L$3),L$2*MAX(0,MIN(1,((YEAR($A20)-YEAR(L$3))*12+MONTH($A20)-MONTH(L$3)+1)/'Capacity by month'!$O$2)),0)</f>
        <v/>
      </c>
      <c r="M20" s="9">
        <f>IF(ISNUMBER(M$3),M$2*MAX(0,MIN(1,((YEAR($A20)-YEAR(M$3))*12+MONTH($A20)-MONTH(M$3)+1)/'Capacity by month'!$O$2)),0)</f>
        <v/>
      </c>
      <c r="N20" s="9">
        <f>IF(ISNUMBER(N$3),N$2*MAX(0,MIN(1,((YEAR($A20)-YEAR(N$3))*12+MONTH($A20)-MONTH(N$3)+1)/'Capacity by month'!$O$2)),0)</f>
        <v/>
      </c>
      <c r="O20" s="9">
        <f>IF(ISNUMBER(O$3),O$2*MAX(0,MIN(1,((YEAR($A20)-YEAR(O$3))*12+MONTH($A20)-MONTH(O$3)+1)/'Capacity by month'!$O$2)),0)</f>
        <v/>
      </c>
      <c r="P20" s="9">
        <f>IF(ISNUMBER(P$3),P$2*MAX(0,MIN(1,((YEAR($A20)-YEAR(P$3))*12+MONTH($A20)-MONTH(P$3)+1)/'Capacity by month'!$O$2)),0)</f>
        <v/>
      </c>
      <c r="Q20" s="9">
        <f>IF(ISNUMBER(Q$3),Q$2*MAX(0,MIN(1,((YEAR($A20)-YEAR(Q$3))*12+MONTH($A20)-MONTH(Q$3)+1)/'Capacity by month'!$O$2)),0)</f>
        <v/>
      </c>
      <c r="R20" s="9">
        <f>IF(ISNUMBER(R$3),R$2*MAX(0,MIN(1,((YEAR($A20)-YEAR(R$3))*12+MONTH($A20)-MONTH(R$3)+1)/'Capacity by month'!$O$2)),0)</f>
        <v/>
      </c>
      <c r="S20" s="9">
        <f>IF(ISNUMBER(S$3),S$2*MAX(0,MIN(1,((YEAR($A20)-YEAR(S$3))*12+MONTH($A20)-MONTH(S$3)+1)/'Capacity by month'!$O$2)),0)</f>
        <v/>
      </c>
      <c r="T20" s="9">
        <f>IF(ISNUMBER(T$3),T$2*MAX(0,MIN(1,((YEAR($A20)-YEAR(T$3))*12+MONTH($A20)-MONTH(T$3)+1)/'Capacity by month'!$O$2)),0)</f>
        <v/>
      </c>
      <c r="U20" s="9">
        <f>IF(ISNUMBER(U$3),U$2*MAX(0,MIN(1,((YEAR($A20)-YEAR(U$3))*12+MONTH($A20)-MONTH(U$3)+1)/'Capacity by month'!$O$2)),0)</f>
        <v/>
      </c>
      <c r="V20" s="9">
        <f>IF(ISNUMBER(V$3),V$2*MAX(0,MIN(1,((YEAR($A20)-YEAR(V$3))*12+MONTH($A20)-MONTH(V$3)+1)/'Capacity by month'!$O$2)),0)</f>
        <v/>
      </c>
      <c r="W20" s="9">
        <f>IF(ISNUMBER(W$3),W$2*MAX(0,MIN(1,((YEAR($A20)-YEAR(W$3))*12+MONTH($A20)-MONTH(W$3)+1)/'Capacity by month'!$O$2)),0)</f>
        <v/>
      </c>
      <c r="X20" s="9">
        <f>IF(ISNUMBER(X$3),X$2*MAX(0,MIN(1,((YEAR($A20)-YEAR(X$3))*12+MONTH($A20)-MONTH(X$3)+1)/'Capacity by month'!$O$2)),0)</f>
        <v/>
      </c>
      <c r="Y20" s="9">
        <f>IF(ISNUMBER(Y$3),Y$2*MAX(0,MIN(1,((YEAR($A20)-YEAR(Y$3))*12+MONTH($A20)-MONTH(Y$3)+1)/'Capacity by month'!$O$2)),0)</f>
        <v/>
      </c>
      <c r="Z20" s="9">
        <f>IF(ISNUMBER(Z$3),Z$2*MAX(0,MIN(1,((YEAR($A20)-YEAR(Z$3))*12+MONTH($A20)-MONTH(Z$3)+1)/'Capacity by month'!$O$2)),0)</f>
        <v/>
      </c>
      <c r="AA20">
        <f>SUM(B20:Z20)</f>
        <v/>
      </c>
      <c r="AB20" t="n">
        <v>0</v>
      </c>
    </row>
    <row r="21">
      <c r="A21" s="8" t="n">
        <v>44713</v>
      </c>
      <c r="B21" s="9">
        <f>IF(ISNUMBER(B$3),B$2*MAX(0,MIN(1,((YEAR($A21)-YEAR(B$3))*12+MONTH($A21)-MONTH(B$3)+1)/'Capacity by month'!$O$2)),0)</f>
        <v/>
      </c>
      <c r="C21" s="9">
        <f>IF(ISNUMBER(C$3),C$2*MAX(0,MIN(1,((YEAR($A21)-YEAR(C$3))*12+MONTH($A21)-MONTH(C$3)+1)/'Capacity by month'!$O$2)),0)</f>
        <v/>
      </c>
      <c r="D21" s="9">
        <f>IF(ISNUMBER(D$3),D$2*MAX(0,MIN(1,((YEAR($A21)-YEAR(D$3))*12+MONTH($A21)-MONTH(D$3)+1)/'Capacity by month'!$O$2)),0)</f>
        <v/>
      </c>
      <c r="E21" s="9">
        <f>IF(ISNUMBER(E$3),E$2*MAX(0,MIN(1,((YEAR($A21)-YEAR(E$3))*12+MONTH($A21)-MONTH(E$3)+1)/'Capacity by month'!$O$2)),0)</f>
        <v/>
      </c>
      <c r="F21" s="9">
        <f>IF(ISNUMBER(F$3),F$2*MAX(0,MIN(1,((YEAR($A21)-YEAR(F$3))*12+MONTH($A21)-MONTH(F$3)+1)/'Capacity by month'!$O$2)),0)</f>
        <v/>
      </c>
      <c r="G21" s="9">
        <f>IF(ISNUMBER(G$3),G$2*MAX(0,MIN(1,((YEAR($A21)-YEAR(G$3))*12+MONTH($A21)-MONTH(G$3)+1)/'Capacity by month'!$O$2)),0)</f>
        <v/>
      </c>
      <c r="H21" s="9">
        <f>IF(ISNUMBER(H$3),H$2*MAX(0,MIN(1,((YEAR($A21)-YEAR(H$3))*12+MONTH($A21)-MONTH(H$3)+1)/'Capacity by month'!$O$2)),0)</f>
        <v/>
      </c>
      <c r="I21" s="9">
        <f>IF(ISNUMBER(I$3),I$2*MAX(0,MIN(1,((YEAR($A21)-YEAR(I$3))*12+MONTH($A21)-MONTH(I$3)+1)/'Capacity by month'!$O$2)),0)</f>
        <v/>
      </c>
      <c r="J21" s="9">
        <f>IF(ISNUMBER(J$3),J$2*MAX(0,MIN(1,((YEAR($A21)-YEAR(J$3))*12+MONTH($A21)-MONTH(J$3)+1)/'Capacity by month'!$O$2)),0)</f>
        <v/>
      </c>
      <c r="K21" s="9">
        <f>IF(ISNUMBER(K$3),K$2*MAX(0,MIN(1,((YEAR($A21)-YEAR(K$3))*12+MONTH($A21)-MONTH(K$3)+1)/'Capacity by month'!$O$2)),0)</f>
        <v/>
      </c>
      <c r="L21" s="9">
        <f>IF(ISNUMBER(L$3),L$2*MAX(0,MIN(1,((YEAR($A21)-YEAR(L$3))*12+MONTH($A21)-MONTH(L$3)+1)/'Capacity by month'!$O$2)),0)</f>
        <v/>
      </c>
      <c r="M21" s="9">
        <f>IF(ISNUMBER(M$3),M$2*MAX(0,MIN(1,((YEAR($A21)-YEAR(M$3))*12+MONTH($A21)-MONTH(M$3)+1)/'Capacity by month'!$O$2)),0)</f>
        <v/>
      </c>
      <c r="N21" s="9">
        <f>IF(ISNUMBER(N$3),N$2*MAX(0,MIN(1,((YEAR($A21)-YEAR(N$3))*12+MONTH($A21)-MONTH(N$3)+1)/'Capacity by month'!$O$2)),0)</f>
        <v/>
      </c>
      <c r="O21" s="9">
        <f>IF(ISNUMBER(O$3),O$2*MAX(0,MIN(1,((YEAR($A21)-YEAR(O$3))*12+MONTH($A21)-MONTH(O$3)+1)/'Capacity by month'!$O$2)),0)</f>
        <v/>
      </c>
      <c r="P21" s="9">
        <f>IF(ISNUMBER(P$3),P$2*MAX(0,MIN(1,((YEAR($A21)-YEAR(P$3))*12+MONTH($A21)-MONTH(P$3)+1)/'Capacity by month'!$O$2)),0)</f>
        <v/>
      </c>
      <c r="Q21" s="9">
        <f>IF(ISNUMBER(Q$3),Q$2*MAX(0,MIN(1,((YEAR($A21)-YEAR(Q$3))*12+MONTH($A21)-MONTH(Q$3)+1)/'Capacity by month'!$O$2)),0)</f>
        <v/>
      </c>
      <c r="R21" s="9">
        <f>IF(ISNUMBER(R$3),R$2*MAX(0,MIN(1,((YEAR($A21)-YEAR(R$3))*12+MONTH($A21)-MONTH(R$3)+1)/'Capacity by month'!$O$2)),0)</f>
        <v/>
      </c>
      <c r="S21" s="9">
        <f>IF(ISNUMBER(S$3),S$2*MAX(0,MIN(1,((YEAR($A21)-YEAR(S$3))*12+MONTH($A21)-MONTH(S$3)+1)/'Capacity by month'!$O$2)),0)</f>
        <v/>
      </c>
      <c r="T21" s="9">
        <f>IF(ISNUMBER(T$3),T$2*MAX(0,MIN(1,((YEAR($A21)-YEAR(T$3))*12+MONTH($A21)-MONTH(T$3)+1)/'Capacity by month'!$O$2)),0)</f>
        <v/>
      </c>
      <c r="U21" s="9">
        <f>IF(ISNUMBER(U$3),U$2*MAX(0,MIN(1,((YEAR($A21)-YEAR(U$3))*12+MONTH($A21)-MONTH(U$3)+1)/'Capacity by month'!$O$2)),0)</f>
        <v/>
      </c>
      <c r="V21" s="9">
        <f>IF(ISNUMBER(V$3),V$2*MAX(0,MIN(1,((YEAR($A21)-YEAR(V$3))*12+MONTH($A21)-MONTH(V$3)+1)/'Capacity by month'!$O$2)),0)</f>
        <v/>
      </c>
      <c r="W21" s="9">
        <f>IF(ISNUMBER(W$3),W$2*MAX(0,MIN(1,((YEAR($A21)-YEAR(W$3))*12+MONTH($A21)-MONTH(W$3)+1)/'Capacity by month'!$O$2)),0)</f>
        <v/>
      </c>
      <c r="X21" s="9">
        <f>IF(ISNUMBER(X$3),X$2*MAX(0,MIN(1,((YEAR($A21)-YEAR(X$3))*12+MONTH($A21)-MONTH(X$3)+1)/'Capacity by month'!$O$2)),0)</f>
        <v/>
      </c>
      <c r="Y21" s="9">
        <f>IF(ISNUMBER(Y$3),Y$2*MAX(0,MIN(1,((YEAR($A21)-YEAR(Y$3))*12+MONTH($A21)-MONTH(Y$3)+1)/'Capacity by month'!$O$2)),0)</f>
        <v/>
      </c>
      <c r="Z21" s="9">
        <f>IF(ISNUMBER(Z$3),Z$2*MAX(0,MIN(1,((YEAR($A21)-YEAR(Z$3))*12+MONTH($A21)-MONTH(Z$3)+1)/'Capacity by month'!$O$2)),0)</f>
        <v/>
      </c>
      <c r="AA21">
        <f>SUM(B21:Z21)</f>
        <v/>
      </c>
      <c r="AB21" t="n">
        <v>0</v>
      </c>
    </row>
    <row r="22">
      <c r="A22" s="8" t="n">
        <v>44743</v>
      </c>
      <c r="B22" s="9">
        <f>IF(ISNUMBER(B$3),B$2*MAX(0,MIN(1,((YEAR($A22)-YEAR(B$3))*12+MONTH($A22)-MONTH(B$3)+1)/'Capacity by month'!$O$2)),0)</f>
        <v/>
      </c>
      <c r="C22" s="9">
        <f>IF(ISNUMBER(C$3),C$2*MAX(0,MIN(1,((YEAR($A22)-YEAR(C$3))*12+MONTH($A22)-MONTH(C$3)+1)/'Capacity by month'!$O$2)),0)</f>
        <v/>
      </c>
      <c r="D22" s="9">
        <f>IF(ISNUMBER(D$3),D$2*MAX(0,MIN(1,((YEAR($A22)-YEAR(D$3))*12+MONTH($A22)-MONTH(D$3)+1)/'Capacity by month'!$O$2)),0)</f>
        <v/>
      </c>
      <c r="E22" s="9">
        <f>IF(ISNUMBER(E$3),E$2*MAX(0,MIN(1,((YEAR($A22)-YEAR(E$3))*12+MONTH($A22)-MONTH(E$3)+1)/'Capacity by month'!$O$2)),0)</f>
        <v/>
      </c>
      <c r="F22" s="9">
        <f>IF(ISNUMBER(F$3),F$2*MAX(0,MIN(1,((YEAR($A22)-YEAR(F$3))*12+MONTH($A22)-MONTH(F$3)+1)/'Capacity by month'!$O$2)),0)</f>
        <v/>
      </c>
      <c r="G22" s="9">
        <f>IF(ISNUMBER(G$3),G$2*MAX(0,MIN(1,((YEAR($A22)-YEAR(G$3))*12+MONTH($A22)-MONTH(G$3)+1)/'Capacity by month'!$O$2)),0)</f>
        <v/>
      </c>
      <c r="H22" s="9">
        <f>IF(ISNUMBER(H$3),H$2*MAX(0,MIN(1,((YEAR($A22)-YEAR(H$3))*12+MONTH($A22)-MONTH(H$3)+1)/'Capacity by month'!$O$2)),0)</f>
        <v/>
      </c>
      <c r="I22" s="9">
        <f>IF(ISNUMBER(I$3),I$2*MAX(0,MIN(1,((YEAR($A22)-YEAR(I$3))*12+MONTH($A22)-MONTH(I$3)+1)/'Capacity by month'!$O$2)),0)</f>
        <v/>
      </c>
      <c r="J22" s="9">
        <f>IF(ISNUMBER(J$3),J$2*MAX(0,MIN(1,((YEAR($A22)-YEAR(J$3))*12+MONTH($A22)-MONTH(J$3)+1)/'Capacity by month'!$O$2)),0)</f>
        <v/>
      </c>
      <c r="K22" s="9">
        <f>IF(ISNUMBER(K$3),K$2*MAX(0,MIN(1,((YEAR($A22)-YEAR(K$3))*12+MONTH($A22)-MONTH(K$3)+1)/'Capacity by month'!$O$2)),0)</f>
        <v/>
      </c>
      <c r="L22" s="9">
        <f>IF(ISNUMBER(L$3),L$2*MAX(0,MIN(1,((YEAR($A22)-YEAR(L$3))*12+MONTH($A22)-MONTH(L$3)+1)/'Capacity by month'!$O$2)),0)</f>
        <v/>
      </c>
      <c r="M22" s="9">
        <f>IF(ISNUMBER(M$3),M$2*MAX(0,MIN(1,((YEAR($A22)-YEAR(M$3))*12+MONTH($A22)-MONTH(M$3)+1)/'Capacity by month'!$O$2)),0)</f>
        <v/>
      </c>
      <c r="N22" s="9">
        <f>IF(ISNUMBER(N$3),N$2*MAX(0,MIN(1,((YEAR($A22)-YEAR(N$3))*12+MONTH($A22)-MONTH(N$3)+1)/'Capacity by month'!$O$2)),0)</f>
        <v/>
      </c>
      <c r="O22" s="9">
        <f>IF(ISNUMBER(O$3),O$2*MAX(0,MIN(1,((YEAR($A22)-YEAR(O$3))*12+MONTH($A22)-MONTH(O$3)+1)/'Capacity by month'!$O$2)),0)</f>
        <v/>
      </c>
      <c r="P22" s="9">
        <f>IF(ISNUMBER(P$3),P$2*MAX(0,MIN(1,((YEAR($A22)-YEAR(P$3))*12+MONTH($A22)-MONTH(P$3)+1)/'Capacity by month'!$O$2)),0)</f>
        <v/>
      </c>
      <c r="Q22" s="9">
        <f>IF(ISNUMBER(Q$3),Q$2*MAX(0,MIN(1,((YEAR($A22)-YEAR(Q$3))*12+MONTH($A22)-MONTH(Q$3)+1)/'Capacity by month'!$O$2)),0)</f>
        <v/>
      </c>
      <c r="R22" s="9">
        <f>IF(ISNUMBER(R$3),R$2*MAX(0,MIN(1,((YEAR($A22)-YEAR(R$3))*12+MONTH($A22)-MONTH(R$3)+1)/'Capacity by month'!$O$2)),0)</f>
        <v/>
      </c>
      <c r="S22" s="9">
        <f>IF(ISNUMBER(S$3),S$2*MAX(0,MIN(1,((YEAR($A22)-YEAR(S$3))*12+MONTH($A22)-MONTH(S$3)+1)/'Capacity by month'!$O$2)),0)</f>
        <v/>
      </c>
      <c r="T22" s="9">
        <f>IF(ISNUMBER(T$3),T$2*MAX(0,MIN(1,((YEAR($A22)-YEAR(T$3))*12+MONTH($A22)-MONTH(T$3)+1)/'Capacity by month'!$O$2)),0)</f>
        <v/>
      </c>
      <c r="U22" s="9">
        <f>IF(ISNUMBER(U$3),U$2*MAX(0,MIN(1,((YEAR($A22)-YEAR(U$3))*12+MONTH($A22)-MONTH(U$3)+1)/'Capacity by month'!$O$2)),0)</f>
        <v/>
      </c>
      <c r="V22" s="9">
        <f>IF(ISNUMBER(V$3),V$2*MAX(0,MIN(1,((YEAR($A22)-YEAR(V$3))*12+MONTH($A22)-MONTH(V$3)+1)/'Capacity by month'!$O$2)),0)</f>
        <v/>
      </c>
      <c r="W22" s="9">
        <f>IF(ISNUMBER(W$3),W$2*MAX(0,MIN(1,((YEAR($A22)-YEAR(W$3))*12+MONTH($A22)-MONTH(W$3)+1)/'Capacity by month'!$O$2)),0)</f>
        <v/>
      </c>
      <c r="X22" s="9">
        <f>IF(ISNUMBER(X$3),X$2*MAX(0,MIN(1,((YEAR($A22)-YEAR(X$3))*12+MONTH($A22)-MONTH(X$3)+1)/'Capacity by month'!$O$2)),0)</f>
        <v/>
      </c>
      <c r="Y22" s="9">
        <f>IF(ISNUMBER(Y$3),Y$2*MAX(0,MIN(1,((YEAR($A22)-YEAR(Y$3))*12+MONTH($A22)-MONTH(Y$3)+1)/'Capacity by month'!$O$2)),0)</f>
        <v/>
      </c>
      <c r="Z22" s="9">
        <f>IF(ISNUMBER(Z$3),Z$2*MAX(0,MIN(1,((YEAR($A22)-YEAR(Z$3))*12+MONTH($A22)-MONTH(Z$3)+1)/'Capacity by month'!$O$2)),0)</f>
        <v/>
      </c>
      <c r="AA22">
        <f>SUM(B22:Z22)</f>
        <v/>
      </c>
      <c r="AB22" t="n">
        <v>0</v>
      </c>
    </row>
    <row r="23">
      <c r="A23" s="8" t="n">
        <v>44774</v>
      </c>
      <c r="B23" s="9">
        <f>IF(ISNUMBER(B$3),B$2*MAX(0,MIN(1,((YEAR($A23)-YEAR(B$3))*12+MONTH($A23)-MONTH(B$3)+1)/'Capacity by month'!$O$2)),0)</f>
        <v/>
      </c>
      <c r="C23" s="9">
        <f>IF(ISNUMBER(C$3),C$2*MAX(0,MIN(1,((YEAR($A23)-YEAR(C$3))*12+MONTH($A23)-MONTH(C$3)+1)/'Capacity by month'!$O$2)),0)</f>
        <v/>
      </c>
      <c r="D23" s="9">
        <f>IF(ISNUMBER(D$3),D$2*MAX(0,MIN(1,((YEAR($A23)-YEAR(D$3))*12+MONTH($A23)-MONTH(D$3)+1)/'Capacity by month'!$O$2)),0)</f>
        <v/>
      </c>
      <c r="E23" s="9">
        <f>IF(ISNUMBER(E$3),E$2*MAX(0,MIN(1,((YEAR($A23)-YEAR(E$3))*12+MONTH($A23)-MONTH(E$3)+1)/'Capacity by month'!$O$2)),0)</f>
        <v/>
      </c>
      <c r="F23" s="9">
        <f>IF(ISNUMBER(F$3),F$2*MAX(0,MIN(1,((YEAR($A23)-YEAR(F$3))*12+MONTH($A23)-MONTH(F$3)+1)/'Capacity by month'!$O$2)),0)</f>
        <v/>
      </c>
      <c r="G23" s="9">
        <f>IF(ISNUMBER(G$3),G$2*MAX(0,MIN(1,((YEAR($A23)-YEAR(G$3))*12+MONTH($A23)-MONTH(G$3)+1)/'Capacity by month'!$O$2)),0)</f>
        <v/>
      </c>
      <c r="H23" s="9">
        <f>IF(ISNUMBER(H$3),H$2*MAX(0,MIN(1,((YEAR($A23)-YEAR(H$3))*12+MONTH($A23)-MONTH(H$3)+1)/'Capacity by month'!$O$2)),0)</f>
        <v/>
      </c>
      <c r="I23" s="9">
        <f>IF(ISNUMBER(I$3),I$2*MAX(0,MIN(1,((YEAR($A23)-YEAR(I$3))*12+MONTH($A23)-MONTH(I$3)+1)/'Capacity by month'!$O$2)),0)</f>
        <v/>
      </c>
      <c r="J23" s="9">
        <f>IF(ISNUMBER(J$3),J$2*MAX(0,MIN(1,((YEAR($A23)-YEAR(J$3))*12+MONTH($A23)-MONTH(J$3)+1)/'Capacity by month'!$O$2)),0)</f>
        <v/>
      </c>
      <c r="K23" s="9">
        <f>IF(ISNUMBER(K$3),K$2*MAX(0,MIN(1,((YEAR($A23)-YEAR(K$3))*12+MONTH($A23)-MONTH(K$3)+1)/'Capacity by month'!$O$2)),0)</f>
        <v/>
      </c>
      <c r="L23" s="9">
        <f>IF(ISNUMBER(L$3),L$2*MAX(0,MIN(1,((YEAR($A23)-YEAR(L$3))*12+MONTH($A23)-MONTH(L$3)+1)/'Capacity by month'!$O$2)),0)</f>
        <v/>
      </c>
      <c r="M23" s="9">
        <f>IF(ISNUMBER(M$3),M$2*MAX(0,MIN(1,((YEAR($A23)-YEAR(M$3))*12+MONTH($A23)-MONTH(M$3)+1)/'Capacity by month'!$O$2)),0)</f>
        <v/>
      </c>
      <c r="N23" s="9">
        <f>IF(ISNUMBER(N$3),N$2*MAX(0,MIN(1,((YEAR($A23)-YEAR(N$3))*12+MONTH($A23)-MONTH(N$3)+1)/'Capacity by month'!$O$2)),0)</f>
        <v/>
      </c>
      <c r="O23" s="9">
        <f>IF(ISNUMBER(O$3),O$2*MAX(0,MIN(1,((YEAR($A23)-YEAR(O$3))*12+MONTH($A23)-MONTH(O$3)+1)/'Capacity by month'!$O$2)),0)</f>
        <v/>
      </c>
      <c r="P23" s="9">
        <f>IF(ISNUMBER(P$3),P$2*MAX(0,MIN(1,((YEAR($A23)-YEAR(P$3))*12+MONTH($A23)-MONTH(P$3)+1)/'Capacity by month'!$O$2)),0)</f>
        <v/>
      </c>
      <c r="Q23" s="9">
        <f>IF(ISNUMBER(Q$3),Q$2*MAX(0,MIN(1,((YEAR($A23)-YEAR(Q$3))*12+MONTH($A23)-MONTH(Q$3)+1)/'Capacity by month'!$O$2)),0)</f>
        <v/>
      </c>
      <c r="R23" s="9">
        <f>IF(ISNUMBER(R$3),R$2*MAX(0,MIN(1,((YEAR($A23)-YEAR(R$3))*12+MONTH($A23)-MONTH(R$3)+1)/'Capacity by month'!$O$2)),0)</f>
        <v/>
      </c>
      <c r="S23" s="9">
        <f>IF(ISNUMBER(S$3),S$2*MAX(0,MIN(1,((YEAR($A23)-YEAR(S$3))*12+MONTH($A23)-MONTH(S$3)+1)/'Capacity by month'!$O$2)),0)</f>
        <v/>
      </c>
      <c r="T23" s="9">
        <f>IF(ISNUMBER(T$3),T$2*MAX(0,MIN(1,((YEAR($A23)-YEAR(T$3))*12+MONTH($A23)-MONTH(T$3)+1)/'Capacity by month'!$O$2)),0)</f>
        <v/>
      </c>
      <c r="U23" s="9">
        <f>IF(ISNUMBER(U$3),U$2*MAX(0,MIN(1,((YEAR($A23)-YEAR(U$3))*12+MONTH($A23)-MONTH(U$3)+1)/'Capacity by month'!$O$2)),0)</f>
        <v/>
      </c>
      <c r="V23" s="9">
        <f>IF(ISNUMBER(V$3),V$2*MAX(0,MIN(1,((YEAR($A23)-YEAR(V$3))*12+MONTH($A23)-MONTH(V$3)+1)/'Capacity by month'!$O$2)),0)</f>
        <v/>
      </c>
      <c r="W23" s="9">
        <f>IF(ISNUMBER(W$3),W$2*MAX(0,MIN(1,((YEAR($A23)-YEAR(W$3))*12+MONTH($A23)-MONTH(W$3)+1)/'Capacity by month'!$O$2)),0)</f>
        <v/>
      </c>
      <c r="X23" s="9">
        <f>IF(ISNUMBER(X$3),X$2*MAX(0,MIN(1,((YEAR($A23)-YEAR(X$3))*12+MONTH($A23)-MONTH(X$3)+1)/'Capacity by month'!$O$2)),0)</f>
        <v/>
      </c>
      <c r="Y23" s="9">
        <f>IF(ISNUMBER(Y$3),Y$2*MAX(0,MIN(1,((YEAR($A23)-YEAR(Y$3))*12+MONTH($A23)-MONTH(Y$3)+1)/'Capacity by month'!$O$2)),0)</f>
        <v/>
      </c>
      <c r="Z23" s="9">
        <f>IF(ISNUMBER(Z$3),Z$2*MAX(0,MIN(1,((YEAR($A23)-YEAR(Z$3))*12+MONTH($A23)-MONTH(Z$3)+1)/'Capacity by month'!$O$2)),0)</f>
        <v/>
      </c>
      <c r="AA23">
        <f>SUM(B23:Z23)</f>
        <v/>
      </c>
      <c r="AB23" t="n">
        <v>0</v>
      </c>
    </row>
    <row r="24">
      <c r="A24" s="8" t="n">
        <v>44805</v>
      </c>
      <c r="B24" s="9">
        <f>IF(ISNUMBER(B$3),B$2*MAX(0,MIN(1,((YEAR($A24)-YEAR(B$3))*12+MONTH($A24)-MONTH(B$3)+1)/'Capacity by month'!$O$2)),0)</f>
        <v/>
      </c>
      <c r="C24" s="9">
        <f>IF(ISNUMBER(C$3),C$2*MAX(0,MIN(1,((YEAR($A24)-YEAR(C$3))*12+MONTH($A24)-MONTH(C$3)+1)/'Capacity by month'!$O$2)),0)</f>
        <v/>
      </c>
      <c r="D24" s="9">
        <f>IF(ISNUMBER(D$3),D$2*MAX(0,MIN(1,((YEAR($A24)-YEAR(D$3))*12+MONTH($A24)-MONTH(D$3)+1)/'Capacity by month'!$O$2)),0)</f>
        <v/>
      </c>
      <c r="E24" s="9">
        <f>IF(ISNUMBER(E$3),E$2*MAX(0,MIN(1,((YEAR($A24)-YEAR(E$3))*12+MONTH($A24)-MONTH(E$3)+1)/'Capacity by month'!$O$2)),0)</f>
        <v/>
      </c>
      <c r="F24" s="9">
        <f>IF(ISNUMBER(F$3),F$2*MAX(0,MIN(1,((YEAR($A24)-YEAR(F$3))*12+MONTH($A24)-MONTH(F$3)+1)/'Capacity by month'!$O$2)),0)</f>
        <v/>
      </c>
      <c r="G24" s="9">
        <f>IF(ISNUMBER(G$3),G$2*MAX(0,MIN(1,((YEAR($A24)-YEAR(G$3))*12+MONTH($A24)-MONTH(G$3)+1)/'Capacity by month'!$O$2)),0)</f>
        <v/>
      </c>
      <c r="H24" s="9">
        <f>IF(ISNUMBER(H$3),H$2*MAX(0,MIN(1,((YEAR($A24)-YEAR(H$3))*12+MONTH($A24)-MONTH(H$3)+1)/'Capacity by month'!$O$2)),0)</f>
        <v/>
      </c>
      <c r="I24" s="9">
        <f>IF(ISNUMBER(I$3),I$2*MAX(0,MIN(1,((YEAR($A24)-YEAR(I$3))*12+MONTH($A24)-MONTH(I$3)+1)/'Capacity by month'!$O$2)),0)</f>
        <v/>
      </c>
      <c r="J24" s="9">
        <f>IF(ISNUMBER(J$3),J$2*MAX(0,MIN(1,((YEAR($A24)-YEAR(J$3))*12+MONTH($A24)-MONTH(J$3)+1)/'Capacity by month'!$O$2)),0)</f>
        <v/>
      </c>
      <c r="K24" s="9">
        <f>IF(ISNUMBER(K$3),K$2*MAX(0,MIN(1,((YEAR($A24)-YEAR(K$3))*12+MONTH($A24)-MONTH(K$3)+1)/'Capacity by month'!$O$2)),0)</f>
        <v/>
      </c>
      <c r="L24" s="9">
        <f>IF(ISNUMBER(L$3),L$2*MAX(0,MIN(1,((YEAR($A24)-YEAR(L$3))*12+MONTH($A24)-MONTH(L$3)+1)/'Capacity by month'!$O$2)),0)</f>
        <v/>
      </c>
      <c r="M24" s="9">
        <f>IF(ISNUMBER(M$3),M$2*MAX(0,MIN(1,((YEAR($A24)-YEAR(M$3))*12+MONTH($A24)-MONTH(M$3)+1)/'Capacity by month'!$O$2)),0)</f>
        <v/>
      </c>
      <c r="N24" s="9">
        <f>IF(ISNUMBER(N$3),N$2*MAX(0,MIN(1,((YEAR($A24)-YEAR(N$3))*12+MONTH($A24)-MONTH(N$3)+1)/'Capacity by month'!$O$2)),0)</f>
        <v/>
      </c>
      <c r="O24" s="9">
        <f>IF(ISNUMBER(O$3),O$2*MAX(0,MIN(1,((YEAR($A24)-YEAR(O$3))*12+MONTH($A24)-MONTH(O$3)+1)/'Capacity by month'!$O$2)),0)</f>
        <v/>
      </c>
      <c r="P24" s="9">
        <f>IF(ISNUMBER(P$3),P$2*MAX(0,MIN(1,((YEAR($A24)-YEAR(P$3))*12+MONTH($A24)-MONTH(P$3)+1)/'Capacity by month'!$O$2)),0)</f>
        <v/>
      </c>
      <c r="Q24" s="9">
        <f>IF(ISNUMBER(Q$3),Q$2*MAX(0,MIN(1,((YEAR($A24)-YEAR(Q$3))*12+MONTH($A24)-MONTH(Q$3)+1)/'Capacity by month'!$O$2)),0)</f>
        <v/>
      </c>
      <c r="R24" s="9">
        <f>IF(ISNUMBER(R$3),R$2*MAX(0,MIN(1,((YEAR($A24)-YEAR(R$3))*12+MONTH($A24)-MONTH(R$3)+1)/'Capacity by month'!$O$2)),0)</f>
        <v/>
      </c>
      <c r="S24" s="9">
        <f>IF(ISNUMBER(S$3),S$2*MAX(0,MIN(1,((YEAR($A24)-YEAR(S$3))*12+MONTH($A24)-MONTH(S$3)+1)/'Capacity by month'!$O$2)),0)</f>
        <v/>
      </c>
      <c r="T24" s="9">
        <f>IF(ISNUMBER(T$3),T$2*MAX(0,MIN(1,((YEAR($A24)-YEAR(T$3))*12+MONTH($A24)-MONTH(T$3)+1)/'Capacity by month'!$O$2)),0)</f>
        <v/>
      </c>
      <c r="U24" s="9">
        <f>IF(ISNUMBER(U$3),U$2*MAX(0,MIN(1,((YEAR($A24)-YEAR(U$3))*12+MONTH($A24)-MONTH(U$3)+1)/'Capacity by month'!$O$2)),0)</f>
        <v/>
      </c>
      <c r="V24" s="9">
        <f>IF(ISNUMBER(V$3),V$2*MAX(0,MIN(1,((YEAR($A24)-YEAR(V$3))*12+MONTH($A24)-MONTH(V$3)+1)/'Capacity by month'!$O$2)),0)</f>
        <v/>
      </c>
      <c r="W24" s="9">
        <f>IF(ISNUMBER(W$3),W$2*MAX(0,MIN(1,((YEAR($A24)-YEAR(W$3))*12+MONTH($A24)-MONTH(W$3)+1)/'Capacity by month'!$O$2)),0)</f>
        <v/>
      </c>
      <c r="X24" s="9">
        <f>IF(ISNUMBER(X$3),X$2*MAX(0,MIN(1,((YEAR($A24)-YEAR(X$3))*12+MONTH($A24)-MONTH(X$3)+1)/'Capacity by month'!$O$2)),0)</f>
        <v/>
      </c>
      <c r="Y24" s="9">
        <f>IF(ISNUMBER(Y$3),Y$2*MAX(0,MIN(1,((YEAR($A24)-YEAR(Y$3))*12+MONTH($A24)-MONTH(Y$3)+1)/'Capacity by month'!$O$2)),0)</f>
        <v/>
      </c>
      <c r="Z24" s="9">
        <f>IF(ISNUMBER(Z$3),Z$2*MAX(0,MIN(1,((YEAR($A24)-YEAR(Z$3))*12+MONTH($A24)-MONTH(Z$3)+1)/'Capacity by month'!$O$2)),0)</f>
        <v/>
      </c>
      <c r="AA24">
        <f>SUM(B24:Z24)</f>
        <v/>
      </c>
      <c r="AB24" t="n">
        <v>0</v>
      </c>
    </row>
    <row r="25">
      <c r="A25" s="8" t="n">
        <v>44835</v>
      </c>
      <c r="B25" s="9">
        <f>IF(ISNUMBER(B$3),B$2*MAX(0,MIN(1,((YEAR($A25)-YEAR(B$3))*12+MONTH($A25)-MONTH(B$3)+1)/'Capacity by month'!$O$2)),0)</f>
        <v/>
      </c>
      <c r="C25" s="9">
        <f>IF(ISNUMBER(C$3),C$2*MAX(0,MIN(1,((YEAR($A25)-YEAR(C$3))*12+MONTH($A25)-MONTH(C$3)+1)/'Capacity by month'!$O$2)),0)</f>
        <v/>
      </c>
      <c r="D25" s="9">
        <f>IF(ISNUMBER(D$3),D$2*MAX(0,MIN(1,((YEAR($A25)-YEAR(D$3))*12+MONTH($A25)-MONTH(D$3)+1)/'Capacity by month'!$O$2)),0)</f>
        <v/>
      </c>
      <c r="E25" s="9">
        <f>IF(ISNUMBER(E$3),E$2*MAX(0,MIN(1,((YEAR($A25)-YEAR(E$3))*12+MONTH($A25)-MONTH(E$3)+1)/'Capacity by month'!$O$2)),0)</f>
        <v/>
      </c>
      <c r="F25" s="9">
        <f>IF(ISNUMBER(F$3),F$2*MAX(0,MIN(1,((YEAR($A25)-YEAR(F$3))*12+MONTH($A25)-MONTH(F$3)+1)/'Capacity by month'!$O$2)),0)</f>
        <v/>
      </c>
      <c r="G25" s="9">
        <f>IF(ISNUMBER(G$3),G$2*MAX(0,MIN(1,((YEAR($A25)-YEAR(G$3))*12+MONTH($A25)-MONTH(G$3)+1)/'Capacity by month'!$O$2)),0)</f>
        <v/>
      </c>
      <c r="H25" s="9">
        <f>IF(ISNUMBER(H$3),H$2*MAX(0,MIN(1,((YEAR($A25)-YEAR(H$3))*12+MONTH($A25)-MONTH(H$3)+1)/'Capacity by month'!$O$2)),0)</f>
        <v/>
      </c>
      <c r="I25" s="9">
        <f>IF(ISNUMBER(I$3),I$2*MAX(0,MIN(1,((YEAR($A25)-YEAR(I$3))*12+MONTH($A25)-MONTH(I$3)+1)/'Capacity by month'!$O$2)),0)</f>
        <v/>
      </c>
      <c r="J25" s="9">
        <f>IF(ISNUMBER(J$3),J$2*MAX(0,MIN(1,((YEAR($A25)-YEAR(J$3))*12+MONTH($A25)-MONTH(J$3)+1)/'Capacity by month'!$O$2)),0)</f>
        <v/>
      </c>
      <c r="K25" s="9">
        <f>IF(ISNUMBER(K$3),K$2*MAX(0,MIN(1,((YEAR($A25)-YEAR(K$3))*12+MONTH($A25)-MONTH(K$3)+1)/'Capacity by month'!$O$2)),0)</f>
        <v/>
      </c>
      <c r="L25" s="9">
        <f>IF(ISNUMBER(L$3),L$2*MAX(0,MIN(1,((YEAR($A25)-YEAR(L$3))*12+MONTH($A25)-MONTH(L$3)+1)/'Capacity by month'!$O$2)),0)</f>
        <v/>
      </c>
      <c r="M25" s="9">
        <f>IF(ISNUMBER(M$3),M$2*MAX(0,MIN(1,((YEAR($A25)-YEAR(M$3))*12+MONTH($A25)-MONTH(M$3)+1)/'Capacity by month'!$O$2)),0)</f>
        <v/>
      </c>
      <c r="N25" s="9">
        <f>IF(ISNUMBER(N$3),N$2*MAX(0,MIN(1,((YEAR($A25)-YEAR(N$3))*12+MONTH($A25)-MONTH(N$3)+1)/'Capacity by month'!$O$2)),0)</f>
        <v/>
      </c>
      <c r="O25" s="9">
        <f>IF(ISNUMBER(O$3),O$2*MAX(0,MIN(1,((YEAR($A25)-YEAR(O$3))*12+MONTH($A25)-MONTH(O$3)+1)/'Capacity by month'!$O$2)),0)</f>
        <v/>
      </c>
      <c r="P25" s="9">
        <f>IF(ISNUMBER(P$3),P$2*MAX(0,MIN(1,((YEAR($A25)-YEAR(P$3))*12+MONTH($A25)-MONTH(P$3)+1)/'Capacity by month'!$O$2)),0)</f>
        <v/>
      </c>
      <c r="Q25" s="9">
        <f>IF(ISNUMBER(Q$3),Q$2*MAX(0,MIN(1,((YEAR($A25)-YEAR(Q$3))*12+MONTH($A25)-MONTH(Q$3)+1)/'Capacity by month'!$O$2)),0)</f>
        <v/>
      </c>
      <c r="R25" s="9">
        <f>IF(ISNUMBER(R$3),R$2*MAX(0,MIN(1,((YEAR($A25)-YEAR(R$3))*12+MONTH($A25)-MONTH(R$3)+1)/'Capacity by month'!$O$2)),0)</f>
        <v/>
      </c>
      <c r="S25" s="9">
        <f>IF(ISNUMBER(S$3),S$2*MAX(0,MIN(1,((YEAR($A25)-YEAR(S$3))*12+MONTH($A25)-MONTH(S$3)+1)/'Capacity by month'!$O$2)),0)</f>
        <v/>
      </c>
      <c r="T25" s="9">
        <f>IF(ISNUMBER(T$3),T$2*MAX(0,MIN(1,((YEAR($A25)-YEAR(T$3))*12+MONTH($A25)-MONTH(T$3)+1)/'Capacity by month'!$O$2)),0)</f>
        <v/>
      </c>
      <c r="U25" s="9">
        <f>IF(ISNUMBER(U$3),U$2*MAX(0,MIN(1,((YEAR($A25)-YEAR(U$3))*12+MONTH($A25)-MONTH(U$3)+1)/'Capacity by month'!$O$2)),0)</f>
        <v/>
      </c>
      <c r="V25" s="9">
        <f>IF(ISNUMBER(V$3),V$2*MAX(0,MIN(1,((YEAR($A25)-YEAR(V$3))*12+MONTH($A25)-MONTH(V$3)+1)/'Capacity by month'!$O$2)),0)</f>
        <v/>
      </c>
      <c r="W25" s="9">
        <f>IF(ISNUMBER(W$3),W$2*MAX(0,MIN(1,((YEAR($A25)-YEAR(W$3))*12+MONTH($A25)-MONTH(W$3)+1)/'Capacity by month'!$O$2)),0)</f>
        <v/>
      </c>
      <c r="X25" s="9">
        <f>IF(ISNUMBER(X$3),X$2*MAX(0,MIN(1,((YEAR($A25)-YEAR(X$3))*12+MONTH($A25)-MONTH(X$3)+1)/'Capacity by month'!$O$2)),0)</f>
        <v/>
      </c>
      <c r="Y25" s="9">
        <f>IF(ISNUMBER(Y$3),Y$2*MAX(0,MIN(1,((YEAR($A25)-YEAR(Y$3))*12+MONTH($A25)-MONTH(Y$3)+1)/'Capacity by month'!$O$2)),0)</f>
        <v/>
      </c>
      <c r="Z25" s="9">
        <f>IF(ISNUMBER(Z$3),Z$2*MAX(0,MIN(1,((YEAR($A25)-YEAR(Z$3))*12+MONTH($A25)-MONTH(Z$3)+1)/'Capacity by month'!$O$2)),0)</f>
        <v/>
      </c>
      <c r="AA25">
        <f>SUM(B25:Z25)</f>
        <v/>
      </c>
      <c r="AB25" t="n">
        <v>0</v>
      </c>
    </row>
    <row r="26">
      <c r="A26" s="8" t="n">
        <v>44866</v>
      </c>
      <c r="B26" s="9">
        <f>IF(ISNUMBER(B$3),B$2*MAX(0,MIN(1,((YEAR($A26)-YEAR(B$3))*12+MONTH($A26)-MONTH(B$3)+1)/'Capacity by month'!$O$2)),0)</f>
        <v/>
      </c>
      <c r="C26" s="9">
        <f>IF(ISNUMBER(C$3),C$2*MAX(0,MIN(1,((YEAR($A26)-YEAR(C$3))*12+MONTH($A26)-MONTH(C$3)+1)/'Capacity by month'!$O$2)),0)</f>
        <v/>
      </c>
      <c r="D26" s="9">
        <f>IF(ISNUMBER(D$3),D$2*MAX(0,MIN(1,((YEAR($A26)-YEAR(D$3))*12+MONTH($A26)-MONTH(D$3)+1)/'Capacity by month'!$O$2)),0)</f>
        <v/>
      </c>
      <c r="E26" s="9">
        <f>IF(ISNUMBER(E$3),E$2*MAX(0,MIN(1,((YEAR($A26)-YEAR(E$3))*12+MONTH($A26)-MONTH(E$3)+1)/'Capacity by month'!$O$2)),0)</f>
        <v/>
      </c>
      <c r="F26" s="9">
        <f>IF(ISNUMBER(F$3),F$2*MAX(0,MIN(1,((YEAR($A26)-YEAR(F$3))*12+MONTH($A26)-MONTH(F$3)+1)/'Capacity by month'!$O$2)),0)</f>
        <v/>
      </c>
      <c r="G26" s="9">
        <f>IF(ISNUMBER(G$3),G$2*MAX(0,MIN(1,((YEAR($A26)-YEAR(G$3))*12+MONTH($A26)-MONTH(G$3)+1)/'Capacity by month'!$O$2)),0)</f>
        <v/>
      </c>
      <c r="H26" s="9">
        <f>IF(ISNUMBER(H$3),H$2*MAX(0,MIN(1,((YEAR($A26)-YEAR(H$3))*12+MONTH($A26)-MONTH(H$3)+1)/'Capacity by month'!$O$2)),0)</f>
        <v/>
      </c>
      <c r="I26" s="9">
        <f>IF(ISNUMBER(I$3),I$2*MAX(0,MIN(1,((YEAR($A26)-YEAR(I$3))*12+MONTH($A26)-MONTH(I$3)+1)/'Capacity by month'!$O$2)),0)</f>
        <v/>
      </c>
      <c r="J26" s="9">
        <f>IF(ISNUMBER(J$3),J$2*MAX(0,MIN(1,((YEAR($A26)-YEAR(J$3))*12+MONTH($A26)-MONTH(J$3)+1)/'Capacity by month'!$O$2)),0)</f>
        <v/>
      </c>
      <c r="K26" s="9">
        <f>IF(ISNUMBER(K$3),K$2*MAX(0,MIN(1,((YEAR($A26)-YEAR(K$3))*12+MONTH($A26)-MONTH(K$3)+1)/'Capacity by month'!$O$2)),0)</f>
        <v/>
      </c>
      <c r="L26" s="9">
        <f>IF(ISNUMBER(L$3),L$2*MAX(0,MIN(1,((YEAR($A26)-YEAR(L$3))*12+MONTH($A26)-MONTH(L$3)+1)/'Capacity by month'!$O$2)),0)</f>
        <v/>
      </c>
      <c r="M26" s="9">
        <f>IF(ISNUMBER(M$3),M$2*MAX(0,MIN(1,((YEAR($A26)-YEAR(M$3))*12+MONTH($A26)-MONTH(M$3)+1)/'Capacity by month'!$O$2)),0)</f>
        <v/>
      </c>
      <c r="N26" s="9">
        <f>IF(ISNUMBER(N$3),N$2*MAX(0,MIN(1,((YEAR($A26)-YEAR(N$3))*12+MONTH($A26)-MONTH(N$3)+1)/'Capacity by month'!$O$2)),0)</f>
        <v/>
      </c>
      <c r="O26" s="9">
        <f>IF(ISNUMBER(O$3),O$2*MAX(0,MIN(1,((YEAR($A26)-YEAR(O$3))*12+MONTH($A26)-MONTH(O$3)+1)/'Capacity by month'!$O$2)),0)</f>
        <v/>
      </c>
      <c r="P26" s="9">
        <f>IF(ISNUMBER(P$3),P$2*MAX(0,MIN(1,((YEAR($A26)-YEAR(P$3))*12+MONTH($A26)-MONTH(P$3)+1)/'Capacity by month'!$O$2)),0)</f>
        <v/>
      </c>
      <c r="Q26" s="9">
        <f>IF(ISNUMBER(Q$3),Q$2*MAX(0,MIN(1,((YEAR($A26)-YEAR(Q$3))*12+MONTH($A26)-MONTH(Q$3)+1)/'Capacity by month'!$O$2)),0)</f>
        <v/>
      </c>
      <c r="R26" s="9">
        <f>IF(ISNUMBER(R$3),R$2*MAX(0,MIN(1,((YEAR($A26)-YEAR(R$3))*12+MONTH($A26)-MONTH(R$3)+1)/'Capacity by month'!$O$2)),0)</f>
        <v/>
      </c>
      <c r="S26" s="9">
        <f>IF(ISNUMBER(S$3),S$2*MAX(0,MIN(1,((YEAR($A26)-YEAR(S$3))*12+MONTH($A26)-MONTH(S$3)+1)/'Capacity by month'!$O$2)),0)</f>
        <v/>
      </c>
      <c r="T26" s="9">
        <f>IF(ISNUMBER(T$3),T$2*MAX(0,MIN(1,((YEAR($A26)-YEAR(T$3))*12+MONTH($A26)-MONTH(T$3)+1)/'Capacity by month'!$O$2)),0)</f>
        <v/>
      </c>
      <c r="U26" s="9">
        <f>IF(ISNUMBER(U$3),U$2*MAX(0,MIN(1,((YEAR($A26)-YEAR(U$3))*12+MONTH($A26)-MONTH(U$3)+1)/'Capacity by month'!$O$2)),0)</f>
        <v/>
      </c>
      <c r="V26" s="9">
        <f>IF(ISNUMBER(V$3),V$2*MAX(0,MIN(1,((YEAR($A26)-YEAR(V$3))*12+MONTH($A26)-MONTH(V$3)+1)/'Capacity by month'!$O$2)),0)</f>
        <v/>
      </c>
      <c r="W26" s="9">
        <f>IF(ISNUMBER(W$3),W$2*MAX(0,MIN(1,((YEAR($A26)-YEAR(W$3))*12+MONTH($A26)-MONTH(W$3)+1)/'Capacity by month'!$O$2)),0)</f>
        <v/>
      </c>
      <c r="X26" s="9">
        <f>IF(ISNUMBER(X$3),X$2*MAX(0,MIN(1,((YEAR($A26)-YEAR(X$3))*12+MONTH($A26)-MONTH(X$3)+1)/'Capacity by month'!$O$2)),0)</f>
        <v/>
      </c>
      <c r="Y26" s="9">
        <f>IF(ISNUMBER(Y$3),Y$2*MAX(0,MIN(1,((YEAR($A26)-YEAR(Y$3))*12+MONTH($A26)-MONTH(Y$3)+1)/'Capacity by month'!$O$2)),0)</f>
        <v/>
      </c>
      <c r="Z26" s="9">
        <f>IF(ISNUMBER(Z$3),Z$2*MAX(0,MIN(1,((YEAR($A26)-YEAR(Z$3))*12+MONTH($A26)-MONTH(Z$3)+1)/'Capacity by month'!$O$2)),0)</f>
        <v/>
      </c>
      <c r="AA26">
        <f>SUM(B26:Z26)</f>
        <v/>
      </c>
      <c r="AB26" t="n">
        <v>0</v>
      </c>
    </row>
    <row r="27">
      <c r="A27" s="8" t="n">
        <v>44896</v>
      </c>
      <c r="B27" s="9">
        <f>IF(ISNUMBER(B$3),B$2*MAX(0,MIN(1,((YEAR($A27)-YEAR(B$3))*12+MONTH($A27)-MONTH(B$3)+1)/'Capacity by month'!$O$2)),0)</f>
        <v/>
      </c>
      <c r="C27" s="9">
        <f>IF(ISNUMBER(C$3),C$2*MAX(0,MIN(1,((YEAR($A27)-YEAR(C$3))*12+MONTH($A27)-MONTH(C$3)+1)/'Capacity by month'!$O$2)),0)</f>
        <v/>
      </c>
      <c r="D27" s="9">
        <f>IF(ISNUMBER(D$3),D$2*MAX(0,MIN(1,((YEAR($A27)-YEAR(D$3))*12+MONTH($A27)-MONTH(D$3)+1)/'Capacity by month'!$O$2)),0)</f>
        <v/>
      </c>
      <c r="E27" s="9">
        <f>IF(ISNUMBER(E$3),E$2*MAX(0,MIN(1,((YEAR($A27)-YEAR(E$3))*12+MONTH($A27)-MONTH(E$3)+1)/'Capacity by month'!$O$2)),0)</f>
        <v/>
      </c>
      <c r="F27" s="9">
        <f>IF(ISNUMBER(F$3),F$2*MAX(0,MIN(1,((YEAR($A27)-YEAR(F$3))*12+MONTH($A27)-MONTH(F$3)+1)/'Capacity by month'!$O$2)),0)</f>
        <v/>
      </c>
      <c r="G27" s="9">
        <f>IF(ISNUMBER(G$3),G$2*MAX(0,MIN(1,((YEAR($A27)-YEAR(G$3))*12+MONTH($A27)-MONTH(G$3)+1)/'Capacity by month'!$O$2)),0)</f>
        <v/>
      </c>
      <c r="H27" s="9">
        <f>IF(ISNUMBER(H$3),H$2*MAX(0,MIN(1,((YEAR($A27)-YEAR(H$3))*12+MONTH($A27)-MONTH(H$3)+1)/'Capacity by month'!$O$2)),0)</f>
        <v/>
      </c>
      <c r="I27" s="9">
        <f>IF(ISNUMBER(I$3),I$2*MAX(0,MIN(1,((YEAR($A27)-YEAR(I$3))*12+MONTH($A27)-MONTH(I$3)+1)/'Capacity by month'!$O$2)),0)</f>
        <v/>
      </c>
      <c r="J27" s="9">
        <f>IF(ISNUMBER(J$3),J$2*MAX(0,MIN(1,((YEAR($A27)-YEAR(J$3))*12+MONTH($A27)-MONTH(J$3)+1)/'Capacity by month'!$O$2)),0)</f>
        <v/>
      </c>
      <c r="K27" s="9">
        <f>IF(ISNUMBER(K$3),K$2*MAX(0,MIN(1,((YEAR($A27)-YEAR(K$3))*12+MONTH($A27)-MONTH(K$3)+1)/'Capacity by month'!$O$2)),0)</f>
        <v/>
      </c>
      <c r="L27" s="9">
        <f>IF(ISNUMBER(L$3),L$2*MAX(0,MIN(1,((YEAR($A27)-YEAR(L$3))*12+MONTH($A27)-MONTH(L$3)+1)/'Capacity by month'!$O$2)),0)</f>
        <v/>
      </c>
      <c r="M27" s="9">
        <f>IF(ISNUMBER(M$3),M$2*MAX(0,MIN(1,((YEAR($A27)-YEAR(M$3))*12+MONTH($A27)-MONTH(M$3)+1)/'Capacity by month'!$O$2)),0)</f>
        <v/>
      </c>
      <c r="N27" s="9">
        <f>IF(ISNUMBER(N$3),N$2*MAX(0,MIN(1,((YEAR($A27)-YEAR(N$3))*12+MONTH($A27)-MONTH(N$3)+1)/'Capacity by month'!$O$2)),0)</f>
        <v/>
      </c>
      <c r="O27" s="9">
        <f>IF(ISNUMBER(O$3),O$2*MAX(0,MIN(1,((YEAR($A27)-YEAR(O$3))*12+MONTH($A27)-MONTH(O$3)+1)/'Capacity by month'!$O$2)),0)</f>
        <v/>
      </c>
      <c r="P27" s="9">
        <f>IF(ISNUMBER(P$3),P$2*MAX(0,MIN(1,((YEAR($A27)-YEAR(P$3))*12+MONTH($A27)-MONTH(P$3)+1)/'Capacity by month'!$O$2)),0)</f>
        <v/>
      </c>
      <c r="Q27" s="9">
        <f>IF(ISNUMBER(Q$3),Q$2*MAX(0,MIN(1,((YEAR($A27)-YEAR(Q$3))*12+MONTH($A27)-MONTH(Q$3)+1)/'Capacity by month'!$O$2)),0)</f>
        <v/>
      </c>
      <c r="R27" s="9">
        <f>IF(ISNUMBER(R$3),R$2*MAX(0,MIN(1,((YEAR($A27)-YEAR(R$3))*12+MONTH($A27)-MONTH(R$3)+1)/'Capacity by month'!$O$2)),0)</f>
        <v/>
      </c>
      <c r="S27" s="9">
        <f>IF(ISNUMBER(S$3),S$2*MAX(0,MIN(1,((YEAR($A27)-YEAR(S$3))*12+MONTH($A27)-MONTH(S$3)+1)/'Capacity by month'!$O$2)),0)</f>
        <v/>
      </c>
      <c r="T27" s="9">
        <f>IF(ISNUMBER(T$3),T$2*MAX(0,MIN(1,((YEAR($A27)-YEAR(T$3))*12+MONTH($A27)-MONTH(T$3)+1)/'Capacity by month'!$O$2)),0)</f>
        <v/>
      </c>
      <c r="U27" s="9">
        <f>IF(ISNUMBER(U$3),U$2*MAX(0,MIN(1,((YEAR($A27)-YEAR(U$3))*12+MONTH($A27)-MONTH(U$3)+1)/'Capacity by month'!$O$2)),0)</f>
        <v/>
      </c>
      <c r="V27" s="9">
        <f>IF(ISNUMBER(V$3),V$2*MAX(0,MIN(1,((YEAR($A27)-YEAR(V$3))*12+MONTH($A27)-MONTH(V$3)+1)/'Capacity by month'!$O$2)),0)</f>
        <v/>
      </c>
      <c r="W27" s="9">
        <f>IF(ISNUMBER(W$3),W$2*MAX(0,MIN(1,((YEAR($A27)-YEAR(W$3))*12+MONTH($A27)-MONTH(W$3)+1)/'Capacity by month'!$O$2)),0)</f>
        <v/>
      </c>
      <c r="X27" s="9">
        <f>IF(ISNUMBER(X$3),X$2*MAX(0,MIN(1,((YEAR($A27)-YEAR(X$3))*12+MONTH($A27)-MONTH(X$3)+1)/'Capacity by month'!$O$2)),0)</f>
        <v/>
      </c>
      <c r="Y27" s="9">
        <f>IF(ISNUMBER(Y$3),Y$2*MAX(0,MIN(1,((YEAR($A27)-YEAR(Y$3))*12+MONTH($A27)-MONTH(Y$3)+1)/'Capacity by month'!$O$2)),0)</f>
        <v/>
      </c>
      <c r="Z27" s="9">
        <f>IF(ISNUMBER(Z$3),Z$2*MAX(0,MIN(1,((YEAR($A27)-YEAR(Z$3))*12+MONTH($A27)-MONTH(Z$3)+1)/'Capacity by month'!$O$2)),0)</f>
        <v/>
      </c>
      <c r="AA27">
        <f>SUM(B27:Z27)</f>
        <v/>
      </c>
      <c r="AB27" t="n">
        <v>0</v>
      </c>
    </row>
    <row r="28">
      <c r="A28" s="8" t="n">
        <v>44927</v>
      </c>
      <c r="B28" s="9">
        <f>IF(ISNUMBER(B$3),B$2*MAX(0,MIN(1,((YEAR($A28)-YEAR(B$3))*12+MONTH($A28)-MONTH(B$3)+1)/'Capacity by month'!$O$2)),0)</f>
        <v/>
      </c>
      <c r="C28" s="9">
        <f>IF(ISNUMBER(C$3),C$2*MAX(0,MIN(1,((YEAR($A28)-YEAR(C$3))*12+MONTH($A28)-MONTH(C$3)+1)/'Capacity by month'!$O$2)),0)</f>
        <v/>
      </c>
      <c r="D28" s="9">
        <f>IF(ISNUMBER(D$3),D$2*MAX(0,MIN(1,((YEAR($A28)-YEAR(D$3))*12+MONTH($A28)-MONTH(D$3)+1)/'Capacity by month'!$O$2)),0)</f>
        <v/>
      </c>
      <c r="E28" s="9">
        <f>IF(ISNUMBER(E$3),E$2*MAX(0,MIN(1,((YEAR($A28)-YEAR(E$3))*12+MONTH($A28)-MONTH(E$3)+1)/'Capacity by month'!$O$2)),0)</f>
        <v/>
      </c>
      <c r="F28" s="9">
        <f>IF(ISNUMBER(F$3),F$2*MAX(0,MIN(1,((YEAR($A28)-YEAR(F$3))*12+MONTH($A28)-MONTH(F$3)+1)/'Capacity by month'!$O$2)),0)</f>
        <v/>
      </c>
      <c r="G28" s="9">
        <f>IF(ISNUMBER(G$3),G$2*MAX(0,MIN(1,((YEAR($A28)-YEAR(G$3))*12+MONTH($A28)-MONTH(G$3)+1)/'Capacity by month'!$O$2)),0)</f>
        <v/>
      </c>
      <c r="H28" s="9">
        <f>IF(ISNUMBER(H$3),H$2*MAX(0,MIN(1,((YEAR($A28)-YEAR(H$3))*12+MONTH($A28)-MONTH(H$3)+1)/'Capacity by month'!$O$2)),0)</f>
        <v/>
      </c>
      <c r="I28" s="9">
        <f>IF(ISNUMBER(I$3),I$2*MAX(0,MIN(1,((YEAR($A28)-YEAR(I$3))*12+MONTH($A28)-MONTH(I$3)+1)/'Capacity by month'!$O$2)),0)</f>
        <v/>
      </c>
      <c r="J28" s="9">
        <f>IF(ISNUMBER(J$3),J$2*MAX(0,MIN(1,((YEAR($A28)-YEAR(J$3))*12+MONTH($A28)-MONTH(J$3)+1)/'Capacity by month'!$O$2)),0)</f>
        <v/>
      </c>
      <c r="K28" s="9">
        <f>IF(ISNUMBER(K$3),K$2*MAX(0,MIN(1,((YEAR($A28)-YEAR(K$3))*12+MONTH($A28)-MONTH(K$3)+1)/'Capacity by month'!$O$2)),0)</f>
        <v/>
      </c>
      <c r="L28" s="9">
        <f>IF(ISNUMBER(L$3),L$2*MAX(0,MIN(1,((YEAR($A28)-YEAR(L$3))*12+MONTH($A28)-MONTH(L$3)+1)/'Capacity by month'!$O$2)),0)</f>
        <v/>
      </c>
      <c r="M28" s="9">
        <f>IF(ISNUMBER(M$3),M$2*MAX(0,MIN(1,((YEAR($A28)-YEAR(M$3))*12+MONTH($A28)-MONTH(M$3)+1)/'Capacity by month'!$O$2)),0)</f>
        <v/>
      </c>
      <c r="N28" s="9">
        <f>IF(ISNUMBER(N$3),N$2*MAX(0,MIN(1,((YEAR($A28)-YEAR(N$3))*12+MONTH($A28)-MONTH(N$3)+1)/'Capacity by month'!$O$2)),0)</f>
        <v/>
      </c>
      <c r="O28" s="9">
        <f>IF(ISNUMBER(O$3),O$2*MAX(0,MIN(1,((YEAR($A28)-YEAR(O$3))*12+MONTH($A28)-MONTH(O$3)+1)/'Capacity by month'!$O$2)),0)</f>
        <v/>
      </c>
      <c r="P28" s="9">
        <f>IF(ISNUMBER(P$3),P$2*MAX(0,MIN(1,((YEAR($A28)-YEAR(P$3))*12+MONTH($A28)-MONTH(P$3)+1)/'Capacity by month'!$O$2)),0)</f>
        <v/>
      </c>
      <c r="Q28" s="9">
        <f>IF(ISNUMBER(Q$3),Q$2*MAX(0,MIN(1,((YEAR($A28)-YEAR(Q$3))*12+MONTH($A28)-MONTH(Q$3)+1)/'Capacity by month'!$O$2)),0)</f>
        <v/>
      </c>
      <c r="R28" s="9">
        <f>IF(ISNUMBER(R$3),R$2*MAX(0,MIN(1,((YEAR($A28)-YEAR(R$3))*12+MONTH($A28)-MONTH(R$3)+1)/'Capacity by month'!$O$2)),0)</f>
        <v/>
      </c>
      <c r="S28" s="9">
        <f>IF(ISNUMBER(S$3),S$2*MAX(0,MIN(1,((YEAR($A28)-YEAR(S$3))*12+MONTH($A28)-MONTH(S$3)+1)/'Capacity by month'!$O$2)),0)</f>
        <v/>
      </c>
      <c r="T28" s="9">
        <f>IF(ISNUMBER(T$3),T$2*MAX(0,MIN(1,((YEAR($A28)-YEAR(T$3))*12+MONTH($A28)-MONTH(T$3)+1)/'Capacity by month'!$O$2)),0)</f>
        <v/>
      </c>
      <c r="U28" s="9">
        <f>IF(ISNUMBER(U$3),U$2*MAX(0,MIN(1,((YEAR($A28)-YEAR(U$3))*12+MONTH($A28)-MONTH(U$3)+1)/'Capacity by month'!$O$2)),0)</f>
        <v/>
      </c>
      <c r="V28" s="9">
        <f>IF(ISNUMBER(V$3),V$2*MAX(0,MIN(1,((YEAR($A28)-YEAR(V$3))*12+MONTH($A28)-MONTH(V$3)+1)/'Capacity by month'!$O$2)),0)</f>
        <v/>
      </c>
      <c r="W28" s="9">
        <f>IF(ISNUMBER(W$3),W$2*MAX(0,MIN(1,((YEAR($A28)-YEAR(W$3))*12+MONTH($A28)-MONTH(W$3)+1)/'Capacity by month'!$O$2)),0)</f>
        <v/>
      </c>
      <c r="X28" s="9">
        <f>IF(ISNUMBER(X$3),X$2*MAX(0,MIN(1,((YEAR($A28)-YEAR(X$3))*12+MONTH($A28)-MONTH(X$3)+1)/'Capacity by month'!$O$2)),0)</f>
        <v/>
      </c>
      <c r="Y28" s="9">
        <f>IF(ISNUMBER(Y$3),Y$2*MAX(0,MIN(1,((YEAR($A28)-YEAR(Y$3))*12+MONTH($A28)-MONTH(Y$3)+1)/'Capacity by month'!$O$2)),0)</f>
        <v/>
      </c>
      <c r="Z28" s="9">
        <f>IF(ISNUMBER(Z$3),Z$2*MAX(0,MIN(1,((YEAR($A28)-YEAR(Z$3))*12+MONTH($A28)-MONTH(Z$3)+1)/'Capacity by month'!$O$2)),0)</f>
        <v/>
      </c>
      <c r="AA28">
        <f>SUM(B28:Z28)</f>
        <v/>
      </c>
      <c r="AB28" t="n">
        <v>0</v>
      </c>
    </row>
    <row r="29">
      <c r="A29" s="8" t="n">
        <v>44958</v>
      </c>
      <c r="B29" s="9">
        <f>IF(ISNUMBER(B$3),B$2*MAX(0,MIN(1,((YEAR($A29)-YEAR(B$3))*12+MONTH($A29)-MONTH(B$3)+1)/'Capacity by month'!$O$2)),0)</f>
        <v/>
      </c>
      <c r="C29" s="9">
        <f>IF(ISNUMBER(C$3),C$2*MAX(0,MIN(1,((YEAR($A29)-YEAR(C$3))*12+MONTH($A29)-MONTH(C$3)+1)/'Capacity by month'!$O$2)),0)</f>
        <v/>
      </c>
      <c r="D29" s="9">
        <f>IF(ISNUMBER(D$3),D$2*MAX(0,MIN(1,((YEAR($A29)-YEAR(D$3))*12+MONTH($A29)-MONTH(D$3)+1)/'Capacity by month'!$O$2)),0)</f>
        <v/>
      </c>
      <c r="E29" s="9">
        <f>IF(ISNUMBER(E$3),E$2*MAX(0,MIN(1,((YEAR($A29)-YEAR(E$3))*12+MONTH($A29)-MONTH(E$3)+1)/'Capacity by month'!$O$2)),0)</f>
        <v/>
      </c>
      <c r="F29" s="9">
        <f>IF(ISNUMBER(F$3),F$2*MAX(0,MIN(1,((YEAR($A29)-YEAR(F$3))*12+MONTH($A29)-MONTH(F$3)+1)/'Capacity by month'!$O$2)),0)</f>
        <v/>
      </c>
      <c r="G29" s="9">
        <f>IF(ISNUMBER(G$3),G$2*MAX(0,MIN(1,((YEAR($A29)-YEAR(G$3))*12+MONTH($A29)-MONTH(G$3)+1)/'Capacity by month'!$O$2)),0)</f>
        <v/>
      </c>
      <c r="H29" s="9">
        <f>IF(ISNUMBER(H$3),H$2*MAX(0,MIN(1,((YEAR($A29)-YEAR(H$3))*12+MONTH($A29)-MONTH(H$3)+1)/'Capacity by month'!$O$2)),0)</f>
        <v/>
      </c>
      <c r="I29" s="9">
        <f>IF(ISNUMBER(I$3),I$2*MAX(0,MIN(1,((YEAR($A29)-YEAR(I$3))*12+MONTH($A29)-MONTH(I$3)+1)/'Capacity by month'!$O$2)),0)</f>
        <v/>
      </c>
      <c r="J29" s="9">
        <f>IF(ISNUMBER(J$3),J$2*MAX(0,MIN(1,((YEAR($A29)-YEAR(J$3))*12+MONTH($A29)-MONTH(J$3)+1)/'Capacity by month'!$O$2)),0)</f>
        <v/>
      </c>
      <c r="K29" s="9">
        <f>IF(ISNUMBER(K$3),K$2*MAX(0,MIN(1,((YEAR($A29)-YEAR(K$3))*12+MONTH($A29)-MONTH(K$3)+1)/'Capacity by month'!$O$2)),0)</f>
        <v/>
      </c>
      <c r="L29" s="9">
        <f>IF(ISNUMBER(L$3),L$2*MAX(0,MIN(1,((YEAR($A29)-YEAR(L$3))*12+MONTH($A29)-MONTH(L$3)+1)/'Capacity by month'!$O$2)),0)</f>
        <v/>
      </c>
      <c r="M29" s="9">
        <f>IF(ISNUMBER(M$3),M$2*MAX(0,MIN(1,((YEAR($A29)-YEAR(M$3))*12+MONTH($A29)-MONTH(M$3)+1)/'Capacity by month'!$O$2)),0)</f>
        <v/>
      </c>
      <c r="N29" s="9">
        <f>IF(ISNUMBER(N$3),N$2*MAX(0,MIN(1,((YEAR($A29)-YEAR(N$3))*12+MONTH($A29)-MONTH(N$3)+1)/'Capacity by month'!$O$2)),0)</f>
        <v/>
      </c>
      <c r="O29" s="9">
        <f>IF(ISNUMBER(O$3),O$2*MAX(0,MIN(1,((YEAR($A29)-YEAR(O$3))*12+MONTH($A29)-MONTH(O$3)+1)/'Capacity by month'!$O$2)),0)</f>
        <v/>
      </c>
      <c r="P29" s="9">
        <f>IF(ISNUMBER(P$3),P$2*MAX(0,MIN(1,((YEAR($A29)-YEAR(P$3))*12+MONTH($A29)-MONTH(P$3)+1)/'Capacity by month'!$O$2)),0)</f>
        <v/>
      </c>
      <c r="Q29" s="9">
        <f>IF(ISNUMBER(Q$3),Q$2*MAX(0,MIN(1,((YEAR($A29)-YEAR(Q$3))*12+MONTH($A29)-MONTH(Q$3)+1)/'Capacity by month'!$O$2)),0)</f>
        <v/>
      </c>
      <c r="R29" s="9">
        <f>IF(ISNUMBER(R$3),R$2*MAX(0,MIN(1,((YEAR($A29)-YEAR(R$3))*12+MONTH($A29)-MONTH(R$3)+1)/'Capacity by month'!$O$2)),0)</f>
        <v/>
      </c>
      <c r="S29" s="9">
        <f>IF(ISNUMBER(S$3),S$2*MAX(0,MIN(1,((YEAR($A29)-YEAR(S$3))*12+MONTH($A29)-MONTH(S$3)+1)/'Capacity by month'!$O$2)),0)</f>
        <v/>
      </c>
      <c r="T29" s="9">
        <f>IF(ISNUMBER(T$3),T$2*MAX(0,MIN(1,((YEAR($A29)-YEAR(T$3))*12+MONTH($A29)-MONTH(T$3)+1)/'Capacity by month'!$O$2)),0)</f>
        <v/>
      </c>
      <c r="U29" s="9">
        <f>IF(ISNUMBER(U$3),U$2*MAX(0,MIN(1,((YEAR($A29)-YEAR(U$3))*12+MONTH($A29)-MONTH(U$3)+1)/'Capacity by month'!$O$2)),0)</f>
        <v/>
      </c>
      <c r="V29" s="9">
        <f>IF(ISNUMBER(V$3),V$2*MAX(0,MIN(1,((YEAR($A29)-YEAR(V$3))*12+MONTH($A29)-MONTH(V$3)+1)/'Capacity by month'!$O$2)),0)</f>
        <v/>
      </c>
      <c r="W29" s="9">
        <f>IF(ISNUMBER(W$3),W$2*MAX(0,MIN(1,((YEAR($A29)-YEAR(W$3))*12+MONTH($A29)-MONTH(W$3)+1)/'Capacity by month'!$O$2)),0)</f>
        <v/>
      </c>
      <c r="X29" s="9">
        <f>IF(ISNUMBER(X$3),X$2*MAX(0,MIN(1,((YEAR($A29)-YEAR(X$3))*12+MONTH($A29)-MONTH(X$3)+1)/'Capacity by month'!$O$2)),0)</f>
        <v/>
      </c>
      <c r="Y29" s="9">
        <f>IF(ISNUMBER(Y$3),Y$2*MAX(0,MIN(1,((YEAR($A29)-YEAR(Y$3))*12+MONTH($A29)-MONTH(Y$3)+1)/'Capacity by month'!$O$2)),0)</f>
        <v/>
      </c>
      <c r="Z29" s="9">
        <f>IF(ISNUMBER(Z$3),Z$2*MAX(0,MIN(1,((YEAR($A29)-YEAR(Z$3))*12+MONTH($A29)-MONTH(Z$3)+1)/'Capacity by month'!$O$2)),0)</f>
        <v/>
      </c>
      <c r="AA29">
        <f>SUM(B29:Z29)</f>
        <v/>
      </c>
      <c r="AB29" t="n">
        <v>0</v>
      </c>
    </row>
    <row r="30">
      <c r="A30" s="8" t="n">
        <v>44986</v>
      </c>
      <c r="B30" s="9">
        <f>IF(ISNUMBER(B$3),B$2*MAX(0,MIN(1,((YEAR($A30)-YEAR(B$3))*12+MONTH($A30)-MONTH(B$3)+1)/'Capacity by month'!$O$2)),0)</f>
        <v/>
      </c>
      <c r="C30" s="9">
        <f>IF(ISNUMBER(C$3),C$2*MAX(0,MIN(1,((YEAR($A30)-YEAR(C$3))*12+MONTH($A30)-MONTH(C$3)+1)/'Capacity by month'!$O$2)),0)</f>
        <v/>
      </c>
      <c r="D30" s="9">
        <f>IF(ISNUMBER(D$3),D$2*MAX(0,MIN(1,((YEAR($A30)-YEAR(D$3))*12+MONTH($A30)-MONTH(D$3)+1)/'Capacity by month'!$O$2)),0)</f>
        <v/>
      </c>
      <c r="E30" s="9">
        <f>IF(ISNUMBER(E$3),E$2*MAX(0,MIN(1,((YEAR($A30)-YEAR(E$3))*12+MONTH($A30)-MONTH(E$3)+1)/'Capacity by month'!$O$2)),0)</f>
        <v/>
      </c>
      <c r="F30" s="9">
        <f>IF(ISNUMBER(F$3),F$2*MAX(0,MIN(1,((YEAR($A30)-YEAR(F$3))*12+MONTH($A30)-MONTH(F$3)+1)/'Capacity by month'!$O$2)),0)</f>
        <v/>
      </c>
      <c r="G30" s="9">
        <f>IF(ISNUMBER(G$3),G$2*MAX(0,MIN(1,((YEAR($A30)-YEAR(G$3))*12+MONTH($A30)-MONTH(G$3)+1)/'Capacity by month'!$O$2)),0)</f>
        <v/>
      </c>
      <c r="H30" s="9">
        <f>IF(ISNUMBER(H$3),H$2*MAX(0,MIN(1,((YEAR($A30)-YEAR(H$3))*12+MONTH($A30)-MONTH(H$3)+1)/'Capacity by month'!$O$2)),0)</f>
        <v/>
      </c>
      <c r="I30" s="9">
        <f>IF(ISNUMBER(I$3),I$2*MAX(0,MIN(1,((YEAR($A30)-YEAR(I$3))*12+MONTH($A30)-MONTH(I$3)+1)/'Capacity by month'!$O$2)),0)</f>
        <v/>
      </c>
      <c r="J30" s="9">
        <f>IF(ISNUMBER(J$3),J$2*MAX(0,MIN(1,((YEAR($A30)-YEAR(J$3))*12+MONTH($A30)-MONTH(J$3)+1)/'Capacity by month'!$O$2)),0)</f>
        <v/>
      </c>
      <c r="K30" s="9">
        <f>IF(ISNUMBER(K$3),K$2*MAX(0,MIN(1,((YEAR($A30)-YEAR(K$3))*12+MONTH($A30)-MONTH(K$3)+1)/'Capacity by month'!$O$2)),0)</f>
        <v/>
      </c>
      <c r="L30" s="9">
        <f>IF(ISNUMBER(L$3),L$2*MAX(0,MIN(1,((YEAR($A30)-YEAR(L$3))*12+MONTH($A30)-MONTH(L$3)+1)/'Capacity by month'!$O$2)),0)</f>
        <v/>
      </c>
      <c r="M30" s="9">
        <f>IF(ISNUMBER(M$3),M$2*MAX(0,MIN(1,((YEAR($A30)-YEAR(M$3))*12+MONTH($A30)-MONTH(M$3)+1)/'Capacity by month'!$O$2)),0)</f>
        <v/>
      </c>
      <c r="N30" s="9">
        <f>IF(ISNUMBER(N$3),N$2*MAX(0,MIN(1,((YEAR($A30)-YEAR(N$3))*12+MONTH($A30)-MONTH(N$3)+1)/'Capacity by month'!$O$2)),0)</f>
        <v/>
      </c>
      <c r="O30" s="9">
        <f>IF(ISNUMBER(O$3),O$2*MAX(0,MIN(1,((YEAR($A30)-YEAR(O$3))*12+MONTH($A30)-MONTH(O$3)+1)/'Capacity by month'!$O$2)),0)</f>
        <v/>
      </c>
      <c r="P30" s="9">
        <f>IF(ISNUMBER(P$3),P$2*MAX(0,MIN(1,((YEAR($A30)-YEAR(P$3))*12+MONTH($A30)-MONTH(P$3)+1)/'Capacity by month'!$O$2)),0)</f>
        <v/>
      </c>
      <c r="Q30" s="9">
        <f>IF(ISNUMBER(Q$3),Q$2*MAX(0,MIN(1,((YEAR($A30)-YEAR(Q$3))*12+MONTH($A30)-MONTH(Q$3)+1)/'Capacity by month'!$O$2)),0)</f>
        <v/>
      </c>
      <c r="R30" s="9">
        <f>IF(ISNUMBER(R$3),R$2*MAX(0,MIN(1,((YEAR($A30)-YEAR(R$3))*12+MONTH($A30)-MONTH(R$3)+1)/'Capacity by month'!$O$2)),0)</f>
        <v/>
      </c>
      <c r="S30" s="9">
        <f>IF(ISNUMBER(S$3),S$2*MAX(0,MIN(1,((YEAR($A30)-YEAR(S$3))*12+MONTH($A30)-MONTH(S$3)+1)/'Capacity by month'!$O$2)),0)</f>
        <v/>
      </c>
      <c r="T30" s="9">
        <f>IF(ISNUMBER(T$3),T$2*MAX(0,MIN(1,((YEAR($A30)-YEAR(T$3))*12+MONTH($A30)-MONTH(T$3)+1)/'Capacity by month'!$O$2)),0)</f>
        <v/>
      </c>
      <c r="U30" s="9">
        <f>IF(ISNUMBER(U$3),U$2*MAX(0,MIN(1,((YEAR($A30)-YEAR(U$3))*12+MONTH($A30)-MONTH(U$3)+1)/'Capacity by month'!$O$2)),0)</f>
        <v/>
      </c>
      <c r="V30" s="9">
        <f>IF(ISNUMBER(V$3),V$2*MAX(0,MIN(1,((YEAR($A30)-YEAR(V$3))*12+MONTH($A30)-MONTH(V$3)+1)/'Capacity by month'!$O$2)),0)</f>
        <v/>
      </c>
      <c r="W30" s="9">
        <f>IF(ISNUMBER(W$3),W$2*MAX(0,MIN(1,((YEAR($A30)-YEAR(W$3))*12+MONTH($A30)-MONTH(W$3)+1)/'Capacity by month'!$O$2)),0)</f>
        <v/>
      </c>
      <c r="X30" s="9">
        <f>IF(ISNUMBER(X$3),X$2*MAX(0,MIN(1,((YEAR($A30)-YEAR(X$3))*12+MONTH($A30)-MONTH(X$3)+1)/'Capacity by month'!$O$2)),0)</f>
        <v/>
      </c>
      <c r="Y30" s="9">
        <f>IF(ISNUMBER(Y$3),Y$2*MAX(0,MIN(1,((YEAR($A30)-YEAR(Y$3))*12+MONTH($A30)-MONTH(Y$3)+1)/'Capacity by month'!$O$2)),0)</f>
        <v/>
      </c>
      <c r="Z30" s="9">
        <f>IF(ISNUMBER(Z$3),Z$2*MAX(0,MIN(1,((YEAR($A30)-YEAR(Z$3))*12+MONTH($A30)-MONTH(Z$3)+1)/'Capacity by month'!$O$2)),0)</f>
        <v/>
      </c>
      <c r="AA30">
        <f>SUM(B30:Z30)</f>
        <v/>
      </c>
      <c r="AB30" t="n">
        <v>0</v>
      </c>
    </row>
    <row r="31">
      <c r="A31" s="8" t="n">
        <v>45017</v>
      </c>
      <c r="B31" s="9">
        <f>IF(ISNUMBER(B$3),B$2*MAX(0,MIN(1,((YEAR($A31)-YEAR(B$3))*12+MONTH($A31)-MONTH(B$3)+1)/'Capacity by month'!$O$2)),0)</f>
        <v/>
      </c>
      <c r="C31" s="9">
        <f>IF(ISNUMBER(C$3),C$2*MAX(0,MIN(1,((YEAR($A31)-YEAR(C$3))*12+MONTH($A31)-MONTH(C$3)+1)/'Capacity by month'!$O$2)),0)</f>
        <v/>
      </c>
      <c r="D31" s="9">
        <f>IF(ISNUMBER(D$3),D$2*MAX(0,MIN(1,((YEAR($A31)-YEAR(D$3))*12+MONTH($A31)-MONTH(D$3)+1)/'Capacity by month'!$O$2)),0)</f>
        <v/>
      </c>
      <c r="E31" s="9">
        <f>IF(ISNUMBER(E$3),E$2*MAX(0,MIN(1,((YEAR($A31)-YEAR(E$3))*12+MONTH($A31)-MONTH(E$3)+1)/'Capacity by month'!$O$2)),0)</f>
        <v/>
      </c>
      <c r="F31" s="9">
        <f>IF(ISNUMBER(F$3),F$2*MAX(0,MIN(1,((YEAR($A31)-YEAR(F$3))*12+MONTH($A31)-MONTH(F$3)+1)/'Capacity by month'!$O$2)),0)</f>
        <v/>
      </c>
      <c r="G31" s="9">
        <f>IF(ISNUMBER(G$3),G$2*MAX(0,MIN(1,((YEAR($A31)-YEAR(G$3))*12+MONTH($A31)-MONTH(G$3)+1)/'Capacity by month'!$O$2)),0)</f>
        <v/>
      </c>
      <c r="H31" s="9">
        <f>IF(ISNUMBER(H$3),H$2*MAX(0,MIN(1,((YEAR($A31)-YEAR(H$3))*12+MONTH($A31)-MONTH(H$3)+1)/'Capacity by month'!$O$2)),0)</f>
        <v/>
      </c>
      <c r="I31" s="9">
        <f>IF(ISNUMBER(I$3),I$2*MAX(0,MIN(1,((YEAR($A31)-YEAR(I$3))*12+MONTH($A31)-MONTH(I$3)+1)/'Capacity by month'!$O$2)),0)</f>
        <v/>
      </c>
      <c r="J31" s="9">
        <f>IF(ISNUMBER(J$3),J$2*MAX(0,MIN(1,((YEAR($A31)-YEAR(J$3))*12+MONTH($A31)-MONTH(J$3)+1)/'Capacity by month'!$O$2)),0)</f>
        <v/>
      </c>
      <c r="K31" s="9">
        <f>IF(ISNUMBER(K$3),K$2*MAX(0,MIN(1,((YEAR($A31)-YEAR(K$3))*12+MONTH($A31)-MONTH(K$3)+1)/'Capacity by month'!$O$2)),0)</f>
        <v/>
      </c>
      <c r="L31" s="9">
        <f>IF(ISNUMBER(L$3),L$2*MAX(0,MIN(1,((YEAR($A31)-YEAR(L$3))*12+MONTH($A31)-MONTH(L$3)+1)/'Capacity by month'!$O$2)),0)</f>
        <v/>
      </c>
      <c r="M31" s="9">
        <f>IF(ISNUMBER(M$3),M$2*MAX(0,MIN(1,((YEAR($A31)-YEAR(M$3))*12+MONTH($A31)-MONTH(M$3)+1)/'Capacity by month'!$O$2)),0)</f>
        <v/>
      </c>
      <c r="N31" s="9">
        <f>IF(ISNUMBER(N$3),N$2*MAX(0,MIN(1,((YEAR($A31)-YEAR(N$3))*12+MONTH($A31)-MONTH(N$3)+1)/'Capacity by month'!$O$2)),0)</f>
        <v/>
      </c>
      <c r="O31" s="9">
        <f>IF(ISNUMBER(O$3),O$2*MAX(0,MIN(1,((YEAR($A31)-YEAR(O$3))*12+MONTH($A31)-MONTH(O$3)+1)/'Capacity by month'!$O$2)),0)</f>
        <v/>
      </c>
      <c r="P31" s="9">
        <f>IF(ISNUMBER(P$3),P$2*MAX(0,MIN(1,((YEAR($A31)-YEAR(P$3))*12+MONTH($A31)-MONTH(P$3)+1)/'Capacity by month'!$O$2)),0)</f>
        <v/>
      </c>
      <c r="Q31" s="9">
        <f>IF(ISNUMBER(Q$3),Q$2*MAX(0,MIN(1,((YEAR($A31)-YEAR(Q$3))*12+MONTH($A31)-MONTH(Q$3)+1)/'Capacity by month'!$O$2)),0)</f>
        <v/>
      </c>
      <c r="R31" s="9">
        <f>IF(ISNUMBER(R$3),R$2*MAX(0,MIN(1,((YEAR($A31)-YEAR(R$3))*12+MONTH($A31)-MONTH(R$3)+1)/'Capacity by month'!$O$2)),0)</f>
        <v/>
      </c>
      <c r="S31" s="9">
        <f>IF(ISNUMBER(S$3),S$2*MAX(0,MIN(1,((YEAR($A31)-YEAR(S$3))*12+MONTH($A31)-MONTH(S$3)+1)/'Capacity by month'!$O$2)),0)</f>
        <v/>
      </c>
      <c r="T31" s="9">
        <f>IF(ISNUMBER(T$3),T$2*MAX(0,MIN(1,((YEAR($A31)-YEAR(T$3))*12+MONTH($A31)-MONTH(T$3)+1)/'Capacity by month'!$O$2)),0)</f>
        <v/>
      </c>
      <c r="U31" s="9">
        <f>IF(ISNUMBER(U$3),U$2*MAX(0,MIN(1,((YEAR($A31)-YEAR(U$3))*12+MONTH($A31)-MONTH(U$3)+1)/'Capacity by month'!$O$2)),0)</f>
        <v/>
      </c>
      <c r="V31" s="9">
        <f>IF(ISNUMBER(V$3),V$2*MAX(0,MIN(1,((YEAR($A31)-YEAR(V$3))*12+MONTH($A31)-MONTH(V$3)+1)/'Capacity by month'!$O$2)),0)</f>
        <v/>
      </c>
      <c r="W31" s="9">
        <f>IF(ISNUMBER(W$3),W$2*MAX(0,MIN(1,((YEAR($A31)-YEAR(W$3))*12+MONTH($A31)-MONTH(W$3)+1)/'Capacity by month'!$O$2)),0)</f>
        <v/>
      </c>
      <c r="X31" s="9">
        <f>IF(ISNUMBER(X$3),X$2*MAX(0,MIN(1,((YEAR($A31)-YEAR(X$3))*12+MONTH($A31)-MONTH(X$3)+1)/'Capacity by month'!$O$2)),0)</f>
        <v/>
      </c>
      <c r="Y31" s="9">
        <f>IF(ISNUMBER(Y$3),Y$2*MAX(0,MIN(1,((YEAR($A31)-YEAR(Y$3))*12+MONTH($A31)-MONTH(Y$3)+1)/'Capacity by month'!$O$2)),0)</f>
        <v/>
      </c>
      <c r="Z31" s="9">
        <f>IF(ISNUMBER(Z$3),Z$2*MAX(0,MIN(1,((YEAR($A31)-YEAR(Z$3))*12+MONTH($A31)-MONTH(Z$3)+1)/'Capacity by month'!$O$2)),0)</f>
        <v/>
      </c>
      <c r="AA31">
        <f>SUM(B31:Z31)</f>
        <v/>
      </c>
      <c r="AB31" t="n">
        <v>0</v>
      </c>
    </row>
    <row r="32">
      <c r="A32" s="8" t="n">
        <v>45047</v>
      </c>
      <c r="B32" s="9">
        <f>IF(ISNUMBER(B$3),B$2*MAX(0,MIN(1,((YEAR($A32)-YEAR(B$3))*12+MONTH($A32)-MONTH(B$3)+1)/'Capacity by month'!$O$2)),0)</f>
        <v/>
      </c>
      <c r="C32" s="9">
        <f>IF(ISNUMBER(C$3),C$2*MAX(0,MIN(1,((YEAR($A32)-YEAR(C$3))*12+MONTH($A32)-MONTH(C$3)+1)/'Capacity by month'!$O$2)),0)</f>
        <v/>
      </c>
      <c r="D32" s="9">
        <f>IF(ISNUMBER(D$3),D$2*MAX(0,MIN(1,((YEAR($A32)-YEAR(D$3))*12+MONTH($A32)-MONTH(D$3)+1)/'Capacity by month'!$O$2)),0)</f>
        <v/>
      </c>
      <c r="E32" s="9">
        <f>IF(ISNUMBER(E$3),E$2*MAX(0,MIN(1,((YEAR($A32)-YEAR(E$3))*12+MONTH($A32)-MONTH(E$3)+1)/'Capacity by month'!$O$2)),0)</f>
        <v/>
      </c>
      <c r="F32" s="9">
        <f>IF(ISNUMBER(F$3),F$2*MAX(0,MIN(1,((YEAR($A32)-YEAR(F$3))*12+MONTH($A32)-MONTH(F$3)+1)/'Capacity by month'!$O$2)),0)</f>
        <v/>
      </c>
      <c r="G32" s="9">
        <f>IF(ISNUMBER(G$3),G$2*MAX(0,MIN(1,((YEAR($A32)-YEAR(G$3))*12+MONTH($A32)-MONTH(G$3)+1)/'Capacity by month'!$O$2)),0)</f>
        <v/>
      </c>
      <c r="H32" s="9">
        <f>IF(ISNUMBER(H$3),H$2*MAX(0,MIN(1,((YEAR($A32)-YEAR(H$3))*12+MONTH($A32)-MONTH(H$3)+1)/'Capacity by month'!$O$2)),0)</f>
        <v/>
      </c>
      <c r="I32" s="9">
        <f>IF(ISNUMBER(I$3),I$2*MAX(0,MIN(1,((YEAR($A32)-YEAR(I$3))*12+MONTH($A32)-MONTH(I$3)+1)/'Capacity by month'!$O$2)),0)</f>
        <v/>
      </c>
      <c r="J32" s="9">
        <f>IF(ISNUMBER(J$3),J$2*MAX(0,MIN(1,((YEAR($A32)-YEAR(J$3))*12+MONTH($A32)-MONTH(J$3)+1)/'Capacity by month'!$O$2)),0)</f>
        <v/>
      </c>
      <c r="K32" s="9">
        <f>IF(ISNUMBER(K$3),K$2*MAX(0,MIN(1,((YEAR($A32)-YEAR(K$3))*12+MONTH($A32)-MONTH(K$3)+1)/'Capacity by month'!$O$2)),0)</f>
        <v/>
      </c>
      <c r="L32" s="9">
        <f>IF(ISNUMBER(L$3),L$2*MAX(0,MIN(1,((YEAR($A32)-YEAR(L$3))*12+MONTH($A32)-MONTH(L$3)+1)/'Capacity by month'!$O$2)),0)</f>
        <v/>
      </c>
      <c r="M32" s="9">
        <f>IF(ISNUMBER(M$3),M$2*MAX(0,MIN(1,((YEAR($A32)-YEAR(M$3))*12+MONTH($A32)-MONTH(M$3)+1)/'Capacity by month'!$O$2)),0)</f>
        <v/>
      </c>
      <c r="N32" s="9">
        <f>IF(ISNUMBER(N$3),N$2*MAX(0,MIN(1,((YEAR($A32)-YEAR(N$3))*12+MONTH($A32)-MONTH(N$3)+1)/'Capacity by month'!$O$2)),0)</f>
        <v/>
      </c>
      <c r="O32" s="9">
        <f>IF(ISNUMBER(O$3),O$2*MAX(0,MIN(1,((YEAR($A32)-YEAR(O$3))*12+MONTH($A32)-MONTH(O$3)+1)/'Capacity by month'!$O$2)),0)</f>
        <v/>
      </c>
      <c r="P32" s="9">
        <f>IF(ISNUMBER(P$3),P$2*MAX(0,MIN(1,((YEAR($A32)-YEAR(P$3))*12+MONTH($A32)-MONTH(P$3)+1)/'Capacity by month'!$O$2)),0)</f>
        <v/>
      </c>
      <c r="Q32" s="9">
        <f>IF(ISNUMBER(Q$3),Q$2*MAX(0,MIN(1,((YEAR($A32)-YEAR(Q$3))*12+MONTH($A32)-MONTH(Q$3)+1)/'Capacity by month'!$O$2)),0)</f>
        <v/>
      </c>
      <c r="R32" s="9">
        <f>IF(ISNUMBER(R$3),R$2*MAX(0,MIN(1,((YEAR($A32)-YEAR(R$3))*12+MONTH($A32)-MONTH(R$3)+1)/'Capacity by month'!$O$2)),0)</f>
        <v/>
      </c>
      <c r="S32" s="9">
        <f>IF(ISNUMBER(S$3),S$2*MAX(0,MIN(1,((YEAR($A32)-YEAR(S$3))*12+MONTH($A32)-MONTH(S$3)+1)/'Capacity by month'!$O$2)),0)</f>
        <v/>
      </c>
      <c r="T32" s="9">
        <f>IF(ISNUMBER(T$3),T$2*MAX(0,MIN(1,((YEAR($A32)-YEAR(T$3))*12+MONTH($A32)-MONTH(T$3)+1)/'Capacity by month'!$O$2)),0)</f>
        <v/>
      </c>
      <c r="U32" s="9">
        <f>IF(ISNUMBER(U$3),U$2*MAX(0,MIN(1,((YEAR($A32)-YEAR(U$3))*12+MONTH($A32)-MONTH(U$3)+1)/'Capacity by month'!$O$2)),0)</f>
        <v/>
      </c>
      <c r="V32" s="9">
        <f>IF(ISNUMBER(V$3),V$2*MAX(0,MIN(1,((YEAR($A32)-YEAR(V$3))*12+MONTH($A32)-MONTH(V$3)+1)/'Capacity by month'!$O$2)),0)</f>
        <v/>
      </c>
      <c r="W32" s="9">
        <f>IF(ISNUMBER(W$3),W$2*MAX(0,MIN(1,((YEAR($A32)-YEAR(W$3))*12+MONTH($A32)-MONTH(W$3)+1)/'Capacity by month'!$O$2)),0)</f>
        <v/>
      </c>
      <c r="X32" s="9">
        <f>IF(ISNUMBER(X$3),X$2*MAX(0,MIN(1,((YEAR($A32)-YEAR(X$3))*12+MONTH($A32)-MONTH(X$3)+1)/'Capacity by month'!$O$2)),0)</f>
        <v/>
      </c>
      <c r="Y32" s="9">
        <f>IF(ISNUMBER(Y$3),Y$2*MAX(0,MIN(1,((YEAR($A32)-YEAR(Y$3))*12+MONTH($A32)-MONTH(Y$3)+1)/'Capacity by month'!$O$2)),0)</f>
        <v/>
      </c>
      <c r="Z32" s="9">
        <f>IF(ISNUMBER(Z$3),Z$2*MAX(0,MIN(1,((YEAR($A32)-YEAR(Z$3))*12+MONTH($A32)-MONTH(Z$3)+1)/'Capacity by month'!$O$2)),0)</f>
        <v/>
      </c>
      <c r="AA32">
        <f>SUM(B32:Z32)</f>
        <v/>
      </c>
      <c r="AB32" t="n">
        <v>0</v>
      </c>
    </row>
    <row r="33">
      <c r="A33" s="8" t="n">
        <v>45078</v>
      </c>
      <c r="B33" s="9">
        <f>IF(ISNUMBER(B$3),B$2*MAX(0,MIN(1,((YEAR($A33)-YEAR(B$3))*12+MONTH($A33)-MONTH(B$3)+1)/'Capacity by month'!$O$2)),0)</f>
        <v/>
      </c>
      <c r="C33" s="9">
        <f>IF(ISNUMBER(C$3),C$2*MAX(0,MIN(1,((YEAR($A33)-YEAR(C$3))*12+MONTH($A33)-MONTH(C$3)+1)/'Capacity by month'!$O$2)),0)</f>
        <v/>
      </c>
      <c r="D33" s="9">
        <f>IF(ISNUMBER(D$3),D$2*MAX(0,MIN(1,((YEAR($A33)-YEAR(D$3))*12+MONTH($A33)-MONTH(D$3)+1)/'Capacity by month'!$O$2)),0)</f>
        <v/>
      </c>
      <c r="E33" s="9">
        <f>IF(ISNUMBER(E$3),E$2*MAX(0,MIN(1,((YEAR($A33)-YEAR(E$3))*12+MONTH($A33)-MONTH(E$3)+1)/'Capacity by month'!$O$2)),0)</f>
        <v/>
      </c>
      <c r="F33" s="9">
        <f>IF(ISNUMBER(F$3),F$2*MAX(0,MIN(1,((YEAR($A33)-YEAR(F$3))*12+MONTH($A33)-MONTH(F$3)+1)/'Capacity by month'!$O$2)),0)</f>
        <v/>
      </c>
      <c r="G33" s="9">
        <f>IF(ISNUMBER(G$3),G$2*MAX(0,MIN(1,((YEAR($A33)-YEAR(G$3))*12+MONTH($A33)-MONTH(G$3)+1)/'Capacity by month'!$O$2)),0)</f>
        <v/>
      </c>
      <c r="H33" s="9">
        <f>IF(ISNUMBER(H$3),H$2*MAX(0,MIN(1,((YEAR($A33)-YEAR(H$3))*12+MONTH($A33)-MONTH(H$3)+1)/'Capacity by month'!$O$2)),0)</f>
        <v/>
      </c>
      <c r="I33" s="9">
        <f>IF(ISNUMBER(I$3),I$2*MAX(0,MIN(1,((YEAR($A33)-YEAR(I$3))*12+MONTH($A33)-MONTH(I$3)+1)/'Capacity by month'!$O$2)),0)</f>
        <v/>
      </c>
      <c r="J33" s="9">
        <f>IF(ISNUMBER(J$3),J$2*MAX(0,MIN(1,((YEAR($A33)-YEAR(J$3))*12+MONTH($A33)-MONTH(J$3)+1)/'Capacity by month'!$O$2)),0)</f>
        <v/>
      </c>
      <c r="K33" s="9">
        <f>IF(ISNUMBER(K$3),K$2*MAX(0,MIN(1,((YEAR($A33)-YEAR(K$3))*12+MONTH($A33)-MONTH(K$3)+1)/'Capacity by month'!$O$2)),0)</f>
        <v/>
      </c>
      <c r="L33" s="9">
        <f>IF(ISNUMBER(L$3),L$2*MAX(0,MIN(1,((YEAR($A33)-YEAR(L$3))*12+MONTH($A33)-MONTH(L$3)+1)/'Capacity by month'!$O$2)),0)</f>
        <v/>
      </c>
      <c r="M33" s="9">
        <f>IF(ISNUMBER(M$3),M$2*MAX(0,MIN(1,((YEAR($A33)-YEAR(M$3))*12+MONTH($A33)-MONTH(M$3)+1)/'Capacity by month'!$O$2)),0)</f>
        <v/>
      </c>
      <c r="N33" s="9">
        <f>IF(ISNUMBER(N$3),N$2*MAX(0,MIN(1,((YEAR($A33)-YEAR(N$3))*12+MONTH($A33)-MONTH(N$3)+1)/'Capacity by month'!$O$2)),0)</f>
        <v/>
      </c>
      <c r="O33" s="9">
        <f>IF(ISNUMBER(O$3),O$2*MAX(0,MIN(1,((YEAR($A33)-YEAR(O$3))*12+MONTH($A33)-MONTH(O$3)+1)/'Capacity by month'!$O$2)),0)</f>
        <v/>
      </c>
      <c r="P33" s="9">
        <f>IF(ISNUMBER(P$3),P$2*MAX(0,MIN(1,((YEAR($A33)-YEAR(P$3))*12+MONTH($A33)-MONTH(P$3)+1)/'Capacity by month'!$O$2)),0)</f>
        <v/>
      </c>
      <c r="Q33" s="9">
        <f>IF(ISNUMBER(Q$3),Q$2*MAX(0,MIN(1,((YEAR($A33)-YEAR(Q$3))*12+MONTH($A33)-MONTH(Q$3)+1)/'Capacity by month'!$O$2)),0)</f>
        <v/>
      </c>
      <c r="R33" s="9">
        <f>IF(ISNUMBER(R$3),R$2*MAX(0,MIN(1,((YEAR($A33)-YEAR(R$3))*12+MONTH($A33)-MONTH(R$3)+1)/'Capacity by month'!$O$2)),0)</f>
        <v/>
      </c>
      <c r="S33" s="9">
        <f>IF(ISNUMBER(S$3),S$2*MAX(0,MIN(1,((YEAR($A33)-YEAR(S$3))*12+MONTH($A33)-MONTH(S$3)+1)/'Capacity by month'!$O$2)),0)</f>
        <v/>
      </c>
      <c r="T33" s="9">
        <f>IF(ISNUMBER(T$3),T$2*MAX(0,MIN(1,((YEAR($A33)-YEAR(T$3))*12+MONTH($A33)-MONTH(T$3)+1)/'Capacity by month'!$O$2)),0)</f>
        <v/>
      </c>
      <c r="U33" s="9">
        <f>IF(ISNUMBER(U$3),U$2*MAX(0,MIN(1,((YEAR($A33)-YEAR(U$3))*12+MONTH($A33)-MONTH(U$3)+1)/'Capacity by month'!$O$2)),0)</f>
        <v/>
      </c>
      <c r="V33" s="9">
        <f>IF(ISNUMBER(V$3),V$2*MAX(0,MIN(1,((YEAR($A33)-YEAR(V$3))*12+MONTH($A33)-MONTH(V$3)+1)/'Capacity by month'!$O$2)),0)</f>
        <v/>
      </c>
      <c r="W33" s="9">
        <f>IF(ISNUMBER(W$3),W$2*MAX(0,MIN(1,((YEAR($A33)-YEAR(W$3))*12+MONTH($A33)-MONTH(W$3)+1)/'Capacity by month'!$O$2)),0)</f>
        <v/>
      </c>
      <c r="X33" s="9">
        <f>IF(ISNUMBER(X$3),X$2*MAX(0,MIN(1,((YEAR($A33)-YEAR(X$3))*12+MONTH($A33)-MONTH(X$3)+1)/'Capacity by month'!$O$2)),0)</f>
        <v/>
      </c>
      <c r="Y33" s="9">
        <f>IF(ISNUMBER(Y$3),Y$2*MAX(0,MIN(1,((YEAR($A33)-YEAR(Y$3))*12+MONTH($A33)-MONTH(Y$3)+1)/'Capacity by month'!$O$2)),0)</f>
        <v/>
      </c>
      <c r="Z33" s="9">
        <f>IF(ISNUMBER(Z$3),Z$2*MAX(0,MIN(1,((YEAR($A33)-YEAR(Z$3))*12+MONTH($A33)-MONTH(Z$3)+1)/'Capacity by month'!$O$2)),0)</f>
        <v/>
      </c>
      <c r="AA33">
        <f>SUM(B33:Z33)</f>
        <v/>
      </c>
      <c r="AB33" t="n">
        <v>0</v>
      </c>
    </row>
    <row r="34">
      <c r="A34" s="8" t="n">
        <v>45108</v>
      </c>
      <c r="B34" s="9">
        <f>IF(ISNUMBER(B$3),B$2*MAX(0,MIN(1,((YEAR($A34)-YEAR(B$3))*12+MONTH($A34)-MONTH(B$3)+1)/'Capacity by month'!$O$2)),0)</f>
        <v/>
      </c>
      <c r="C34" s="9">
        <f>IF(ISNUMBER(C$3),C$2*MAX(0,MIN(1,((YEAR($A34)-YEAR(C$3))*12+MONTH($A34)-MONTH(C$3)+1)/'Capacity by month'!$O$2)),0)</f>
        <v/>
      </c>
      <c r="D34" s="9">
        <f>IF(ISNUMBER(D$3),D$2*MAX(0,MIN(1,((YEAR($A34)-YEAR(D$3))*12+MONTH($A34)-MONTH(D$3)+1)/'Capacity by month'!$O$2)),0)</f>
        <v/>
      </c>
      <c r="E34" s="9">
        <f>IF(ISNUMBER(E$3),E$2*MAX(0,MIN(1,((YEAR($A34)-YEAR(E$3))*12+MONTH($A34)-MONTH(E$3)+1)/'Capacity by month'!$O$2)),0)</f>
        <v/>
      </c>
      <c r="F34" s="9">
        <f>IF(ISNUMBER(F$3),F$2*MAX(0,MIN(1,((YEAR($A34)-YEAR(F$3))*12+MONTH($A34)-MONTH(F$3)+1)/'Capacity by month'!$O$2)),0)</f>
        <v/>
      </c>
      <c r="G34" s="9">
        <f>IF(ISNUMBER(G$3),G$2*MAX(0,MIN(1,((YEAR($A34)-YEAR(G$3))*12+MONTH($A34)-MONTH(G$3)+1)/'Capacity by month'!$O$2)),0)</f>
        <v/>
      </c>
      <c r="H34" s="9">
        <f>IF(ISNUMBER(H$3),H$2*MAX(0,MIN(1,((YEAR($A34)-YEAR(H$3))*12+MONTH($A34)-MONTH(H$3)+1)/'Capacity by month'!$O$2)),0)</f>
        <v/>
      </c>
      <c r="I34" s="9">
        <f>IF(ISNUMBER(I$3),I$2*MAX(0,MIN(1,((YEAR($A34)-YEAR(I$3))*12+MONTH($A34)-MONTH(I$3)+1)/'Capacity by month'!$O$2)),0)</f>
        <v/>
      </c>
      <c r="J34" s="9">
        <f>IF(ISNUMBER(J$3),J$2*MAX(0,MIN(1,((YEAR($A34)-YEAR(J$3))*12+MONTH($A34)-MONTH(J$3)+1)/'Capacity by month'!$O$2)),0)</f>
        <v/>
      </c>
      <c r="K34" s="9">
        <f>IF(ISNUMBER(K$3),K$2*MAX(0,MIN(1,((YEAR($A34)-YEAR(K$3))*12+MONTH($A34)-MONTH(K$3)+1)/'Capacity by month'!$O$2)),0)</f>
        <v/>
      </c>
      <c r="L34" s="9">
        <f>IF(ISNUMBER(L$3),L$2*MAX(0,MIN(1,((YEAR($A34)-YEAR(L$3))*12+MONTH($A34)-MONTH(L$3)+1)/'Capacity by month'!$O$2)),0)</f>
        <v/>
      </c>
      <c r="M34" s="9">
        <f>IF(ISNUMBER(M$3),M$2*MAX(0,MIN(1,((YEAR($A34)-YEAR(M$3))*12+MONTH($A34)-MONTH(M$3)+1)/'Capacity by month'!$O$2)),0)</f>
        <v/>
      </c>
      <c r="N34" s="9">
        <f>IF(ISNUMBER(N$3),N$2*MAX(0,MIN(1,((YEAR($A34)-YEAR(N$3))*12+MONTH($A34)-MONTH(N$3)+1)/'Capacity by month'!$O$2)),0)</f>
        <v/>
      </c>
      <c r="O34" s="9">
        <f>IF(ISNUMBER(O$3),O$2*MAX(0,MIN(1,((YEAR($A34)-YEAR(O$3))*12+MONTH($A34)-MONTH(O$3)+1)/'Capacity by month'!$O$2)),0)</f>
        <v/>
      </c>
      <c r="P34" s="9">
        <f>IF(ISNUMBER(P$3),P$2*MAX(0,MIN(1,((YEAR($A34)-YEAR(P$3))*12+MONTH($A34)-MONTH(P$3)+1)/'Capacity by month'!$O$2)),0)</f>
        <v/>
      </c>
      <c r="Q34" s="9">
        <f>IF(ISNUMBER(Q$3),Q$2*MAX(0,MIN(1,((YEAR($A34)-YEAR(Q$3))*12+MONTH($A34)-MONTH(Q$3)+1)/'Capacity by month'!$O$2)),0)</f>
        <v/>
      </c>
      <c r="R34" s="9">
        <f>IF(ISNUMBER(R$3),R$2*MAX(0,MIN(1,((YEAR($A34)-YEAR(R$3))*12+MONTH($A34)-MONTH(R$3)+1)/'Capacity by month'!$O$2)),0)</f>
        <v/>
      </c>
      <c r="S34" s="9">
        <f>IF(ISNUMBER(S$3),S$2*MAX(0,MIN(1,((YEAR($A34)-YEAR(S$3))*12+MONTH($A34)-MONTH(S$3)+1)/'Capacity by month'!$O$2)),0)</f>
        <v/>
      </c>
      <c r="T34" s="9">
        <f>IF(ISNUMBER(T$3),T$2*MAX(0,MIN(1,((YEAR($A34)-YEAR(T$3))*12+MONTH($A34)-MONTH(T$3)+1)/'Capacity by month'!$O$2)),0)</f>
        <v/>
      </c>
      <c r="U34" s="9">
        <f>IF(ISNUMBER(U$3),U$2*MAX(0,MIN(1,((YEAR($A34)-YEAR(U$3))*12+MONTH($A34)-MONTH(U$3)+1)/'Capacity by month'!$O$2)),0)</f>
        <v/>
      </c>
      <c r="V34" s="9">
        <f>IF(ISNUMBER(V$3),V$2*MAX(0,MIN(1,((YEAR($A34)-YEAR(V$3))*12+MONTH($A34)-MONTH(V$3)+1)/'Capacity by month'!$O$2)),0)</f>
        <v/>
      </c>
      <c r="W34" s="9">
        <f>IF(ISNUMBER(W$3),W$2*MAX(0,MIN(1,((YEAR($A34)-YEAR(W$3))*12+MONTH($A34)-MONTH(W$3)+1)/'Capacity by month'!$O$2)),0)</f>
        <v/>
      </c>
      <c r="X34" s="9">
        <f>IF(ISNUMBER(X$3),X$2*MAX(0,MIN(1,((YEAR($A34)-YEAR(X$3))*12+MONTH($A34)-MONTH(X$3)+1)/'Capacity by month'!$O$2)),0)</f>
        <v/>
      </c>
      <c r="Y34" s="9">
        <f>IF(ISNUMBER(Y$3),Y$2*MAX(0,MIN(1,((YEAR($A34)-YEAR(Y$3))*12+MONTH($A34)-MONTH(Y$3)+1)/'Capacity by month'!$O$2)),0)</f>
        <v/>
      </c>
      <c r="Z34" s="9">
        <f>IF(ISNUMBER(Z$3),Z$2*MAX(0,MIN(1,((YEAR($A34)-YEAR(Z$3))*12+MONTH($A34)-MONTH(Z$3)+1)/'Capacity by month'!$O$2)),0)</f>
        <v/>
      </c>
      <c r="AA34">
        <f>SUM(B34:Z34)</f>
        <v/>
      </c>
      <c r="AB34" t="n">
        <v>0</v>
      </c>
    </row>
    <row r="35">
      <c r="A35" s="8" t="n">
        <v>45139</v>
      </c>
      <c r="B35" s="9">
        <f>IF(ISNUMBER(B$3),B$2*MAX(0,MIN(1,((YEAR($A35)-YEAR(B$3))*12+MONTH($A35)-MONTH(B$3)+1)/'Capacity by month'!$O$2)),0)</f>
        <v/>
      </c>
      <c r="C35" s="9">
        <f>IF(ISNUMBER(C$3),C$2*MAX(0,MIN(1,((YEAR($A35)-YEAR(C$3))*12+MONTH($A35)-MONTH(C$3)+1)/'Capacity by month'!$O$2)),0)</f>
        <v/>
      </c>
      <c r="D35" s="9">
        <f>IF(ISNUMBER(D$3),D$2*MAX(0,MIN(1,((YEAR($A35)-YEAR(D$3))*12+MONTH($A35)-MONTH(D$3)+1)/'Capacity by month'!$O$2)),0)</f>
        <v/>
      </c>
      <c r="E35" s="9">
        <f>IF(ISNUMBER(E$3),E$2*MAX(0,MIN(1,((YEAR($A35)-YEAR(E$3))*12+MONTH($A35)-MONTH(E$3)+1)/'Capacity by month'!$O$2)),0)</f>
        <v/>
      </c>
      <c r="F35" s="9">
        <f>IF(ISNUMBER(F$3),F$2*MAX(0,MIN(1,((YEAR($A35)-YEAR(F$3))*12+MONTH($A35)-MONTH(F$3)+1)/'Capacity by month'!$O$2)),0)</f>
        <v/>
      </c>
      <c r="G35" s="9">
        <f>IF(ISNUMBER(G$3),G$2*MAX(0,MIN(1,((YEAR($A35)-YEAR(G$3))*12+MONTH($A35)-MONTH(G$3)+1)/'Capacity by month'!$O$2)),0)</f>
        <v/>
      </c>
      <c r="H35" s="9">
        <f>IF(ISNUMBER(H$3),H$2*MAX(0,MIN(1,((YEAR($A35)-YEAR(H$3))*12+MONTH($A35)-MONTH(H$3)+1)/'Capacity by month'!$O$2)),0)</f>
        <v/>
      </c>
      <c r="I35" s="9">
        <f>IF(ISNUMBER(I$3),I$2*MAX(0,MIN(1,((YEAR($A35)-YEAR(I$3))*12+MONTH($A35)-MONTH(I$3)+1)/'Capacity by month'!$O$2)),0)</f>
        <v/>
      </c>
      <c r="J35" s="9">
        <f>IF(ISNUMBER(J$3),J$2*MAX(0,MIN(1,((YEAR($A35)-YEAR(J$3))*12+MONTH($A35)-MONTH(J$3)+1)/'Capacity by month'!$O$2)),0)</f>
        <v/>
      </c>
      <c r="K35" s="9">
        <f>IF(ISNUMBER(K$3),K$2*MAX(0,MIN(1,((YEAR($A35)-YEAR(K$3))*12+MONTH($A35)-MONTH(K$3)+1)/'Capacity by month'!$O$2)),0)</f>
        <v/>
      </c>
      <c r="L35" s="9">
        <f>IF(ISNUMBER(L$3),L$2*MAX(0,MIN(1,((YEAR($A35)-YEAR(L$3))*12+MONTH($A35)-MONTH(L$3)+1)/'Capacity by month'!$O$2)),0)</f>
        <v/>
      </c>
      <c r="M35" s="9">
        <f>IF(ISNUMBER(M$3),M$2*MAX(0,MIN(1,((YEAR($A35)-YEAR(M$3))*12+MONTH($A35)-MONTH(M$3)+1)/'Capacity by month'!$O$2)),0)</f>
        <v/>
      </c>
      <c r="N35" s="9">
        <f>IF(ISNUMBER(N$3),N$2*MAX(0,MIN(1,((YEAR($A35)-YEAR(N$3))*12+MONTH($A35)-MONTH(N$3)+1)/'Capacity by month'!$O$2)),0)</f>
        <v/>
      </c>
      <c r="O35" s="9">
        <f>IF(ISNUMBER(O$3),O$2*MAX(0,MIN(1,((YEAR($A35)-YEAR(O$3))*12+MONTH($A35)-MONTH(O$3)+1)/'Capacity by month'!$O$2)),0)</f>
        <v/>
      </c>
      <c r="P35" s="9">
        <f>IF(ISNUMBER(P$3),P$2*MAX(0,MIN(1,((YEAR($A35)-YEAR(P$3))*12+MONTH($A35)-MONTH(P$3)+1)/'Capacity by month'!$O$2)),0)</f>
        <v/>
      </c>
      <c r="Q35" s="9">
        <f>IF(ISNUMBER(Q$3),Q$2*MAX(0,MIN(1,((YEAR($A35)-YEAR(Q$3))*12+MONTH($A35)-MONTH(Q$3)+1)/'Capacity by month'!$O$2)),0)</f>
        <v/>
      </c>
      <c r="R35" s="9">
        <f>IF(ISNUMBER(R$3),R$2*MAX(0,MIN(1,((YEAR($A35)-YEAR(R$3))*12+MONTH($A35)-MONTH(R$3)+1)/'Capacity by month'!$O$2)),0)</f>
        <v/>
      </c>
      <c r="S35" s="9">
        <f>IF(ISNUMBER(S$3),S$2*MAX(0,MIN(1,((YEAR($A35)-YEAR(S$3))*12+MONTH($A35)-MONTH(S$3)+1)/'Capacity by month'!$O$2)),0)</f>
        <v/>
      </c>
      <c r="T35" s="9">
        <f>IF(ISNUMBER(T$3),T$2*MAX(0,MIN(1,((YEAR($A35)-YEAR(T$3))*12+MONTH($A35)-MONTH(T$3)+1)/'Capacity by month'!$O$2)),0)</f>
        <v/>
      </c>
      <c r="U35" s="9">
        <f>IF(ISNUMBER(U$3),U$2*MAX(0,MIN(1,((YEAR($A35)-YEAR(U$3))*12+MONTH($A35)-MONTH(U$3)+1)/'Capacity by month'!$O$2)),0)</f>
        <v/>
      </c>
      <c r="V35" s="9">
        <f>IF(ISNUMBER(V$3),V$2*MAX(0,MIN(1,((YEAR($A35)-YEAR(V$3))*12+MONTH($A35)-MONTH(V$3)+1)/'Capacity by month'!$O$2)),0)</f>
        <v/>
      </c>
      <c r="W35" s="9">
        <f>IF(ISNUMBER(W$3),W$2*MAX(0,MIN(1,((YEAR($A35)-YEAR(W$3))*12+MONTH($A35)-MONTH(W$3)+1)/'Capacity by month'!$O$2)),0)</f>
        <v/>
      </c>
      <c r="X35" s="9">
        <f>IF(ISNUMBER(X$3),X$2*MAX(0,MIN(1,((YEAR($A35)-YEAR(X$3))*12+MONTH($A35)-MONTH(X$3)+1)/'Capacity by month'!$O$2)),0)</f>
        <v/>
      </c>
      <c r="Y35" s="9">
        <f>IF(ISNUMBER(Y$3),Y$2*MAX(0,MIN(1,((YEAR($A35)-YEAR(Y$3))*12+MONTH($A35)-MONTH(Y$3)+1)/'Capacity by month'!$O$2)),0)</f>
        <v/>
      </c>
      <c r="Z35" s="9">
        <f>IF(ISNUMBER(Z$3),Z$2*MAX(0,MIN(1,((YEAR($A35)-YEAR(Z$3))*12+MONTH($A35)-MONTH(Z$3)+1)/'Capacity by month'!$O$2)),0)</f>
        <v/>
      </c>
      <c r="AA35">
        <f>SUM(B35:Z35)</f>
        <v/>
      </c>
      <c r="AB35" t="n">
        <v>0</v>
      </c>
    </row>
    <row r="36">
      <c r="A36" s="8" t="n">
        <v>45170</v>
      </c>
      <c r="B36" s="9">
        <f>IF(ISNUMBER(B$3),B$2*MAX(0,MIN(1,((YEAR($A36)-YEAR(B$3))*12+MONTH($A36)-MONTH(B$3)+1)/'Capacity by month'!$O$2)),0)</f>
        <v/>
      </c>
      <c r="C36" s="9">
        <f>IF(ISNUMBER(C$3),C$2*MAX(0,MIN(1,((YEAR($A36)-YEAR(C$3))*12+MONTH($A36)-MONTH(C$3)+1)/'Capacity by month'!$O$2)),0)</f>
        <v/>
      </c>
      <c r="D36" s="9">
        <f>IF(ISNUMBER(D$3),D$2*MAX(0,MIN(1,((YEAR($A36)-YEAR(D$3))*12+MONTH($A36)-MONTH(D$3)+1)/'Capacity by month'!$O$2)),0)</f>
        <v/>
      </c>
      <c r="E36" s="9">
        <f>IF(ISNUMBER(E$3),E$2*MAX(0,MIN(1,((YEAR($A36)-YEAR(E$3))*12+MONTH($A36)-MONTH(E$3)+1)/'Capacity by month'!$O$2)),0)</f>
        <v/>
      </c>
      <c r="F36" s="9">
        <f>IF(ISNUMBER(F$3),F$2*MAX(0,MIN(1,((YEAR($A36)-YEAR(F$3))*12+MONTH($A36)-MONTH(F$3)+1)/'Capacity by month'!$O$2)),0)</f>
        <v/>
      </c>
      <c r="G36" s="9">
        <f>IF(ISNUMBER(G$3),G$2*MAX(0,MIN(1,((YEAR($A36)-YEAR(G$3))*12+MONTH($A36)-MONTH(G$3)+1)/'Capacity by month'!$O$2)),0)</f>
        <v/>
      </c>
      <c r="H36" s="9">
        <f>IF(ISNUMBER(H$3),H$2*MAX(0,MIN(1,((YEAR($A36)-YEAR(H$3))*12+MONTH($A36)-MONTH(H$3)+1)/'Capacity by month'!$O$2)),0)</f>
        <v/>
      </c>
      <c r="I36" s="9">
        <f>IF(ISNUMBER(I$3),I$2*MAX(0,MIN(1,((YEAR($A36)-YEAR(I$3))*12+MONTH($A36)-MONTH(I$3)+1)/'Capacity by month'!$O$2)),0)</f>
        <v/>
      </c>
      <c r="J36" s="9">
        <f>IF(ISNUMBER(J$3),J$2*MAX(0,MIN(1,((YEAR($A36)-YEAR(J$3))*12+MONTH($A36)-MONTH(J$3)+1)/'Capacity by month'!$O$2)),0)</f>
        <v/>
      </c>
      <c r="K36" s="9">
        <f>IF(ISNUMBER(K$3),K$2*MAX(0,MIN(1,((YEAR($A36)-YEAR(K$3))*12+MONTH($A36)-MONTH(K$3)+1)/'Capacity by month'!$O$2)),0)</f>
        <v/>
      </c>
      <c r="L36" s="9">
        <f>IF(ISNUMBER(L$3),L$2*MAX(0,MIN(1,((YEAR($A36)-YEAR(L$3))*12+MONTH($A36)-MONTH(L$3)+1)/'Capacity by month'!$O$2)),0)</f>
        <v/>
      </c>
      <c r="M36" s="9">
        <f>IF(ISNUMBER(M$3),M$2*MAX(0,MIN(1,((YEAR($A36)-YEAR(M$3))*12+MONTH($A36)-MONTH(M$3)+1)/'Capacity by month'!$O$2)),0)</f>
        <v/>
      </c>
      <c r="N36" s="9">
        <f>IF(ISNUMBER(N$3),N$2*MAX(0,MIN(1,((YEAR($A36)-YEAR(N$3))*12+MONTH($A36)-MONTH(N$3)+1)/'Capacity by month'!$O$2)),0)</f>
        <v/>
      </c>
      <c r="O36" s="9">
        <f>IF(ISNUMBER(O$3),O$2*MAX(0,MIN(1,((YEAR($A36)-YEAR(O$3))*12+MONTH($A36)-MONTH(O$3)+1)/'Capacity by month'!$O$2)),0)</f>
        <v/>
      </c>
      <c r="P36" s="9">
        <f>IF(ISNUMBER(P$3),P$2*MAX(0,MIN(1,((YEAR($A36)-YEAR(P$3))*12+MONTH($A36)-MONTH(P$3)+1)/'Capacity by month'!$O$2)),0)</f>
        <v/>
      </c>
      <c r="Q36" s="9">
        <f>IF(ISNUMBER(Q$3),Q$2*MAX(0,MIN(1,((YEAR($A36)-YEAR(Q$3))*12+MONTH($A36)-MONTH(Q$3)+1)/'Capacity by month'!$O$2)),0)</f>
        <v/>
      </c>
      <c r="R36" s="9">
        <f>IF(ISNUMBER(R$3),R$2*MAX(0,MIN(1,((YEAR($A36)-YEAR(R$3))*12+MONTH($A36)-MONTH(R$3)+1)/'Capacity by month'!$O$2)),0)</f>
        <v/>
      </c>
      <c r="S36" s="9">
        <f>IF(ISNUMBER(S$3),S$2*MAX(0,MIN(1,((YEAR($A36)-YEAR(S$3))*12+MONTH($A36)-MONTH(S$3)+1)/'Capacity by month'!$O$2)),0)</f>
        <v/>
      </c>
      <c r="T36" s="9">
        <f>IF(ISNUMBER(T$3),T$2*MAX(0,MIN(1,((YEAR($A36)-YEAR(T$3))*12+MONTH($A36)-MONTH(T$3)+1)/'Capacity by month'!$O$2)),0)</f>
        <v/>
      </c>
      <c r="U36" s="9">
        <f>IF(ISNUMBER(U$3),U$2*MAX(0,MIN(1,((YEAR($A36)-YEAR(U$3))*12+MONTH($A36)-MONTH(U$3)+1)/'Capacity by month'!$O$2)),0)</f>
        <v/>
      </c>
      <c r="V36" s="9">
        <f>IF(ISNUMBER(V$3),V$2*MAX(0,MIN(1,((YEAR($A36)-YEAR(V$3))*12+MONTH($A36)-MONTH(V$3)+1)/'Capacity by month'!$O$2)),0)</f>
        <v/>
      </c>
      <c r="W36" s="9">
        <f>IF(ISNUMBER(W$3),W$2*MAX(0,MIN(1,((YEAR($A36)-YEAR(W$3))*12+MONTH($A36)-MONTH(W$3)+1)/'Capacity by month'!$O$2)),0)</f>
        <v/>
      </c>
      <c r="X36" s="9">
        <f>IF(ISNUMBER(X$3),X$2*MAX(0,MIN(1,((YEAR($A36)-YEAR(X$3))*12+MONTH($A36)-MONTH(X$3)+1)/'Capacity by month'!$O$2)),0)</f>
        <v/>
      </c>
      <c r="Y36" s="9">
        <f>IF(ISNUMBER(Y$3),Y$2*MAX(0,MIN(1,((YEAR($A36)-YEAR(Y$3))*12+MONTH($A36)-MONTH(Y$3)+1)/'Capacity by month'!$O$2)),0)</f>
        <v/>
      </c>
      <c r="Z36" s="9">
        <f>IF(ISNUMBER(Z$3),Z$2*MAX(0,MIN(1,((YEAR($A36)-YEAR(Z$3))*12+MONTH($A36)-MONTH(Z$3)+1)/'Capacity by month'!$O$2)),0)</f>
        <v/>
      </c>
      <c r="AA36">
        <f>SUM(B36:Z36)</f>
        <v/>
      </c>
      <c r="AB36" t="n">
        <v>0</v>
      </c>
    </row>
    <row r="37">
      <c r="A37" s="8" t="n">
        <v>45200</v>
      </c>
      <c r="B37" s="9">
        <f>IF(ISNUMBER(B$3),B$2*MAX(0,MIN(1,((YEAR($A37)-YEAR(B$3))*12+MONTH($A37)-MONTH(B$3)+1)/'Capacity by month'!$O$2)),0)</f>
        <v/>
      </c>
      <c r="C37" s="9">
        <f>IF(ISNUMBER(C$3),C$2*MAX(0,MIN(1,((YEAR($A37)-YEAR(C$3))*12+MONTH($A37)-MONTH(C$3)+1)/'Capacity by month'!$O$2)),0)</f>
        <v/>
      </c>
      <c r="D37" s="9">
        <f>IF(ISNUMBER(D$3),D$2*MAX(0,MIN(1,((YEAR($A37)-YEAR(D$3))*12+MONTH($A37)-MONTH(D$3)+1)/'Capacity by month'!$O$2)),0)</f>
        <v/>
      </c>
      <c r="E37" s="9">
        <f>IF(ISNUMBER(E$3),E$2*MAX(0,MIN(1,((YEAR($A37)-YEAR(E$3))*12+MONTH($A37)-MONTH(E$3)+1)/'Capacity by month'!$O$2)),0)</f>
        <v/>
      </c>
      <c r="F37" s="9">
        <f>IF(ISNUMBER(F$3),F$2*MAX(0,MIN(1,((YEAR($A37)-YEAR(F$3))*12+MONTH($A37)-MONTH(F$3)+1)/'Capacity by month'!$O$2)),0)</f>
        <v/>
      </c>
      <c r="G37" s="9">
        <f>IF(ISNUMBER(G$3),G$2*MAX(0,MIN(1,((YEAR($A37)-YEAR(G$3))*12+MONTH($A37)-MONTH(G$3)+1)/'Capacity by month'!$O$2)),0)</f>
        <v/>
      </c>
      <c r="H37" s="9">
        <f>IF(ISNUMBER(H$3),H$2*MAX(0,MIN(1,((YEAR($A37)-YEAR(H$3))*12+MONTH($A37)-MONTH(H$3)+1)/'Capacity by month'!$O$2)),0)</f>
        <v/>
      </c>
      <c r="I37" s="9">
        <f>IF(ISNUMBER(I$3),I$2*MAX(0,MIN(1,((YEAR($A37)-YEAR(I$3))*12+MONTH($A37)-MONTH(I$3)+1)/'Capacity by month'!$O$2)),0)</f>
        <v/>
      </c>
      <c r="J37" s="9">
        <f>IF(ISNUMBER(J$3),J$2*MAX(0,MIN(1,((YEAR($A37)-YEAR(J$3))*12+MONTH($A37)-MONTH(J$3)+1)/'Capacity by month'!$O$2)),0)</f>
        <v/>
      </c>
      <c r="K37" s="9">
        <f>IF(ISNUMBER(K$3),K$2*MAX(0,MIN(1,((YEAR($A37)-YEAR(K$3))*12+MONTH($A37)-MONTH(K$3)+1)/'Capacity by month'!$O$2)),0)</f>
        <v/>
      </c>
      <c r="L37" s="9">
        <f>IF(ISNUMBER(L$3),L$2*MAX(0,MIN(1,((YEAR($A37)-YEAR(L$3))*12+MONTH($A37)-MONTH(L$3)+1)/'Capacity by month'!$O$2)),0)</f>
        <v/>
      </c>
      <c r="M37" s="9">
        <f>IF(ISNUMBER(M$3),M$2*MAX(0,MIN(1,((YEAR($A37)-YEAR(M$3))*12+MONTH($A37)-MONTH(M$3)+1)/'Capacity by month'!$O$2)),0)</f>
        <v/>
      </c>
      <c r="N37" s="9">
        <f>IF(ISNUMBER(N$3),N$2*MAX(0,MIN(1,((YEAR($A37)-YEAR(N$3))*12+MONTH($A37)-MONTH(N$3)+1)/'Capacity by month'!$O$2)),0)</f>
        <v/>
      </c>
      <c r="O37" s="9">
        <f>IF(ISNUMBER(O$3),O$2*MAX(0,MIN(1,((YEAR($A37)-YEAR(O$3))*12+MONTH($A37)-MONTH(O$3)+1)/'Capacity by month'!$O$2)),0)</f>
        <v/>
      </c>
      <c r="P37" s="9">
        <f>IF(ISNUMBER(P$3),P$2*MAX(0,MIN(1,((YEAR($A37)-YEAR(P$3))*12+MONTH($A37)-MONTH(P$3)+1)/'Capacity by month'!$O$2)),0)</f>
        <v/>
      </c>
      <c r="Q37" s="9">
        <f>IF(ISNUMBER(Q$3),Q$2*MAX(0,MIN(1,((YEAR($A37)-YEAR(Q$3))*12+MONTH($A37)-MONTH(Q$3)+1)/'Capacity by month'!$O$2)),0)</f>
        <v/>
      </c>
      <c r="R37" s="9">
        <f>IF(ISNUMBER(R$3),R$2*MAX(0,MIN(1,((YEAR($A37)-YEAR(R$3))*12+MONTH($A37)-MONTH(R$3)+1)/'Capacity by month'!$O$2)),0)</f>
        <v/>
      </c>
      <c r="S37" s="9">
        <f>IF(ISNUMBER(S$3),S$2*MAX(0,MIN(1,((YEAR($A37)-YEAR(S$3))*12+MONTH($A37)-MONTH(S$3)+1)/'Capacity by month'!$O$2)),0)</f>
        <v/>
      </c>
      <c r="T37" s="9">
        <f>IF(ISNUMBER(T$3),T$2*MAX(0,MIN(1,((YEAR($A37)-YEAR(T$3))*12+MONTH($A37)-MONTH(T$3)+1)/'Capacity by month'!$O$2)),0)</f>
        <v/>
      </c>
      <c r="U37" s="9">
        <f>IF(ISNUMBER(U$3),U$2*MAX(0,MIN(1,((YEAR($A37)-YEAR(U$3))*12+MONTH($A37)-MONTH(U$3)+1)/'Capacity by month'!$O$2)),0)</f>
        <v/>
      </c>
      <c r="V37" s="9">
        <f>IF(ISNUMBER(V$3),V$2*MAX(0,MIN(1,((YEAR($A37)-YEAR(V$3))*12+MONTH($A37)-MONTH(V$3)+1)/'Capacity by month'!$O$2)),0)</f>
        <v/>
      </c>
      <c r="W37" s="9">
        <f>IF(ISNUMBER(W$3),W$2*MAX(0,MIN(1,((YEAR($A37)-YEAR(W$3))*12+MONTH($A37)-MONTH(W$3)+1)/'Capacity by month'!$O$2)),0)</f>
        <v/>
      </c>
      <c r="X37" s="9">
        <f>IF(ISNUMBER(X$3),X$2*MAX(0,MIN(1,((YEAR($A37)-YEAR(X$3))*12+MONTH($A37)-MONTH(X$3)+1)/'Capacity by month'!$O$2)),0)</f>
        <v/>
      </c>
      <c r="Y37" s="9">
        <f>IF(ISNUMBER(Y$3),Y$2*MAX(0,MIN(1,((YEAR($A37)-YEAR(Y$3))*12+MONTH($A37)-MONTH(Y$3)+1)/'Capacity by month'!$O$2)),0)</f>
        <v/>
      </c>
      <c r="Z37" s="9">
        <f>IF(ISNUMBER(Z$3),Z$2*MAX(0,MIN(1,((YEAR($A37)-YEAR(Z$3))*12+MONTH($A37)-MONTH(Z$3)+1)/'Capacity by month'!$O$2)),0)</f>
        <v/>
      </c>
      <c r="AA37">
        <f>SUM(B37:Z37)</f>
        <v/>
      </c>
      <c r="AB37" t="n">
        <v>0</v>
      </c>
    </row>
    <row r="38">
      <c r="A38" s="8" t="n">
        <v>45231</v>
      </c>
      <c r="B38" s="9">
        <f>IF(ISNUMBER(B$3),B$2*MAX(0,MIN(1,((YEAR($A38)-YEAR(B$3))*12+MONTH($A38)-MONTH(B$3)+1)/'Capacity by month'!$O$2)),0)</f>
        <v/>
      </c>
      <c r="C38" s="9">
        <f>IF(ISNUMBER(C$3),C$2*MAX(0,MIN(1,((YEAR($A38)-YEAR(C$3))*12+MONTH($A38)-MONTH(C$3)+1)/'Capacity by month'!$O$2)),0)</f>
        <v/>
      </c>
      <c r="D38" s="9">
        <f>IF(ISNUMBER(D$3),D$2*MAX(0,MIN(1,((YEAR($A38)-YEAR(D$3))*12+MONTH($A38)-MONTH(D$3)+1)/'Capacity by month'!$O$2)),0)</f>
        <v/>
      </c>
      <c r="E38" s="9">
        <f>IF(ISNUMBER(E$3),E$2*MAX(0,MIN(1,((YEAR($A38)-YEAR(E$3))*12+MONTH($A38)-MONTH(E$3)+1)/'Capacity by month'!$O$2)),0)</f>
        <v/>
      </c>
      <c r="F38" s="9">
        <f>IF(ISNUMBER(F$3),F$2*MAX(0,MIN(1,((YEAR($A38)-YEAR(F$3))*12+MONTH($A38)-MONTH(F$3)+1)/'Capacity by month'!$O$2)),0)</f>
        <v/>
      </c>
      <c r="G38" s="9">
        <f>IF(ISNUMBER(G$3),G$2*MAX(0,MIN(1,((YEAR($A38)-YEAR(G$3))*12+MONTH($A38)-MONTH(G$3)+1)/'Capacity by month'!$O$2)),0)</f>
        <v/>
      </c>
      <c r="H38" s="9">
        <f>IF(ISNUMBER(H$3),H$2*MAX(0,MIN(1,((YEAR($A38)-YEAR(H$3))*12+MONTH($A38)-MONTH(H$3)+1)/'Capacity by month'!$O$2)),0)</f>
        <v/>
      </c>
      <c r="I38" s="9">
        <f>IF(ISNUMBER(I$3),I$2*MAX(0,MIN(1,((YEAR($A38)-YEAR(I$3))*12+MONTH($A38)-MONTH(I$3)+1)/'Capacity by month'!$O$2)),0)</f>
        <v/>
      </c>
      <c r="J38" s="9">
        <f>IF(ISNUMBER(J$3),J$2*MAX(0,MIN(1,((YEAR($A38)-YEAR(J$3))*12+MONTH($A38)-MONTH(J$3)+1)/'Capacity by month'!$O$2)),0)</f>
        <v/>
      </c>
      <c r="K38" s="9">
        <f>IF(ISNUMBER(K$3),K$2*MAX(0,MIN(1,((YEAR($A38)-YEAR(K$3))*12+MONTH($A38)-MONTH(K$3)+1)/'Capacity by month'!$O$2)),0)</f>
        <v/>
      </c>
      <c r="L38" s="9">
        <f>IF(ISNUMBER(L$3),L$2*MAX(0,MIN(1,((YEAR($A38)-YEAR(L$3))*12+MONTH($A38)-MONTH(L$3)+1)/'Capacity by month'!$O$2)),0)</f>
        <v/>
      </c>
      <c r="M38" s="9">
        <f>IF(ISNUMBER(M$3),M$2*MAX(0,MIN(1,((YEAR($A38)-YEAR(M$3))*12+MONTH($A38)-MONTH(M$3)+1)/'Capacity by month'!$O$2)),0)</f>
        <v/>
      </c>
      <c r="N38" s="9">
        <f>IF(ISNUMBER(N$3),N$2*MAX(0,MIN(1,((YEAR($A38)-YEAR(N$3))*12+MONTH($A38)-MONTH(N$3)+1)/'Capacity by month'!$O$2)),0)</f>
        <v/>
      </c>
      <c r="O38" s="9">
        <f>IF(ISNUMBER(O$3),O$2*MAX(0,MIN(1,((YEAR($A38)-YEAR(O$3))*12+MONTH($A38)-MONTH(O$3)+1)/'Capacity by month'!$O$2)),0)</f>
        <v/>
      </c>
      <c r="P38" s="9">
        <f>IF(ISNUMBER(P$3),P$2*MAX(0,MIN(1,((YEAR($A38)-YEAR(P$3))*12+MONTH($A38)-MONTH(P$3)+1)/'Capacity by month'!$O$2)),0)</f>
        <v/>
      </c>
      <c r="Q38" s="9">
        <f>IF(ISNUMBER(Q$3),Q$2*MAX(0,MIN(1,((YEAR($A38)-YEAR(Q$3))*12+MONTH($A38)-MONTH(Q$3)+1)/'Capacity by month'!$O$2)),0)</f>
        <v/>
      </c>
      <c r="R38" s="9">
        <f>IF(ISNUMBER(R$3),R$2*MAX(0,MIN(1,((YEAR($A38)-YEAR(R$3))*12+MONTH($A38)-MONTH(R$3)+1)/'Capacity by month'!$O$2)),0)</f>
        <v/>
      </c>
      <c r="S38" s="9">
        <f>IF(ISNUMBER(S$3),S$2*MAX(0,MIN(1,((YEAR($A38)-YEAR(S$3))*12+MONTH($A38)-MONTH(S$3)+1)/'Capacity by month'!$O$2)),0)</f>
        <v/>
      </c>
      <c r="T38" s="9">
        <f>IF(ISNUMBER(T$3),T$2*MAX(0,MIN(1,((YEAR($A38)-YEAR(T$3))*12+MONTH($A38)-MONTH(T$3)+1)/'Capacity by month'!$O$2)),0)</f>
        <v/>
      </c>
      <c r="U38" s="9">
        <f>IF(ISNUMBER(U$3),U$2*MAX(0,MIN(1,((YEAR($A38)-YEAR(U$3))*12+MONTH($A38)-MONTH(U$3)+1)/'Capacity by month'!$O$2)),0)</f>
        <v/>
      </c>
      <c r="V38" s="9">
        <f>IF(ISNUMBER(V$3),V$2*MAX(0,MIN(1,((YEAR($A38)-YEAR(V$3))*12+MONTH($A38)-MONTH(V$3)+1)/'Capacity by month'!$O$2)),0)</f>
        <v/>
      </c>
      <c r="W38" s="9">
        <f>IF(ISNUMBER(W$3),W$2*MAX(0,MIN(1,((YEAR($A38)-YEAR(W$3))*12+MONTH($A38)-MONTH(W$3)+1)/'Capacity by month'!$O$2)),0)</f>
        <v/>
      </c>
      <c r="X38" s="9">
        <f>IF(ISNUMBER(X$3),X$2*MAX(0,MIN(1,((YEAR($A38)-YEAR(X$3))*12+MONTH($A38)-MONTH(X$3)+1)/'Capacity by month'!$O$2)),0)</f>
        <v/>
      </c>
      <c r="Y38" s="9">
        <f>IF(ISNUMBER(Y$3),Y$2*MAX(0,MIN(1,((YEAR($A38)-YEAR(Y$3))*12+MONTH($A38)-MONTH(Y$3)+1)/'Capacity by month'!$O$2)),0)</f>
        <v/>
      </c>
      <c r="Z38" s="9">
        <f>IF(ISNUMBER(Z$3),Z$2*MAX(0,MIN(1,((YEAR($A38)-YEAR(Z$3))*12+MONTH($A38)-MONTH(Z$3)+1)/'Capacity by month'!$O$2)),0)</f>
        <v/>
      </c>
      <c r="AA38">
        <f>SUM(B38:Z38)</f>
        <v/>
      </c>
      <c r="AB38" t="n">
        <v>0</v>
      </c>
    </row>
    <row r="39">
      <c r="A39" s="8" t="n">
        <v>45261</v>
      </c>
      <c r="B39" s="9">
        <f>IF(ISNUMBER(B$3),B$2*MAX(0,MIN(1,((YEAR($A39)-YEAR(B$3))*12+MONTH($A39)-MONTH(B$3)+1)/'Capacity by month'!$O$2)),0)</f>
        <v/>
      </c>
      <c r="C39" s="9">
        <f>IF(ISNUMBER(C$3),C$2*MAX(0,MIN(1,((YEAR($A39)-YEAR(C$3))*12+MONTH($A39)-MONTH(C$3)+1)/'Capacity by month'!$O$2)),0)</f>
        <v/>
      </c>
      <c r="D39" s="9">
        <f>IF(ISNUMBER(D$3),D$2*MAX(0,MIN(1,((YEAR($A39)-YEAR(D$3))*12+MONTH($A39)-MONTH(D$3)+1)/'Capacity by month'!$O$2)),0)</f>
        <v/>
      </c>
      <c r="E39" s="9">
        <f>IF(ISNUMBER(E$3),E$2*MAX(0,MIN(1,((YEAR($A39)-YEAR(E$3))*12+MONTH($A39)-MONTH(E$3)+1)/'Capacity by month'!$O$2)),0)</f>
        <v/>
      </c>
      <c r="F39" s="9">
        <f>IF(ISNUMBER(F$3),F$2*MAX(0,MIN(1,((YEAR($A39)-YEAR(F$3))*12+MONTH($A39)-MONTH(F$3)+1)/'Capacity by month'!$O$2)),0)</f>
        <v/>
      </c>
      <c r="G39" s="9">
        <f>IF(ISNUMBER(G$3),G$2*MAX(0,MIN(1,((YEAR($A39)-YEAR(G$3))*12+MONTH($A39)-MONTH(G$3)+1)/'Capacity by month'!$O$2)),0)</f>
        <v/>
      </c>
      <c r="H39" s="9">
        <f>IF(ISNUMBER(H$3),H$2*MAX(0,MIN(1,((YEAR($A39)-YEAR(H$3))*12+MONTH($A39)-MONTH(H$3)+1)/'Capacity by month'!$O$2)),0)</f>
        <v/>
      </c>
      <c r="I39" s="9">
        <f>IF(ISNUMBER(I$3),I$2*MAX(0,MIN(1,((YEAR($A39)-YEAR(I$3))*12+MONTH($A39)-MONTH(I$3)+1)/'Capacity by month'!$O$2)),0)</f>
        <v/>
      </c>
      <c r="J39" s="9">
        <f>IF(ISNUMBER(J$3),J$2*MAX(0,MIN(1,((YEAR($A39)-YEAR(J$3))*12+MONTH($A39)-MONTH(J$3)+1)/'Capacity by month'!$O$2)),0)</f>
        <v/>
      </c>
      <c r="K39" s="9">
        <f>IF(ISNUMBER(K$3),K$2*MAX(0,MIN(1,((YEAR($A39)-YEAR(K$3))*12+MONTH($A39)-MONTH(K$3)+1)/'Capacity by month'!$O$2)),0)</f>
        <v/>
      </c>
      <c r="L39" s="9">
        <f>IF(ISNUMBER(L$3),L$2*MAX(0,MIN(1,((YEAR($A39)-YEAR(L$3))*12+MONTH($A39)-MONTH(L$3)+1)/'Capacity by month'!$O$2)),0)</f>
        <v/>
      </c>
      <c r="M39" s="9">
        <f>IF(ISNUMBER(M$3),M$2*MAX(0,MIN(1,((YEAR($A39)-YEAR(M$3))*12+MONTH($A39)-MONTH(M$3)+1)/'Capacity by month'!$O$2)),0)</f>
        <v/>
      </c>
      <c r="N39" s="9">
        <f>IF(ISNUMBER(N$3),N$2*MAX(0,MIN(1,((YEAR($A39)-YEAR(N$3))*12+MONTH($A39)-MONTH(N$3)+1)/'Capacity by month'!$O$2)),0)</f>
        <v/>
      </c>
      <c r="O39" s="9">
        <f>IF(ISNUMBER(O$3),O$2*MAX(0,MIN(1,((YEAR($A39)-YEAR(O$3))*12+MONTH($A39)-MONTH(O$3)+1)/'Capacity by month'!$O$2)),0)</f>
        <v/>
      </c>
      <c r="P39" s="9">
        <f>IF(ISNUMBER(P$3),P$2*MAX(0,MIN(1,((YEAR($A39)-YEAR(P$3))*12+MONTH($A39)-MONTH(P$3)+1)/'Capacity by month'!$O$2)),0)</f>
        <v/>
      </c>
      <c r="Q39" s="9">
        <f>IF(ISNUMBER(Q$3),Q$2*MAX(0,MIN(1,((YEAR($A39)-YEAR(Q$3))*12+MONTH($A39)-MONTH(Q$3)+1)/'Capacity by month'!$O$2)),0)</f>
        <v/>
      </c>
      <c r="R39" s="9">
        <f>IF(ISNUMBER(R$3),R$2*MAX(0,MIN(1,((YEAR($A39)-YEAR(R$3))*12+MONTH($A39)-MONTH(R$3)+1)/'Capacity by month'!$O$2)),0)</f>
        <v/>
      </c>
      <c r="S39" s="9">
        <f>IF(ISNUMBER(S$3),S$2*MAX(0,MIN(1,((YEAR($A39)-YEAR(S$3))*12+MONTH($A39)-MONTH(S$3)+1)/'Capacity by month'!$O$2)),0)</f>
        <v/>
      </c>
      <c r="T39" s="9">
        <f>IF(ISNUMBER(T$3),T$2*MAX(0,MIN(1,((YEAR($A39)-YEAR(T$3))*12+MONTH($A39)-MONTH(T$3)+1)/'Capacity by month'!$O$2)),0)</f>
        <v/>
      </c>
      <c r="U39" s="9">
        <f>IF(ISNUMBER(U$3),U$2*MAX(0,MIN(1,((YEAR($A39)-YEAR(U$3))*12+MONTH($A39)-MONTH(U$3)+1)/'Capacity by month'!$O$2)),0)</f>
        <v/>
      </c>
      <c r="V39" s="9">
        <f>IF(ISNUMBER(V$3),V$2*MAX(0,MIN(1,((YEAR($A39)-YEAR(V$3))*12+MONTH($A39)-MONTH(V$3)+1)/'Capacity by month'!$O$2)),0)</f>
        <v/>
      </c>
      <c r="W39" s="9">
        <f>IF(ISNUMBER(W$3),W$2*MAX(0,MIN(1,((YEAR($A39)-YEAR(W$3))*12+MONTH($A39)-MONTH(W$3)+1)/'Capacity by month'!$O$2)),0)</f>
        <v/>
      </c>
      <c r="X39" s="9">
        <f>IF(ISNUMBER(X$3),X$2*MAX(0,MIN(1,((YEAR($A39)-YEAR(X$3))*12+MONTH($A39)-MONTH(X$3)+1)/'Capacity by month'!$O$2)),0)</f>
        <v/>
      </c>
      <c r="Y39" s="9">
        <f>IF(ISNUMBER(Y$3),Y$2*MAX(0,MIN(1,((YEAR($A39)-YEAR(Y$3))*12+MONTH($A39)-MONTH(Y$3)+1)/'Capacity by month'!$O$2)),0)</f>
        <v/>
      </c>
      <c r="Z39" s="9">
        <f>IF(ISNUMBER(Z$3),Z$2*MAX(0,MIN(1,((YEAR($A39)-YEAR(Z$3))*12+MONTH($A39)-MONTH(Z$3)+1)/'Capacity by month'!$O$2)),0)</f>
        <v/>
      </c>
      <c r="AA39">
        <f>SUM(B39:Z39)</f>
        <v/>
      </c>
      <c r="AB39" t="n">
        <v>0</v>
      </c>
    </row>
    <row r="40">
      <c r="A40" s="8" t="n">
        <v>45292</v>
      </c>
      <c r="B40" s="9">
        <f>IF(ISNUMBER(B$3),B$2*MAX(0,MIN(1,((YEAR($A40)-YEAR(B$3))*12+MONTH($A40)-MONTH(B$3)+1)/'Capacity by month'!$O$2)),0)</f>
        <v/>
      </c>
      <c r="C40" s="9">
        <f>IF(ISNUMBER(C$3),C$2*MAX(0,MIN(1,((YEAR($A40)-YEAR(C$3))*12+MONTH($A40)-MONTH(C$3)+1)/'Capacity by month'!$O$2)),0)</f>
        <v/>
      </c>
      <c r="D40" s="9">
        <f>IF(ISNUMBER(D$3),D$2*MAX(0,MIN(1,((YEAR($A40)-YEAR(D$3))*12+MONTH($A40)-MONTH(D$3)+1)/'Capacity by month'!$O$2)),0)</f>
        <v/>
      </c>
      <c r="E40" s="9">
        <f>IF(ISNUMBER(E$3),E$2*MAX(0,MIN(1,((YEAR($A40)-YEAR(E$3))*12+MONTH($A40)-MONTH(E$3)+1)/'Capacity by month'!$O$2)),0)</f>
        <v/>
      </c>
      <c r="F40" s="9">
        <f>IF(ISNUMBER(F$3),F$2*MAX(0,MIN(1,((YEAR($A40)-YEAR(F$3))*12+MONTH($A40)-MONTH(F$3)+1)/'Capacity by month'!$O$2)),0)</f>
        <v/>
      </c>
      <c r="G40" s="9">
        <f>IF(ISNUMBER(G$3),G$2*MAX(0,MIN(1,((YEAR($A40)-YEAR(G$3))*12+MONTH($A40)-MONTH(G$3)+1)/'Capacity by month'!$O$2)),0)</f>
        <v/>
      </c>
      <c r="H40" s="9">
        <f>IF(ISNUMBER(H$3),H$2*MAX(0,MIN(1,((YEAR($A40)-YEAR(H$3))*12+MONTH($A40)-MONTH(H$3)+1)/'Capacity by month'!$O$2)),0)</f>
        <v/>
      </c>
      <c r="I40" s="9">
        <f>IF(ISNUMBER(I$3),I$2*MAX(0,MIN(1,((YEAR($A40)-YEAR(I$3))*12+MONTH($A40)-MONTH(I$3)+1)/'Capacity by month'!$O$2)),0)</f>
        <v/>
      </c>
      <c r="J40" s="9">
        <f>IF(ISNUMBER(J$3),J$2*MAX(0,MIN(1,((YEAR($A40)-YEAR(J$3))*12+MONTH($A40)-MONTH(J$3)+1)/'Capacity by month'!$O$2)),0)</f>
        <v/>
      </c>
      <c r="K40" s="9">
        <f>IF(ISNUMBER(K$3),K$2*MAX(0,MIN(1,((YEAR($A40)-YEAR(K$3))*12+MONTH($A40)-MONTH(K$3)+1)/'Capacity by month'!$O$2)),0)</f>
        <v/>
      </c>
      <c r="L40" s="9">
        <f>IF(ISNUMBER(L$3),L$2*MAX(0,MIN(1,((YEAR($A40)-YEAR(L$3))*12+MONTH($A40)-MONTH(L$3)+1)/'Capacity by month'!$O$2)),0)</f>
        <v/>
      </c>
      <c r="M40" s="9">
        <f>IF(ISNUMBER(M$3),M$2*MAX(0,MIN(1,((YEAR($A40)-YEAR(M$3))*12+MONTH($A40)-MONTH(M$3)+1)/'Capacity by month'!$O$2)),0)</f>
        <v/>
      </c>
      <c r="N40" s="9">
        <f>IF(ISNUMBER(N$3),N$2*MAX(0,MIN(1,((YEAR($A40)-YEAR(N$3))*12+MONTH($A40)-MONTH(N$3)+1)/'Capacity by month'!$O$2)),0)</f>
        <v/>
      </c>
      <c r="O40" s="9">
        <f>IF(ISNUMBER(O$3),O$2*MAX(0,MIN(1,((YEAR($A40)-YEAR(O$3))*12+MONTH($A40)-MONTH(O$3)+1)/'Capacity by month'!$O$2)),0)</f>
        <v/>
      </c>
      <c r="P40" s="9">
        <f>IF(ISNUMBER(P$3),P$2*MAX(0,MIN(1,((YEAR($A40)-YEAR(P$3))*12+MONTH($A40)-MONTH(P$3)+1)/'Capacity by month'!$O$2)),0)</f>
        <v/>
      </c>
      <c r="Q40" s="9">
        <f>IF(ISNUMBER(Q$3),Q$2*MAX(0,MIN(1,((YEAR($A40)-YEAR(Q$3))*12+MONTH($A40)-MONTH(Q$3)+1)/'Capacity by month'!$O$2)),0)</f>
        <v/>
      </c>
      <c r="R40" s="9">
        <f>IF(ISNUMBER(R$3),R$2*MAX(0,MIN(1,((YEAR($A40)-YEAR(R$3))*12+MONTH($A40)-MONTH(R$3)+1)/'Capacity by month'!$O$2)),0)</f>
        <v/>
      </c>
      <c r="S40" s="9">
        <f>IF(ISNUMBER(S$3),S$2*MAX(0,MIN(1,((YEAR($A40)-YEAR(S$3))*12+MONTH($A40)-MONTH(S$3)+1)/'Capacity by month'!$O$2)),0)</f>
        <v/>
      </c>
      <c r="T40" s="9">
        <f>IF(ISNUMBER(T$3),T$2*MAX(0,MIN(1,((YEAR($A40)-YEAR(T$3))*12+MONTH($A40)-MONTH(T$3)+1)/'Capacity by month'!$O$2)),0)</f>
        <v/>
      </c>
      <c r="U40" s="9">
        <f>IF(ISNUMBER(U$3),U$2*MAX(0,MIN(1,((YEAR($A40)-YEAR(U$3))*12+MONTH($A40)-MONTH(U$3)+1)/'Capacity by month'!$O$2)),0)</f>
        <v/>
      </c>
      <c r="V40" s="9">
        <f>IF(ISNUMBER(V$3),V$2*MAX(0,MIN(1,((YEAR($A40)-YEAR(V$3))*12+MONTH($A40)-MONTH(V$3)+1)/'Capacity by month'!$O$2)),0)</f>
        <v/>
      </c>
      <c r="W40" s="9">
        <f>IF(ISNUMBER(W$3),W$2*MAX(0,MIN(1,((YEAR($A40)-YEAR(W$3))*12+MONTH($A40)-MONTH(W$3)+1)/'Capacity by month'!$O$2)),0)</f>
        <v/>
      </c>
      <c r="X40" s="9">
        <f>IF(ISNUMBER(X$3),X$2*MAX(0,MIN(1,((YEAR($A40)-YEAR(X$3))*12+MONTH($A40)-MONTH(X$3)+1)/'Capacity by month'!$O$2)),0)</f>
        <v/>
      </c>
      <c r="Y40" s="9">
        <f>IF(ISNUMBER(Y$3),Y$2*MAX(0,MIN(1,((YEAR($A40)-YEAR(Y$3))*12+MONTH($A40)-MONTH(Y$3)+1)/'Capacity by month'!$O$2)),0)</f>
        <v/>
      </c>
      <c r="Z40" s="9">
        <f>IF(ISNUMBER(Z$3),Z$2*MAX(0,MIN(1,((YEAR($A40)-YEAR(Z$3))*12+MONTH($A40)-MONTH(Z$3)+1)/'Capacity by month'!$O$2)),0)</f>
        <v/>
      </c>
      <c r="AA40">
        <f>SUM(B40:Z40)</f>
        <v/>
      </c>
      <c r="AB40" t="n">
        <v>0</v>
      </c>
    </row>
    <row r="41">
      <c r="A41" s="8" t="n">
        <v>45323</v>
      </c>
      <c r="B41" s="9">
        <f>IF(ISNUMBER(B$3),B$2*MAX(0,MIN(1,((YEAR($A41)-YEAR(B$3))*12+MONTH($A41)-MONTH(B$3)+1)/'Capacity by month'!$O$2)),0)</f>
        <v/>
      </c>
      <c r="C41" s="9">
        <f>IF(ISNUMBER(C$3),C$2*MAX(0,MIN(1,((YEAR($A41)-YEAR(C$3))*12+MONTH($A41)-MONTH(C$3)+1)/'Capacity by month'!$O$2)),0)</f>
        <v/>
      </c>
      <c r="D41" s="9">
        <f>IF(ISNUMBER(D$3),D$2*MAX(0,MIN(1,((YEAR($A41)-YEAR(D$3))*12+MONTH($A41)-MONTH(D$3)+1)/'Capacity by month'!$O$2)),0)</f>
        <v/>
      </c>
      <c r="E41" s="9">
        <f>IF(ISNUMBER(E$3),E$2*MAX(0,MIN(1,((YEAR($A41)-YEAR(E$3))*12+MONTH($A41)-MONTH(E$3)+1)/'Capacity by month'!$O$2)),0)</f>
        <v/>
      </c>
      <c r="F41" s="9">
        <f>IF(ISNUMBER(F$3),F$2*MAX(0,MIN(1,((YEAR($A41)-YEAR(F$3))*12+MONTH($A41)-MONTH(F$3)+1)/'Capacity by month'!$O$2)),0)</f>
        <v/>
      </c>
      <c r="G41" s="9">
        <f>IF(ISNUMBER(G$3),G$2*MAX(0,MIN(1,((YEAR($A41)-YEAR(G$3))*12+MONTH($A41)-MONTH(G$3)+1)/'Capacity by month'!$O$2)),0)</f>
        <v/>
      </c>
      <c r="H41" s="9">
        <f>IF(ISNUMBER(H$3),H$2*MAX(0,MIN(1,((YEAR($A41)-YEAR(H$3))*12+MONTH($A41)-MONTH(H$3)+1)/'Capacity by month'!$O$2)),0)</f>
        <v/>
      </c>
      <c r="I41" s="9">
        <f>IF(ISNUMBER(I$3),I$2*MAX(0,MIN(1,((YEAR($A41)-YEAR(I$3))*12+MONTH($A41)-MONTH(I$3)+1)/'Capacity by month'!$O$2)),0)</f>
        <v/>
      </c>
      <c r="J41" s="9">
        <f>IF(ISNUMBER(J$3),J$2*MAX(0,MIN(1,((YEAR($A41)-YEAR(J$3))*12+MONTH($A41)-MONTH(J$3)+1)/'Capacity by month'!$O$2)),0)</f>
        <v/>
      </c>
      <c r="K41" s="9">
        <f>IF(ISNUMBER(K$3),K$2*MAX(0,MIN(1,((YEAR($A41)-YEAR(K$3))*12+MONTH($A41)-MONTH(K$3)+1)/'Capacity by month'!$O$2)),0)</f>
        <v/>
      </c>
      <c r="L41" s="9">
        <f>IF(ISNUMBER(L$3),L$2*MAX(0,MIN(1,((YEAR($A41)-YEAR(L$3))*12+MONTH($A41)-MONTH(L$3)+1)/'Capacity by month'!$O$2)),0)</f>
        <v/>
      </c>
      <c r="M41" s="9">
        <f>IF(ISNUMBER(M$3),M$2*MAX(0,MIN(1,((YEAR($A41)-YEAR(M$3))*12+MONTH($A41)-MONTH(M$3)+1)/'Capacity by month'!$O$2)),0)</f>
        <v/>
      </c>
      <c r="N41" s="9">
        <f>IF(ISNUMBER(N$3),N$2*MAX(0,MIN(1,((YEAR($A41)-YEAR(N$3))*12+MONTH($A41)-MONTH(N$3)+1)/'Capacity by month'!$O$2)),0)</f>
        <v/>
      </c>
      <c r="O41" s="9">
        <f>IF(ISNUMBER(O$3),O$2*MAX(0,MIN(1,((YEAR($A41)-YEAR(O$3))*12+MONTH($A41)-MONTH(O$3)+1)/'Capacity by month'!$O$2)),0)</f>
        <v/>
      </c>
      <c r="P41" s="9">
        <f>IF(ISNUMBER(P$3),P$2*MAX(0,MIN(1,((YEAR($A41)-YEAR(P$3))*12+MONTH($A41)-MONTH(P$3)+1)/'Capacity by month'!$O$2)),0)</f>
        <v/>
      </c>
      <c r="Q41" s="9">
        <f>IF(ISNUMBER(Q$3),Q$2*MAX(0,MIN(1,((YEAR($A41)-YEAR(Q$3))*12+MONTH($A41)-MONTH(Q$3)+1)/'Capacity by month'!$O$2)),0)</f>
        <v/>
      </c>
      <c r="R41" s="9">
        <f>IF(ISNUMBER(R$3),R$2*MAX(0,MIN(1,((YEAR($A41)-YEAR(R$3))*12+MONTH($A41)-MONTH(R$3)+1)/'Capacity by month'!$O$2)),0)</f>
        <v/>
      </c>
      <c r="S41" s="9">
        <f>IF(ISNUMBER(S$3),S$2*MAX(0,MIN(1,((YEAR($A41)-YEAR(S$3))*12+MONTH($A41)-MONTH(S$3)+1)/'Capacity by month'!$O$2)),0)</f>
        <v/>
      </c>
      <c r="T41" s="9">
        <f>IF(ISNUMBER(T$3),T$2*MAX(0,MIN(1,((YEAR($A41)-YEAR(T$3))*12+MONTH($A41)-MONTH(T$3)+1)/'Capacity by month'!$O$2)),0)</f>
        <v/>
      </c>
      <c r="U41" s="9">
        <f>IF(ISNUMBER(U$3),U$2*MAX(0,MIN(1,((YEAR($A41)-YEAR(U$3))*12+MONTH($A41)-MONTH(U$3)+1)/'Capacity by month'!$O$2)),0)</f>
        <v/>
      </c>
      <c r="V41" s="9">
        <f>IF(ISNUMBER(V$3),V$2*MAX(0,MIN(1,((YEAR($A41)-YEAR(V$3))*12+MONTH($A41)-MONTH(V$3)+1)/'Capacity by month'!$O$2)),0)</f>
        <v/>
      </c>
      <c r="W41" s="9">
        <f>IF(ISNUMBER(W$3),W$2*MAX(0,MIN(1,((YEAR($A41)-YEAR(W$3))*12+MONTH($A41)-MONTH(W$3)+1)/'Capacity by month'!$O$2)),0)</f>
        <v/>
      </c>
      <c r="X41" s="9">
        <f>IF(ISNUMBER(X$3),X$2*MAX(0,MIN(1,((YEAR($A41)-YEAR(X$3))*12+MONTH($A41)-MONTH(X$3)+1)/'Capacity by month'!$O$2)),0)</f>
        <v/>
      </c>
      <c r="Y41" s="9">
        <f>IF(ISNUMBER(Y$3),Y$2*MAX(0,MIN(1,((YEAR($A41)-YEAR(Y$3))*12+MONTH($A41)-MONTH(Y$3)+1)/'Capacity by month'!$O$2)),0)</f>
        <v/>
      </c>
      <c r="Z41" s="9">
        <f>IF(ISNUMBER(Z$3),Z$2*MAX(0,MIN(1,((YEAR($A41)-YEAR(Z$3))*12+MONTH($A41)-MONTH(Z$3)+1)/'Capacity by month'!$O$2)),0)</f>
        <v/>
      </c>
      <c r="AA41">
        <f>SUM(B41:Z41)</f>
        <v/>
      </c>
      <c r="AB41" t="n">
        <v>0</v>
      </c>
    </row>
    <row r="42">
      <c r="A42" s="8" t="n">
        <v>45352</v>
      </c>
      <c r="B42" s="9">
        <f>IF(ISNUMBER(B$3),B$2*MAX(0,MIN(1,((YEAR($A42)-YEAR(B$3))*12+MONTH($A42)-MONTH(B$3)+1)/'Capacity by month'!$O$2)),0)</f>
        <v/>
      </c>
      <c r="C42" s="9">
        <f>IF(ISNUMBER(C$3),C$2*MAX(0,MIN(1,((YEAR($A42)-YEAR(C$3))*12+MONTH($A42)-MONTH(C$3)+1)/'Capacity by month'!$O$2)),0)</f>
        <v/>
      </c>
      <c r="D42" s="9">
        <f>IF(ISNUMBER(D$3),D$2*MAX(0,MIN(1,((YEAR($A42)-YEAR(D$3))*12+MONTH($A42)-MONTH(D$3)+1)/'Capacity by month'!$O$2)),0)</f>
        <v/>
      </c>
      <c r="E42" s="9">
        <f>IF(ISNUMBER(E$3),E$2*MAX(0,MIN(1,((YEAR($A42)-YEAR(E$3))*12+MONTH($A42)-MONTH(E$3)+1)/'Capacity by month'!$O$2)),0)</f>
        <v/>
      </c>
      <c r="F42" s="9">
        <f>IF(ISNUMBER(F$3),F$2*MAX(0,MIN(1,((YEAR($A42)-YEAR(F$3))*12+MONTH($A42)-MONTH(F$3)+1)/'Capacity by month'!$O$2)),0)</f>
        <v/>
      </c>
      <c r="G42" s="9">
        <f>IF(ISNUMBER(G$3),G$2*MAX(0,MIN(1,((YEAR($A42)-YEAR(G$3))*12+MONTH($A42)-MONTH(G$3)+1)/'Capacity by month'!$O$2)),0)</f>
        <v/>
      </c>
      <c r="H42" s="9">
        <f>IF(ISNUMBER(H$3),H$2*MAX(0,MIN(1,((YEAR($A42)-YEAR(H$3))*12+MONTH($A42)-MONTH(H$3)+1)/'Capacity by month'!$O$2)),0)</f>
        <v/>
      </c>
      <c r="I42" s="9">
        <f>IF(ISNUMBER(I$3),I$2*MAX(0,MIN(1,((YEAR($A42)-YEAR(I$3))*12+MONTH($A42)-MONTH(I$3)+1)/'Capacity by month'!$O$2)),0)</f>
        <v/>
      </c>
      <c r="J42" s="9">
        <f>IF(ISNUMBER(J$3),J$2*MAX(0,MIN(1,((YEAR($A42)-YEAR(J$3))*12+MONTH($A42)-MONTH(J$3)+1)/'Capacity by month'!$O$2)),0)</f>
        <v/>
      </c>
      <c r="K42" s="9">
        <f>IF(ISNUMBER(K$3),K$2*MAX(0,MIN(1,((YEAR($A42)-YEAR(K$3))*12+MONTH($A42)-MONTH(K$3)+1)/'Capacity by month'!$O$2)),0)</f>
        <v/>
      </c>
      <c r="L42" s="9">
        <f>IF(ISNUMBER(L$3),L$2*MAX(0,MIN(1,((YEAR($A42)-YEAR(L$3))*12+MONTH($A42)-MONTH(L$3)+1)/'Capacity by month'!$O$2)),0)</f>
        <v/>
      </c>
      <c r="M42" s="9">
        <f>IF(ISNUMBER(M$3),M$2*MAX(0,MIN(1,((YEAR($A42)-YEAR(M$3))*12+MONTH($A42)-MONTH(M$3)+1)/'Capacity by month'!$O$2)),0)</f>
        <v/>
      </c>
      <c r="N42" s="9">
        <f>IF(ISNUMBER(N$3),N$2*MAX(0,MIN(1,((YEAR($A42)-YEAR(N$3))*12+MONTH($A42)-MONTH(N$3)+1)/'Capacity by month'!$O$2)),0)</f>
        <v/>
      </c>
      <c r="O42" s="9">
        <f>IF(ISNUMBER(O$3),O$2*MAX(0,MIN(1,((YEAR($A42)-YEAR(O$3))*12+MONTH($A42)-MONTH(O$3)+1)/'Capacity by month'!$O$2)),0)</f>
        <v/>
      </c>
      <c r="P42" s="9">
        <f>IF(ISNUMBER(P$3),P$2*MAX(0,MIN(1,((YEAR($A42)-YEAR(P$3))*12+MONTH($A42)-MONTH(P$3)+1)/'Capacity by month'!$O$2)),0)</f>
        <v/>
      </c>
      <c r="Q42" s="9">
        <f>IF(ISNUMBER(Q$3),Q$2*MAX(0,MIN(1,((YEAR($A42)-YEAR(Q$3))*12+MONTH($A42)-MONTH(Q$3)+1)/'Capacity by month'!$O$2)),0)</f>
        <v/>
      </c>
      <c r="R42" s="9">
        <f>IF(ISNUMBER(R$3),R$2*MAX(0,MIN(1,((YEAR($A42)-YEAR(R$3))*12+MONTH($A42)-MONTH(R$3)+1)/'Capacity by month'!$O$2)),0)</f>
        <v/>
      </c>
      <c r="S42" s="9">
        <f>IF(ISNUMBER(S$3),S$2*MAX(0,MIN(1,((YEAR($A42)-YEAR(S$3))*12+MONTH($A42)-MONTH(S$3)+1)/'Capacity by month'!$O$2)),0)</f>
        <v/>
      </c>
      <c r="T42" s="9">
        <f>IF(ISNUMBER(T$3),T$2*MAX(0,MIN(1,((YEAR($A42)-YEAR(T$3))*12+MONTH($A42)-MONTH(T$3)+1)/'Capacity by month'!$O$2)),0)</f>
        <v/>
      </c>
      <c r="U42" s="9">
        <f>IF(ISNUMBER(U$3),U$2*MAX(0,MIN(1,((YEAR($A42)-YEAR(U$3))*12+MONTH($A42)-MONTH(U$3)+1)/'Capacity by month'!$O$2)),0)</f>
        <v/>
      </c>
      <c r="V42" s="9">
        <f>IF(ISNUMBER(V$3),V$2*MAX(0,MIN(1,((YEAR($A42)-YEAR(V$3))*12+MONTH($A42)-MONTH(V$3)+1)/'Capacity by month'!$O$2)),0)</f>
        <v/>
      </c>
      <c r="W42" s="9">
        <f>IF(ISNUMBER(W$3),W$2*MAX(0,MIN(1,((YEAR($A42)-YEAR(W$3))*12+MONTH($A42)-MONTH(W$3)+1)/'Capacity by month'!$O$2)),0)</f>
        <v/>
      </c>
      <c r="X42" s="9">
        <f>IF(ISNUMBER(X$3),X$2*MAX(0,MIN(1,((YEAR($A42)-YEAR(X$3))*12+MONTH($A42)-MONTH(X$3)+1)/'Capacity by month'!$O$2)),0)</f>
        <v/>
      </c>
      <c r="Y42" s="9">
        <f>IF(ISNUMBER(Y$3),Y$2*MAX(0,MIN(1,((YEAR($A42)-YEAR(Y$3))*12+MONTH($A42)-MONTH(Y$3)+1)/'Capacity by month'!$O$2)),0)</f>
        <v/>
      </c>
      <c r="Z42" s="9">
        <f>IF(ISNUMBER(Z$3),Z$2*MAX(0,MIN(1,((YEAR($A42)-YEAR(Z$3))*12+MONTH($A42)-MONTH(Z$3)+1)/'Capacity by month'!$O$2)),0)</f>
        <v/>
      </c>
      <c r="AA42">
        <f>SUM(B42:Z42)</f>
        <v/>
      </c>
      <c r="AB42" t="n">
        <v>0</v>
      </c>
    </row>
    <row r="43">
      <c r="A43" s="8" t="n">
        <v>45383</v>
      </c>
      <c r="B43" s="9">
        <f>IF(ISNUMBER(B$3),B$2*MAX(0,MIN(1,((YEAR($A43)-YEAR(B$3))*12+MONTH($A43)-MONTH(B$3)+1)/'Capacity by month'!$O$2)),0)</f>
        <v/>
      </c>
      <c r="C43" s="9">
        <f>IF(ISNUMBER(C$3),C$2*MAX(0,MIN(1,((YEAR($A43)-YEAR(C$3))*12+MONTH($A43)-MONTH(C$3)+1)/'Capacity by month'!$O$2)),0)</f>
        <v/>
      </c>
      <c r="D43" s="9">
        <f>IF(ISNUMBER(D$3),D$2*MAX(0,MIN(1,((YEAR($A43)-YEAR(D$3))*12+MONTH($A43)-MONTH(D$3)+1)/'Capacity by month'!$O$2)),0)</f>
        <v/>
      </c>
      <c r="E43" s="9">
        <f>IF(ISNUMBER(E$3),E$2*MAX(0,MIN(1,((YEAR($A43)-YEAR(E$3))*12+MONTH($A43)-MONTH(E$3)+1)/'Capacity by month'!$O$2)),0)</f>
        <v/>
      </c>
      <c r="F43" s="9">
        <f>IF(ISNUMBER(F$3),F$2*MAX(0,MIN(1,((YEAR($A43)-YEAR(F$3))*12+MONTH($A43)-MONTH(F$3)+1)/'Capacity by month'!$O$2)),0)</f>
        <v/>
      </c>
      <c r="G43" s="9">
        <f>IF(ISNUMBER(G$3),G$2*MAX(0,MIN(1,((YEAR($A43)-YEAR(G$3))*12+MONTH($A43)-MONTH(G$3)+1)/'Capacity by month'!$O$2)),0)</f>
        <v/>
      </c>
      <c r="H43" s="9">
        <f>IF(ISNUMBER(H$3),H$2*MAX(0,MIN(1,((YEAR($A43)-YEAR(H$3))*12+MONTH($A43)-MONTH(H$3)+1)/'Capacity by month'!$O$2)),0)</f>
        <v/>
      </c>
      <c r="I43" s="9">
        <f>IF(ISNUMBER(I$3),I$2*MAX(0,MIN(1,((YEAR($A43)-YEAR(I$3))*12+MONTH($A43)-MONTH(I$3)+1)/'Capacity by month'!$O$2)),0)</f>
        <v/>
      </c>
      <c r="J43" s="9">
        <f>IF(ISNUMBER(J$3),J$2*MAX(0,MIN(1,((YEAR($A43)-YEAR(J$3))*12+MONTH($A43)-MONTH(J$3)+1)/'Capacity by month'!$O$2)),0)</f>
        <v/>
      </c>
      <c r="K43" s="9">
        <f>IF(ISNUMBER(K$3),K$2*MAX(0,MIN(1,((YEAR($A43)-YEAR(K$3))*12+MONTH($A43)-MONTH(K$3)+1)/'Capacity by month'!$O$2)),0)</f>
        <v/>
      </c>
      <c r="L43" s="9">
        <f>IF(ISNUMBER(L$3),L$2*MAX(0,MIN(1,((YEAR($A43)-YEAR(L$3))*12+MONTH($A43)-MONTH(L$3)+1)/'Capacity by month'!$O$2)),0)</f>
        <v/>
      </c>
      <c r="M43" s="9">
        <f>IF(ISNUMBER(M$3),M$2*MAX(0,MIN(1,((YEAR($A43)-YEAR(M$3))*12+MONTH($A43)-MONTH(M$3)+1)/'Capacity by month'!$O$2)),0)</f>
        <v/>
      </c>
      <c r="N43" s="9">
        <f>IF(ISNUMBER(N$3),N$2*MAX(0,MIN(1,((YEAR($A43)-YEAR(N$3))*12+MONTH($A43)-MONTH(N$3)+1)/'Capacity by month'!$O$2)),0)</f>
        <v/>
      </c>
      <c r="O43" s="9">
        <f>IF(ISNUMBER(O$3),O$2*MAX(0,MIN(1,((YEAR($A43)-YEAR(O$3))*12+MONTH($A43)-MONTH(O$3)+1)/'Capacity by month'!$O$2)),0)</f>
        <v/>
      </c>
      <c r="P43" s="9">
        <f>IF(ISNUMBER(P$3),P$2*MAX(0,MIN(1,((YEAR($A43)-YEAR(P$3))*12+MONTH($A43)-MONTH(P$3)+1)/'Capacity by month'!$O$2)),0)</f>
        <v/>
      </c>
      <c r="Q43" s="9">
        <f>IF(ISNUMBER(Q$3),Q$2*MAX(0,MIN(1,((YEAR($A43)-YEAR(Q$3))*12+MONTH($A43)-MONTH(Q$3)+1)/'Capacity by month'!$O$2)),0)</f>
        <v/>
      </c>
      <c r="R43" s="9">
        <f>IF(ISNUMBER(R$3),R$2*MAX(0,MIN(1,((YEAR($A43)-YEAR(R$3))*12+MONTH($A43)-MONTH(R$3)+1)/'Capacity by month'!$O$2)),0)</f>
        <v/>
      </c>
      <c r="S43" s="9">
        <f>IF(ISNUMBER(S$3),S$2*MAX(0,MIN(1,((YEAR($A43)-YEAR(S$3))*12+MONTH($A43)-MONTH(S$3)+1)/'Capacity by month'!$O$2)),0)</f>
        <v/>
      </c>
      <c r="T43" s="9">
        <f>IF(ISNUMBER(T$3),T$2*MAX(0,MIN(1,((YEAR($A43)-YEAR(T$3))*12+MONTH($A43)-MONTH(T$3)+1)/'Capacity by month'!$O$2)),0)</f>
        <v/>
      </c>
      <c r="U43" s="9">
        <f>IF(ISNUMBER(U$3),U$2*MAX(0,MIN(1,((YEAR($A43)-YEAR(U$3))*12+MONTH($A43)-MONTH(U$3)+1)/'Capacity by month'!$O$2)),0)</f>
        <v/>
      </c>
      <c r="V43" s="9">
        <f>IF(ISNUMBER(V$3),V$2*MAX(0,MIN(1,((YEAR($A43)-YEAR(V$3))*12+MONTH($A43)-MONTH(V$3)+1)/'Capacity by month'!$O$2)),0)</f>
        <v/>
      </c>
      <c r="W43" s="9">
        <f>IF(ISNUMBER(W$3),W$2*MAX(0,MIN(1,((YEAR($A43)-YEAR(W$3))*12+MONTH($A43)-MONTH(W$3)+1)/'Capacity by month'!$O$2)),0)</f>
        <v/>
      </c>
      <c r="X43" s="9">
        <f>IF(ISNUMBER(X$3),X$2*MAX(0,MIN(1,((YEAR($A43)-YEAR(X$3))*12+MONTH($A43)-MONTH(X$3)+1)/'Capacity by month'!$O$2)),0)</f>
        <v/>
      </c>
      <c r="Y43" s="9">
        <f>IF(ISNUMBER(Y$3),Y$2*MAX(0,MIN(1,((YEAR($A43)-YEAR(Y$3))*12+MONTH($A43)-MONTH(Y$3)+1)/'Capacity by month'!$O$2)),0)</f>
        <v/>
      </c>
      <c r="Z43" s="9">
        <f>IF(ISNUMBER(Z$3),Z$2*MAX(0,MIN(1,((YEAR($A43)-YEAR(Z$3))*12+MONTH($A43)-MONTH(Z$3)+1)/'Capacity by month'!$O$2)),0)</f>
        <v/>
      </c>
      <c r="AA43">
        <f>SUM(B43:Z43)</f>
        <v/>
      </c>
      <c r="AB43" t="n">
        <v>0</v>
      </c>
    </row>
    <row r="44">
      <c r="A44" s="8" t="n">
        <v>45413</v>
      </c>
      <c r="B44" s="9">
        <f>IF(ISNUMBER(B$3),B$2*MAX(0,MIN(1,((YEAR($A44)-YEAR(B$3))*12+MONTH($A44)-MONTH(B$3)+1)/'Capacity by month'!$O$2)),0)</f>
        <v/>
      </c>
      <c r="C44" s="9">
        <f>IF(ISNUMBER(C$3),C$2*MAX(0,MIN(1,((YEAR($A44)-YEAR(C$3))*12+MONTH($A44)-MONTH(C$3)+1)/'Capacity by month'!$O$2)),0)</f>
        <v/>
      </c>
      <c r="D44" s="9">
        <f>IF(ISNUMBER(D$3),D$2*MAX(0,MIN(1,((YEAR($A44)-YEAR(D$3))*12+MONTH($A44)-MONTH(D$3)+1)/'Capacity by month'!$O$2)),0)</f>
        <v/>
      </c>
      <c r="E44" s="9">
        <f>IF(ISNUMBER(E$3),E$2*MAX(0,MIN(1,((YEAR($A44)-YEAR(E$3))*12+MONTH($A44)-MONTH(E$3)+1)/'Capacity by month'!$O$2)),0)</f>
        <v/>
      </c>
      <c r="F44" s="9">
        <f>IF(ISNUMBER(F$3),F$2*MAX(0,MIN(1,((YEAR($A44)-YEAR(F$3))*12+MONTH($A44)-MONTH(F$3)+1)/'Capacity by month'!$O$2)),0)</f>
        <v/>
      </c>
      <c r="G44" s="9">
        <f>IF(ISNUMBER(G$3),G$2*MAX(0,MIN(1,((YEAR($A44)-YEAR(G$3))*12+MONTH($A44)-MONTH(G$3)+1)/'Capacity by month'!$O$2)),0)</f>
        <v/>
      </c>
      <c r="H44" s="9">
        <f>IF(ISNUMBER(H$3),H$2*MAX(0,MIN(1,((YEAR($A44)-YEAR(H$3))*12+MONTH($A44)-MONTH(H$3)+1)/'Capacity by month'!$O$2)),0)</f>
        <v/>
      </c>
      <c r="I44" s="9">
        <f>IF(ISNUMBER(I$3),I$2*MAX(0,MIN(1,((YEAR($A44)-YEAR(I$3))*12+MONTH($A44)-MONTH(I$3)+1)/'Capacity by month'!$O$2)),0)</f>
        <v/>
      </c>
      <c r="J44" s="9">
        <f>IF(ISNUMBER(J$3),J$2*MAX(0,MIN(1,((YEAR($A44)-YEAR(J$3))*12+MONTH($A44)-MONTH(J$3)+1)/'Capacity by month'!$O$2)),0)</f>
        <v/>
      </c>
      <c r="K44" s="9">
        <f>IF(ISNUMBER(K$3),K$2*MAX(0,MIN(1,((YEAR($A44)-YEAR(K$3))*12+MONTH($A44)-MONTH(K$3)+1)/'Capacity by month'!$O$2)),0)</f>
        <v/>
      </c>
      <c r="L44" s="9">
        <f>IF(ISNUMBER(L$3),L$2*MAX(0,MIN(1,((YEAR($A44)-YEAR(L$3))*12+MONTH($A44)-MONTH(L$3)+1)/'Capacity by month'!$O$2)),0)</f>
        <v/>
      </c>
      <c r="M44" s="9">
        <f>IF(ISNUMBER(M$3),M$2*MAX(0,MIN(1,((YEAR($A44)-YEAR(M$3))*12+MONTH($A44)-MONTH(M$3)+1)/'Capacity by month'!$O$2)),0)</f>
        <v/>
      </c>
      <c r="N44" s="9">
        <f>IF(ISNUMBER(N$3),N$2*MAX(0,MIN(1,((YEAR($A44)-YEAR(N$3))*12+MONTH($A44)-MONTH(N$3)+1)/'Capacity by month'!$O$2)),0)</f>
        <v/>
      </c>
      <c r="O44" s="9">
        <f>IF(ISNUMBER(O$3),O$2*MAX(0,MIN(1,((YEAR($A44)-YEAR(O$3))*12+MONTH($A44)-MONTH(O$3)+1)/'Capacity by month'!$O$2)),0)</f>
        <v/>
      </c>
      <c r="P44" s="9">
        <f>IF(ISNUMBER(P$3),P$2*MAX(0,MIN(1,((YEAR($A44)-YEAR(P$3))*12+MONTH($A44)-MONTH(P$3)+1)/'Capacity by month'!$O$2)),0)</f>
        <v/>
      </c>
      <c r="Q44" s="9">
        <f>IF(ISNUMBER(Q$3),Q$2*MAX(0,MIN(1,((YEAR($A44)-YEAR(Q$3))*12+MONTH($A44)-MONTH(Q$3)+1)/'Capacity by month'!$O$2)),0)</f>
        <v/>
      </c>
      <c r="R44" s="9">
        <f>IF(ISNUMBER(R$3),R$2*MAX(0,MIN(1,((YEAR($A44)-YEAR(R$3))*12+MONTH($A44)-MONTH(R$3)+1)/'Capacity by month'!$O$2)),0)</f>
        <v/>
      </c>
      <c r="S44" s="9">
        <f>IF(ISNUMBER(S$3),S$2*MAX(0,MIN(1,((YEAR($A44)-YEAR(S$3))*12+MONTH($A44)-MONTH(S$3)+1)/'Capacity by month'!$O$2)),0)</f>
        <v/>
      </c>
      <c r="T44" s="9">
        <f>IF(ISNUMBER(T$3),T$2*MAX(0,MIN(1,((YEAR($A44)-YEAR(T$3))*12+MONTH($A44)-MONTH(T$3)+1)/'Capacity by month'!$O$2)),0)</f>
        <v/>
      </c>
      <c r="U44" s="9">
        <f>IF(ISNUMBER(U$3),U$2*MAX(0,MIN(1,((YEAR($A44)-YEAR(U$3))*12+MONTH($A44)-MONTH(U$3)+1)/'Capacity by month'!$O$2)),0)</f>
        <v/>
      </c>
      <c r="V44" s="9">
        <f>IF(ISNUMBER(V$3),V$2*MAX(0,MIN(1,((YEAR($A44)-YEAR(V$3))*12+MONTH($A44)-MONTH(V$3)+1)/'Capacity by month'!$O$2)),0)</f>
        <v/>
      </c>
      <c r="W44" s="9">
        <f>IF(ISNUMBER(W$3),W$2*MAX(0,MIN(1,((YEAR($A44)-YEAR(W$3))*12+MONTH($A44)-MONTH(W$3)+1)/'Capacity by month'!$O$2)),0)</f>
        <v/>
      </c>
      <c r="X44" s="9">
        <f>IF(ISNUMBER(X$3),X$2*MAX(0,MIN(1,((YEAR($A44)-YEAR(X$3))*12+MONTH($A44)-MONTH(X$3)+1)/'Capacity by month'!$O$2)),0)</f>
        <v/>
      </c>
      <c r="Y44" s="9">
        <f>IF(ISNUMBER(Y$3),Y$2*MAX(0,MIN(1,((YEAR($A44)-YEAR(Y$3))*12+MONTH($A44)-MONTH(Y$3)+1)/'Capacity by month'!$O$2)),0)</f>
        <v/>
      </c>
      <c r="Z44" s="9">
        <f>IF(ISNUMBER(Z$3),Z$2*MAX(0,MIN(1,((YEAR($A44)-YEAR(Z$3))*12+MONTH($A44)-MONTH(Z$3)+1)/'Capacity by month'!$O$2)),0)</f>
        <v/>
      </c>
      <c r="AA44">
        <f>SUM(B44:Z44)</f>
        <v/>
      </c>
      <c r="AB44" t="n">
        <v>0</v>
      </c>
    </row>
    <row r="45">
      <c r="A45" s="8" t="n">
        <v>45444</v>
      </c>
      <c r="B45" s="9">
        <f>IF(ISNUMBER(B$3),B$2*MAX(0,MIN(1,((YEAR($A45)-YEAR(B$3))*12+MONTH($A45)-MONTH(B$3)+1)/'Capacity by month'!$O$2)),0)</f>
        <v/>
      </c>
      <c r="C45" s="9">
        <f>IF(ISNUMBER(C$3),C$2*MAX(0,MIN(1,((YEAR($A45)-YEAR(C$3))*12+MONTH($A45)-MONTH(C$3)+1)/'Capacity by month'!$O$2)),0)</f>
        <v/>
      </c>
      <c r="D45" s="9">
        <f>IF(ISNUMBER(D$3),D$2*MAX(0,MIN(1,((YEAR($A45)-YEAR(D$3))*12+MONTH($A45)-MONTH(D$3)+1)/'Capacity by month'!$O$2)),0)</f>
        <v/>
      </c>
      <c r="E45" s="9">
        <f>IF(ISNUMBER(E$3),E$2*MAX(0,MIN(1,((YEAR($A45)-YEAR(E$3))*12+MONTH($A45)-MONTH(E$3)+1)/'Capacity by month'!$O$2)),0)</f>
        <v/>
      </c>
      <c r="F45" s="9">
        <f>IF(ISNUMBER(F$3),F$2*MAX(0,MIN(1,((YEAR($A45)-YEAR(F$3))*12+MONTH($A45)-MONTH(F$3)+1)/'Capacity by month'!$O$2)),0)</f>
        <v/>
      </c>
      <c r="G45" s="9">
        <f>IF(ISNUMBER(G$3),G$2*MAX(0,MIN(1,((YEAR($A45)-YEAR(G$3))*12+MONTH($A45)-MONTH(G$3)+1)/'Capacity by month'!$O$2)),0)</f>
        <v/>
      </c>
      <c r="H45" s="9">
        <f>IF(ISNUMBER(H$3),H$2*MAX(0,MIN(1,((YEAR($A45)-YEAR(H$3))*12+MONTH($A45)-MONTH(H$3)+1)/'Capacity by month'!$O$2)),0)</f>
        <v/>
      </c>
      <c r="I45" s="9">
        <f>IF(ISNUMBER(I$3),I$2*MAX(0,MIN(1,((YEAR($A45)-YEAR(I$3))*12+MONTH($A45)-MONTH(I$3)+1)/'Capacity by month'!$O$2)),0)</f>
        <v/>
      </c>
      <c r="J45" s="9">
        <f>IF(ISNUMBER(J$3),J$2*MAX(0,MIN(1,((YEAR($A45)-YEAR(J$3))*12+MONTH($A45)-MONTH(J$3)+1)/'Capacity by month'!$O$2)),0)</f>
        <v/>
      </c>
      <c r="K45" s="9">
        <f>IF(ISNUMBER(K$3),K$2*MAX(0,MIN(1,((YEAR($A45)-YEAR(K$3))*12+MONTH($A45)-MONTH(K$3)+1)/'Capacity by month'!$O$2)),0)</f>
        <v/>
      </c>
      <c r="L45" s="9">
        <f>IF(ISNUMBER(L$3),L$2*MAX(0,MIN(1,((YEAR($A45)-YEAR(L$3))*12+MONTH($A45)-MONTH(L$3)+1)/'Capacity by month'!$O$2)),0)</f>
        <v/>
      </c>
      <c r="M45" s="9">
        <f>IF(ISNUMBER(M$3),M$2*MAX(0,MIN(1,((YEAR($A45)-YEAR(M$3))*12+MONTH($A45)-MONTH(M$3)+1)/'Capacity by month'!$O$2)),0)</f>
        <v/>
      </c>
      <c r="N45" s="9">
        <f>IF(ISNUMBER(N$3),N$2*MAX(0,MIN(1,((YEAR($A45)-YEAR(N$3))*12+MONTH($A45)-MONTH(N$3)+1)/'Capacity by month'!$O$2)),0)</f>
        <v/>
      </c>
      <c r="O45" s="9">
        <f>IF(ISNUMBER(O$3),O$2*MAX(0,MIN(1,((YEAR($A45)-YEAR(O$3))*12+MONTH($A45)-MONTH(O$3)+1)/'Capacity by month'!$O$2)),0)</f>
        <v/>
      </c>
      <c r="P45" s="9">
        <f>IF(ISNUMBER(P$3),P$2*MAX(0,MIN(1,((YEAR($A45)-YEAR(P$3))*12+MONTH($A45)-MONTH(P$3)+1)/'Capacity by month'!$O$2)),0)</f>
        <v/>
      </c>
      <c r="Q45" s="9">
        <f>IF(ISNUMBER(Q$3),Q$2*MAX(0,MIN(1,((YEAR($A45)-YEAR(Q$3))*12+MONTH($A45)-MONTH(Q$3)+1)/'Capacity by month'!$O$2)),0)</f>
        <v/>
      </c>
      <c r="R45" s="9">
        <f>IF(ISNUMBER(R$3),R$2*MAX(0,MIN(1,((YEAR($A45)-YEAR(R$3))*12+MONTH($A45)-MONTH(R$3)+1)/'Capacity by month'!$O$2)),0)</f>
        <v/>
      </c>
      <c r="S45" s="9">
        <f>IF(ISNUMBER(S$3),S$2*MAX(0,MIN(1,((YEAR($A45)-YEAR(S$3))*12+MONTH($A45)-MONTH(S$3)+1)/'Capacity by month'!$O$2)),0)</f>
        <v/>
      </c>
      <c r="T45" s="9">
        <f>IF(ISNUMBER(T$3),T$2*MAX(0,MIN(1,((YEAR($A45)-YEAR(T$3))*12+MONTH($A45)-MONTH(T$3)+1)/'Capacity by month'!$O$2)),0)</f>
        <v/>
      </c>
      <c r="U45" s="9">
        <f>IF(ISNUMBER(U$3),U$2*MAX(0,MIN(1,((YEAR($A45)-YEAR(U$3))*12+MONTH($A45)-MONTH(U$3)+1)/'Capacity by month'!$O$2)),0)</f>
        <v/>
      </c>
      <c r="V45" s="9">
        <f>IF(ISNUMBER(V$3),V$2*MAX(0,MIN(1,((YEAR($A45)-YEAR(V$3))*12+MONTH($A45)-MONTH(V$3)+1)/'Capacity by month'!$O$2)),0)</f>
        <v/>
      </c>
      <c r="W45" s="9">
        <f>IF(ISNUMBER(W$3),W$2*MAX(0,MIN(1,((YEAR($A45)-YEAR(W$3))*12+MONTH($A45)-MONTH(W$3)+1)/'Capacity by month'!$O$2)),0)</f>
        <v/>
      </c>
      <c r="X45" s="9">
        <f>IF(ISNUMBER(X$3),X$2*MAX(0,MIN(1,((YEAR($A45)-YEAR(X$3))*12+MONTH($A45)-MONTH(X$3)+1)/'Capacity by month'!$O$2)),0)</f>
        <v/>
      </c>
      <c r="Y45" s="9">
        <f>IF(ISNUMBER(Y$3),Y$2*MAX(0,MIN(1,((YEAR($A45)-YEAR(Y$3))*12+MONTH($A45)-MONTH(Y$3)+1)/'Capacity by month'!$O$2)),0)</f>
        <v/>
      </c>
      <c r="Z45" s="9">
        <f>IF(ISNUMBER(Z$3),Z$2*MAX(0,MIN(1,((YEAR($A45)-YEAR(Z$3))*12+MONTH($A45)-MONTH(Z$3)+1)/'Capacity by month'!$O$2)),0)</f>
        <v/>
      </c>
      <c r="AA45">
        <f>SUM(B45:Z45)</f>
        <v/>
      </c>
      <c r="AB45" t="n">
        <v>0</v>
      </c>
    </row>
    <row r="46">
      <c r="A46" s="8" t="n">
        <v>45474</v>
      </c>
      <c r="B46" s="9">
        <f>IF(ISNUMBER(B$3),B$2*MAX(0,MIN(1,((YEAR($A46)-YEAR(B$3))*12+MONTH($A46)-MONTH(B$3)+1)/'Capacity by month'!$O$2)),0)</f>
        <v/>
      </c>
      <c r="C46" s="9">
        <f>IF(ISNUMBER(C$3),C$2*MAX(0,MIN(1,((YEAR($A46)-YEAR(C$3))*12+MONTH($A46)-MONTH(C$3)+1)/'Capacity by month'!$O$2)),0)</f>
        <v/>
      </c>
      <c r="D46" s="9">
        <f>IF(ISNUMBER(D$3),D$2*MAX(0,MIN(1,((YEAR($A46)-YEAR(D$3))*12+MONTH($A46)-MONTH(D$3)+1)/'Capacity by month'!$O$2)),0)</f>
        <v/>
      </c>
      <c r="E46" s="9">
        <f>IF(ISNUMBER(E$3),E$2*MAX(0,MIN(1,((YEAR($A46)-YEAR(E$3))*12+MONTH($A46)-MONTH(E$3)+1)/'Capacity by month'!$O$2)),0)</f>
        <v/>
      </c>
      <c r="F46" s="9">
        <f>IF(ISNUMBER(F$3),F$2*MAX(0,MIN(1,((YEAR($A46)-YEAR(F$3))*12+MONTH($A46)-MONTH(F$3)+1)/'Capacity by month'!$O$2)),0)</f>
        <v/>
      </c>
      <c r="G46" s="9">
        <f>IF(ISNUMBER(G$3),G$2*MAX(0,MIN(1,((YEAR($A46)-YEAR(G$3))*12+MONTH($A46)-MONTH(G$3)+1)/'Capacity by month'!$O$2)),0)</f>
        <v/>
      </c>
      <c r="H46" s="9">
        <f>IF(ISNUMBER(H$3),H$2*MAX(0,MIN(1,((YEAR($A46)-YEAR(H$3))*12+MONTH($A46)-MONTH(H$3)+1)/'Capacity by month'!$O$2)),0)</f>
        <v/>
      </c>
      <c r="I46" s="9">
        <f>IF(ISNUMBER(I$3),I$2*MAX(0,MIN(1,((YEAR($A46)-YEAR(I$3))*12+MONTH($A46)-MONTH(I$3)+1)/'Capacity by month'!$O$2)),0)</f>
        <v/>
      </c>
      <c r="J46" s="9">
        <f>IF(ISNUMBER(J$3),J$2*MAX(0,MIN(1,((YEAR($A46)-YEAR(J$3))*12+MONTH($A46)-MONTH(J$3)+1)/'Capacity by month'!$O$2)),0)</f>
        <v/>
      </c>
      <c r="K46" s="9">
        <f>IF(ISNUMBER(K$3),K$2*MAX(0,MIN(1,((YEAR($A46)-YEAR(K$3))*12+MONTH($A46)-MONTH(K$3)+1)/'Capacity by month'!$O$2)),0)</f>
        <v/>
      </c>
      <c r="L46" s="9">
        <f>IF(ISNUMBER(L$3),L$2*MAX(0,MIN(1,((YEAR($A46)-YEAR(L$3))*12+MONTH($A46)-MONTH(L$3)+1)/'Capacity by month'!$O$2)),0)</f>
        <v/>
      </c>
      <c r="M46" s="9">
        <f>IF(ISNUMBER(M$3),M$2*MAX(0,MIN(1,((YEAR($A46)-YEAR(M$3))*12+MONTH($A46)-MONTH(M$3)+1)/'Capacity by month'!$O$2)),0)</f>
        <v/>
      </c>
      <c r="N46" s="9">
        <f>IF(ISNUMBER(N$3),N$2*MAX(0,MIN(1,((YEAR($A46)-YEAR(N$3))*12+MONTH($A46)-MONTH(N$3)+1)/'Capacity by month'!$O$2)),0)</f>
        <v/>
      </c>
      <c r="O46" s="9">
        <f>IF(ISNUMBER(O$3),O$2*MAX(0,MIN(1,((YEAR($A46)-YEAR(O$3))*12+MONTH($A46)-MONTH(O$3)+1)/'Capacity by month'!$O$2)),0)</f>
        <v/>
      </c>
      <c r="P46" s="9">
        <f>IF(ISNUMBER(P$3),P$2*MAX(0,MIN(1,((YEAR($A46)-YEAR(P$3))*12+MONTH($A46)-MONTH(P$3)+1)/'Capacity by month'!$O$2)),0)</f>
        <v/>
      </c>
      <c r="Q46" s="9">
        <f>IF(ISNUMBER(Q$3),Q$2*MAX(0,MIN(1,((YEAR($A46)-YEAR(Q$3))*12+MONTH($A46)-MONTH(Q$3)+1)/'Capacity by month'!$O$2)),0)</f>
        <v/>
      </c>
      <c r="R46" s="9">
        <f>IF(ISNUMBER(R$3),R$2*MAX(0,MIN(1,((YEAR($A46)-YEAR(R$3))*12+MONTH($A46)-MONTH(R$3)+1)/'Capacity by month'!$O$2)),0)</f>
        <v/>
      </c>
      <c r="S46" s="9">
        <f>IF(ISNUMBER(S$3),S$2*MAX(0,MIN(1,((YEAR($A46)-YEAR(S$3))*12+MONTH($A46)-MONTH(S$3)+1)/'Capacity by month'!$O$2)),0)</f>
        <v/>
      </c>
      <c r="T46" s="9">
        <f>IF(ISNUMBER(T$3),T$2*MAX(0,MIN(1,((YEAR($A46)-YEAR(T$3))*12+MONTH($A46)-MONTH(T$3)+1)/'Capacity by month'!$O$2)),0)</f>
        <v/>
      </c>
      <c r="U46" s="9">
        <f>IF(ISNUMBER(U$3),U$2*MAX(0,MIN(1,((YEAR($A46)-YEAR(U$3))*12+MONTH($A46)-MONTH(U$3)+1)/'Capacity by month'!$O$2)),0)</f>
        <v/>
      </c>
      <c r="V46" s="9">
        <f>IF(ISNUMBER(V$3),V$2*MAX(0,MIN(1,((YEAR($A46)-YEAR(V$3))*12+MONTH($A46)-MONTH(V$3)+1)/'Capacity by month'!$O$2)),0)</f>
        <v/>
      </c>
      <c r="W46" s="9">
        <f>IF(ISNUMBER(W$3),W$2*MAX(0,MIN(1,((YEAR($A46)-YEAR(W$3))*12+MONTH($A46)-MONTH(W$3)+1)/'Capacity by month'!$O$2)),0)</f>
        <v/>
      </c>
      <c r="X46" s="9">
        <f>IF(ISNUMBER(X$3),X$2*MAX(0,MIN(1,((YEAR($A46)-YEAR(X$3))*12+MONTH($A46)-MONTH(X$3)+1)/'Capacity by month'!$O$2)),0)</f>
        <v/>
      </c>
      <c r="Y46" s="9">
        <f>IF(ISNUMBER(Y$3),Y$2*MAX(0,MIN(1,((YEAR($A46)-YEAR(Y$3))*12+MONTH($A46)-MONTH(Y$3)+1)/'Capacity by month'!$O$2)),0)</f>
        <v/>
      </c>
      <c r="Z46" s="9">
        <f>IF(ISNUMBER(Z$3),Z$2*MAX(0,MIN(1,((YEAR($A46)-YEAR(Z$3))*12+MONTH($A46)-MONTH(Z$3)+1)/'Capacity by month'!$O$2)),0)</f>
        <v/>
      </c>
      <c r="AA46">
        <f>SUM(B46:Z46)</f>
        <v/>
      </c>
      <c r="AB46" t="n">
        <v>0</v>
      </c>
    </row>
    <row r="47">
      <c r="A47" s="8" t="n">
        <v>45505</v>
      </c>
      <c r="B47" s="9">
        <f>IF(ISNUMBER(B$3),B$2*MAX(0,MIN(1,((YEAR($A47)-YEAR(B$3))*12+MONTH($A47)-MONTH(B$3)+1)/'Capacity by month'!$O$2)),0)</f>
        <v/>
      </c>
      <c r="C47" s="9">
        <f>IF(ISNUMBER(C$3),C$2*MAX(0,MIN(1,((YEAR($A47)-YEAR(C$3))*12+MONTH($A47)-MONTH(C$3)+1)/'Capacity by month'!$O$2)),0)</f>
        <v/>
      </c>
      <c r="D47" s="9">
        <f>IF(ISNUMBER(D$3),D$2*MAX(0,MIN(1,((YEAR($A47)-YEAR(D$3))*12+MONTH($A47)-MONTH(D$3)+1)/'Capacity by month'!$O$2)),0)</f>
        <v/>
      </c>
      <c r="E47" s="9">
        <f>IF(ISNUMBER(E$3),E$2*MAX(0,MIN(1,((YEAR($A47)-YEAR(E$3))*12+MONTH($A47)-MONTH(E$3)+1)/'Capacity by month'!$O$2)),0)</f>
        <v/>
      </c>
      <c r="F47" s="9">
        <f>IF(ISNUMBER(F$3),F$2*MAX(0,MIN(1,((YEAR($A47)-YEAR(F$3))*12+MONTH($A47)-MONTH(F$3)+1)/'Capacity by month'!$O$2)),0)</f>
        <v/>
      </c>
      <c r="G47" s="9">
        <f>IF(ISNUMBER(G$3),G$2*MAX(0,MIN(1,((YEAR($A47)-YEAR(G$3))*12+MONTH($A47)-MONTH(G$3)+1)/'Capacity by month'!$O$2)),0)</f>
        <v/>
      </c>
      <c r="H47" s="9">
        <f>IF(ISNUMBER(H$3),H$2*MAX(0,MIN(1,((YEAR($A47)-YEAR(H$3))*12+MONTH($A47)-MONTH(H$3)+1)/'Capacity by month'!$O$2)),0)</f>
        <v/>
      </c>
      <c r="I47" s="9">
        <f>IF(ISNUMBER(I$3),I$2*MAX(0,MIN(1,((YEAR($A47)-YEAR(I$3))*12+MONTH($A47)-MONTH(I$3)+1)/'Capacity by month'!$O$2)),0)</f>
        <v/>
      </c>
      <c r="J47" s="9">
        <f>IF(ISNUMBER(J$3),J$2*MAX(0,MIN(1,((YEAR($A47)-YEAR(J$3))*12+MONTH($A47)-MONTH(J$3)+1)/'Capacity by month'!$O$2)),0)</f>
        <v/>
      </c>
      <c r="K47" s="9">
        <f>IF(ISNUMBER(K$3),K$2*MAX(0,MIN(1,((YEAR($A47)-YEAR(K$3))*12+MONTH($A47)-MONTH(K$3)+1)/'Capacity by month'!$O$2)),0)</f>
        <v/>
      </c>
      <c r="L47" s="9">
        <f>IF(ISNUMBER(L$3),L$2*MAX(0,MIN(1,((YEAR($A47)-YEAR(L$3))*12+MONTH($A47)-MONTH(L$3)+1)/'Capacity by month'!$O$2)),0)</f>
        <v/>
      </c>
      <c r="M47" s="9">
        <f>IF(ISNUMBER(M$3),M$2*MAX(0,MIN(1,((YEAR($A47)-YEAR(M$3))*12+MONTH($A47)-MONTH(M$3)+1)/'Capacity by month'!$O$2)),0)</f>
        <v/>
      </c>
      <c r="N47" s="9">
        <f>IF(ISNUMBER(N$3),N$2*MAX(0,MIN(1,((YEAR($A47)-YEAR(N$3))*12+MONTH($A47)-MONTH(N$3)+1)/'Capacity by month'!$O$2)),0)</f>
        <v/>
      </c>
      <c r="O47" s="9">
        <f>IF(ISNUMBER(O$3),O$2*MAX(0,MIN(1,((YEAR($A47)-YEAR(O$3))*12+MONTH($A47)-MONTH(O$3)+1)/'Capacity by month'!$O$2)),0)</f>
        <v/>
      </c>
      <c r="P47" s="9">
        <f>IF(ISNUMBER(P$3),P$2*MAX(0,MIN(1,((YEAR($A47)-YEAR(P$3))*12+MONTH($A47)-MONTH(P$3)+1)/'Capacity by month'!$O$2)),0)</f>
        <v/>
      </c>
      <c r="Q47" s="9">
        <f>IF(ISNUMBER(Q$3),Q$2*MAX(0,MIN(1,((YEAR($A47)-YEAR(Q$3))*12+MONTH($A47)-MONTH(Q$3)+1)/'Capacity by month'!$O$2)),0)</f>
        <v/>
      </c>
      <c r="R47" s="9">
        <f>IF(ISNUMBER(R$3),R$2*MAX(0,MIN(1,((YEAR($A47)-YEAR(R$3))*12+MONTH($A47)-MONTH(R$3)+1)/'Capacity by month'!$O$2)),0)</f>
        <v/>
      </c>
      <c r="S47" s="9">
        <f>IF(ISNUMBER(S$3),S$2*MAX(0,MIN(1,((YEAR($A47)-YEAR(S$3))*12+MONTH($A47)-MONTH(S$3)+1)/'Capacity by month'!$O$2)),0)</f>
        <v/>
      </c>
      <c r="T47" s="9">
        <f>IF(ISNUMBER(T$3),T$2*MAX(0,MIN(1,((YEAR($A47)-YEAR(T$3))*12+MONTH($A47)-MONTH(T$3)+1)/'Capacity by month'!$O$2)),0)</f>
        <v/>
      </c>
      <c r="U47" s="9">
        <f>IF(ISNUMBER(U$3),U$2*MAX(0,MIN(1,((YEAR($A47)-YEAR(U$3))*12+MONTH($A47)-MONTH(U$3)+1)/'Capacity by month'!$O$2)),0)</f>
        <v/>
      </c>
      <c r="V47" s="9">
        <f>IF(ISNUMBER(V$3),V$2*MAX(0,MIN(1,((YEAR($A47)-YEAR(V$3))*12+MONTH($A47)-MONTH(V$3)+1)/'Capacity by month'!$O$2)),0)</f>
        <v/>
      </c>
      <c r="W47" s="9">
        <f>IF(ISNUMBER(W$3),W$2*MAX(0,MIN(1,((YEAR($A47)-YEAR(W$3))*12+MONTH($A47)-MONTH(W$3)+1)/'Capacity by month'!$O$2)),0)</f>
        <v/>
      </c>
      <c r="X47" s="9">
        <f>IF(ISNUMBER(X$3),X$2*MAX(0,MIN(1,((YEAR($A47)-YEAR(X$3))*12+MONTH($A47)-MONTH(X$3)+1)/'Capacity by month'!$O$2)),0)</f>
        <v/>
      </c>
      <c r="Y47" s="9">
        <f>IF(ISNUMBER(Y$3),Y$2*MAX(0,MIN(1,((YEAR($A47)-YEAR(Y$3))*12+MONTH($A47)-MONTH(Y$3)+1)/'Capacity by month'!$O$2)),0)</f>
        <v/>
      </c>
      <c r="Z47" s="9">
        <f>IF(ISNUMBER(Z$3),Z$2*MAX(0,MIN(1,((YEAR($A47)-YEAR(Z$3))*12+MONTH($A47)-MONTH(Z$3)+1)/'Capacity by month'!$O$2)),0)</f>
        <v/>
      </c>
      <c r="AA47">
        <f>SUM(B47:Z47)</f>
        <v/>
      </c>
      <c r="AB47" t="n">
        <v>0</v>
      </c>
    </row>
    <row r="48">
      <c r="A48" s="8" t="n">
        <v>45536</v>
      </c>
      <c r="B48" s="9">
        <f>IF(ISNUMBER(B$3),B$2*MAX(0,MIN(1,((YEAR($A48)-YEAR(B$3))*12+MONTH($A48)-MONTH(B$3)+1)/'Capacity by month'!$O$2)),0)</f>
        <v/>
      </c>
      <c r="C48" s="9">
        <f>IF(ISNUMBER(C$3),C$2*MAX(0,MIN(1,((YEAR($A48)-YEAR(C$3))*12+MONTH($A48)-MONTH(C$3)+1)/'Capacity by month'!$O$2)),0)</f>
        <v/>
      </c>
      <c r="D48" s="9">
        <f>IF(ISNUMBER(D$3),D$2*MAX(0,MIN(1,((YEAR($A48)-YEAR(D$3))*12+MONTH($A48)-MONTH(D$3)+1)/'Capacity by month'!$O$2)),0)</f>
        <v/>
      </c>
      <c r="E48" s="9">
        <f>IF(ISNUMBER(E$3),E$2*MAX(0,MIN(1,((YEAR($A48)-YEAR(E$3))*12+MONTH($A48)-MONTH(E$3)+1)/'Capacity by month'!$O$2)),0)</f>
        <v/>
      </c>
      <c r="F48" s="9">
        <f>IF(ISNUMBER(F$3),F$2*MAX(0,MIN(1,((YEAR($A48)-YEAR(F$3))*12+MONTH($A48)-MONTH(F$3)+1)/'Capacity by month'!$O$2)),0)</f>
        <v/>
      </c>
      <c r="G48" s="9">
        <f>IF(ISNUMBER(G$3),G$2*MAX(0,MIN(1,((YEAR($A48)-YEAR(G$3))*12+MONTH($A48)-MONTH(G$3)+1)/'Capacity by month'!$O$2)),0)</f>
        <v/>
      </c>
      <c r="H48" s="9">
        <f>IF(ISNUMBER(H$3),H$2*MAX(0,MIN(1,((YEAR($A48)-YEAR(H$3))*12+MONTH($A48)-MONTH(H$3)+1)/'Capacity by month'!$O$2)),0)</f>
        <v/>
      </c>
      <c r="I48" s="9">
        <f>IF(ISNUMBER(I$3),I$2*MAX(0,MIN(1,((YEAR($A48)-YEAR(I$3))*12+MONTH($A48)-MONTH(I$3)+1)/'Capacity by month'!$O$2)),0)</f>
        <v/>
      </c>
      <c r="J48" s="9">
        <f>IF(ISNUMBER(J$3),J$2*MAX(0,MIN(1,((YEAR($A48)-YEAR(J$3))*12+MONTH($A48)-MONTH(J$3)+1)/'Capacity by month'!$O$2)),0)</f>
        <v/>
      </c>
      <c r="K48" s="9">
        <f>IF(ISNUMBER(K$3),K$2*MAX(0,MIN(1,((YEAR($A48)-YEAR(K$3))*12+MONTH($A48)-MONTH(K$3)+1)/'Capacity by month'!$O$2)),0)</f>
        <v/>
      </c>
      <c r="L48" s="9">
        <f>IF(ISNUMBER(L$3),L$2*MAX(0,MIN(1,((YEAR($A48)-YEAR(L$3))*12+MONTH($A48)-MONTH(L$3)+1)/'Capacity by month'!$O$2)),0)</f>
        <v/>
      </c>
      <c r="M48" s="9">
        <f>IF(ISNUMBER(M$3),M$2*MAX(0,MIN(1,((YEAR($A48)-YEAR(M$3))*12+MONTH($A48)-MONTH(M$3)+1)/'Capacity by month'!$O$2)),0)</f>
        <v/>
      </c>
      <c r="N48" s="9">
        <f>IF(ISNUMBER(N$3),N$2*MAX(0,MIN(1,((YEAR($A48)-YEAR(N$3))*12+MONTH($A48)-MONTH(N$3)+1)/'Capacity by month'!$O$2)),0)</f>
        <v/>
      </c>
      <c r="O48" s="9">
        <f>IF(ISNUMBER(O$3),O$2*MAX(0,MIN(1,((YEAR($A48)-YEAR(O$3))*12+MONTH($A48)-MONTH(O$3)+1)/'Capacity by month'!$O$2)),0)</f>
        <v/>
      </c>
      <c r="P48" s="9">
        <f>IF(ISNUMBER(P$3),P$2*MAX(0,MIN(1,((YEAR($A48)-YEAR(P$3))*12+MONTH($A48)-MONTH(P$3)+1)/'Capacity by month'!$O$2)),0)</f>
        <v/>
      </c>
      <c r="Q48" s="9">
        <f>IF(ISNUMBER(Q$3),Q$2*MAX(0,MIN(1,((YEAR($A48)-YEAR(Q$3))*12+MONTH($A48)-MONTH(Q$3)+1)/'Capacity by month'!$O$2)),0)</f>
        <v/>
      </c>
      <c r="R48" s="9">
        <f>IF(ISNUMBER(R$3),R$2*MAX(0,MIN(1,((YEAR($A48)-YEAR(R$3))*12+MONTH($A48)-MONTH(R$3)+1)/'Capacity by month'!$O$2)),0)</f>
        <v/>
      </c>
      <c r="S48" s="9">
        <f>IF(ISNUMBER(S$3),S$2*MAX(0,MIN(1,((YEAR($A48)-YEAR(S$3))*12+MONTH($A48)-MONTH(S$3)+1)/'Capacity by month'!$O$2)),0)</f>
        <v/>
      </c>
      <c r="T48" s="9">
        <f>IF(ISNUMBER(T$3),T$2*MAX(0,MIN(1,((YEAR($A48)-YEAR(T$3))*12+MONTH($A48)-MONTH(T$3)+1)/'Capacity by month'!$O$2)),0)</f>
        <v/>
      </c>
      <c r="U48" s="9">
        <f>IF(ISNUMBER(U$3),U$2*MAX(0,MIN(1,((YEAR($A48)-YEAR(U$3))*12+MONTH($A48)-MONTH(U$3)+1)/'Capacity by month'!$O$2)),0)</f>
        <v/>
      </c>
      <c r="V48" s="9">
        <f>IF(ISNUMBER(V$3),V$2*MAX(0,MIN(1,((YEAR($A48)-YEAR(V$3))*12+MONTH($A48)-MONTH(V$3)+1)/'Capacity by month'!$O$2)),0)</f>
        <v/>
      </c>
      <c r="W48" s="9">
        <f>IF(ISNUMBER(W$3),W$2*MAX(0,MIN(1,((YEAR($A48)-YEAR(W$3))*12+MONTH($A48)-MONTH(W$3)+1)/'Capacity by month'!$O$2)),0)</f>
        <v/>
      </c>
      <c r="X48" s="9">
        <f>IF(ISNUMBER(X$3),X$2*MAX(0,MIN(1,((YEAR($A48)-YEAR(X$3))*12+MONTH($A48)-MONTH(X$3)+1)/'Capacity by month'!$O$2)),0)</f>
        <v/>
      </c>
      <c r="Y48" s="9">
        <f>IF(ISNUMBER(Y$3),Y$2*MAX(0,MIN(1,((YEAR($A48)-YEAR(Y$3))*12+MONTH($A48)-MONTH(Y$3)+1)/'Capacity by month'!$O$2)),0)</f>
        <v/>
      </c>
      <c r="Z48" s="9">
        <f>IF(ISNUMBER(Z$3),Z$2*MAX(0,MIN(1,((YEAR($A48)-YEAR(Z$3))*12+MONTH($A48)-MONTH(Z$3)+1)/'Capacity by month'!$O$2)),0)</f>
        <v/>
      </c>
      <c r="AA48">
        <f>SUM(B48:Z48)</f>
        <v/>
      </c>
      <c r="AB48" t="n">
        <v>0</v>
      </c>
    </row>
    <row r="49">
      <c r="A49" s="8" t="n">
        <v>45566</v>
      </c>
      <c r="B49" s="9">
        <f>IF(ISNUMBER(B$3),B$2*MAX(0,MIN(1,((YEAR($A49)-YEAR(B$3))*12+MONTH($A49)-MONTH(B$3)+1)/'Capacity by month'!$O$2)),0)</f>
        <v/>
      </c>
      <c r="C49" s="9">
        <f>IF(ISNUMBER(C$3),C$2*MAX(0,MIN(1,((YEAR($A49)-YEAR(C$3))*12+MONTH($A49)-MONTH(C$3)+1)/'Capacity by month'!$O$2)),0)</f>
        <v/>
      </c>
      <c r="D49" s="9">
        <f>IF(ISNUMBER(D$3),D$2*MAX(0,MIN(1,((YEAR($A49)-YEAR(D$3))*12+MONTH($A49)-MONTH(D$3)+1)/'Capacity by month'!$O$2)),0)</f>
        <v/>
      </c>
      <c r="E49" s="9">
        <f>IF(ISNUMBER(E$3),E$2*MAX(0,MIN(1,((YEAR($A49)-YEAR(E$3))*12+MONTH($A49)-MONTH(E$3)+1)/'Capacity by month'!$O$2)),0)</f>
        <v/>
      </c>
      <c r="F49" s="9">
        <f>IF(ISNUMBER(F$3),F$2*MAX(0,MIN(1,((YEAR($A49)-YEAR(F$3))*12+MONTH($A49)-MONTH(F$3)+1)/'Capacity by month'!$O$2)),0)</f>
        <v/>
      </c>
      <c r="G49" s="9">
        <f>IF(ISNUMBER(G$3),G$2*MAX(0,MIN(1,((YEAR($A49)-YEAR(G$3))*12+MONTH($A49)-MONTH(G$3)+1)/'Capacity by month'!$O$2)),0)</f>
        <v/>
      </c>
      <c r="H49" s="9">
        <f>IF(ISNUMBER(H$3),H$2*MAX(0,MIN(1,((YEAR($A49)-YEAR(H$3))*12+MONTH($A49)-MONTH(H$3)+1)/'Capacity by month'!$O$2)),0)</f>
        <v/>
      </c>
      <c r="I49" s="9">
        <f>IF(ISNUMBER(I$3),I$2*MAX(0,MIN(1,((YEAR($A49)-YEAR(I$3))*12+MONTH($A49)-MONTH(I$3)+1)/'Capacity by month'!$O$2)),0)</f>
        <v/>
      </c>
      <c r="J49" s="9">
        <f>IF(ISNUMBER(J$3),J$2*MAX(0,MIN(1,((YEAR($A49)-YEAR(J$3))*12+MONTH($A49)-MONTH(J$3)+1)/'Capacity by month'!$O$2)),0)</f>
        <v/>
      </c>
      <c r="K49" s="9">
        <f>IF(ISNUMBER(K$3),K$2*MAX(0,MIN(1,((YEAR($A49)-YEAR(K$3))*12+MONTH($A49)-MONTH(K$3)+1)/'Capacity by month'!$O$2)),0)</f>
        <v/>
      </c>
      <c r="L49" s="9">
        <f>IF(ISNUMBER(L$3),L$2*MAX(0,MIN(1,((YEAR($A49)-YEAR(L$3))*12+MONTH($A49)-MONTH(L$3)+1)/'Capacity by month'!$O$2)),0)</f>
        <v/>
      </c>
      <c r="M49" s="9">
        <f>IF(ISNUMBER(M$3),M$2*MAX(0,MIN(1,((YEAR($A49)-YEAR(M$3))*12+MONTH($A49)-MONTH(M$3)+1)/'Capacity by month'!$O$2)),0)</f>
        <v/>
      </c>
      <c r="N49" s="9">
        <f>IF(ISNUMBER(N$3),N$2*MAX(0,MIN(1,((YEAR($A49)-YEAR(N$3))*12+MONTH($A49)-MONTH(N$3)+1)/'Capacity by month'!$O$2)),0)</f>
        <v/>
      </c>
      <c r="O49" s="9">
        <f>IF(ISNUMBER(O$3),O$2*MAX(0,MIN(1,((YEAR($A49)-YEAR(O$3))*12+MONTH($A49)-MONTH(O$3)+1)/'Capacity by month'!$O$2)),0)</f>
        <v/>
      </c>
      <c r="P49" s="9">
        <f>IF(ISNUMBER(P$3),P$2*MAX(0,MIN(1,((YEAR($A49)-YEAR(P$3))*12+MONTH($A49)-MONTH(P$3)+1)/'Capacity by month'!$O$2)),0)</f>
        <v/>
      </c>
      <c r="Q49" s="9">
        <f>IF(ISNUMBER(Q$3),Q$2*MAX(0,MIN(1,((YEAR($A49)-YEAR(Q$3))*12+MONTH($A49)-MONTH(Q$3)+1)/'Capacity by month'!$O$2)),0)</f>
        <v/>
      </c>
      <c r="R49" s="9">
        <f>IF(ISNUMBER(R$3),R$2*MAX(0,MIN(1,((YEAR($A49)-YEAR(R$3))*12+MONTH($A49)-MONTH(R$3)+1)/'Capacity by month'!$O$2)),0)</f>
        <v/>
      </c>
      <c r="S49" s="9">
        <f>IF(ISNUMBER(S$3),S$2*MAX(0,MIN(1,((YEAR($A49)-YEAR(S$3))*12+MONTH($A49)-MONTH(S$3)+1)/'Capacity by month'!$O$2)),0)</f>
        <v/>
      </c>
      <c r="T49" s="9">
        <f>IF(ISNUMBER(T$3),T$2*MAX(0,MIN(1,((YEAR($A49)-YEAR(T$3))*12+MONTH($A49)-MONTH(T$3)+1)/'Capacity by month'!$O$2)),0)</f>
        <v/>
      </c>
      <c r="U49" s="9">
        <f>IF(ISNUMBER(U$3),U$2*MAX(0,MIN(1,((YEAR($A49)-YEAR(U$3))*12+MONTH($A49)-MONTH(U$3)+1)/'Capacity by month'!$O$2)),0)</f>
        <v/>
      </c>
      <c r="V49" s="9">
        <f>IF(ISNUMBER(V$3),V$2*MAX(0,MIN(1,((YEAR($A49)-YEAR(V$3))*12+MONTH($A49)-MONTH(V$3)+1)/'Capacity by month'!$O$2)),0)</f>
        <v/>
      </c>
      <c r="W49" s="9">
        <f>IF(ISNUMBER(W$3),W$2*MAX(0,MIN(1,((YEAR($A49)-YEAR(W$3))*12+MONTH($A49)-MONTH(W$3)+1)/'Capacity by month'!$O$2)),0)</f>
        <v/>
      </c>
      <c r="X49" s="9">
        <f>IF(ISNUMBER(X$3),X$2*MAX(0,MIN(1,((YEAR($A49)-YEAR(X$3))*12+MONTH($A49)-MONTH(X$3)+1)/'Capacity by month'!$O$2)),0)</f>
        <v/>
      </c>
      <c r="Y49" s="9">
        <f>IF(ISNUMBER(Y$3),Y$2*MAX(0,MIN(1,((YEAR($A49)-YEAR(Y$3))*12+MONTH($A49)-MONTH(Y$3)+1)/'Capacity by month'!$O$2)),0)</f>
        <v/>
      </c>
      <c r="Z49" s="9">
        <f>IF(ISNUMBER(Z$3),Z$2*MAX(0,MIN(1,((YEAR($A49)-YEAR(Z$3))*12+MONTH($A49)-MONTH(Z$3)+1)/'Capacity by month'!$O$2)),0)</f>
        <v/>
      </c>
      <c r="AA49">
        <f>SUM(B49:Z49)</f>
        <v/>
      </c>
      <c r="AB49" t="n">
        <v>0</v>
      </c>
    </row>
    <row r="50">
      <c r="A50" s="8" t="n">
        <v>45597</v>
      </c>
      <c r="B50" s="9">
        <f>IF(ISNUMBER(B$3),B$2*MAX(0,MIN(1,((YEAR($A50)-YEAR(B$3))*12+MONTH($A50)-MONTH(B$3)+1)/'Capacity by month'!$O$2)),0)</f>
        <v/>
      </c>
      <c r="C50" s="9">
        <f>IF(ISNUMBER(C$3),C$2*MAX(0,MIN(1,((YEAR($A50)-YEAR(C$3))*12+MONTH($A50)-MONTH(C$3)+1)/'Capacity by month'!$O$2)),0)</f>
        <v/>
      </c>
      <c r="D50" s="9">
        <f>IF(ISNUMBER(D$3),D$2*MAX(0,MIN(1,((YEAR($A50)-YEAR(D$3))*12+MONTH($A50)-MONTH(D$3)+1)/'Capacity by month'!$O$2)),0)</f>
        <v/>
      </c>
      <c r="E50" s="9">
        <f>IF(ISNUMBER(E$3),E$2*MAX(0,MIN(1,((YEAR($A50)-YEAR(E$3))*12+MONTH($A50)-MONTH(E$3)+1)/'Capacity by month'!$O$2)),0)</f>
        <v/>
      </c>
      <c r="F50" s="9">
        <f>IF(ISNUMBER(F$3),F$2*MAX(0,MIN(1,((YEAR($A50)-YEAR(F$3))*12+MONTH($A50)-MONTH(F$3)+1)/'Capacity by month'!$O$2)),0)</f>
        <v/>
      </c>
      <c r="G50" s="9">
        <f>IF(ISNUMBER(G$3),G$2*MAX(0,MIN(1,((YEAR($A50)-YEAR(G$3))*12+MONTH($A50)-MONTH(G$3)+1)/'Capacity by month'!$O$2)),0)</f>
        <v/>
      </c>
      <c r="H50" s="9">
        <f>IF(ISNUMBER(H$3),H$2*MAX(0,MIN(1,((YEAR($A50)-YEAR(H$3))*12+MONTH($A50)-MONTH(H$3)+1)/'Capacity by month'!$O$2)),0)</f>
        <v/>
      </c>
      <c r="I50" s="9">
        <f>IF(ISNUMBER(I$3),I$2*MAX(0,MIN(1,((YEAR($A50)-YEAR(I$3))*12+MONTH($A50)-MONTH(I$3)+1)/'Capacity by month'!$O$2)),0)</f>
        <v/>
      </c>
      <c r="J50" s="9">
        <f>IF(ISNUMBER(J$3),J$2*MAX(0,MIN(1,((YEAR($A50)-YEAR(J$3))*12+MONTH($A50)-MONTH(J$3)+1)/'Capacity by month'!$O$2)),0)</f>
        <v/>
      </c>
      <c r="K50" s="9">
        <f>IF(ISNUMBER(K$3),K$2*MAX(0,MIN(1,((YEAR($A50)-YEAR(K$3))*12+MONTH($A50)-MONTH(K$3)+1)/'Capacity by month'!$O$2)),0)</f>
        <v/>
      </c>
      <c r="L50" s="9">
        <f>IF(ISNUMBER(L$3),L$2*MAX(0,MIN(1,((YEAR($A50)-YEAR(L$3))*12+MONTH($A50)-MONTH(L$3)+1)/'Capacity by month'!$O$2)),0)</f>
        <v/>
      </c>
      <c r="M50" s="9">
        <f>IF(ISNUMBER(M$3),M$2*MAX(0,MIN(1,((YEAR($A50)-YEAR(M$3))*12+MONTH($A50)-MONTH(M$3)+1)/'Capacity by month'!$O$2)),0)</f>
        <v/>
      </c>
      <c r="N50" s="9">
        <f>IF(ISNUMBER(N$3),N$2*MAX(0,MIN(1,((YEAR($A50)-YEAR(N$3))*12+MONTH($A50)-MONTH(N$3)+1)/'Capacity by month'!$O$2)),0)</f>
        <v/>
      </c>
      <c r="O50" s="9">
        <f>IF(ISNUMBER(O$3),O$2*MAX(0,MIN(1,((YEAR($A50)-YEAR(O$3))*12+MONTH($A50)-MONTH(O$3)+1)/'Capacity by month'!$O$2)),0)</f>
        <v/>
      </c>
      <c r="P50" s="9">
        <f>IF(ISNUMBER(P$3),P$2*MAX(0,MIN(1,((YEAR($A50)-YEAR(P$3))*12+MONTH($A50)-MONTH(P$3)+1)/'Capacity by month'!$O$2)),0)</f>
        <v/>
      </c>
      <c r="Q50" s="9">
        <f>IF(ISNUMBER(Q$3),Q$2*MAX(0,MIN(1,((YEAR($A50)-YEAR(Q$3))*12+MONTH($A50)-MONTH(Q$3)+1)/'Capacity by month'!$O$2)),0)</f>
        <v/>
      </c>
      <c r="R50" s="9">
        <f>IF(ISNUMBER(R$3),R$2*MAX(0,MIN(1,((YEAR($A50)-YEAR(R$3))*12+MONTH($A50)-MONTH(R$3)+1)/'Capacity by month'!$O$2)),0)</f>
        <v/>
      </c>
      <c r="S50" s="9">
        <f>IF(ISNUMBER(S$3),S$2*MAX(0,MIN(1,((YEAR($A50)-YEAR(S$3))*12+MONTH($A50)-MONTH(S$3)+1)/'Capacity by month'!$O$2)),0)</f>
        <v/>
      </c>
      <c r="T50" s="9">
        <f>IF(ISNUMBER(T$3),T$2*MAX(0,MIN(1,((YEAR($A50)-YEAR(T$3))*12+MONTH($A50)-MONTH(T$3)+1)/'Capacity by month'!$O$2)),0)</f>
        <v/>
      </c>
      <c r="U50" s="9">
        <f>IF(ISNUMBER(U$3),U$2*MAX(0,MIN(1,((YEAR($A50)-YEAR(U$3))*12+MONTH($A50)-MONTH(U$3)+1)/'Capacity by month'!$O$2)),0)</f>
        <v/>
      </c>
      <c r="V50" s="9">
        <f>IF(ISNUMBER(V$3),V$2*MAX(0,MIN(1,((YEAR($A50)-YEAR(V$3))*12+MONTH($A50)-MONTH(V$3)+1)/'Capacity by month'!$O$2)),0)</f>
        <v/>
      </c>
      <c r="W50" s="9">
        <f>IF(ISNUMBER(W$3),W$2*MAX(0,MIN(1,((YEAR($A50)-YEAR(W$3))*12+MONTH($A50)-MONTH(W$3)+1)/'Capacity by month'!$O$2)),0)</f>
        <v/>
      </c>
      <c r="X50" s="9">
        <f>IF(ISNUMBER(X$3),X$2*MAX(0,MIN(1,((YEAR($A50)-YEAR(X$3))*12+MONTH($A50)-MONTH(X$3)+1)/'Capacity by month'!$O$2)),0)</f>
        <v/>
      </c>
      <c r="Y50" s="9">
        <f>IF(ISNUMBER(Y$3),Y$2*MAX(0,MIN(1,((YEAR($A50)-YEAR(Y$3))*12+MONTH($A50)-MONTH(Y$3)+1)/'Capacity by month'!$O$2)),0)</f>
        <v/>
      </c>
      <c r="Z50" s="9">
        <f>IF(ISNUMBER(Z$3),Z$2*MAX(0,MIN(1,((YEAR($A50)-YEAR(Z$3))*12+MONTH($A50)-MONTH(Z$3)+1)/'Capacity by month'!$O$2)),0)</f>
        <v/>
      </c>
      <c r="AA50">
        <f>SUM(B50:Z50)</f>
        <v/>
      </c>
      <c r="AB50" t="n">
        <v>0</v>
      </c>
    </row>
    <row r="51">
      <c r="A51" s="8" t="n">
        <v>45627</v>
      </c>
      <c r="B51" s="9">
        <f>IF(ISNUMBER(B$3),B$2*MAX(0,MIN(1,((YEAR($A51)-YEAR(B$3))*12+MONTH($A51)-MONTH(B$3)+1)/'Capacity by month'!$O$2)),0)</f>
        <v/>
      </c>
      <c r="C51" s="9">
        <f>IF(ISNUMBER(C$3),C$2*MAX(0,MIN(1,((YEAR($A51)-YEAR(C$3))*12+MONTH($A51)-MONTH(C$3)+1)/'Capacity by month'!$O$2)),0)</f>
        <v/>
      </c>
      <c r="D51" s="9">
        <f>IF(ISNUMBER(D$3),D$2*MAX(0,MIN(1,((YEAR($A51)-YEAR(D$3))*12+MONTH($A51)-MONTH(D$3)+1)/'Capacity by month'!$O$2)),0)</f>
        <v/>
      </c>
      <c r="E51" s="9">
        <f>IF(ISNUMBER(E$3),E$2*MAX(0,MIN(1,((YEAR($A51)-YEAR(E$3))*12+MONTH($A51)-MONTH(E$3)+1)/'Capacity by month'!$O$2)),0)</f>
        <v/>
      </c>
      <c r="F51" s="9">
        <f>IF(ISNUMBER(F$3),F$2*MAX(0,MIN(1,((YEAR($A51)-YEAR(F$3))*12+MONTH($A51)-MONTH(F$3)+1)/'Capacity by month'!$O$2)),0)</f>
        <v/>
      </c>
      <c r="G51" s="9">
        <f>IF(ISNUMBER(G$3),G$2*MAX(0,MIN(1,((YEAR($A51)-YEAR(G$3))*12+MONTH($A51)-MONTH(G$3)+1)/'Capacity by month'!$O$2)),0)</f>
        <v/>
      </c>
      <c r="H51" s="9">
        <f>IF(ISNUMBER(H$3),H$2*MAX(0,MIN(1,((YEAR($A51)-YEAR(H$3))*12+MONTH($A51)-MONTH(H$3)+1)/'Capacity by month'!$O$2)),0)</f>
        <v/>
      </c>
      <c r="I51" s="9">
        <f>IF(ISNUMBER(I$3),I$2*MAX(0,MIN(1,((YEAR($A51)-YEAR(I$3))*12+MONTH($A51)-MONTH(I$3)+1)/'Capacity by month'!$O$2)),0)</f>
        <v/>
      </c>
      <c r="J51" s="9">
        <f>IF(ISNUMBER(J$3),J$2*MAX(0,MIN(1,((YEAR($A51)-YEAR(J$3))*12+MONTH($A51)-MONTH(J$3)+1)/'Capacity by month'!$O$2)),0)</f>
        <v/>
      </c>
      <c r="K51" s="9">
        <f>IF(ISNUMBER(K$3),K$2*MAX(0,MIN(1,((YEAR($A51)-YEAR(K$3))*12+MONTH($A51)-MONTH(K$3)+1)/'Capacity by month'!$O$2)),0)</f>
        <v/>
      </c>
      <c r="L51" s="9">
        <f>IF(ISNUMBER(L$3),L$2*MAX(0,MIN(1,((YEAR($A51)-YEAR(L$3))*12+MONTH($A51)-MONTH(L$3)+1)/'Capacity by month'!$O$2)),0)</f>
        <v/>
      </c>
      <c r="M51" s="9">
        <f>IF(ISNUMBER(M$3),M$2*MAX(0,MIN(1,((YEAR($A51)-YEAR(M$3))*12+MONTH($A51)-MONTH(M$3)+1)/'Capacity by month'!$O$2)),0)</f>
        <v/>
      </c>
      <c r="N51" s="9">
        <f>IF(ISNUMBER(N$3),N$2*MAX(0,MIN(1,((YEAR($A51)-YEAR(N$3))*12+MONTH($A51)-MONTH(N$3)+1)/'Capacity by month'!$O$2)),0)</f>
        <v/>
      </c>
      <c r="O51" s="9">
        <f>IF(ISNUMBER(O$3),O$2*MAX(0,MIN(1,((YEAR($A51)-YEAR(O$3))*12+MONTH($A51)-MONTH(O$3)+1)/'Capacity by month'!$O$2)),0)</f>
        <v/>
      </c>
      <c r="P51" s="9">
        <f>IF(ISNUMBER(P$3),P$2*MAX(0,MIN(1,((YEAR($A51)-YEAR(P$3))*12+MONTH($A51)-MONTH(P$3)+1)/'Capacity by month'!$O$2)),0)</f>
        <v/>
      </c>
      <c r="Q51" s="9">
        <f>IF(ISNUMBER(Q$3),Q$2*MAX(0,MIN(1,((YEAR($A51)-YEAR(Q$3))*12+MONTH($A51)-MONTH(Q$3)+1)/'Capacity by month'!$O$2)),0)</f>
        <v/>
      </c>
      <c r="R51" s="9">
        <f>IF(ISNUMBER(R$3),R$2*MAX(0,MIN(1,((YEAR($A51)-YEAR(R$3))*12+MONTH($A51)-MONTH(R$3)+1)/'Capacity by month'!$O$2)),0)</f>
        <v/>
      </c>
      <c r="S51" s="9">
        <f>IF(ISNUMBER(S$3),S$2*MAX(0,MIN(1,((YEAR($A51)-YEAR(S$3))*12+MONTH($A51)-MONTH(S$3)+1)/'Capacity by month'!$O$2)),0)</f>
        <v/>
      </c>
      <c r="T51" s="9">
        <f>IF(ISNUMBER(T$3),T$2*MAX(0,MIN(1,((YEAR($A51)-YEAR(T$3))*12+MONTH($A51)-MONTH(T$3)+1)/'Capacity by month'!$O$2)),0)</f>
        <v/>
      </c>
      <c r="U51" s="9">
        <f>IF(ISNUMBER(U$3),U$2*MAX(0,MIN(1,((YEAR($A51)-YEAR(U$3))*12+MONTH($A51)-MONTH(U$3)+1)/'Capacity by month'!$O$2)),0)</f>
        <v/>
      </c>
      <c r="V51" s="9">
        <f>IF(ISNUMBER(V$3),V$2*MAX(0,MIN(1,((YEAR($A51)-YEAR(V$3))*12+MONTH($A51)-MONTH(V$3)+1)/'Capacity by month'!$O$2)),0)</f>
        <v/>
      </c>
      <c r="W51" s="9">
        <f>IF(ISNUMBER(W$3),W$2*MAX(0,MIN(1,((YEAR($A51)-YEAR(W$3))*12+MONTH($A51)-MONTH(W$3)+1)/'Capacity by month'!$O$2)),0)</f>
        <v/>
      </c>
      <c r="X51" s="9">
        <f>IF(ISNUMBER(X$3),X$2*MAX(0,MIN(1,((YEAR($A51)-YEAR(X$3))*12+MONTH($A51)-MONTH(X$3)+1)/'Capacity by month'!$O$2)),0)</f>
        <v/>
      </c>
      <c r="Y51" s="9">
        <f>IF(ISNUMBER(Y$3),Y$2*MAX(0,MIN(1,((YEAR($A51)-YEAR(Y$3))*12+MONTH($A51)-MONTH(Y$3)+1)/'Capacity by month'!$O$2)),0)</f>
        <v/>
      </c>
      <c r="Z51" s="9">
        <f>IF(ISNUMBER(Z$3),Z$2*MAX(0,MIN(1,((YEAR($A51)-YEAR(Z$3))*12+MONTH($A51)-MONTH(Z$3)+1)/'Capacity by month'!$O$2)),0)</f>
        <v/>
      </c>
      <c r="AA51">
        <f>SUM(B51:Z51)</f>
        <v/>
      </c>
      <c r="AB51" t="n">
        <v>0</v>
      </c>
    </row>
    <row r="52">
      <c r="A52" s="8" t="n">
        <v>45658</v>
      </c>
      <c r="B52" s="9">
        <f>IF(ISNUMBER(B$3),B$2*MAX(0,MIN(1,((YEAR($A52)-YEAR(B$3))*12+MONTH($A52)-MONTH(B$3)+1)/'Capacity by month'!$O$2)),0)</f>
        <v/>
      </c>
      <c r="C52" s="9">
        <f>IF(ISNUMBER(C$3),C$2*MAX(0,MIN(1,((YEAR($A52)-YEAR(C$3))*12+MONTH($A52)-MONTH(C$3)+1)/'Capacity by month'!$O$2)),0)</f>
        <v/>
      </c>
      <c r="D52" s="9">
        <f>IF(ISNUMBER(D$3),D$2*MAX(0,MIN(1,((YEAR($A52)-YEAR(D$3))*12+MONTH($A52)-MONTH(D$3)+1)/'Capacity by month'!$O$2)),0)</f>
        <v/>
      </c>
      <c r="E52" s="9">
        <f>IF(ISNUMBER(E$3),E$2*MAX(0,MIN(1,((YEAR($A52)-YEAR(E$3))*12+MONTH($A52)-MONTH(E$3)+1)/'Capacity by month'!$O$2)),0)</f>
        <v/>
      </c>
      <c r="F52" s="9">
        <f>IF(ISNUMBER(F$3),F$2*MAX(0,MIN(1,((YEAR($A52)-YEAR(F$3))*12+MONTH($A52)-MONTH(F$3)+1)/'Capacity by month'!$O$2)),0)</f>
        <v/>
      </c>
      <c r="G52" s="9">
        <f>IF(ISNUMBER(G$3),G$2*MAX(0,MIN(1,((YEAR($A52)-YEAR(G$3))*12+MONTH($A52)-MONTH(G$3)+1)/'Capacity by month'!$O$2)),0)</f>
        <v/>
      </c>
      <c r="H52" s="9">
        <f>IF(ISNUMBER(H$3),H$2*MAX(0,MIN(1,((YEAR($A52)-YEAR(H$3))*12+MONTH($A52)-MONTH(H$3)+1)/'Capacity by month'!$O$2)),0)</f>
        <v/>
      </c>
      <c r="I52" s="9">
        <f>IF(ISNUMBER(I$3),I$2*MAX(0,MIN(1,((YEAR($A52)-YEAR(I$3))*12+MONTH($A52)-MONTH(I$3)+1)/'Capacity by month'!$O$2)),0)</f>
        <v/>
      </c>
      <c r="J52" s="9">
        <f>IF(ISNUMBER(J$3),J$2*MAX(0,MIN(1,((YEAR($A52)-YEAR(J$3))*12+MONTH($A52)-MONTH(J$3)+1)/'Capacity by month'!$O$2)),0)</f>
        <v/>
      </c>
      <c r="K52" s="9">
        <f>IF(ISNUMBER(K$3),K$2*MAX(0,MIN(1,((YEAR($A52)-YEAR(K$3))*12+MONTH($A52)-MONTH(K$3)+1)/'Capacity by month'!$O$2)),0)</f>
        <v/>
      </c>
      <c r="L52" s="9">
        <f>IF(ISNUMBER(L$3),L$2*MAX(0,MIN(1,((YEAR($A52)-YEAR(L$3))*12+MONTH($A52)-MONTH(L$3)+1)/'Capacity by month'!$O$2)),0)</f>
        <v/>
      </c>
      <c r="M52" s="9">
        <f>IF(ISNUMBER(M$3),M$2*MAX(0,MIN(1,((YEAR($A52)-YEAR(M$3))*12+MONTH($A52)-MONTH(M$3)+1)/'Capacity by month'!$O$2)),0)</f>
        <v/>
      </c>
      <c r="N52" s="9">
        <f>IF(ISNUMBER(N$3),N$2*MAX(0,MIN(1,((YEAR($A52)-YEAR(N$3))*12+MONTH($A52)-MONTH(N$3)+1)/'Capacity by month'!$O$2)),0)</f>
        <v/>
      </c>
      <c r="O52" s="9">
        <f>IF(ISNUMBER(O$3),O$2*MAX(0,MIN(1,((YEAR($A52)-YEAR(O$3))*12+MONTH($A52)-MONTH(O$3)+1)/'Capacity by month'!$O$2)),0)</f>
        <v/>
      </c>
      <c r="P52" s="9">
        <f>IF(ISNUMBER(P$3),P$2*MAX(0,MIN(1,((YEAR($A52)-YEAR(P$3))*12+MONTH($A52)-MONTH(P$3)+1)/'Capacity by month'!$O$2)),0)</f>
        <v/>
      </c>
      <c r="Q52" s="9">
        <f>IF(ISNUMBER(Q$3),Q$2*MAX(0,MIN(1,((YEAR($A52)-YEAR(Q$3))*12+MONTH($A52)-MONTH(Q$3)+1)/'Capacity by month'!$O$2)),0)</f>
        <v/>
      </c>
      <c r="R52" s="9">
        <f>IF(ISNUMBER(R$3),R$2*MAX(0,MIN(1,((YEAR($A52)-YEAR(R$3))*12+MONTH($A52)-MONTH(R$3)+1)/'Capacity by month'!$O$2)),0)</f>
        <v/>
      </c>
      <c r="S52" s="9">
        <f>IF(ISNUMBER(S$3),S$2*MAX(0,MIN(1,((YEAR($A52)-YEAR(S$3))*12+MONTH($A52)-MONTH(S$3)+1)/'Capacity by month'!$O$2)),0)</f>
        <v/>
      </c>
      <c r="T52" s="9">
        <f>IF(ISNUMBER(T$3),T$2*MAX(0,MIN(1,((YEAR($A52)-YEAR(T$3))*12+MONTH($A52)-MONTH(T$3)+1)/'Capacity by month'!$O$2)),0)</f>
        <v/>
      </c>
      <c r="U52" s="9">
        <f>IF(ISNUMBER(U$3),U$2*MAX(0,MIN(1,((YEAR($A52)-YEAR(U$3))*12+MONTH($A52)-MONTH(U$3)+1)/'Capacity by month'!$O$2)),0)</f>
        <v/>
      </c>
      <c r="V52" s="9">
        <f>IF(ISNUMBER(V$3),V$2*MAX(0,MIN(1,((YEAR($A52)-YEAR(V$3))*12+MONTH($A52)-MONTH(V$3)+1)/'Capacity by month'!$O$2)),0)</f>
        <v/>
      </c>
      <c r="W52" s="9">
        <f>IF(ISNUMBER(W$3),W$2*MAX(0,MIN(1,((YEAR($A52)-YEAR(W$3))*12+MONTH($A52)-MONTH(W$3)+1)/'Capacity by month'!$O$2)),0)</f>
        <v/>
      </c>
      <c r="X52" s="9">
        <f>IF(ISNUMBER(X$3),X$2*MAX(0,MIN(1,((YEAR($A52)-YEAR(X$3))*12+MONTH($A52)-MONTH(X$3)+1)/'Capacity by month'!$O$2)),0)</f>
        <v/>
      </c>
      <c r="Y52" s="9">
        <f>IF(ISNUMBER(Y$3),Y$2*MAX(0,MIN(1,((YEAR($A52)-YEAR(Y$3))*12+MONTH($A52)-MONTH(Y$3)+1)/'Capacity by month'!$O$2)),0)</f>
        <v/>
      </c>
      <c r="Z52" s="9">
        <f>IF(ISNUMBER(Z$3),Z$2*MAX(0,MIN(1,((YEAR($A52)-YEAR(Z$3))*12+MONTH($A52)-MONTH(Z$3)+1)/'Capacity by month'!$O$2)),0)</f>
        <v/>
      </c>
      <c r="AA52">
        <f>SUM(B52:Z52)</f>
        <v/>
      </c>
      <c r="AB52" t="n">
        <v>0</v>
      </c>
    </row>
    <row r="53">
      <c r="A53" s="8" t="n">
        <v>45689</v>
      </c>
      <c r="B53" s="9">
        <f>IF(ISNUMBER(B$3),B$2*MAX(0,MIN(1,((YEAR($A53)-YEAR(B$3))*12+MONTH($A53)-MONTH(B$3)+1)/'Capacity by month'!$O$2)),0)</f>
        <v/>
      </c>
      <c r="C53" s="9">
        <f>IF(ISNUMBER(C$3),C$2*MAX(0,MIN(1,((YEAR($A53)-YEAR(C$3))*12+MONTH($A53)-MONTH(C$3)+1)/'Capacity by month'!$O$2)),0)</f>
        <v/>
      </c>
      <c r="D53" s="9">
        <f>IF(ISNUMBER(D$3),D$2*MAX(0,MIN(1,((YEAR($A53)-YEAR(D$3))*12+MONTH($A53)-MONTH(D$3)+1)/'Capacity by month'!$O$2)),0)</f>
        <v/>
      </c>
      <c r="E53" s="9">
        <f>IF(ISNUMBER(E$3),E$2*MAX(0,MIN(1,((YEAR($A53)-YEAR(E$3))*12+MONTH($A53)-MONTH(E$3)+1)/'Capacity by month'!$O$2)),0)</f>
        <v/>
      </c>
      <c r="F53" s="9">
        <f>IF(ISNUMBER(F$3),F$2*MAX(0,MIN(1,((YEAR($A53)-YEAR(F$3))*12+MONTH($A53)-MONTH(F$3)+1)/'Capacity by month'!$O$2)),0)</f>
        <v/>
      </c>
      <c r="G53" s="9">
        <f>IF(ISNUMBER(G$3),G$2*MAX(0,MIN(1,((YEAR($A53)-YEAR(G$3))*12+MONTH($A53)-MONTH(G$3)+1)/'Capacity by month'!$O$2)),0)</f>
        <v/>
      </c>
      <c r="H53" s="9">
        <f>IF(ISNUMBER(H$3),H$2*MAX(0,MIN(1,((YEAR($A53)-YEAR(H$3))*12+MONTH($A53)-MONTH(H$3)+1)/'Capacity by month'!$O$2)),0)</f>
        <v/>
      </c>
      <c r="I53" s="9">
        <f>IF(ISNUMBER(I$3),I$2*MAX(0,MIN(1,((YEAR($A53)-YEAR(I$3))*12+MONTH($A53)-MONTH(I$3)+1)/'Capacity by month'!$O$2)),0)</f>
        <v/>
      </c>
      <c r="J53" s="9">
        <f>IF(ISNUMBER(J$3),J$2*MAX(0,MIN(1,((YEAR($A53)-YEAR(J$3))*12+MONTH($A53)-MONTH(J$3)+1)/'Capacity by month'!$O$2)),0)</f>
        <v/>
      </c>
      <c r="K53" s="9">
        <f>IF(ISNUMBER(K$3),K$2*MAX(0,MIN(1,((YEAR($A53)-YEAR(K$3))*12+MONTH($A53)-MONTH(K$3)+1)/'Capacity by month'!$O$2)),0)</f>
        <v/>
      </c>
      <c r="L53" s="9">
        <f>IF(ISNUMBER(L$3),L$2*MAX(0,MIN(1,((YEAR($A53)-YEAR(L$3))*12+MONTH($A53)-MONTH(L$3)+1)/'Capacity by month'!$O$2)),0)</f>
        <v/>
      </c>
      <c r="M53" s="9">
        <f>IF(ISNUMBER(M$3),M$2*MAX(0,MIN(1,((YEAR($A53)-YEAR(M$3))*12+MONTH($A53)-MONTH(M$3)+1)/'Capacity by month'!$O$2)),0)</f>
        <v/>
      </c>
      <c r="N53" s="9">
        <f>IF(ISNUMBER(N$3),N$2*MAX(0,MIN(1,((YEAR($A53)-YEAR(N$3))*12+MONTH($A53)-MONTH(N$3)+1)/'Capacity by month'!$O$2)),0)</f>
        <v/>
      </c>
      <c r="O53" s="9">
        <f>IF(ISNUMBER(O$3),O$2*MAX(0,MIN(1,((YEAR($A53)-YEAR(O$3))*12+MONTH($A53)-MONTH(O$3)+1)/'Capacity by month'!$O$2)),0)</f>
        <v/>
      </c>
      <c r="P53" s="9">
        <f>IF(ISNUMBER(P$3),P$2*MAX(0,MIN(1,((YEAR($A53)-YEAR(P$3))*12+MONTH($A53)-MONTH(P$3)+1)/'Capacity by month'!$O$2)),0)</f>
        <v/>
      </c>
      <c r="Q53" s="9">
        <f>IF(ISNUMBER(Q$3),Q$2*MAX(0,MIN(1,((YEAR($A53)-YEAR(Q$3))*12+MONTH($A53)-MONTH(Q$3)+1)/'Capacity by month'!$O$2)),0)</f>
        <v/>
      </c>
      <c r="R53" s="9">
        <f>IF(ISNUMBER(R$3),R$2*MAX(0,MIN(1,((YEAR($A53)-YEAR(R$3))*12+MONTH($A53)-MONTH(R$3)+1)/'Capacity by month'!$O$2)),0)</f>
        <v/>
      </c>
      <c r="S53" s="9">
        <f>IF(ISNUMBER(S$3),S$2*MAX(0,MIN(1,((YEAR($A53)-YEAR(S$3))*12+MONTH($A53)-MONTH(S$3)+1)/'Capacity by month'!$O$2)),0)</f>
        <v/>
      </c>
      <c r="T53" s="9">
        <f>IF(ISNUMBER(T$3),T$2*MAX(0,MIN(1,((YEAR($A53)-YEAR(T$3))*12+MONTH($A53)-MONTH(T$3)+1)/'Capacity by month'!$O$2)),0)</f>
        <v/>
      </c>
      <c r="U53" s="9">
        <f>IF(ISNUMBER(U$3),U$2*MAX(0,MIN(1,((YEAR($A53)-YEAR(U$3))*12+MONTH($A53)-MONTH(U$3)+1)/'Capacity by month'!$O$2)),0)</f>
        <v/>
      </c>
      <c r="V53" s="9">
        <f>IF(ISNUMBER(V$3),V$2*MAX(0,MIN(1,((YEAR($A53)-YEAR(V$3))*12+MONTH($A53)-MONTH(V$3)+1)/'Capacity by month'!$O$2)),0)</f>
        <v/>
      </c>
      <c r="W53" s="9">
        <f>IF(ISNUMBER(W$3),W$2*MAX(0,MIN(1,((YEAR($A53)-YEAR(W$3))*12+MONTH($A53)-MONTH(W$3)+1)/'Capacity by month'!$O$2)),0)</f>
        <v/>
      </c>
      <c r="X53" s="9">
        <f>IF(ISNUMBER(X$3),X$2*MAX(0,MIN(1,((YEAR($A53)-YEAR(X$3))*12+MONTH($A53)-MONTH(X$3)+1)/'Capacity by month'!$O$2)),0)</f>
        <v/>
      </c>
      <c r="Y53" s="9">
        <f>IF(ISNUMBER(Y$3),Y$2*MAX(0,MIN(1,((YEAR($A53)-YEAR(Y$3))*12+MONTH($A53)-MONTH(Y$3)+1)/'Capacity by month'!$O$2)),0)</f>
        <v/>
      </c>
      <c r="Z53" s="9">
        <f>IF(ISNUMBER(Z$3),Z$2*MAX(0,MIN(1,((YEAR($A53)-YEAR(Z$3))*12+MONTH($A53)-MONTH(Z$3)+1)/'Capacity by month'!$O$2)),0)</f>
        <v/>
      </c>
      <c r="AA53">
        <f>SUM(B53:Z53)</f>
        <v/>
      </c>
      <c r="AB53" t="n">
        <v>0</v>
      </c>
    </row>
    <row r="54">
      <c r="A54" s="8" t="n">
        <v>45717</v>
      </c>
      <c r="B54" s="9">
        <f>IF(ISNUMBER(B$3),B$2*MAX(0,MIN(1,((YEAR($A54)-YEAR(B$3))*12+MONTH($A54)-MONTH(B$3)+1)/'Capacity by month'!$O$2)),0)</f>
        <v/>
      </c>
      <c r="C54" s="9">
        <f>IF(ISNUMBER(C$3),C$2*MAX(0,MIN(1,((YEAR($A54)-YEAR(C$3))*12+MONTH($A54)-MONTH(C$3)+1)/'Capacity by month'!$O$2)),0)</f>
        <v/>
      </c>
      <c r="D54" s="9">
        <f>IF(ISNUMBER(D$3),D$2*MAX(0,MIN(1,((YEAR($A54)-YEAR(D$3))*12+MONTH($A54)-MONTH(D$3)+1)/'Capacity by month'!$O$2)),0)</f>
        <v/>
      </c>
      <c r="E54" s="9">
        <f>IF(ISNUMBER(E$3),E$2*MAX(0,MIN(1,((YEAR($A54)-YEAR(E$3))*12+MONTH($A54)-MONTH(E$3)+1)/'Capacity by month'!$O$2)),0)</f>
        <v/>
      </c>
      <c r="F54" s="9">
        <f>IF(ISNUMBER(F$3),F$2*MAX(0,MIN(1,((YEAR($A54)-YEAR(F$3))*12+MONTH($A54)-MONTH(F$3)+1)/'Capacity by month'!$O$2)),0)</f>
        <v/>
      </c>
      <c r="G54" s="9">
        <f>IF(ISNUMBER(G$3),G$2*MAX(0,MIN(1,((YEAR($A54)-YEAR(G$3))*12+MONTH($A54)-MONTH(G$3)+1)/'Capacity by month'!$O$2)),0)</f>
        <v/>
      </c>
      <c r="H54" s="9">
        <f>IF(ISNUMBER(H$3),H$2*MAX(0,MIN(1,((YEAR($A54)-YEAR(H$3))*12+MONTH($A54)-MONTH(H$3)+1)/'Capacity by month'!$O$2)),0)</f>
        <v/>
      </c>
      <c r="I54" s="9">
        <f>IF(ISNUMBER(I$3),I$2*MAX(0,MIN(1,((YEAR($A54)-YEAR(I$3))*12+MONTH($A54)-MONTH(I$3)+1)/'Capacity by month'!$O$2)),0)</f>
        <v/>
      </c>
      <c r="J54" s="9">
        <f>IF(ISNUMBER(J$3),J$2*MAX(0,MIN(1,((YEAR($A54)-YEAR(J$3))*12+MONTH($A54)-MONTH(J$3)+1)/'Capacity by month'!$O$2)),0)</f>
        <v/>
      </c>
      <c r="K54" s="9">
        <f>IF(ISNUMBER(K$3),K$2*MAX(0,MIN(1,((YEAR($A54)-YEAR(K$3))*12+MONTH($A54)-MONTH(K$3)+1)/'Capacity by month'!$O$2)),0)</f>
        <v/>
      </c>
      <c r="L54" s="9">
        <f>IF(ISNUMBER(L$3),L$2*MAX(0,MIN(1,((YEAR($A54)-YEAR(L$3))*12+MONTH($A54)-MONTH(L$3)+1)/'Capacity by month'!$O$2)),0)</f>
        <v/>
      </c>
      <c r="M54" s="9">
        <f>IF(ISNUMBER(M$3),M$2*MAX(0,MIN(1,((YEAR($A54)-YEAR(M$3))*12+MONTH($A54)-MONTH(M$3)+1)/'Capacity by month'!$O$2)),0)</f>
        <v/>
      </c>
      <c r="N54" s="9">
        <f>IF(ISNUMBER(N$3),N$2*MAX(0,MIN(1,((YEAR($A54)-YEAR(N$3))*12+MONTH($A54)-MONTH(N$3)+1)/'Capacity by month'!$O$2)),0)</f>
        <v/>
      </c>
      <c r="O54" s="9">
        <f>IF(ISNUMBER(O$3),O$2*MAX(0,MIN(1,((YEAR($A54)-YEAR(O$3))*12+MONTH($A54)-MONTH(O$3)+1)/'Capacity by month'!$O$2)),0)</f>
        <v/>
      </c>
      <c r="P54" s="9">
        <f>IF(ISNUMBER(P$3),P$2*MAX(0,MIN(1,((YEAR($A54)-YEAR(P$3))*12+MONTH($A54)-MONTH(P$3)+1)/'Capacity by month'!$O$2)),0)</f>
        <v/>
      </c>
      <c r="Q54" s="9">
        <f>IF(ISNUMBER(Q$3),Q$2*MAX(0,MIN(1,((YEAR($A54)-YEAR(Q$3))*12+MONTH($A54)-MONTH(Q$3)+1)/'Capacity by month'!$O$2)),0)</f>
        <v/>
      </c>
      <c r="R54" s="9">
        <f>IF(ISNUMBER(R$3),R$2*MAX(0,MIN(1,((YEAR($A54)-YEAR(R$3))*12+MONTH($A54)-MONTH(R$3)+1)/'Capacity by month'!$O$2)),0)</f>
        <v/>
      </c>
      <c r="S54" s="9">
        <f>IF(ISNUMBER(S$3),S$2*MAX(0,MIN(1,((YEAR($A54)-YEAR(S$3))*12+MONTH($A54)-MONTH(S$3)+1)/'Capacity by month'!$O$2)),0)</f>
        <v/>
      </c>
      <c r="T54" s="9">
        <f>IF(ISNUMBER(T$3),T$2*MAX(0,MIN(1,((YEAR($A54)-YEAR(T$3))*12+MONTH($A54)-MONTH(T$3)+1)/'Capacity by month'!$O$2)),0)</f>
        <v/>
      </c>
      <c r="U54" s="9">
        <f>IF(ISNUMBER(U$3),U$2*MAX(0,MIN(1,((YEAR($A54)-YEAR(U$3))*12+MONTH($A54)-MONTH(U$3)+1)/'Capacity by month'!$O$2)),0)</f>
        <v/>
      </c>
      <c r="V54" s="9">
        <f>IF(ISNUMBER(V$3),V$2*MAX(0,MIN(1,((YEAR($A54)-YEAR(V$3))*12+MONTH($A54)-MONTH(V$3)+1)/'Capacity by month'!$O$2)),0)</f>
        <v/>
      </c>
      <c r="W54" s="9">
        <f>IF(ISNUMBER(W$3),W$2*MAX(0,MIN(1,((YEAR($A54)-YEAR(W$3))*12+MONTH($A54)-MONTH(W$3)+1)/'Capacity by month'!$O$2)),0)</f>
        <v/>
      </c>
      <c r="X54" s="9">
        <f>IF(ISNUMBER(X$3),X$2*MAX(0,MIN(1,((YEAR($A54)-YEAR(X$3))*12+MONTH($A54)-MONTH(X$3)+1)/'Capacity by month'!$O$2)),0)</f>
        <v/>
      </c>
      <c r="Y54" s="9">
        <f>IF(ISNUMBER(Y$3),Y$2*MAX(0,MIN(1,((YEAR($A54)-YEAR(Y$3))*12+MONTH($A54)-MONTH(Y$3)+1)/'Capacity by month'!$O$2)),0)</f>
        <v/>
      </c>
      <c r="Z54" s="9">
        <f>IF(ISNUMBER(Z$3),Z$2*MAX(0,MIN(1,((YEAR($A54)-YEAR(Z$3))*12+MONTH($A54)-MONTH(Z$3)+1)/'Capacity by month'!$O$2)),0)</f>
        <v/>
      </c>
      <c r="AA54">
        <f>SUM(B54:Z54)</f>
        <v/>
      </c>
      <c r="AB54" t="n">
        <v>0</v>
      </c>
    </row>
    <row r="55">
      <c r="A55" s="8" t="n">
        <v>45748</v>
      </c>
      <c r="B55" s="9">
        <f>IF(ISNUMBER(B$3),B$2*MAX(0,MIN(1,((YEAR($A55)-YEAR(B$3))*12+MONTH($A55)-MONTH(B$3)+1)/'Capacity by month'!$O$2)),0)</f>
        <v/>
      </c>
      <c r="C55" s="9">
        <f>IF(ISNUMBER(C$3),C$2*MAX(0,MIN(1,((YEAR($A55)-YEAR(C$3))*12+MONTH($A55)-MONTH(C$3)+1)/'Capacity by month'!$O$2)),0)</f>
        <v/>
      </c>
      <c r="D55" s="9">
        <f>IF(ISNUMBER(D$3),D$2*MAX(0,MIN(1,((YEAR($A55)-YEAR(D$3))*12+MONTH($A55)-MONTH(D$3)+1)/'Capacity by month'!$O$2)),0)</f>
        <v/>
      </c>
      <c r="E55" s="9">
        <f>IF(ISNUMBER(E$3),E$2*MAX(0,MIN(1,((YEAR($A55)-YEAR(E$3))*12+MONTH($A55)-MONTH(E$3)+1)/'Capacity by month'!$O$2)),0)</f>
        <v/>
      </c>
      <c r="F55" s="9">
        <f>IF(ISNUMBER(F$3),F$2*MAX(0,MIN(1,((YEAR($A55)-YEAR(F$3))*12+MONTH($A55)-MONTH(F$3)+1)/'Capacity by month'!$O$2)),0)</f>
        <v/>
      </c>
      <c r="G55" s="9">
        <f>IF(ISNUMBER(G$3),G$2*MAX(0,MIN(1,((YEAR($A55)-YEAR(G$3))*12+MONTH($A55)-MONTH(G$3)+1)/'Capacity by month'!$O$2)),0)</f>
        <v/>
      </c>
      <c r="H55" s="9">
        <f>IF(ISNUMBER(H$3),H$2*MAX(0,MIN(1,((YEAR($A55)-YEAR(H$3))*12+MONTH($A55)-MONTH(H$3)+1)/'Capacity by month'!$O$2)),0)</f>
        <v/>
      </c>
      <c r="I55" s="9">
        <f>IF(ISNUMBER(I$3),I$2*MAX(0,MIN(1,((YEAR($A55)-YEAR(I$3))*12+MONTH($A55)-MONTH(I$3)+1)/'Capacity by month'!$O$2)),0)</f>
        <v/>
      </c>
      <c r="J55" s="9">
        <f>IF(ISNUMBER(J$3),J$2*MAX(0,MIN(1,((YEAR($A55)-YEAR(J$3))*12+MONTH($A55)-MONTH(J$3)+1)/'Capacity by month'!$O$2)),0)</f>
        <v/>
      </c>
      <c r="K55" s="9">
        <f>IF(ISNUMBER(K$3),K$2*MAX(0,MIN(1,((YEAR($A55)-YEAR(K$3))*12+MONTH($A55)-MONTH(K$3)+1)/'Capacity by month'!$O$2)),0)</f>
        <v/>
      </c>
      <c r="L55" s="9">
        <f>IF(ISNUMBER(L$3),L$2*MAX(0,MIN(1,((YEAR($A55)-YEAR(L$3))*12+MONTH($A55)-MONTH(L$3)+1)/'Capacity by month'!$O$2)),0)</f>
        <v/>
      </c>
      <c r="M55" s="9">
        <f>IF(ISNUMBER(M$3),M$2*MAX(0,MIN(1,((YEAR($A55)-YEAR(M$3))*12+MONTH($A55)-MONTH(M$3)+1)/'Capacity by month'!$O$2)),0)</f>
        <v/>
      </c>
      <c r="N55" s="9">
        <f>IF(ISNUMBER(N$3),N$2*MAX(0,MIN(1,((YEAR($A55)-YEAR(N$3))*12+MONTH($A55)-MONTH(N$3)+1)/'Capacity by month'!$O$2)),0)</f>
        <v/>
      </c>
      <c r="O55" s="9">
        <f>IF(ISNUMBER(O$3),O$2*MAX(0,MIN(1,((YEAR($A55)-YEAR(O$3))*12+MONTH($A55)-MONTH(O$3)+1)/'Capacity by month'!$O$2)),0)</f>
        <v/>
      </c>
      <c r="P55" s="9">
        <f>IF(ISNUMBER(P$3),P$2*MAX(0,MIN(1,((YEAR($A55)-YEAR(P$3))*12+MONTH($A55)-MONTH(P$3)+1)/'Capacity by month'!$O$2)),0)</f>
        <v/>
      </c>
      <c r="Q55" s="9">
        <f>IF(ISNUMBER(Q$3),Q$2*MAX(0,MIN(1,((YEAR($A55)-YEAR(Q$3))*12+MONTH($A55)-MONTH(Q$3)+1)/'Capacity by month'!$O$2)),0)</f>
        <v/>
      </c>
      <c r="R55" s="9">
        <f>IF(ISNUMBER(R$3),R$2*MAX(0,MIN(1,((YEAR($A55)-YEAR(R$3))*12+MONTH($A55)-MONTH(R$3)+1)/'Capacity by month'!$O$2)),0)</f>
        <v/>
      </c>
      <c r="S55" s="9">
        <f>IF(ISNUMBER(S$3),S$2*MAX(0,MIN(1,((YEAR($A55)-YEAR(S$3))*12+MONTH($A55)-MONTH(S$3)+1)/'Capacity by month'!$O$2)),0)</f>
        <v/>
      </c>
      <c r="T55" s="9">
        <f>IF(ISNUMBER(T$3),T$2*MAX(0,MIN(1,((YEAR($A55)-YEAR(T$3))*12+MONTH($A55)-MONTH(T$3)+1)/'Capacity by month'!$O$2)),0)</f>
        <v/>
      </c>
      <c r="U55" s="9">
        <f>IF(ISNUMBER(U$3),U$2*MAX(0,MIN(1,((YEAR($A55)-YEAR(U$3))*12+MONTH($A55)-MONTH(U$3)+1)/'Capacity by month'!$O$2)),0)</f>
        <v/>
      </c>
      <c r="V55" s="9">
        <f>IF(ISNUMBER(V$3),V$2*MAX(0,MIN(1,((YEAR($A55)-YEAR(V$3))*12+MONTH($A55)-MONTH(V$3)+1)/'Capacity by month'!$O$2)),0)</f>
        <v/>
      </c>
      <c r="W55" s="9">
        <f>IF(ISNUMBER(W$3),W$2*MAX(0,MIN(1,((YEAR($A55)-YEAR(W$3))*12+MONTH($A55)-MONTH(W$3)+1)/'Capacity by month'!$O$2)),0)</f>
        <v/>
      </c>
      <c r="X55" s="9">
        <f>IF(ISNUMBER(X$3),X$2*MAX(0,MIN(1,((YEAR($A55)-YEAR(X$3))*12+MONTH($A55)-MONTH(X$3)+1)/'Capacity by month'!$O$2)),0)</f>
        <v/>
      </c>
      <c r="Y55" s="9">
        <f>IF(ISNUMBER(Y$3),Y$2*MAX(0,MIN(1,((YEAR($A55)-YEAR(Y$3))*12+MONTH($A55)-MONTH(Y$3)+1)/'Capacity by month'!$O$2)),0)</f>
        <v/>
      </c>
      <c r="Z55" s="9">
        <f>IF(ISNUMBER(Z$3),Z$2*MAX(0,MIN(1,((YEAR($A55)-YEAR(Z$3))*12+MONTH($A55)-MONTH(Z$3)+1)/'Capacity by month'!$O$2)),0)</f>
        <v/>
      </c>
      <c r="AA55">
        <f>SUM(B55:Z55)</f>
        <v/>
      </c>
      <c r="AB55" t="n">
        <v>0</v>
      </c>
    </row>
    <row r="56">
      <c r="A56" s="8" t="n">
        <v>45778</v>
      </c>
      <c r="B56" s="9">
        <f>IF(ISNUMBER(B$3),B$2*MAX(0,MIN(1,((YEAR($A56)-YEAR(B$3))*12+MONTH($A56)-MONTH(B$3)+1)/'Capacity by month'!$O$2)),0)</f>
        <v/>
      </c>
      <c r="C56" s="9">
        <f>IF(ISNUMBER(C$3),C$2*MAX(0,MIN(1,((YEAR($A56)-YEAR(C$3))*12+MONTH($A56)-MONTH(C$3)+1)/'Capacity by month'!$O$2)),0)</f>
        <v/>
      </c>
      <c r="D56" s="9">
        <f>IF(ISNUMBER(D$3),D$2*MAX(0,MIN(1,((YEAR($A56)-YEAR(D$3))*12+MONTH($A56)-MONTH(D$3)+1)/'Capacity by month'!$O$2)),0)</f>
        <v/>
      </c>
      <c r="E56" s="9">
        <f>IF(ISNUMBER(E$3),E$2*MAX(0,MIN(1,((YEAR($A56)-YEAR(E$3))*12+MONTH($A56)-MONTH(E$3)+1)/'Capacity by month'!$O$2)),0)</f>
        <v/>
      </c>
      <c r="F56" s="9">
        <f>IF(ISNUMBER(F$3),F$2*MAX(0,MIN(1,((YEAR($A56)-YEAR(F$3))*12+MONTH($A56)-MONTH(F$3)+1)/'Capacity by month'!$O$2)),0)</f>
        <v/>
      </c>
      <c r="G56" s="9">
        <f>IF(ISNUMBER(G$3),G$2*MAX(0,MIN(1,((YEAR($A56)-YEAR(G$3))*12+MONTH($A56)-MONTH(G$3)+1)/'Capacity by month'!$O$2)),0)</f>
        <v/>
      </c>
      <c r="H56" s="9">
        <f>IF(ISNUMBER(H$3),H$2*MAX(0,MIN(1,((YEAR($A56)-YEAR(H$3))*12+MONTH($A56)-MONTH(H$3)+1)/'Capacity by month'!$O$2)),0)</f>
        <v/>
      </c>
      <c r="I56" s="9">
        <f>IF(ISNUMBER(I$3),I$2*MAX(0,MIN(1,((YEAR($A56)-YEAR(I$3))*12+MONTH($A56)-MONTH(I$3)+1)/'Capacity by month'!$O$2)),0)</f>
        <v/>
      </c>
      <c r="J56" s="9">
        <f>IF(ISNUMBER(J$3),J$2*MAX(0,MIN(1,((YEAR($A56)-YEAR(J$3))*12+MONTH($A56)-MONTH(J$3)+1)/'Capacity by month'!$O$2)),0)</f>
        <v/>
      </c>
      <c r="K56" s="9">
        <f>IF(ISNUMBER(K$3),K$2*MAX(0,MIN(1,((YEAR($A56)-YEAR(K$3))*12+MONTH($A56)-MONTH(K$3)+1)/'Capacity by month'!$O$2)),0)</f>
        <v/>
      </c>
      <c r="L56" s="9">
        <f>IF(ISNUMBER(L$3),L$2*MAX(0,MIN(1,((YEAR($A56)-YEAR(L$3))*12+MONTH($A56)-MONTH(L$3)+1)/'Capacity by month'!$O$2)),0)</f>
        <v/>
      </c>
      <c r="M56" s="9">
        <f>IF(ISNUMBER(M$3),M$2*MAX(0,MIN(1,((YEAR($A56)-YEAR(M$3))*12+MONTH($A56)-MONTH(M$3)+1)/'Capacity by month'!$O$2)),0)</f>
        <v/>
      </c>
      <c r="N56" s="9">
        <f>IF(ISNUMBER(N$3),N$2*MAX(0,MIN(1,((YEAR($A56)-YEAR(N$3))*12+MONTH($A56)-MONTH(N$3)+1)/'Capacity by month'!$O$2)),0)</f>
        <v/>
      </c>
      <c r="O56" s="9">
        <f>IF(ISNUMBER(O$3),O$2*MAX(0,MIN(1,((YEAR($A56)-YEAR(O$3))*12+MONTH($A56)-MONTH(O$3)+1)/'Capacity by month'!$O$2)),0)</f>
        <v/>
      </c>
      <c r="P56" s="9">
        <f>IF(ISNUMBER(P$3),P$2*MAX(0,MIN(1,((YEAR($A56)-YEAR(P$3))*12+MONTH($A56)-MONTH(P$3)+1)/'Capacity by month'!$O$2)),0)</f>
        <v/>
      </c>
      <c r="Q56" s="9">
        <f>IF(ISNUMBER(Q$3),Q$2*MAX(0,MIN(1,((YEAR($A56)-YEAR(Q$3))*12+MONTH($A56)-MONTH(Q$3)+1)/'Capacity by month'!$O$2)),0)</f>
        <v/>
      </c>
      <c r="R56" s="9">
        <f>IF(ISNUMBER(R$3),R$2*MAX(0,MIN(1,((YEAR($A56)-YEAR(R$3))*12+MONTH($A56)-MONTH(R$3)+1)/'Capacity by month'!$O$2)),0)</f>
        <v/>
      </c>
      <c r="S56" s="9">
        <f>IF(ISNUMBER(S$3),S$2*MAX(0,MIN(1,((YEAR($A56)-YEAR(S$3))*12+MONTH($A56)-MONTH(S$3)+1)/'Capacity by month'!$O$2)),0)</f>
        <v/>
      </c>
      <c r="T56" s="9">
        <f>IF(ISNUMBER(T$3),T$2*MAX(0,MIN(1,((YEAR($A56)-YEAR(T$3))*12+MONTH($A56)-MONTH(T$3)+1)/'Capacity by month'!$O$2)),0)</f>
        <v/>
      </c>
      <c r="U56" s="9">
        <f>IF(ISNUMBER(U$3),U$2*MAX(0,MIN(1,((YEAR($A56)-YEAR(U$3))*12+MONTH($A56)-MONTH(U$3)+1)/'Capacity by month'!$O$2)),0)</f>
        <v/>
      </c>
      <c r="V56" s="9">
        <f>IF(ISNUMBER(V$3),V$2*MAX(0,MIN(1,((YEAR($A56)-YEAR(V$3))*12+MONTH($A56)-MONTH(V$3)+1)/'Capacity by month'!$O$2)),0)</f>
        <v/>
      </c>
      <c r="W56" s="9">
        <f>IF(ISNUMBER(W$3),W$2*MAX(0,MIN(1,((YEAR($A56)-YEAR(W$3))*12+MONTH($A56)-MONTH(W$3)+1)/'Capacity by month'!$O$2)),0)</f>
        <v/>
      </c>
      <c r="X56" s="9">
        <f>IF(ISNUMBER(X$3),X$2*MAX(0,MIN(1,((YEAR($A56)-YEAR(X$3))*12+MONTH($A56)-MONTH(X$3)+1)/'Capacity by month'!$O$2)),0)</f>
        <v/>
      </c>
      <c r="Y56" s="9">
        <f>IF(ISNUMBER(Y$3),Y$2*MAX(0,MIN(1,((YEAR($A56)-YEAR(Y$3))*12+MONTH($A56)-MONTH(Y$3)+1)/'Capacity by month'!$O$2)),0)</f>
        <v/>
      </c>
      <c r="Z56" s="9">
        <f>IF(ISNUMBER(Z$3),Z$2*MAX(0,MIN(1,((YEAR($A56)-YEAR(Z$3))*12+MONTH($A56)-MONTH(Z$3)+1)/'Capacity by month'!$O$2)),0)</f>
        <v/>
      </c>
      <c r="AA56">
        <f>SUM(B56:Z56)</f>
        <v/>
      </c>
      <c r="AB56" t="n">
        <v>0</v>
      </c>
    </row>
    <row r="57">
      <c r="A57" s="8" t="n">
        <v>45809</v>
      </c>
      <c r="B57" s="9">
        <f>IF(ISNUMBER(B$3),B$2*MAX(0,MIN(1,((YEAR($A57)-YEAR(B$3))*12+MONTH($A57)-MONTH(B$3)+1)/'Capacity by month'!$O$2)),0)</f>
        <v/>
      </c>
      <c r="C57" s="9">
        <f>IF(ISNUMBER(C$3),C$2*MAX(0,MIN(1,((YEAR($A57)-YEAR(C$3))*12+MONTH($A57)-MONTH(C$3)+1)/'Capacity by month'!$O$2)),0)</f>
        <v/>
      </c>
      <c r="D57" s="9">
        <f>IF(ISNUMBER(D$3),D$2*MAX(0,MIN(1,((YEAR($A57)-YEAR(D$3))*12+MONTH($A57)-MONTH(D$3)+1)/'Capacity by month'!$O$2)),0)</f>
        <v/>
      </c>
      <c r="E57" s="9">
        <f>IF(ISNUMBER(E$3),E$2*MAX(0,MIN(1,((YEAR($A57)-YEAR(E$3))*12+MONTH($A57)-MONTH(E$3)+1)/'Capacity by month'!$O$2)),0)</f>
        <v/>
      </c>
      <c r="F57" s="9">
        <f>IF(ISNUMBER(F$3),F$2*MAX(0,MIN(1,((YEAR($A57)-YEAR(F$3))*12+MONTH($A57)-MONTH(F$3)+1)/'Capacity by month'!$O$2)),0)</f>
        <v/>
      </c>
      <c r="G57" s="9">
        <f>IF(ISNUMBER(G$3),G$2*MAX(0,MIN(1,((YEAR($A57)-YEAR(G$3))*12+MONTH($A57)-MONTH(G$3)+1)/'Capacity by month'!$O$2)),0)</f>
        <v/>
      </c>
      <c r="H57" s="9">
        <f>IF(ISNUMBER(H$3),H$2*MAX(0,MIN(1,((YEAR($A57)-YEAR(H$3))*12+MONTH($A57)-MONTH(H$3)+1)/'Capacity by month'!$O$2)),0)</f>
        <v/>
      </c>
      <c r="I57" s="9">
        <f>IF(ISNUMBER(I$3),I$2*MAX(0,MIN(1,((YEAR($A57)-YEAR(I$3))*12+MONTH($A57)-MONTH(I$3)+1)/'Capacity by month'!$O$2)),0)</f>
        <v/>
      </c>
      <c r="J57" s="9">
        <f>IF(ISNUMBER(J$3),J$2*MAX(0,MIN(1,((YEAR($A57)-YEAR(J$3))*12+MONTH($A57)-MONTH(J$3)+1)/'Capacity by month'!$O$2)),0)</f>
        <v/>
      </c>
      <c r="K57" s="9">
        <f>IF(ISNUMBER(K$3),K$2*MAX(0,MIN(1,((YEAR($A57)-YEAR(K$3))*12+MONTH($A57)-MONTH(K$3)+1)/'Capacity by month'!$O$2)),0)</f>
        <v/>
      </c>
      <c r="L57" s="9">
        <f>IF(ISNUMBER(L$3),L$2*MAX(0,MIN(1,((YEAR($A57)-YEAR(L$3))*12+MONTH($A57)-MONTH(L$3)+1)/'Capacity by month'!$O$2)),0)</f>
        <v/>
      </c>
      <c r="M57" s="9">
        <f>IF(ISNUMBER(M$3),M$2*MAX(0,MIN(1,((YEAR($A57)-YEAR(M$3))*12+MONTH($A57)-MONTH(M$3)+1)/'Capacity by month'!$O$2)),0)</f>
        <v/>
      </c>
      <c r="N57" s="9">
        <f>IF(ISNUMBER(N$3),N$2*MAX(0,MIN(1,((YEAR($A57)-YEAR(N$3))*12+MONTH($A57)-MONTH(N$3)+1)/'Capacity by month'!$O$2)),0)</f>
        <v/>
      </c>
      <c r="O57" s="9">
        <f>IF(ISNUMBER(O$3),O$2*MAX(0,MIN(1,((YEAR($A57)-YEAR(O$3))*12+MONTH($A57)-MONTH(O$3)+1)/'Capacity by month'!$O$2)),0)</f>
        <v/>
      </c>
      <c r="P57" s="9">
        <f>IF(ISNUMBER(P$3),P$2*MAX(0,MIN(1,((YEAR($A57)-YEAR(P$3))*12+MONTH($A57)-MONTH(P$3)+1)/'Capacity by month'!$O$2)),0)</f>
        <v/>
      </c>
      <c r="Q57" s="9">
        <f>IF(ISNUMBER(Q$3),Q$2*MAX(0,MIN(1,((YEAR($A57)-YEAR(Q$3))*12+MONTH($A57)-MONTH(Q$3)+1)/'Capacity by month'!$O$2)),0)</f>
        <v/>
      </c>
      <c r="R57" s="9">
        <f>IF(ISNUMBER(R$3),R$2*MAX(0,MIN(1,((YEAR($A57)-YEAR(R$3))*12+MONTH($A57)-MONTH(R$3)+1)/'Capacity by month'!$O$2)),0)</f>
        <v/>
      </c>
      <c r="S57" s="9">
        <f>IF(ISNUMBER(S$3),S$2*MAX(0,MIN(1,((YEAR($A57)-YEAR(S$3))*12+MONTH($A57)-MONTH(S$3)+1)/'Capacity by month'!$O$2)),0)</f>
        <v/>
      </c>
      <c r="T57" s="9">
        <f>IF(ISNUMBER(T$3),T$2*MAX(0,MIN(1,((YEAR($A57)-YEAR(T$3))*12+MONTH($A57)-MONTH(T$3)+1)/'Capacity by month'!$O$2)),0)</f>
        <v/>
      </c>
      <c r="U57" s="9">
        <f>IF(ISNUMBER(U$3),U$2*MAX(0,MIN(1,((YEAR($A57)-YEAR(U$3))*12+MONTH($A57)-MONTH(U$3)+1)/'Capacity by month'!$O$2)),0)</f>
        <v/>
      </c>
      <c r="V57" s="9">
        <f>IF(ISNUMBER(V$3),V$2*MAX(0,MIN(1,((YEAR($A57)-YEAR(V$3))*12+MONTH($A57)-MONTH(V$3)+1)/'Capacity by month'!$O$2)),0)</f>
        <v/>
      </c>
      <c r="W57" s="9">
        <f>IF(ISNUMBER(W$3),W$2*MAX(0,MIN(1,((YEAR($A57)-YEAR(W$3))*12+MONTH($A57)-MONTH(W$3)+1)/'Capacity by month'!$O$2)),0)</f>
        <v/>
      </c>
      <c r="X57" s="9">
        <f>IF(ISNUMBER(X$3),X$2*MAX(0,MIN(1,((YEAR($A57)-YEAR(X$3))*12+MONTH($A57)-MONTH(X$3)+1)/'Capacity by month'!$O$2)),0)</f>
        <v/>
      </c>
      <c r="Y57" s="9">
        <f>IF(ISNUMBER(Y$3),Y$2*MAX(0,MIN(1,((YEAR($A57)-YEAR(Y$3))*12+MONTH($A57)-MONTH(Y$3)+1)/'Capacity by month'!$O$2)),0)</f>
        <v/>
      </c>
      <c r="Z57" s="9">
        <f>IF(ISNUMBER(Z$3),Z$2*MAX(0,MIN(1,((YEAR($A57)-YEAR(Z$3))*12+MONTH($A57)-MONTH(Z$3)+1)/'Capacity by month'!$O$2)),0)</f>
        <v/>
      </c>
      <c r="AA57">
        <f>SUM(B57:Z57)</f>
        <v/>
      </c>
      <c r="AB57" t="n">
        <v>0</v>
      </c>
    </row>
    <row r="58">
      <c r="A58" s="8" t="n">
        <v>45839</v>
      </c>
      <c r="B58" s="9">
        <f>IF(ISNUMBER(B$3),B$2*MAX(0,MIN(1,((YEAR($A58)-YEAR(B$3))*12+MONTH($A58)-MONTH(B$3)+1)/'Capacity by month'!$O$2)),0)</f>
        <v/>
      </c>
      <c r="C58" s="9">
        <f>IF(ISNUMBER(C$3),C$2*MAX(0,MIN(1,((YEAR($A58)-YEAR(C$3))*12+MONTH($A58)-MONTH(C$3)+1)/'Capacity by month'!$O$2)),0)</f>
        <v/>
      </c>
      <c r="D58" s="9">
        <f>IF(ISNUMBER(D$3),D$2*MAX(0,MIN(1,((YEAR($A58)-YEAR(D$3))*12+MONTH($A58)-MONTH(D$3)+1)/'Capacity by month'!$O$2)),0)</f>
        <v/>
      </c>
      <c r="E58" s="9">
        <f>IF(ISNUMBER(E$3),E$2*MAX(0,MIN(1,((YEAR($A58)-YEAR(E$3))*12+MONTH($A58)-MONTH(E$3)+1)/'Capacity by month'!$O$2)),0)</f>
        <v/>
      </c>
      <c r="F58" s="9">
        <f>IF(ISNUMBER(F$3),F$2*MAX(0,MIN(1,((YEAR($A58)-YEAR(F$3))*12+MONTH($A58)-MONTH(F$3)+1)/'Capacity by month'!$O$2)),0)</f>
        <v/>
      </c>
      <c r="G58" s="9">
        <f>IF(ISNUMBER(G$3),G$2*MAX(0,MIN(1,((YEAR($A58)-YEAR(G$3))*12+MONTH($A58)-MONTH(G$3)+1)/'Capacity by month'!$O$2)),0)</f>
        <v/>
      </c>
      <c r="H58" s="9">
        <f>IF(ISNUMBER(H$3),H$2*MAX(0,MIN(1,((YEAR($A58)-YEAR(H$3))*12+MONTH($A58)-MONTH(H$3)+1)/'Capacity by month'!$O$2)),0)</f>
        <v/>
      </c>
      <c r="I58" s="9">
        <f>IF(ISNUMBER(I$3),I$2*MAX(0,MIN(1,((YEAR($A58)-YEAR(I$3))*12+MONTH($A58)-MONTH(I$3)+1)/'Capacity by month'!$O$2)),0)</f>
        <v/>
      </c>
      <c r="J58" s="9">
        <f>IF(ISNUMBER(J$3),J$2*MAX(0,MIN(1,((YEAR($A58)-YEAR(J$3))*12+MONTH($A58)-MONTH(J$3)+1)/'Capacity by month'!$O$2)),0)</f>
        <v/>
      </c>
      <c r="K58" s="9">
        <f>IF(ISNUMBER(K$3),K$2*MAX(0,MIN(1,((YEAR($A58)-YEAR(K$3))*12+MONTH($A58)-MONTH(K$3)+1)/'Capacity by month'!$O$2)),0)</f>
        <v/>
      </c>
      <c r="L58" s="9">
        <f>IF(ISNUMBER(L$3),L$2*MAX(0,MIN(1,((YEAR($A58)-YEAR(L$3))*12+MONTH($A58)-MONTH(L$3)+1)/'Capacity by month'!$O$2)),0)</f>
        <v/>
      </c>
      <c r="M58" s="9">
        <f>IF(ISNUMBER(M$3),M$2*MAX(0,MIN(1,((YEAR($A58)-YEAR(M$3))*12+MONTH($A58)-MONTH(M$3)+1)/'Capacity by month'!$O$2)),0)</f>
        <v/>
      </c>
      <c r="N58" s="9">
        <f>IF(ISNUMBER(N$3),N$2*MAX(0,MIN(1,((YEAR($A58)-YEAR(N$3))*12+MONTH($A58)-MONTH(N$3)+1)/'Capacity by month'!$O$2)),0)</f>
        <v/>
      </c>
      <c r="O58" s="9">
        <f>IF(ISNUMBER(O$3),O$2*MAX(0,MIN(1,((YEAR($A58)-YEAR(O$3))*12+MONTH($A58)-MONTH(O$3)+1)/'Capacity by month'!$O$2)),0)</f>
        <v/>
      </c>
      <c r="P58" s="9">
        <f>IF(ISNUMBER(P$3),P$2*MAX(0,MIN(1,((YEAR($A58)-YEAR(P$3))*12+MONTH($A58)-MONTH(P$3)+1)/'Capacity by month'!$O$2)),0)</f>
        <v/>
      </c>
      <c r="Q58" s="9">
        <f>IF(ISNUMBER(Q$3),Q$2*MAX(0,MIN(1,((YEAR($A58)-YEAR(Q$3))*12+MONTH($A58)-MONTH(Q$3)+1)/'Capacity by month'!$O$2)),0)</f>
        <v/>
      </c>
      <c r="R58" s="9">
        <f>IF(ISNUMBER(R$3),R$2*MAX(0,MIN(1,((YEAR($A58)-YEAR(R$3))*12+MONTH($A58)-MONTH(R$3)+1)/'Capacity by month'!$O$2)),0)</f>
        <v/>
      </c>
      <c r="S58" s="9">
        <f>IF(ISNUMBER(S$3),S$2*MAX(0,MIN(1,((YEAR($A58)-YEAR(S$3))*12+MONTH($A58)-MONTH(S$3)+1)/'Capacity by month'!$O$2)),0)</f>
        <v/>
      </c>
      <c r="T58" s="9">
        <f>IF(ISNUMBER(T$3),T$2*MAX(0,MIN(1,((YEAR($A58)-YEAR(T$3))*12+MONTH($A58)-MONTH(T$3)+1)/'Capacity by month'!$O$2)),0)</f>
        <v/>
      </c>
      <c r="U58" s="9">
        <f>IF(ISNUMBER(U$3),U$2*MAX(0,MIN(1,((YEAR($A58)-YEAR(U$3))*12+MONTH($A58)-MONTH(U$3)+1)/'Capacity by month'!$O$2)),0)</f>
        <v/>
      </c>
      <c r="V58" s="9">
        <f>IF(ISNUMBER(V$3),V$2*MAX(0,MIN(1,((YEAR($A58)-YEAR(V$3))*12+MONTH($A58)-MONTH(V$3)+1)/'Capacity by month'!$O$2)),0)</f>
        <v/>
      </c>
      <c r="W58" s="9">
        <f>IF(ISNUMBER(W$3),W$2*MAX(0,MIN(1,((YEAR($A58)-YEAR(W$3))*12+MONTH($A58)-MONTH(W$3)+1)/'Capacity by month'!$O$2)),0)</f>
        <v/>
      </c>
      <c r="X58" s="9">
        <f>IF(ISNUMBER(X$3),X$2*MAX(0,MIN(1,((YEAR($A58)-YEAR(X$3))*12+MONTH($A58)-MONTH(X$3)+1)/'Capacity by month'!$O$2)),0)</f>
        <v/>
      </c>
      <c r="Y58" s="9">
        <f>IF(ISNUMBER(Y$3),Y$2*MAX(0,MIN(1,((YEAR($A58)-YEAR(Y$3))*12+MONTH($A58)-MONTH(Y$3)+1)/'Capacity by month'!$O$2)),0)</f>
        <v/>
      </c>
      <c r="Z58" s="9">
        <f>IF(ISNUMBER(Z$3),Z$2*MAX(0,MIN(1,((YEAR($A58)-YEAR(Z$3))*12+MONTH($A58)-MONTH(Z$3)+1)/'Capacity by month'!$O$2)),0)</f>
        <v/>
      </c>
      <c r="AA58">
        <f>SUM(B58:Z58)</f>
        <v/>
      </c>
      <c r="AB58" t="n">
        <v>0</v>
      </c>
    </row>
    <row r="59">
      <c r="A59" s="8" t="n">
        <v>45870</v>
      </c>
      <c r="B59" s="9">
        <f>IF(ISNUMBER(B$3),B$2*MAX(0,MIN(1,((YEAR($A59)-YEAR(B$3))*12+MONTH($A59)-MONTH(B$3)+1)/'Capacity by month'!$O$2)),0)</f>
        <v/>
      </c>
      <c r="C59" s="9">
        <f>IF(ISNUMBER(C$3),C$2*MAX(0,MIN(1,((YEAR($A59)-YEAR(C$3))*12+MONTH($A59)-MONTH(C$3)+1)/'Capacity by month'!$O$2)),0)</f>
        <v/>
      </c>
      <c r="D59" s="9">
        <f>IF(ISNUMBER(D$3),D$2*MAX(0,MIN(1,((YEAR($A59)-YEAR(D$3))*12+MONTH($A59)-MONTH(D$3)+1)/'Capacity by month'!$O$2)),0)</f>
        <v/>
      </c>
      <c r="E59" s="9">
        <f>IF(ISNUMBER(E$3),E$2*MAX(0,MIN(1,((YEAR($A59)-YEAR(E$3))*12+MONTH($A59)-MONTH(E$3)+1)/'Capacity by month'!$O$2)),0)</f>
        <v/>
      </c>
      <c r="F59" s="9">
        <f>IF(ISNUMBER(F$3),F$2*MAX(0,MIN(1,((YEAR($A59)-YEAR(F$3))*12+MONTH($A59)-MONTH(F$3)+1)/'Capacity by month'!$O$2)),0)</f>
        <v/>
      </c>
      <c r="G59" s="9">
        <f>IF(ISNUMBER(G$3),G$2*MAX(0,MIN(1,((YEAR($A59)-YEAR(G$3))*12+MONTH($A59)-MONTH(G$3)+1)/'Capacity by month'!$O$2)),0)</f>
        <v/>
      </c>
      <c r="H59" s="9">
        <f>IF(ISNUMBER(H$3),H$2*MAX(0,MIN(1,((YEAR($A59)-YEAR(H$3))*12+MONTH($A59)-MONTH(H$3)+1)/'Capacity by month'!$O$2)),0)</f>
        <v/>
      </c>
      <c r="I59" s="9">
        <f>IF(ISNUMBER(I$3),I$2*MAX(0,MIN(1,((YEAR($A59)-YEAR(I$3))*12+MONTH($A59)-MONTH(I$3)+1)/'Capacity by month'!$O$2)),0)</f>
        <v/>
      </c>
      <c r="J59" s="9">
        <f>IF(ISNUMBER(J$3),J$2*MAX(0,MIN(1,((YEAR($A59)-YEAR(J$3))*12+MONTH($A59)-MONTH(J$3)+1)/'Capacity by month'!$O$2)),0)</f>
        <v/>
      </c>
      <c r="K59" s="9">
        <f>IF(ISNUMBER(K$3),K$2*MAX(0,MIN(1,((YEAR($A59)-YEAR(K$3))*12+MONTH($A59)-MONTH(K$3)+1)/'Capacity by month'!$O$2)),0)</f>
        <v/>
      </c>
      <c r="L59" s="9">
        <f>IF(ISNUMBER(L$3),L$2*MAX(0,MIN(1,((YEAR($A59)-YEAR(L$3))*12+MONTH($A59)-MONTH(L$3)+1)/'Capacity by month'!$O$2)),0)</f>
        <v/>
      </c>
      <c r="M59" s="9">
        <f>IF(ISNUMBER(M$3),M$2*MAX(0,MIN(1,((YEAR($A59)-YEAR(M$3))*12+MONTH($A59)-MONTH(M$3)+1)/'Capacity by month'!$O$2)),0)</f>
        <v/>
      </c>
      <c r="N59" s="9">
        <f>IF(ISNUMBER(N$3),N$2*MAX(0,MIN(1,((YEAR($A59)-YEAR(N$3))*12+MONTH($A59)-MONTH(N$3)+1)/'Capacity by month'!$O$2)),0)</f>
        <v/>
      </c>
      <c r="O59" s="9">
        <f>IF(ISNUMBER(O$3),O$2*MAX(0,MIN(1,((YEAR($A59)-YEAR(O$3))*12+MONTH($A59)-MONTH(O$3)+1)/'Capacity by month'!$O$2)),0)</f>
        <v/>
      </c>
      <c r="P59" s="9">
        <f>IF(ISNUMBER(P$3),P$2*MAX(0,MIN(1,((YEAR($A59)-YEAR(P$3))*12+MONTH($A59)-MONTH(P$3)+1)/'Capacity by month'!$O$2)),0)</f>
        <v/>
      </c>
      <c r="Q59" s="9">
        <f>IF(ISNUMBER(Q$3),Q$2*MAX(0,MIN(1,((YEAR($A59)-YEAR(Q$3))*12+MONTH($A59)-MONTH(Q$3)+1)/'Capacity by month'!$O$2)),0)</f>
        <v/>
      </c>
      <c r="R59" s="9">
        <f>IF(ISNUMBER(R$3),R$2*MAX(0,MIN(1,((YEAR($A59)-YEAR(R$3))*12+MONTH($A59)-MONTH(R$3)+1)/'Capacity by month'!$O$2)),0)</f>
        <v/>
      </c>
      <c r="S59" s="9">
        <f>IF(ISNUMBER(S$3),S$2*MAX(0,MIN(1,((YEAR($A59)-YEAR(S$3))*12+MONTH($A59)-MONTH(S$3)+1)/'Capacity by month'!$O$2)),0)</f>
        <v/>
      </c>
      <c r="T59" s="9">
        <f>IF(ISNUMBER(T$3),T$2*MAX(0,MIN(1,((YEAR($A59)-YEAR(T$3))*12+MONTH($A59)-MONTH(T$3)+1)/'Capacity by month'!$O$2)),0)</f>
        <v/>
      </c>
      <c r="U59" s="9">
        <f>IF(ISNUMBER(U$3),U$2*MAX(0,MIN(1,((YEAR($A59)-YEAR(U$3))*12+MONTH($A59)-MONTH(U$3)+1)/'Capacity by month'!$O$2)),0)</f>
        <v/>
      </c>
      <c r="V59" s="9">
        <f>IF(ISNUMBER(V$3),V$2*MAX(0,MIN(1,((YEAR($A59)-YEAR(V$3))*12+MONTH($A59)-MONTH(V$3)+1)/'Capacity by month'!$O$2)),0)</f>
        <v/>
      </c>
      <c r="W59" s="9">
        <f>IF(ISNUMBER(W$3),W$2*MAX(0,MIN(1,((YEAR($A59)-YEAR(W$3))*12+MONTH($A59)-MONTH(W$3)+1)/'Capacity by month'!$O$2)),0)</f>
        <v/>
      </c>
      <c r="X59" s="9">
        <f>IF(ISNUMBER(X$3),X$2*MAX(0,MIN(1,((YEAR($A59)-YEAR(X$3))*12+MONTH($A59)-MONTH(X$3)+1)/'Capacity by month'!$O$2)),0)</f>
        <v/>
      </c>
      <c r="Y59" s="9">
        <f>IF(ISNUMBER(Y$3),Y$2*MAX(0,MIN(1,((YEAR($A59)-YEAR(Y$3))*12+MONTH($A59)-MONTH(Y$3)+1)/'Capacity by month'!$O$2)),0)</f>
        <v/>
      </c>
      <c r="Z59" s="9">
        <f>IF(ISNUMBER(Z$3),Z$2*MAX(0,MIN(1,((YEAR($A59)-YEAR(Z$3))*12+MONTH($A59)-MONTH(Z$3)+1)/'Capacity by month'!$O$2)),0)</f>
        <v/>
      </c>
      <c r="AA59">
        <f>SUM(B59:Z59)</f>
        <v/>
      </c>
      <c r="AB59" t="n">
        <v>0</v>
      </c>
    </row>
    <row r="60">
      <c r="A60" s="8" t="n">
        <v>45901</v>
      </c>
      <c r="B60" s="9">
        <f>IF(ISNUMBER(B$3),B$2*MAX(0,MIN(1,((YEAR($A60)-YEAR(B$3))*12+MONTH($A60)-MONTH(B$3)+1)/'Capacity by month'!$O$2)),0)</f>
        <v/>
      </c>
      <c r="C60" s="9">
        <f>IF(ISNUMBER(C$3),C$2*MAX(0,MIN(1,((YEAR($A60)-YEAR(C$3))*12+MONTH($A60)-MONTH(C$3)+1)/'Capacity by month'!$O$2)),0)</f>
        <v/>
      </c>
      <c r="D60" s="9">
        <f>IF(ISNUMBER(D$3),D$2*MAX(0,MIN(1,((YEAR($A60)-YEAR(D$3))*12+MONTH($A60)-MONTH(D$3)+1)/'Capacity by month'!$O$2)),0)</f>
        <v/>
      </c>
      <c r="E60" s="9">
        <f>IF(ISNUMBER(E$3),E$2*MAX(0,MIN(1,((YEAR($A60)-YEAR(E$3))*12+MONTH($A60)-MONTH(E$3)+1)/'Capacity by month'!$O$2)),0)</f>
        <v/>
      </c>
      <c r="F60" s="9">
        <f>IF(ISNUMBER(F$3),F$2*MAX(0,MIN(1,((YEAR($A60)-YEAR(F$3))*12+MONTH($A60)-MONTH(F$3)+1)/'Capacity by month'!$O$2)),0)</f>
        <v/>
      </c>
      <c r="G60" s="9">
        <f>IF(ISNUMBER(G$3),G$2*MAX(0,MIN(1,((YEAR($A60)-YEAR(G$3))*12+MONTH($A60)-MONTH(G$3)+1)/'Capacity by month'!$O$2)),0)</f>
        <v/>
      </c>
      <c r="H60" s="9">
        <f>IF(ISNUMBER(H$3),H$2*MAX(0,MIN(1,((YEAR($A60)-YEAR(H$3))*12+MONTH($A60)-MONTH(H$3)+1)/'Capacity by month'!$O$2)),0)</f>
        <v/>
      </c>
      <c r="I60" s="9">
        <f>IF(ISNUMBER(I$3),I$2*MAX(0,MIN(1,((YEAR($A60)-YEAR(I$3))*12+MONTH($A60)-MONTH(I$3)+1)/'Capacity by month'!$O$2)),0)</f>
        <v/>
      </c>
      <c r="J60" s="9">
        <f>IF(ISNUMBER(J$3),J$2*MAX(0,MIN(1,((YEAR($A60)-YEAR(J$3))*12+MONTH($A60)-MONTH(J$3)+1)/'Capacity by month'!$O$2)),0)</f>
        <v/>
      </c>
      <c r="K60" s="9">
        <f>IF(ISNUMBER(K$3),K$2*MAX(0,MIN(1,((YEAR($A60)-YEAR(K$3))*12+MONTH($A60)-MONTH(K$3)+1)/'Capacity by month'!$O$2)),0)</f>
        <v/>
      </c>
      <c r="L60" s="9">
        <f>IF(ISNUMBER(L$3),L$2*MAX(0,MIN(1,((YEAR($A60)-YEAR(L$3))*12+MONTH($A60)-MONTH(L$3)+1)/'Capacity by month'!$O$2)),0)</f>
        <v/>
      </c>
      <c r="M60" s="9">
        <f>IF(ISNUMBER(M$3),M$2*MAX(0,MIN(1,((YEAR($A60)-YEAR(M$3))*12+MONTH($A60)-MONTH(M$3)+1)/'Capacity by month'!$O$2)),0)</f>
        <v/>
      </c>
      <c r="N60" s="9">
        <f>IF(ISNUMBER(N$3),N$2*MAX(0,MIN(1,((YEAR($A60)-YEAR(N$3))*12+MONTH($A60)-MONTH(N$3)+1)/'Capacity by month'!$O$2)),0)</f>
        <v/>
      </c>
      <c r="O60" s="9">
        <f>IF(ISNUMBER(O$3),O$2*MAX(0,MIN(1,((YEAR($A60)-YEAR(O$3))*12+MONTH($A60)-MONTH(O$3)+1)/'Capacity by month'!$O$2)),0)</f>
        <v/>
      </c>
      <c r="P60" s="9">
        <f>IF(ISNUMBER(P$3),P$2*MAX(0,MIN(1,((YEAR($A60)-YEAR(P$3))*12+MONTH($A60)-MONTH(P$3)+1)/'Capacity by month'!$O$2)),0)</f>
        <v/>
      </c>
      <c r="Q60" s="9">
        <f>IF(ISNUMBER(Q$3),Q$2*MAX(0,MIN(1,((YEAR($A60)-YEAR(Q$3))*12+MONTH($A60)-MONTH(Q$3)+1)/'Capacity by month'!$O$2)),0)</f>
        <v/>
      </c>
      <c r="R60" s="9">
        <f>IF(ISNUMBER(R$3),R$2*MAX(0,MIN(1,((YEAR($A60)-YEAR(R$3))*12+MONTH($A60)-MONTH(R$3)+1)/'Capacity by month'!$O$2)),0)</f>
        <v/>
      </c>
      <c r="S60" s="9">
        <f>IF(ISNUMBER(S$3),S$2*MAX(0,MIN(1,((YEAR($A60)-YEAR(S$3))*12+MONTH($A60)-MONTH(S$3)+1)/'Capacity by month'!$O$2)),0)</f>
        <v/>
      </c>
      <c r="T60" s="9">
        <f>IF(ISNUMBER(T$3),T$2*MAX(0,MIN(1,((YEAR($A60)-YEAR(T$3))*12+MONTH($A60)-MONTH(T$3)+1)/'Capacity by month'!$O$2)),0)</f>
        <v/>
      </c>
      <c r="U60" s="9">
        <f>IF(ISNUMBER(U$3),U$2*MAX(0,MIN(1,((YEAR($A60)-YEAR(U$3))*12+MONTH($A60)-MONTH(U$3)+1)/'Capacity by month'!$O$2)),0)</f>
        <v/>
      </c>
      <c r="V60" s="9">
        <f>IF(ISNUMBER(V$3),V$2*MAX(0,MIN(1,((YEAR($A60)-YEAR(V$3))*12+MONTH($A60)-MONTH(V$3)+1)/'Capacity by month'!$O$2)),0)</f>
        <v/>
      </c>
      <c r="W60" s="9">
        <f>IF(ISNUMBER(W$3),W$2*MAX(0,MIN(1,((YEAR($A60)-YEAR(W$3))*12+MONTH($A60)-MONTH(W$3)+1)/'Capacity by month'!$O$2)),0)</f>
        <v/>
      </c>
      <c r="X60" s="9">
        <f>IF(ISNUMBER(X$3),X$2*MAX(0,MIN(1,((YEAR($A60)-YEAR(X$3))*12+MONTH($A60)-MONTH(X$3)+1)/'Capacity by month'!$O$2)),0)</f>
        <v/>
      </c>
      <c r="Y60" s="9">
        <f>IF(ISNUMBER(Y$3),Y$2*MAX(0,MIN(1,((YEAR($A60)-YEAR(Y$3))*12+MONTH($A60)-MONTH(Y$3)+1)/'Capacity by month'!$O$2)),0)</f>
        <v/>
      </c>
      <c r="Z60" s="9">
        <f>IF(ISNUMBER(Z$3),Z$2*MAX(0,MIN(1,((YEAR($A60)-YEAR(Z$3))*12+MONTH($A60)-MONTH(Z$3)+1)/'Capacity by month'!$O$2)),0)</f>
        <v/>
      </c>
      <c r="AA60">
        <f>SUM(B60:Z60)</f>
        <v/>
      </c>
      <c r="AB60" t="n">
        <v>0</v>
      </c>
    </row>
    <row r="61">
      <c r="A61" s="8" t="n">
        <v>45931</v>
      </c>
      <c r="B61" s="9">
        <f>IF(ISNUMBER(B$3),B$2*MAX(0,MIN(1,((YEAR($A61)-YEAR(B$3))*12+MONTH($A61)-MONTH(B$3)+1)/'Capacity by month'!$O$2)),0)</f>
        <v/>
      </c>
      <c r="C61" s="9">
        <f>IF(ISNUMBER(C$3),C$2*MAX(0,MIN(1,((YEAR($A61)-YEAR(C$3))*12+MONTH($A61)-MONTH(C$3)+1)/'Capacity by month'!$O$2)),0)</f>
        <v/>
      </c>
      <c r="D61" s="9">
        <f>IF(ISNUMBER(D$3),D$2*MAX(0,MIN(1,((YEAR($A61)-YEAR(D$3))*12+MONTH($A61)-MONTH(D$3)+1)/'Capacity by month'!$O$2)),0)</f>
        <v/>
      </c>
      <c r="E61" s="9">
        <f>IF(ISNUMBER(E$3),E$2*MAX(0,MIN(1,((YEAR($A61)-YEAR(E$3))*12+MONTH($A61)-MONTH(E$3)+1)/'Capacity by month'!$O$2)),0)</f>
        <v/>
      </c>
      <c r="F61" s="9">
        <f>IF(ISNUMBER(F$3),F$2*MAX(0,MIN(1,((YEAR($A61)-YEAR(F$3))*12+MONTH($A61)-MONTH(F$3)+1)/'Capacity by month'!$O$2)),0)</f>
        <v/>
      </c>
      <c r="G61" s="9">
        <f>IF(ISNUMBER(G$3),G$2*MAX(0,MIN(1,((YEAR($A61)-YEAR(G$3))*12+MONTH($A61)-MONTH(G$3)+1)/'Capacity by month'!$O$2)),0)</f>
        <v/>
      </c>
      <c r="H61" s="9">
        <f>IF(ISNUMBER(H$3),H$2*MAX(0,MIN(1,((YEAR($A61)-YEAR(H$3))*12+MONTH($A61)-MONTH(H$3)+1)/'Capacity by month'!$O$2)),0)</f>
        <v/>
      </c>
      <c r="I61" s="9">
        <f>IF(ISNUMBER(I$3),I$2*MAX(0,MIN(1,((YEAR($A61)-YEAR(I$3))*12+MONTH($A61)-MONTH(I$3)+1)/'Capacity by month'!$O$2)),0)</f>
        <v/>
      </c>
      <c r="J61" s="9">
        <f>IF(ISNUMBER(J$3),J$2*MAX(0,MIN(1,((YEAR($A61)-YEAR(J$3))*12+MONTH($A61)-MONTH(J$3)+1)/'Capacity by month'!$O$2)),0)</f>
        <v/>
      </c>
      <c r="K61" s="9">
        <f>IF(ISNUMBER(K$3),K$2*MAX(0,MIN(1,((YEAR($A61)-YEAR(K$3))*12+MONTH($A61)-MONTH(K$3)+1)/'Capacity by month'!$O$2)),0)</f>
        <v/>
      </c>
      <c r="L61" s="9">
        <f>IF(ISNUMBER(L$3),L$2*MAX(0,MIN(1,((YEAR($A61)-YEAR(L$3))*12+MONTH($A61)-MONTH(L$3)+1)/'Capacity by month'!$O$2)),0)</f>
        <v/>
      </c>
      <c r="M61" s="9">
        <f>IF(ISNUMBER(M$3),M$2*MAX(0,MIN(1,((YEAR($A61)-YEAR(M$3))*12+MONTH($A61)-MONTH(M$3)+1)/'Capacity by month'!$O$2)),0)</f>
        <v/>
      </c>
      <c r="N61" s="9">
        <f>IF(ISNUMBER(N$3),N$2*MAX(0,MIN(1,((YEAR($A61)-YEAR(N$3))*12+MONTH($A61)-MONTH(N$3)+1)/'Capacity by month'!$O$2)),0)</f>
        <v/>
      </c>
      <c r="O61" s="9">
        <f>IF(ISNUMBER(O$3),O$2*MAX(0,MIN(1,((YEAR($A61)-YEAR(O$3))*12+MONTH($A61)-MONTH(O$3)+1)/'Capacity by month'!$O$2)),0)</f>
        <v/>
      </c>
      <c r="P61" s="9">
        <f>IF(ISNUMBER(P$3),P$2*MAX(0,MIN(1,((YEAR($A61)-YEAR(P$3))*12+MONTH($A61)-MONTH(P$3)+1)/'Capacity by month'!$O$2)),0)</f>
        <v/>
      </c>
      <c r="Q61" s="9">
        <f>IF(ISNUMBER(Q$3),Q$2*MAX(0,MIN(1,((YEAR($A61)-YEAR(Q$3))*12+MONTH($A61)-MONTH(Q$3)+1)/'Capacity by month'!$O$2)),0)</f>
        <v/>
      </c>
      <c r="R61" s="9">
        <f>IF(ISNUMBER(R$3),R$2*MAX(0,MIN(1,((YEAR($A61)-YEAR(R$3))*12+MONTH($A61)-MONTH(R$3)+1)/'Capacity by month'!$O$2)),0)</f>
        <v/>
      </c>
      <c r="S61" s="9">
        <f>IF(ISNUMBER(S$3),S$2*MAX(0,MIN(1,((YEAR($A61)-YEAR(S$3))*12+MONTH($A61)-MONTH(S$3)+1)/'Capacity by month'!$O$2)),0)</f>
        <v/>
      </c>
      <c r="T61" s="9">
        <f>IF(ISNUMBER(T$3),T$2*MAX(0,MIN(1,((YEAR($A61)-YEAR(T$3))*12+MONTH($A61)-MONTH(T$3)+1)/'Capacity by month'!$O$2)),0)</f>
        <v/>
      </c>
      <c r="U61" s="9">
        <f>IF(ISNUMBER(U$3),U$2*MAX(0,MIN(1,((YEAR($A61)-YEAR(U$3))*12+MONTH($A61)-MONTH(U$3)+1)/'Capacity by month'!$O$2)),0)</f>
        <v/>
      </c>
      <c r="V61" s="9">
        <f>IF(ISNUMBER(V$3),V$2*MAX(0,MIN(1,((YEAR($A61)-YEAR(V$3))*12+MONTH($A61)-MONTH(V$3)+1)/'Capacity by month'!$O$2)),0)</f>
        <v/>
      </c>
      <c r="W61" s="9">
        <f>IF(ISNUMBER(W$3),W$2*MAX(0,MIN(1,((YEAR($A61)-YEAR(W$3))*12+MONTH($A61)-MONTH(W$3)+1)/'Capacity by month'!$O$2)),0)</f>
        <v/>
      </c>
      <c r="X61" s="9">
        <f>IF(ISNUMBER(X$3),X$2*MAX(0,MIN(1,((YEAR($A61)-YEAR(X$3))*12+MONTH($A61)-MONTH(X$3)+1)/'Capacity by month'!$O$2)),0)</f>
        <v/>
      </c>
      <c r="Y61" s="9">
        <f>IF(ISNUMBER(Y$3),Y$2*MAX(0,MIN(1,((YEAR($A61)-YEAR(Y$3))*12+MONTH($A61)-MONTH(Y$3)+1)/'Capacity by month'!$O$2)),0)</f>
        <v/>
      </c>
      <c r="Z61" s="9">
        <f>IF(ISNUMBER(Z$3),Z$2*MAX(0,MIN(1,((YEAR($A61)-YEAR(Z$3))*12+MONTH($A61)-MONTH(Z$3)+1)/'Capacity by month'!$O$2)),0)</f>
        <v/>
      </c>
      <c r="AA61">
        <f>SUM(B61:Z61)</f>
        <v/>
      </c>
      <c r="AB61" t="n">
        <v>0</v>
      </c>
    </row>
    <row r="62">
      <c r="A62" s="8" t="n">
        <v>45962</v>
      </c>
      <c r="B62" s="9">
        <f>IF(ISNUMBER(B$3),B$2*MAX(0,MIN(1,((YEAR($A62)-YEAR(B$3))*12+MONTH($A62)-MONTH(B$3)+1)/'Capacity by month'!$O$2)),0)</f>
        <v/>
      </c>
      <c r="C62" s="9">
        <f>IF(ISNUMBER(C$3),C$2*MAX(0,MIN(1,((YEAR($A62)-YEAR(C$3))*12+MONTH($A62)-MONTH(C$3)+1)/'Capacity by month'!$O$2)),0)</f>
        <v/>
      </c>
      <c r="D62" s="9">
        <f>IF(ISNUMBER(D$3),D$2*MAX(0,MIN(1,((YEAR($A62)-YEAR(D$3))*12+MONTH($A62)-MONTH(D$3)+1)/'Capacity by month'!$O$2)),0)</f>
        <v/>
      </c>
      <c r="E62" s="9">
        <f>IF(ISNUMBER(E$3),E$2*MAX(0,MIN(1,((YEAR($A62)-YEAR(E$3))*12+MONTH($A62)-MONTH(E$3)+1)/'Capacity by month'!$O$2)),0)</f>
        <v/>
      </c>
      <c r="F62" s="9">
        <f>IF(ISNUMBER(F$3),F$2*MAX(0,MIN(1,((YEAR($A62)-YEAR(F$3))*12+MONTH($A62)-MONTH(F$3)+1)/'Capacity by month'!$O$2)),0)</f>
        <v/>
      </c>
      <c r="G62" s="9">
        <f>IF(ISNUMBER(G$3),G$2*MAX(0,MIN(1,((YEAR($A62)-YEAR(G$3))*12+MONTH($A62)-MONTH(G$3)+1)/'Capacity by month'!$O$2)),0)</f>
        <v/>
      </c>
      <c r="H62" s="9">
        <f>IF(ISNUMBER(H$3),H$2*MAX(0,MIN(1,((YEAR($A62)-YEAR(H$3))*12+MONTH($A62)-MONTH(H$3)+1)/'Capacity by month'!$O$2)),0)</f>
        <v/>
      </c>
      <c r="I62" s="9">
        <f>IF(ISNUMBER(I$3),I$2*MAX(0,MIN(1,((YEAR($A62)-YEAR(I$3))*12+MONTH($A62)-MONTH(I$3)+1)/'Capacity by month'!$O$2)),0)</f>
        <v/>
      </c>
      <c r="J62" s="9">
        <f>IF(ISNUMBER(J$3),J$2*MAX(0,MIN(1,((YEAR($A62)-YEAR(J$3))*12+MONTH($A62)-MONTH(J$3)+1)/'Capacity by month'!$O$2)),0)</f>
        <v/>
      </c>
      <c r="K62" s="9">
        <f>IF(ISNUMBER(K$3),K$2*MAX(0,MIN(1,((YEAR($A62)-YEAR(K$3))*12+MONTH($A62)-MONTH(K$3)+1)/'Capacity by month'!$O$2)),0)</f>
        <v/>
      </c>
      <c r="L62" s="9">
        <f>IF(ISNUMBER(L$3),L$2*MAX(0,MIN(1,((YEAR($A62)-YEAR(L$3))*12+MONTH($A62)-MONTH(L$3)+1)/'Capacity by month'!$O$2)),0)</f>
        <v/>
      </c>
      <c r="M62" s="9">
        <f>IF(ISNUMBER(M$3),M$2*MAX(0,MIN(1,((YEAR($A62)-YEAR(M$3))*12+MONTH($A62)-MONTH(M$3)+1)/'Capacity by month'!$O$2)),0)</f>
        <v/>
      </c>
      <c r="N62" s="9">
        <f>IF(ISNUMBER(N$3),N$2*MAX(0,MIN(1,((YEAR($A62)-YEAR(N$3))*12+MONTH($A62)-MONTH(N$3)+1)/'Capacity by month'!$O$2)),0)</f>
        <v/>
      </c>
      <c r="O62" s="9">
        <f>IF(ISNUMBER(O$3),O$2*MAX(0,MIN(1,((YEAR($A62)-YEAR(O$3))*12+MONTH($A62)-MONTH(O$3)+1)/'Capacity by month'!$O$2)),0)</f>
        <v/>
      </c>
      <c r="P62" s="9">
        <f>IF(ISNUMBER(P$3),P$2*MAX(0,MIN(1,((YEAR($A62)-YEAR(P$3))*12+MONTH($A62)-MONTH(P$3)+1)/'Capacity by month'!$O$2)),0)</f>
        <v/>
      </c>
      <c r="Q62" s="9">
        <f>IF(ISNUMBER(Q$3),Q$2*MAX(0,MIN(1,((YEAR($A62)-YEAR(Q$3))*12+MONTH($A62)-MONTH(Q$3)+1)/'Capacity by month'!$O$2)),0)</f>
        <v/>
      </c>
      <c r="R62" s="9">
        <f>IF(ISNUMBER(R$3),R$2*MAX(0,MIN(1,((YEAR($A62)-YEAR(R$3))*12+MONTH($A62)-MONTH(R$3)+1)/'Capacity by month'!$O$2)),0)</f>
        <v/>
      </c>
      <c r="S62" s="9">
        <f>IF(ISNUMBER(S$3),S$2*MAX(0,MIN(1,((YEAR($A62)-YEAR(S$3))*12+MONTH($A62)-MONTH(S$3)+1)/'Capacity by month'!$O$2)),0)</f>
        <v/>
      </c>
      <c r="T62" s="9">
        <f>IF(ISNUMBER(T$3),T$2*MAX(0,MIN(1,((YEAR($A62)-YEAR(T$3))*12+MONTH($A62)-MONTH(T$3)+1)/'Capacity by month'!$O$2)),0)</f>
        <v/>
      </c>
      <c r="U62" s="9">
        <f>IF(ISNUMBER(U$3),U$2*MAX(0,MIN(1,((YEAR($A62)-YEAR(U$3))*12+MONTH($A62)-MONTH(U$3)+1)/'Capacity by month'!$O$2)),0)</f>
        <v/>
      </c>
      <c r="V62" s="9">
        <f>IF(ISNUMBER(V$3),V$2*MAX(0,MIN(1,((YEAR($A62)-YEAR(V$3))*12+MONTH($A62)-MONTH(V$3)+1)/'Capacity by month'!$O$2)),0)</f>
        <v/>
      </c>
      <c r="W62" s="9">
        <f>IF(ISNUMBER(W$3),W$2*MAX(0,MIN(1,((YEAR($A62)-YEAR(W$3))*12+MONTH($A62)-MONTH(W$3)+1)/'Capacity by month'!$O$2)),0)</f>
        <v/>
      </c>
      <c r="X62" s="9">
        <f>IF(ISNUMBER(X$3),X$2*MAX(0,MIN(1,((YEAR($A62)-YEAR(X$3))*12+MONTH($A62)-MONTH(X$3)+1)/'Capacity by month'!$O$2)),0)</f>
        <v/>
      </c>
      <c r="Y62" s="9">
        <f>IF(ISNUMBER(Y$3),Y$2*MAX(0,MIN(1,((YEAR($A62)-YEAR(Y$3))*12+MONTH($A62)-MONTH(Y$3)+1)/'Capacity by month'!$O$2)),0)</f>
        <v/>
      </c>
      <c r="Z62" s="9">
        <f>IF(ISNUMBER(Z$3),Z$2*MAX(0,MIN(1,((YEAR($A62)-YEAR(Z$3))*12+MONTH($A62)-MONTH(Z$3)+1)/'Capacity by month'!$O$2)),0)</f>
        <v/>
      </c>
      <c r="AA62">
        <f>SUM(B62:Z62)</f>
        <v/>
      </c>
      <c r="AB62" t="n">
        <v>0</v>
      </c>
    </row>
    <row r="63">
      <c r="A63" s="8" t="n">
        <v>45992</v>
      </c>
      <c r="B63" s="9">
        <f>IF(ISNUMBER(B$3),B$2*MAX(0,MIN(1,((YEAR($A63)-YEAR(B$3))*12+MONTH($A63)-MONTH(B$3)+1)/'Capacity by month'!$O$2)),0)</f>
        <v/>
      </c>
      <c r="C63" s="9">
        <f>IF(ISNUMBER(C$3),C$2*MAX(0,MIN(1,((YEAR($A63)-YEAR(C$3))*12+MONTH($A63)-MONTH(C$3)+1)/'Capacity by month'!$O$2)),0)</f>
        <v/>
      </c>
      <c r="D63" s="9">
        <f>IF(ISNUMBER(D$3),D$2*MAX(0,MIN(1,((YEAR($A63)-YEAR(D$3))*12+MONTH($A63)-MONTH(D$3)+1)/'Capacity by month'!$O$2)),0)</f>
        <v/>
      </c>
      <c r="E63" s="9">
        <f>IF(ISNUMBER(E$3),E$2*MAX(0,MIN(1,((YEAR($A63)-YEAR(E$3))*12+MONTH($A63)-MONTH(E$3)+1)/'Capacity by month'!$O$2)),0)</f>
        <v/>
      </c>
      <c r="F63" s="9">
        <f>IF(ISNUMBER(F$3),F$2*MAX(0,MIN(1,((YEAR($A63)-YEAR(F$3))*12+MONTH($A63)-MONTH(F$3)+1)/'Capacity by month'!$O$2)),0)</f>
        <v/>
      </c>
      <c r="G63" s="9">
        <f>IF(ISNUMBER(G$3),G$2*MAX(0,MIN(1,((YEAR($A63)-YEAR(G$3))*12+MONTH($A63)-MONTH(G$3)+1)/'Capacity by month'!$O$2)),0)</f>
        <v/>
      </c>
      <c r="H63" s="9">
        <f>IF(ISNUMBER(H$3),H$2*MAX(0,MIN(1,((YEAR($A63)-YEAR(H$3))*12+MONTH($A63)-MONTH(H$3)+1)/'Capacity by month'!$O$2)),0)</f>
        <v/>
      </c>
      <c r="I63" s="9">
        <f>IF(ISNUMBER(I$3),I$2*MAX(0,MIN(1,((YEAR($A63)-YEAR(I$3))*12+MONTH($A63)-MONTH(I$3)+1)/'Capacity by month'!$O$2)),0)</f>
        <v/>
      </c>
      <c r="J63" s="9">
        <f>IF(ISNUMBER(J$3),J$2*MAX(0,MIN(1,((YEAR($A63)-YEAR(J$3))*12+MONTH($A63)-MONTH(J$3)+1)/'Capacity by month'!$O$2)),0)</f>
        <v/>
      </c>
      <c r="K63" s="9">
        <f>IF(ISNUMBER(K$3),K$2*MAX(0,MIN(1,((YEAR($A63)-YEAR(K$3))*12+MONTH($A63)-MONTH(K$3)+1)/'Capacity by month'!$O$2)),0)</f>
        <v/>
      </c>
      <c r="L63" s="9">
        <f>IF(ISNUMBER(L$3),L$2*MAX(0,MIN(1,((YEAR($A63)-YEAR(L$3))*12+MONTH($A63)-MONTH(L$3)+1)/'Capacity by month'!$O$2)),0)</f>
        <v/>
      </c>
      <c r="M63" s="9">
        <f>IF(ISNUMBER(M$3),M$2*MAX(0,MIN(1,((YEAR($A63)-YEAR(M$3))*12+MONTH($A63)-MONTH(M$3)+1)/'Capacity by month'!$O$2)),0)</f>
        <v/>
      </c>
      <c r="N63" s="9">
        <f>IF(ISNUMBER(N$3),N$2*MAX(0,MIN(1,((YEAR($A63)-YEAR(N$3))*12+MONTH($A63)-MONTH(N$3)+1)/'Capacity by month'!$O$2)),0)</f>
        <v/>
      </c>
      <c r="O63" s="9">
        <f>IF(ISNUMBER(O$3),O$2*MAX(0,MIN(1,((YEAR($A63)-YEAR(O$3))*12+MONTH($A63)-MONTH(O$3)+1)/'Capacity by month'!$O$2)),0)</f>
        <v/>
      </c>
      <c r="P63" s="9">
        <f>IF(ISNUMBER(P$3),P$2*MAX(0,MIN(1,((YEAR($A63)-YEAR(P$3))*12+MONTH($A63)-MONTH(P$3)+1)/'Capacity by month'!$O$2)),0)</f>
        <v/>
      </c>
      <c r="Q63" s="9">
        <f>IF(ISNUMBER(Q$3),Q$2*MAX(0,MIN(1,((YEAR($A63)-YEAR(Q$3))*12+MONTH($A63)-MONTH(Q$3)+1)/'Capacity by month'!$O$2)),0)</f>
        <v/>
      </c>
      <c r="R63" s="9">
        <f>IF(ISNUMBER(R$3),R$2*MAX(0,MIN(1,((YEAR($A63)-YEAR(R$3))*12+MONTH($A63)-MONTH(R$3)+1)/'Capacity by month'!$O$2)),0)</f>
        <v/>
      </c>
      <c r="S63" s="9">
        <f>IF(ISNUMBER(S$3),S$2*MAX(0,MIN(1,((YEAR($A63)-YEAR(S$3))*12+MONTH($A63)-MONTH(S$3)+1)/'Capacity by month'!$O$2)),0)</f>
        <v/>
      </c>
      <c r="T63" s="9">
        <f>IF(ISNUMBER(T$3),T$2*MAX(0,MIN(1,((YEAR($A63)-YEAR(T$3))*12+MONTH($A63)-MONTH(T$3)+1)/'Capacity by month'!$O$2)),0)</f>
        <v/>
      </c>
      <c r="U63" s="9">
        <f>IF(ISNUMBER(U$3),U$2*MAX(0,MIN(1,((YEAR($A63)-YEAR(U$3))*12+MONTH($A63)-MONTH(U$3)+1)/'Capacity by month'!$O$2)),0)</f>
        <v/>
      </c>
      <c r="V63" s="9">
        <f>IF(ISNUMBER(V$3),V$2*MAX(0,MIN(1,((YEAR($A63)-YEAR(V$3))*12+MONTH($A63)-MONTH(V$3)+1)/'Capacity by month'!$O$2)),0)</f>
        <v/>
      </c>
      <c r="W63" s="9">
        <f>IF(ISNUMBER(W$3),W$2*MAX(0,MIN(1,((YEAR($A63)-YEAR(W$3))*12+MONTH($A63)-MONTH(W$3)+1)/'Capacity by month'!$O$2)),0)</f>
        <v/>
      </c>
      <c r="X63" s="9">
        <f>IF(ISNUMBER(X$3),X$2*MAX(0,MIN(1,((YEAR($A63)-YEAR(X$3))*12+MONTH($A63)-MONTH(X$3)+1)/'Capacity by month'!$O$2)),0)</f>
        <v/>
      </c>
      <c r="Y63" s="9">
        <f>IF(ISNUMBER(Y$3),Y$2*MAX(0,MIN(1,((YEAR($A63)-YEAR(Y$3))*12+MONTH($A63)-MONTH(Y$3)+1)/'Capacity by month'!$O$2)),0)</f>
        <v/>
      </c>
      <c r="Z63" s="9">
        <f>IF(ISNUMBER(Z$3),Z$2*MAX(0,MIN(1,((YEAR($A63)-YEAR(Z$3))*12+MONTH($A63)-MONTH(Z$3)+1)/'Capacity by month'!$O$2)),0)</f>
        <v/>
      </c>
      <c r="AA63">
        <f>SUM(B63:Z63)</f>
        <v/>
      </c>
      <c r="AB63" t="n">
        <v>0</v>
      </c>
    </row>
    <row r="64">
      <c r="A64" s="8" t="n">
        <v>46023</v>
      </c>
      <c r="B64" s="9">
        <f>IF(ISNUMBER(B$3),B$2*MAX(0,MIN(1,((YEAR($A64)-YEAR(B$3))*12+MONTH($A64)-MONTH(B$3)+1)/'Capacity by month'!$O$2)),0)</f>
        <v/>
      </c>
      <c r="C64" s="9">
        <f>IF(ISNUMBER(C$3),C$2*MAX(0,MIN(1,((YEAR($A64)-YEAR(C$3))*12+MONTH($A64)-MONTH(C$3)+1)/'Capacity by month'!$O$2)),0)</f>
        <v/>
      </c>
      <c r="D64" s="9">
        <f>IF(ISNUMBER(D$3),D$2*MAX(0,MIN(1,((YEAR($A64)-YEAR(D$3))*12+MONTH($A64)-MONTH(D$3)+1)/'Capacity by month'!$O$2)),0)</f>
        <v/>
      </c>
      <c r="E64" s="9">
        <f>IF(ISNUMBER(E$3),E$2*MAX(0,MIN(1,((YEAR($A64)-YEAR(E$3))*12+MONTH($A64)-MONTH(E$3)+1)/'Capacity by month'!$O$2)),0)</f>
        <v/>
      </c>
      <c r="F64" s="9">
        <f>IF(ISNUMBER(F$3),F$2*MAX(0,MIN(1,((YEAR($A64)-YEAR(F$3))*12+MONTH($A64)-MONTH(F$3)+1)/'Capacity by month'!$O$2)),0)</f>
        <v/>
      </c>
      <c r="G64" s="9">
        <f>IF(ISNUMBER(G$3),G$2*MAX(0,MIN(1,((YEAR($A64)-YEAR(G$3))*12+MONTH($A64)-MONTH(G$3)+1)/'Capacity by month'!$O$2)),0)</f>
        <v/>
      </c>
      <c r="H64" s="9">
        <f>IF(ISNUMBER(H$3),H$2*MAX(0,MIN(1,((YEAR($A64)-YEAR(H$3))*12+MONTH($A64)-MONTH(H$3)+1)/'Capacity by month'!$O$2)),0)</f>
        <v/>
      </c>
      <c r="I64" s="9">
        <f>IF(ISNUMBER(I$3),I$2*MAX(0,MIN(1,((YEAR($A64)-YEAR(I$3))*12+MONTH($A64)-MONTH(I$3)+1)/'Capacity by month'!$O$2)),0)</f>
        <v/>
      </c>
      <c r="J64" s="9">
        <f>IF(ISNUMBER(J$3),J$2*MAX(0,MIN(1,((YEAR($A64)-YEAR(J$3))*12+MONTH($A64)-MONTH(J$3)+1)/'Capacity by month'!$O$2)),0)</f>
        <v/>
      </c>
      <c r="K64" s="9">
        <f>IF(ISNUMBER(K$3),K$2*MAX(0,MIN(1,((YEAR($A64)-YEAR(K$3))*12+MONTH($A64)-MONTH(K$3)+1)/'Capacity by month'!$O$2)),0)</f>
        <v/>
      </c>
      <c r="L64" s="9">
        <f>IF(ISNUMBER(L$3),L$2*MAX(0,MIN(1,((YEAR($A64)-YEAR(L$3))*12+MONTH($A64)-MONTH(L$3)+1)/'Capacity by month'!$O$2)),0)</f>
        <v/>
      </c>
      <c r="M64" s="9">
        <f>IF(ISNUMBER(M$3),M$2*MAX(0,MIN(1,((YEAR($A64)-YEAR(M$3))*12+MONTH($A64)-MONTH(M$3)+1)/'Capacity by month'!$O$2)),0)</f>
        <v/>
      </c>
      <c r="N64" s="9">
        <f>IF(ISNUMBER(N$3),N$2*MAX(0,MIN(1,((YEAR($A64)-YEAR(N$3))*12+MONTH($A64)-MONTH(N$3)+1)/'Capacity by month'!$O$2)),0)</f>
        <v/>
      </c>
      <c r="O64" s="9">
        <f>IF(ISNUMBER(O$3),O$2*MAX(0,MIN(1,((YEAR($A64)-YEAR(O$3))*12+MONTH($A64)-MONTH(O$3)+1)/'Capacity by month'!$O$2)),0)</f>
        <v/>
      </c>
      <c r="P64" s="9">
        <f>IF(ISNUMBER(P$3),P$2*MAX(0,MIN(1,((YEAR($A64)-YEAR(P$3))*12+MONTH($A64)-MONTH(P$3)+1)/'Capacity by month'!$O$2)),0)</f>
        <v/>
      </c>
      <c r="Q64" s="9">
        <f>IF(ISNUMBER(Q$3),Q$2*MAX(0,MIN(1,((YEAR($A64)-YEAR(Q$3))*12+MONTH($A64)-MONTH(Q$3)+1)/'Capacity by month'!$O$2)),0)</f>
        <v/>
      </c>
      <c r="R64" s="9">
        <f>IF(ISNUMBER(R$3),R$2*MAX(0,MIN(1,((YEAR($A64)-YEAR(R$3))*12+MONTH($A64)-MONTH(R$3)+1)/'Capacity by month'!$O$2)),0)</f>
        <v/>
      </c>
      <c r="S64" s="9">
        <f>IF(ISNUMBER(S$3),S$2*MAX(0,MIN(1,((YEAR($A64)-YEAR(S$3))*12+MONTH($A64)-MONTH(S$3)+1)/'Capacity by month'!$O$2)),0)</f>
        <v/>
      </c>
      <c r="T64" s="9">
        <f>IF(ISNUMBER(T$3),T$2*MAX(0,MIN(1,((YEAR($A64)-YEAR(T$3))*12+MONTH($A64)-MONTH(T$3)+1)/'Capacity by month'!$O$2)),0)</f>
        <v/>
      </c>
      <c r="U64" s="9">
        <f>IF(ISNUMBER(U$3),U$2*MAX(0,MIN(1,((YEAR($A64)-YEAR(U$3))*12+MONTH($A64)-MONTH(U$3)+1)/'Capacity by month'!$O$2)),0)</f>
        <v/>
      </c>
      <c r="V64" s="9">
        <f>IF(ISNUMBER(V$3),V$2*MAX(0,MIN(1,((YEAR($A64)-YEAR(V$3))*12+MONTH($A64)-MONTH(V$3)+1)/'Capacity by month'!$O$2)),0)</f>
        <v/>
      </c>
      <c r="W64" s="9">
        <f>IF(ISNUMBER(W$3),W$2*MAX(0,MIN(1,((YEAR($A64)-YEAR(W$3))*12+MONTH($A64)-MONTH(W$3)+1)/'Capacity by month'!$O$2)),0)</f>
        <v/>
      </c>
      <c r="X64" s="9">
        <f>IF(ISNUMBER(X$3),X$2*MAX(0,MIN(1,((YEAR($A64)-YEAR(X$3))*12+MONTH($A64)-MONTH(X$3)+1)/'Capacity by month'!$O$2)),0)</f>
        <v/>
      </c>
      <c r="Y64" s="9">
        <f>IF(ISNUMBER(Y$3),Y$2*MAX(0,MIN(1,((YEAR($A64)-YEAR(Y$3))*12+MONTH($A64)-MONTH(Y$3)+1)/'Capacity by month'!$O$2)),0)</f>
        <v/>
      </c>
      <c r="Z64" s="9">
        <f>IF(ISNUMBER(Z$3),Z$2*MAX(0,MIN(1,((YEAR($A64)-YEAR(Z$3))*12+MONTH($A64)-MONTH(Z$3)+1)/'Capacity by month'!$O$2)),0)</f>
        <v/>
      </c>
      <c r="AA64">
        <f>SUM(B64:Z64)</f>
        <v/>
      </c>
      <c r="AB64" t="n">
        <v>0</v>
      </c>
    </row>
    <row r="65">
      <c r="A65" s="8" t="n">
        <v>46054</v>
      </c>
      <c r="B65" s="9">
        <f>IF(ISNUMBER(B$3),B$2*MAX(0,MIN(1,((YEAR($A65)-YEAR(B$3))*12+MONTH($A65)-MONTH(B$3)+1)/'Capacity by month'!$O$2)),0)</f>
        <v/>
      </c>
      <c r="C65" s="9">
        <f>IF(ISNUMBER(C$3),C$2*MAX(0,MIN(1,((YEAR($A65)-YEAR(C$3))*12+MONTH($A65)-MONTH(C$3)+1)/'Capacity by month'!$O$2)),0)</f>
        <v/>
      </c>
      <c r="D65" s="9">
        <f>IF(ISNUMBER(D$3),D$2*MAX(0,MIN(1,((YEAR($A65)-YEAR(D$3))*12+MONTH($A65)-MONTH(D$3)+1)/'Capacity by month'!$O$2)),0)</f>
        <v/>
      </c>
      <c r="E65" s="9">
        <f>IF(ISNUMBER(E$3),E$2*MAX(0,MIN(1,((YEAR($A65)-YEAR(E$3))*12+MONTH($A65)-MONTH(E$3)+1)/'Capacity by month'!$O$2)),0)</f>
        <v/>
      </c>
      <c r="F65" s="9">
        <f>IF(ISNUMBER(F$3),F$2*MAX(0,MIN(1,((YEAR($A65)-YEAR(F$3))*12+MONTH($A65)-MONTH(F$3)+1)/'Capacity by month'!$O$2)),0)</f>
        <v/>
      </c>
      <c r="G65" s="9">
        <f>IF(ISNUMBER(G$3),G$2*MAX(0,MIN(1,((YEAR($A65)-YEAR(G$3))*12+MONTH($A65)-MONTH(G$3)+1)/'Capacity by month'!$O$2)),0)</f>
        <v/>
      </c>
      <c r="H65" s="9">
        <f>IF(ISNUMBER(H$3),H$2*MAX(0,MIN(1,((YEAR($A65)-YEAR(H$3))*12+MONTH($A65)-MONTH(H$3)+1)/'Capacity by month'!$O$2)),0)</f>
        <v/>
      </c>
      <c r="I65" s="9">
        <f>IF(ISNUMBER(I$3),I$2*MAX(0,MIN(1,((YEAR($A65)-YEAR(I$3))*12+MONTH($A65)-MONTH(I$3)+1)/'Capacity by month'!$O$2)),0)</f>
        <v/>
      </c>
      <c r="J65" s="9">
        <f>IF(ISNUMBER(J$3),J$2*MAX(0,MIN(1,((YEAR($A65)-YEAR(J$3))*12+MONTH($A65)-MONTH(J$3)+1)/'Capacity by month'!$O$2)),0)</f>
        <v/>
      </c>
      <c r="K65" s="9">
        <f>IF(ISNUMBER(K$3),K$2*MAX(0,MIN(1,((YEAR($A65)-YEAR(K$3))*12+MONTH($A65)-MONTH(K$3)+1)/'Capacity by month'!$O$2)),0)</f>
        <v/>
      </c>
      <c r="L65" s="9">
        <f>IF(ISNUMBER(L$3),L$2*MAX(0,MIN(1,((YEAR($A65)-YEAR(L$3))*12+MONTH($A65)-MONTH(L$3)+1)/'Capacity by month'!$O$2)),0)</f>
        <v/>
      </c>
      <c r="M65" s="9">
        <f>IF(ISNUMBER(M$3),M$2*MAX(0,MIN(1,((YEAR($A65)-YEAR(M$3))*12+MONTH($A65)-MONTH(M$3)+1)/'Capacity by month'!$O$2)),0)</f>
        <v/>
      </c>
      <c r="N65" s="9">
        <f>IF(ISNUMBER(N$3),N$2*MAX(0,MIN(1,((YEAR($A65)-YEAR(N$3))*12+MONTH($A65)-MONTH(N$3)+1)/'Capacity by month'!$O$2)),0)</f>
        <v/>
      </c>
      <c r="O65" s="9">
        <f>IF(ISNUMBER(O$3),O$2*MAX(0,MIN(1,((YEAR($A65)-YEAR(O$3))*12+MONTH($A65)-MONTH(O$3)+1)/'Capacity by month'!$O$2)),0)</f>
        <v/>
      </c>
      <c r="P65" s="9">
        <f>IF(ISNUMBER(P$3),P$2*MAX(0,MIN(1,((YEAR($A65)-YEAR(P$3))*12+MONTH($A65)-MONTH(P$3)+1)/'Capacity by month'!$O$2)),0)</f>
        <v/>
      </c>
      <c r="Q65" s="9">
        <f>IF(ISNUMBER(Q$3),Q$2*MAX(0,MIN(1,((YEAR($A65)-YEAR(Q$3))*12+MONTH($A65)-MONTH(Q$3)+1)/'Capacity by month'!$O$2)),0)</f>
        <v/>
      </c>
      <c r="R65" s="9">
        <f>IF(ISNUMBER(R$3),R$2*MAX(0,MIN(1,((YEAR($A65)-YEAR(R$3))*12+MONTH($A65)-MONTH(R$3)+1)/'Capacity by month'!$O$2)),0)</f>
        <v/>
      </c>
      <c r="S65" s="9">
        <f>IF(ISNUMBER(S$3),S$2*MAX(0,MIN(1,((YEAR($A65)-YEAR(S$3))*12+MONTH($A65)-MONTH(S$3)+1)/'Capacity by month'!$O$2)),0)</f>
        <v/>
      </c>
      <c r="T65" s="9">
        <f>IF(ISNUMBER(T$3),T$2*MAX(0,MIN(1,((YEAR($A65)-YEAR(T$3))*12+MONTH($A65)-MONTH(T$3)+1)/'Capacity by month'!$O$2)),0)</f>
        <v/>
      </c>
      <c r="U65" s="9">
        <f>IF(ISNUMBER(U$3),U$2*MAX(0,MIN(1,((YEAR($A65)-YEAR(U$3))*12+MONTH($A65)-MONTH(U$3)+1)/'Capacity by month'!$O$2)),0)</f>
        <v/>
      </c>
      <c r="V65" s="9">
        <f>IF(ISNUMBER(V$3),V$2*MAX(0,MIN(1,((YEAR($A65)-YEAR(V$3))*12+MONTH($A65)-MONTH(V$3)+1)/'Capacity by month'!$O$2)),0)</f>
        <v/>
      </c>
      <c r="W65" s="9">
        <f>IF(ISNUMBER(W$3),W$2*MAX(0,MIN(1,((YEAR($A65)-YEAR(W$3))*12+MONTH($A65)-MONTH(W$3)+1)/'Capacity by month'!$O$2)),0)</f>
        <v/>
      </c>
      <c r="X65" s="9">
        <f>IF(ISNUMBER(X$3),X$2*MAX(0,MIN(1,((YEAR($A65)-YEAR(X$3))*12+MONTH($A65)-MONTH(X$3)+1)/'Capacity by month'!$O$2)),0)</f>
        <v/>
      </c>
      <c r="Y65" s="9">
        <f>IF(ISNUMBER(Y$3),Y$2*MAX(0,MIN(1,((YEAR($A65)-YEAR(Y$3))*12+MONTH($A65)-MONTH(Y$3)+1)/'Capacity by month'!$O$2)),0)</f>
        <v/>
      </c>
      <c r="Z65" s="9">
        <f>IF(ISNUMBER(Z$3),Z$2*MAX(0,MIN(1,((YEAR($A65)-YEAR(Z$3))*12+MONTH($A65)-MONTH(Z$3)+1)/'Capacity by month'!$O$2)),0)</f>
        <v/>
      </c>
      <c r="AA65">
        <f>SUM(B65:Z65)</f>
        <v/>
      </c>
      <c r="AB65" t="n">
        <v>0</v>
      </c>
    </row>
    <row r="66">
      <c r="A66" s="8" t="n">
        <v>46082</v>
      </c>
      <c r="B66" s="9">
        <f>IF(ISNUMBER(B$3),B$2*MAX(0,MIN(1,((YEAR($A66)-YEAR(B$3))*12+MONTH($A66)-MONTH(B$3)+1)/'Capacity by month'!$O$2)),0)</f>
        <v/>
      </c>
      <c r="C66" s="9">
        <f>IF(ISNUMBER(C$3),C$2*MAX(0,MIN(1,((YEAR($A66)-YEAR(C$3))*12+MONTH($A66)-MONTH(C$3)+1)/'Capacity by month'!$O$2)),0)</f>
        <v/>
      </c>
      <c r="D66" s="9">
        <f>IF(ISNUMBER(D$3),D$2*MAX(0,MIN(1,((YEAR($A66)-YEAR(D$3))*12+MONTH($A66)-MONTH(D$3)+1)/'Capacity by month'!$O$2)),0)</f>
        <v/>
      </c>
      <c r="E66" s="9">
        <f>IF(ISNUMBER(E$3),E$2*MAX(0,MIN(1,((YEAR($A66)-YEAR(E$3))*12+MONTH($A66)-MONTH(E$3)+1)/'Capacity by month'!$O$2)),0)</f>
        <v/>
      </c>
      <c r="F66" s="9">
        <f>IF(ISNUMBER(F$3),F$2*MAX(0,MIN(1,((YEAR($A66)-YEAR(F$3))*12+MONTH($A66)-MONTH(F$3)+1)/'Capacity by month'!$O$2)),0)</f>
        <v/>
      </c>
      <c r="G66" s="9">
        <f>IF(ISNUMBER(G$3),G$2*MAX(0,MIN(1,((YEAR($A66)-YEAR(G$3))*12+MONTH($A66)-MONTH(G$3)+1)/'Capacity by month'!$O$2)),0)</f>
        <v/>
      </c>
      <c r="H66" s="9">
        <f>IF(ISNUMBER(H$3),H$2*MAX(0,MIN(1,((YEAR($A66)-YEAR(H$3))*12+MONTH($A66)-MONTH(H$3)+1)/'Capacity by month'!$O$2)),0)</f>
        <v/>
      </c>
      <c r="I66" s="9">
        <f>IF(ISNUMBER(I$3),I$2*MAX(0,MIN(1,((YEAR($A66)-YEAR(I$3))*12+MONTH($A66)-MONTH(I$3)+1)/'Capacity by month'!$O$2)),0)</f>
        <v/>
      </c>
      <c r="J66" s="9">
        <f>IF(ISNUMBER(J$3),J$2*MAX(0,MIN(1,((YEAR($A66)-YEAR(J$3))*12+MONTH($A66)-MONTH(J$3)+1)/'Capacity by month'!$O$2)),0)</f>
        <v/>
      </c>
      <c r="K66" s="9">
        <f>IF(ISNUMBER(K$3),K$2*MAX(0,MIN(1,((YEAR($A66)-YEAR(K$3))*12+MONTH($A66)-MONTH(K$3)+1)/'Capacity by month'!$O$2)),0)</f>
        <v/>
      </c>
      <c r="L66" s="9">
        <f>IF(ISNUMBER(L$3),L$2*MAX(0,MIN(1,((YEAR($A66)-YEAR(L$3))*12+MONTH($A66)-MONTH(L$3)+1)/'Capacity by month'!$O$2)),0)</f>
        <v/>
      </c>
      <c r="M66" s="9">
        <f>IF(ISNUMBER(M$3),M$2*MAX(0,MIN(1,((YEAR($A66)-YEAR(M$3))*12+MONTH($A66)-MONTH(M$3)+1)/'Capacity by month'!$O$2)),0)</f>
        <v/>
      </c>
      <c r="N66" s="9">
        <f>IF(ISNUMBER(N$3),N$2*MAX(0,MIN(1,((YEAR($A66)-YEAR(N$3))*12+MONTH($A66)-MONTH(N$3)+1)/'Capacity by month'!$O$2)),0)</f>
        <v/>
      </c>
      <c r="O66" s="9">
        <f>IF(ISNUMBER(O$3),O$2*MAX(0,MIN(1,((YEAR($A66)-YEAR(O$3))*12+MONTH($A66)-MONTH(O$3)+1)/'Capacity by month'!$O$2)),0)</f>
        <v/>
      </c>
      <c r="P66" s="9">
        <f>IF(ISNUMBER(P$3),P$2*MAX(0,MIN(1,((YEAR($A66)-YEAR(P$3))*12+MONTH($A66)-MONTH(P$3)+1)/'Capacity by month'!$O$2)),0)</f>
        <v/>
      </c>
      <c r="Q66" s="9">
        <f>IF(ISNUMBER(Q$3),Q$2*MAX(0,MIN(1,((YEAR($A66)-YEAR(Q$3))*12+MONTH($A66)-MONTH(Q$3)+1)/'Capacity by month'!$O$2)),0)</f>
        <v/>
      </c>
      <c r="R66" s="9">
        <f>IF(ISNUMBER(R$3),R$2*MAX(0,MIN(1,((YEAR($A66)-YEAR(R$3))*12+MONTH($A66)-MONTH(R$3)+1)/'Capacity by month'!$O$2)),0)</f>
        <v/>
      </c>
      <c r="S66" s="9">
        <f>IF(ISNUMBER(S$3),S$2*MAX(0,MIN(1,((YEAR($A66)-YEAR(S$3))*12+MONTH($A66)-MONTH(S$3)+1)/'Capacity by month'!$O$2)),0)</f>
        <v/>
      </c>
      <c r="T66" s="9">
        <f>IF(ISNUMBER(T$3),T$2*MAX(0,MIN(1,((YEAR($A66)-YEAR(T$3))*12+MONTH($A66)-MONTH(T$3)+1)/'Capacity by month'!$O$2)),0)</f>
        <v/>
      </c>
      <c r="U66" s="9">
        <f>IF(ISNUMBER(U$3),U$2*MAX(0,MIN(1,((YEAR($A66)-YEAR(U$3))*12+MONTH($A66)-MONTH(U$3)+1)/'Capacity by month'!$O$2)),0)</f>
        <v/>
      </c>
      <c r="V66" s="9">
        <f>IF(ISNUMBER(V$3),V$2*MAX(0,MIN(1,((YEAR($A66)-YEAR(V$3))*12+MONTH($A66)-MONTH(V$3)+1)/'Capacity by month'!$O$2)),0)</f>
        <v/>
      </c>
      <c r="W66" s="9">
        <f>IF(ISNUMBER(W$3),W$2*MAX(0,MIN(1,((YEAR($A66)-YEAR(W$3))*12+MONTH($A66)-MONTH(W$3)+1)/'Capacity by month'!$O$2)),0)</f>
        <v/>
      </c>
      <c r="X66" s="9">
        <f>IF(ISNUMBER(X$3),X$2*MAX(0,MIN(1,((YEAR($A66)-YEAR(X$3))*12+MONTH($A66)-MONTH(X$3)+1)/'Capacity by month'!$O$2)),0)</f>
        <v/>
      </c>
      <c r="Y66" s="9">
        <f>IF(ISNUMBER(Y$3),Y$2*MAX(0,MIN(1,((YEAR($A66)-YEAR(Y$3))*12+MONTH($A66)-MONTH(Y$3)+1)/'Capacity by month'!$O$2)),0)</f>
        <v/>
      </c>
      <c r="Z66" s="9">
        <f>IF(ISNUMBER(Z$3),Z$2*MAX(0,MIN(1,((YEAR($A66)-YEAR(Z$3))*12+MONTH($A66)-MONTH(Z$3)+1)/'Capacity by month'!$O$2)),0)</f>
        <v/>
      </c>
      <c r="AA66">
        <f>SUM(B66:Z66)</f>
        <v/>
      </c>
      <c r="AB66" t="n">
        <v>0</v>
      </c>
    </row>
    <row r="67">
      <c r="A67" s="8" t="n">
        <v>46113</v>
      </c>
      <c r="B67" s="9">
        <f>IF(ISNUMBER(B$3),B$2*MAX(0,MIN(1,((YEAR($A67)-YEAR(B$3))*12+MONTH($A67)-MONTH(B$3)+1)/'Capacity by month'!$O$2)),0)</f>
        <v/>
      </c>
      <c r="C67" s="9">
        <f>IF(ISNUMBER(C$3),C$2*MAX(0,MIN(1,((YEAR($A67)-YEAR(C$3))*12+MONTH($A67)-MONTH(C$3)+1)/'Capacity by month'!$O$2)),0)</f>
        <v/>
      </c>
      <c r="D67" s="9">
        <f>IF(ISNUMBER(D$3),D$2*MAX(0,MIN(1,((YEAR($A67)-YEAR(D$3))*12+MONTH($A67)-MONTH(D$3)+1)/'Capacity by month'!$O$2)),0)</f>
        <v/>
      </c>
      <c r="E67" s="9">
        <f>IF(ISNUMBER(E$3),E$2*MAX(0,MIN(1,((YEAR($A67)-YEAR(E$3))*12+MONTH($A67)-MONTH(E$3)+1)/'Capacity by month'!$O$2)),0)</f>
        <v/>
      </c>
      <c r="F67" s="9">
        <f>IF(ISNUMBER(F$3),F$2*MAX(0,MIN(1,((YEAR($A67)-YEAR(F$3))*12+MONTH($A67)-MONTH(F$3)+1)/'Capacity by month'!$O$2)),0)</f>
        <v/>
      </c>
      <c r="G67" s="9">
        <f>IF(ISNUMBER(G$3),G$2*MAX(0,MIN(1,((YEAR($A67)-YEAR(G$3))*12+MONTH($A67)-MONTH(G$3)+1)/'Capacity by month'!$O$2)),0)</f>
        <v/>
      </c>
      <c r="H67" s="9">
        <f>IF(ISNUMBER(H$3),H$2*MAX(0,MIN(1,((YEAR($A67)-YEAR(H$3))*12+MONTH($A67)-MONTH(H$3)+1)/'Capacity by month'!$O$2)),0)</f>
        <v/>
      </c>
      <c r="I67" s="9">
        <f>IF(ISNUMBER(I$3),I$2*MAX(0,MIN(1,((YEAR($A67)-YEAR(I$3))*12+MONTH($A67)-MONTH(I$3)+1)/'Capacity by month'!$O$2)),0)</f>
        <v/>
      </c>
      <c r="J67" s="9">
        <f>IF(ISNUMBER(J$3),J$2*MAX(0,MIN(1,((YEAR($A67)-YEAR(J$3))*12+MONTH($A67)-MONTH(J$3)+1)/'Capacity by month'!$O$2)),0)</f>
        <v/>
      </c>
      <c r="K67" s="9">
        <f>IF(ISNUMBER(K$3),K$2*MAX(0,MIN(1,((YEAR($A67)-YEAR(K$3))*12+MONTH($A67)-MONTH(K$3)+1)/'Capacity by month'!$O$2)),0)</f>
        <v/>
      </c>
      <c r="L67" s="9">
        <f>IF(ISNUMBER(L$3),L$2*MAX(0,MIN(1,((YEAR($A67)-YEAR(L$3))*12+MONTH($A67)-MONTH(L$3)+1)/'Capacity by month'!$O$2)),0)</f>
        <v/>
      </c>
      <c r="M67" s="9">
        <f>IF(ISNUMBER(M$3),M$2*MAX(0,MIN(1,((YEAR($A67)-YEAR(M$3))*12+MONTH($A67)-MONTH(M$3)+1)/'Capacity by month'!$O$2)),0)</f>
        <v/>
      </c>
      <c r="N67" s="9">
        <f>IF(ISNUMBER(N$3),N$2*MAX(0,MIN(1,((YEAR($A67)-YEAR(N$3))*12+MONTH($A67)-MONTH(N$3)+1)/'Capacity by month'!$O$2)),0)</f>
        <v/>
      </c>
      <c r="O67" s="9">
        <f>IF(ISNUMBER(O$3),O$2*MAX(0,MIN(1,((YEAR($A67)-YEAR(O$3))*12+MONTH($A67)-MONTH(O$3)+1)/'Capacity by month'!$O$2)),0)</f>
        <v/>
      </c>
      <c r="P67" s="9">
        <f>IF(ISNUMBER(P$3),P$2*MAX(0,MIN(1,((YEAR($A67)-YEAR(P$3))*12+MONTH($A67)-MONTH(P$3)+1)/'Capacity by month'!$O$2)),0)</f>
        <v/>
      </c>
      <c r="Q67" s="9">
        <f>IF(ISNUMBER(Q$3),Q$2*MAX(0,MIN(1,((YEAR($A67)-YEAR(Q$3))*12+MONTH($A67)-MONTH(Q$3)+1)/'Capacity by month'!$O$2)),0)</f>
        <v/>
      </c>
      <c r="R67" s="9">
        <f>IF(ISNUMBER(R$3),R$2*MAX(0,MIN(1,((YEAR($A67)-YEAR(R$3))*12+MONTH($A67)-MONTH(R$3)+1)/'Capacity by month'!$O$2)),0)</f>
        <v/>
      </c>
      <c r="S67" s="9">
        <f>IF(ISNUMBER(S$3),S$2*MAX(0,MIN(1,((YEAR($A67)-YEAR(S$3))*12+MONTH($A67)-MONTH(S$3)+1)/'Capacity by month'!$O$2)),0)</f>
        <v/>
      </c>
      <c r="T67" s="9">
        <f>IF(ISNUMBER(T$3),T$2*MAX(0,MIN(1,((YEAR($A67)-YEAR(T$3))*12+MONTH($A67)-MONTH(T$3)+1)/'Capacity by month'!$O$2)),0)</f>
        <v/>
      </c>
      <c r="U67" s="9">
        <f>IF(ISNUMBER(U$3),U$2*MAX(0,MIN(1,((YEAR($A67)-YEAR(U$3))*12+MONTH($A67)-MONTH(U$3)+1)/'Capacity by month'!$O$2)),0)</f>
        <v/>
      </c>
      <c r="V67" s="9">
        <f>IF(ISNUMBER(V$3),V$2*MAX(0,MIN(1,((YEAR($A67)-YEAR(V$3))*12+MONTH($A67)-MONTH(V$3)+1)/'Capacity by month'!$O$2)),0)</f>
        <v/>
      </c>
      <c r="W67" s="9">
        <f>IF(ISNUMBER(W$3),W$2*MAX(0,MIN(1,((YEAR($A67)-YEAR(W$3))*12+MONTH($A67)-MONTH(W$3)+1)/'Capacity by month'!$O$2)),0)</f>
        <v/>
      </c>
      <c r="X67" s="9">
        <f>IF(ISNUMBER(X$3),X$2*MAX(0,MIN(1,((YEAR($A67)-YEAR(X$3))*12+MONTH($A67)-MONTH(X$3)+1)/'Capacity by month'!$O$2)),0)</f>
        <v/>
      </c>
      <c r="Y67" s="9">
        <f>IF(ISNUMBER(Y$3),Y$2*MAX(0,MIN(1,((YEAR($A67)-YEAR(Y$3))*12+MONTH($A67)-MONTH(Y$3)+1)/'Capacity by month'!$O$2)),0)</f>
        <v/>
      </c>
      <c r="Z67" s="9">
        <f>IF(ISNUMBER(Z$3),Z$2*MAX(0,MIN(1,((YEAR($A67)-YEAR(Z$3))*12+MONTH($A67)-MONTH(Z$3)+1)/'Capacity by month'!$O$2)),0)</f>
        <v/>
      </c>
      <c r="AA67">
        <f>SUM(B67:Z67)</f>
        <v/>
      </c>
      <c r="AB67" t="n">
        <v>0</v>
      </c>
    </row>
    <row r="68">
      <c r="A68" s="8" t="n">
        <v>46143</v>
      </c>
      <c r="B68" s="9">
        <f>IF(ISNUMBER(B$3),B$2*MAX(0,MIN(1,((YEAR($A68)-YEAR(B$3))*12+MONTH($A68)-MONTH(B$3)+1)/'Capacity by month'!$O$2)),0)</f>
        <v/>
      </c>
      <c r="C68" s="9">
        <f>IF(ISNUMBER(C$3),C$2*MAX(0,MIN(1,((YEAR($A68)-YEAR(C$3))*12+MONTH($A68)-MONTH(C$3)+1)/'Capacity by month'!$O$2)),0)</f>
        <v/>
      </c>
      <c r="D68" s="9">
        <f>IF(ISNUMBER(D$3),D$2*MAX(0,MIN(1,((YEAR($A68)-YEAR(D$3))*12+MONTH($A68)-MONTH(D$3)+1)/'Capacity by month'!$O$2)),0)</f>
        <v/>
      </c>
      <c r="E68" s="9">
        <f>IF(ISNUMBER(E$3),E$2*MAX(0,MIN(1,((YEAR($A68)-YEAR(E$3))*12+MONTH($A68)-MONTH(E$3)+1)/'Capacity by month'!$O$2)),0)</f>
        <v/>
      </c>
      <c r="F68" s="9">
        <f>IF(ISNUMBER(F$3),F$2*MAX(0,MIN(1,((YEAR($A68)-YEAR(F$3))*12+MONTH($A68)-MONTH(F$3)+1)/'Capacity by month'!$O$2)),0)</f>
        <v/>
      </c>
      <c r="G68" s="9">
        <f>IF(ISNUMBER(G$3),G$2*MAX(0,MIN(1,((YEAR($A68)-YEAR(G$3))*12+MONTH($A68)-MONTH(G$3)+1)/'Capacity by month'!$O$2)),0)</f>
        <v/>
      </c>
      <c r="H68" s="9">
        <f>IF(ISNUMBER(H$3),H$2*MAX(0,MIN(1,((YEAR($A68)-YEAR(H$3))*12+MONTH($A68)-MONTH(H$3)+1)/'Capacity by month'!$O$2)),0)</f>
        <v/>
      </c>
      <c r="I68" s="9">
        <f>IF(ISNUMBER(I$3),I$2*MAX(0,MIN(1,((YEAR($A68)-YEAR(I$3))*12+MONTH($A68)-MONTH(I$3)+1)/'Capacity by month'!$O$2)),0)</f>
        <v/>
      </c>
      <c r="J68" s="9">
        <f>IF(ISNUMBER(J$3),J$2*MAX(0,MIN(1,((YEAR($A68)-YEAR(J$3))*12+MONTH($A68)-MONTH(J$3)+1)/'Capacity by month'!$O$2)),0)</f>
        <v/>
      </c>
      <c r="K68" s="9">
        <f>IF(ISNUMBER(K$3),K$2*MAX(0,MIN(1,((YEAR($A68)-YEAR(K$3))*12+MONTH($A68)-MONTH(K$3)+1)/'Capacity by month'!$O$2)),0)</f>
        <v/>
      </c>
      <c r="L68" s="9">
        <f>IF(ISNUMBER(L$3),L$2*MAX(0,MIN(1,((YEAR($A68)-YEAR(L$3))*12+MONTH($A68)-MONTH(L$3)+1)/'Capacity by month'!$O$2)),0)</f>
        <v/>
      </c>
      <c r="M68" s="9">
        <f>IF(ISNUMBER(M$3),M$2*MAX(0,MIN(1,((YEAR($A68)-YEAR(M$3))*12+MONTH($A68)-MONTH(M$3)+1)/'Capacity by month'!$O$2)),0)</f>
        <v/>
      </c>
      <c r="N68" s="9">
        <f>IF(ISNUMBER(N$3),N$2*MAX(0,MIN(1,((YEAR($A68)-YEAR(N$3))*12+MONTH($A68)-MONTH(N$3)+1)/'Capacity by month'!$O$2)),0)</f>
        <v/>
      </c>
      <c r="O68" s="9">
        <f>IF(ISNUMBER(O$3),O$2*MAX(0,MIN(1,((YEAR($A68)-YEAR(O$3))*12+MONTH($A68)-MONTH(O$3)+1)/'Capacity by month'!$O$2)),0)</f>
        <v/>
      </c>
      <c r="P68" s="9">
        <f>IF(ISNUMBER(P$3),P$2*MAX(0,MIN(1,((YEAR($A68)-YEAR(P$3))*12+MONTH($A68)-MONTH(P$3)+1)/'Capacity by month'!$O$2)),0)</f>
        <v/>
      </c>
      <c r="Q68" s="9">
        <f>IF(ISNUMBER(Q$3),Q$2*MAX(0,MIN(1,((YEAR($A68)-YEAR(Q$3))*12+MONTH($A68)-MONTH(Q$3)+1)/'Capacity by month'!$O$2)),0)</f>
        <v/>
      </c>
      <c r="R68" s="9">
        <f>IF(ISNUMBER(R$3),R$2*MAX(0,MIN(1,((YEAR($A68)-YEAR(R$3))*12+MONTH($A68)-MONTH(R$3)+1)/'Capacity by month'!$O$2)),0)</f>
        <v/>
      </c>
      <c r="S68" s="9">
        <f>IF(ISNUMBER(S$3),S$2*MAX(0,MIN(1,((YEAR($A68)-YEAR(S$3))*12+MONTH($A68)-MONTH(S$3)+1)/'Capacity by month'!$O$2)),0)</f>
        <v/>
      </c>
      <c r="T68" s="9">
        <f>IF(ISNUMBER(T$3),T$2*MAX(0,MIN(1,((YEAR($A68)-YEAR(T$3))*12+MONTH($A68)-MONTH(T$3)+1)/'Capacity by month'!$O$2)),0)</f>
        <v/>
      </c>
      <c r="U68" s="9">
        <f>IF(ISNUMBER(U$3),U$2*MAX(0,MIN(1,((YEAR($A68)-YEAR(U$3))*12+MONTH($A68)-MONTH(U$3)+1)/'Capacity by month'!$O$2)),0)</f>
        <v/>
      </c>
      <c r="V68" s="9">
        <f>IF(ISNUMBER(V$3),V$2*MAX(0,MIN(1,((YEAR($A68)-YEAR(V$3))*12+MONTH($A68)-MONTH(V$3)+1)/'Capacity by month'!$O$2)),0)</f>
        <v/>
      </c>
      <c r="W68" s="9">
        <f>IF(ISNUMBER(W$3),W$2*MAX(0,MIN(1,((YEAR($A68)-YEAR(W$3))*12+MONTH($A68)-MONTH(W$3)+1)/'Capacity by month'!$O$2)),0)</f>
        <v/>
      </c>
      <c r="X68" s="9">
        <f>IF(ISNUMBER(X$3),X$2*MAX(0,MIN(1,((YEAR($A68)-YEAR(X$3))*12+MONTH($A68)-MONTH(X$3)+1)/'Capacity by month'!$O$2)),0)</f>
        <v/>
      </c>
      <c r="Y68" s="9">
        <f>IF(ISNUMBER(Y$3),Y$2*MAX(0,MIN(1,((YEAR($A68)-YEAR(Y$3))*12+MONTH($A68)-MONTH(Y$3)+1)/'Capacity by month'!$O$2)),0)</f>
        <v/>
      </c>
      <c r="Z68" s="9">
        <f>IF(ISNUMBER(Z$3),Z$2*MAX(0,MIN(1,((YEAR($A68)-YEAR(Z$3))*12+MONTH($A68)-MONTH(Z$3)+1)/'Capacity by month'!$O$2)),0)</f>
        <v/>
      </c>
      <c r="AA68">
        <f>SUM(B68:Z68)</f>
        <v/>
      </c>
      <c r="AB68" t="n">
        <v>0</v>
      </c>
    </row>
    <row r="69">
      <c r="A69" s="8" t="n">
        <v>46174</v>
      </c>
      <c r="B69" s="9">
        <f>IF(ISNUMBER(B$3),B$2*MAX(0,MIN(1,((YEAR($A69)-YEAR(B$3))*12+MONTH($A69)-MONTH(B$3)+1)/'Capacity by month'!$O$2)),0)</f>
        <v/>
      </c>
      <c r="C69" s="9">
        <f>IF(ISNUMBER(C$3),C$2*MAX(0,MIN(1,((YEAR($A69)-YEAR(C$3))*12+MONTH($A69)-MONTH(C$3)+1)/'Capacity by month'!$O$2)),0)</f>
        <v/>
      </c>
      <c r="D69" s="9">
        <f>IF(ISNUMBER(D$3),D$2*MAX(0,MIN(1,((YEAR($A69)-YEAR(D$3))*12+MONTH($A69)-MONTH(D$3)+1)/'Capacity by month'!$O$2)),0)</f>
        <v/>
      </c>
      <c r="E69" s="9">
        <f>IF(ISNUMBER(E$3),E$2*MAX(0,MIN(1,((YEAR($A69)-YEAR(E$3))*12+MONTH($A69)-MONTH(E$3)+1)/'Capacity by month'!$O$2)),0)</f>
        <v/>
      </c>
      <c r="F69" s="9">
        <f>IF(ISNUMBER(F$3),F$2*MAX(0,MIN(1,((YEAR($A69)-YEAR(F$3))*12+MONTH($A69)-MONTH(F$3)+1)/'Capacity by month'!$O$2)),0)</f>
        <v/>
      </c>
      <c r="G69" s="9">
        <f>IF(ISNUMBER(G$3),G$2*MAX(0,MIN(1,((YEAR($A69)-YEAR(G$3))*12+MONTH($A69)-MONTH(G$3)+1)/'Capacity by month'!$O$2)),0)</f>
        <v/>
      </c>
      <c r="H69" s="9">
        <f>IF(ISNUMBER(H$3),H$2*MAX(0,MIN(1,((YEAR($A69)-YEAR(H$3))*12+MONTH($A69)-MONTH(H$3)+1)/'Capacity by month'!$O$2)),0)</f>
        <v/>
      </c>
      <c r="I69" s="9">
        <f>IF(ISNUMBER(I$3),I$2*MAX(0,MIN(1,((YEAR($A69)-YEAR(I$3))*12+MONTH($A69)-MONTH(I$3)+1)/'Capacity by month'!$O$2)),0)</f>
        <v/>
      </c>
      <c r="J69" s="9">
        <f>IF(ISNUMBER(J$3),J$2*MAX(0,MIN(1,((YEAR($A69)-YEAR(J$3))*12+MONTH($A69)-MONTH(J$3)+1)/'Capacity by month'!$O$2)),0)</f>
        <v/>
      </c>
      <c r="K69" s="9">
        <f>IF(ISNUMBER(K$3),K$2*MAX(0,MIN(1,((YEAR($A69)-YEAR(K$3))*12+MONTH($A69)-MONTH(K$3)+1)/'Capacity by month'!$O$2)),0)</f>
        <v/>
      </c>
      <c r="L69" s="9">
        <f>IF(ISNUMBER(L$3),L$2*MAX(0,MIN(1,((YEAR($A69)-YEAR(L$3))*12+MONTH($A69)-MONTH(L$3)+1)/'Capacity by month'!$O$2)),0)</f>
        <v/>
      </c>
      <c r="M69" s="9">
        <f>IF(ISNUMBER(M$3),M$2*MAX(0,MIN(1,((YEAR($A69)-YEAR(M$3))*12+MONTH($A69)-MONTH(M$3)+1)/'Capacity by month'!$O$2)),0)</f>
        <v/>
      </c>
      <c r="N69" s="9">
        <f>IF(ISNUMBER(N$3),N$2*MAX(0,MIN(1,((YEAR($A69)-YEAR(N$3))*12+MONTH($A69)-MONTH(N$3)+1)/'Capacity by month'!$O$2)),0)</f>
        <v/>
      </c>
      <c r="O69" s="9">
        <f>IF(ISNUMBER(O$3),O$2*MAX(0,MIN(1,((YEAR($A69)-YEAR(O$3))*12+MONTH($A69)-MONTH(O$3)+1)/'Capacity by month'!$O$2)),0)</f>
        <v/>
      </c>
      <c r="P69" s="9">
        <f>IF(ISNUMBER(P$3),P$2*MAX(0,MIN(1,((YEAR($A69)-YEAR(P$3))*12+MONTH($A69)-MONTH(P$3)+1)/'Capacity by month'!$O$2)),0)</f>
        <v/>
      </c>
      <c r="Q69" s="9">
        <f>IF(ISNUMBER(Q$3),Q$2*MAX(0,MIN(1,((YEAR($A69)-YEAR(Q$3))*12+MONTH($A69)-MONTH(Q$3)+1)/'Capacity by month'!$O$2)),0)</f>
        <v/>
      </c>
      <c r="R69" s="9">
        <f>IF(ISNUMBER(R$3),R$2*MAX(0,MIN(1,((YEAR($A69)-YEAR(R$3))*12+MONTH($A69)-MONTH(R$3)+1)/'Capacity by month'!$O$2)),0)</f>
        <v/>
      </c>
      <c r="S69" s="9">
        <f>IF(ISNUMBER(S$3),S$2*MAX(0,MIN(1,((YEAR($A69)-YEAR(S$3))*12+MONTH($A69)-MONTH(S$3)+1)/'Capacity by month'!$O$2)),0)</f>
        <v/>
      </c>
      <c r="T69" s="9">
        <f>IF(ISNUMBER(T$3),T$2*MAX(0,MIN(1,((YEAR($A69)-YEAR(T$3))*12+MONTH($A69)-MONTH(T$3)+1)/'Capacity by month'!$O$2)),0)</f>
        <v/>
      </c>
      <c r="U69" s="9">
        <f>IF(ISNUMBER(U$3),U$2*MAX(0,MIN(1,((YEAR($A69)-YEAR(U$3))*12+MONTH($A69)-MONTH(U$3)+1)/'Capacity by month'!$O$2)),0)</f>
        <v/>
      </c>
      <c r="V69" s="9">
        <f>IF(ISNUMBER(V$3),V$2*MAX(0,MIN(1,((YEAR($A69)-YEAR(V$3))*12+MONTH($A69)-MONTH(V$3)+1)/'Capacity by month'!$O$2)),0)</f>
        <v/>
      </c>
      <c r="W69" s="9">
        <f>IF(ISNUMBER(W$3),W$2*MAX(0,MIN(1,((YEAR($A69)-YEAR(W$3))*12+MONTH($A69)-MONTH(W$3)+1)/'Capacity by month'!$O$2)),0)</f>
        <v/>
      </c>
      <c r="X69" s="9">
        <f>IF(ISNUMBER(X$3),X$2*MAX(0,MIN(1,((YEAR($A69)-YEAR(X$3))*12+MONTH($A69)-MONTH(X$3)+1)/'Capacity by month'!$O$2)),0)</f>
        <v/>
      </c>
      <c r="Y69" s="9">
        <f>IF(ISNUMBER(Y$3),Y$2*MAX(0,MIN(1,((YEAR($A69)-YEAR(Y$3))*12+MONTH($A69)-MONTH(Y$3)+1)/'Capacity by month'!$O$2)),0)</f>
        <v/>
      </c>
      <c r="Z69" s="9">
        <f>IF(ISNUMBER(Z$3),Z$2*MAX(0,MIN(1,((YEAR($A69)-YEAR(Z$3))*12+MONTH($A69)-MONTH(Z$3)+1)/'Capacity by month'!$O$2)),0)</f>
        <v/>
      </c>
      <c r="AA69">
        <f>SUM(B69:Z69)</f>
        <v/>
      </c>
      <c r="AB69" t="n">
        <v>0</v>
      </c>
    </row>
    <row r="70">
      <c r="A70" s="8" t="n">
        <v>46204</v>
      </c>
      <c r="B70" s="9">
        <f>IF(ISNUMBER(B$3),B$2*MAX(0,MIN(1,((YEAR($A70)-YEAR(B$3))*12+MONTH($A70)-MONTH(B$3)+1)/'Capacity by month'!$O$2)),0)</f>
        <v/>
      </c>
      <c r="C70" s="9">
        <f>IF(ISNUMBER(C$3),C$2*MAX(0,MIN(1,((YEAR($A70)-YEAR(C$3))*12+MONTH($A70)-MONTH(C$3)+1)/'Capacity by month'!$O$2)),0)</f>
        <v/>
      </c>
      <c r="D70" s="9">
        <f>IF(ISNUMBER(D$3),D$2*MAX(0,MIN(1,((YEAR($A70)-YEAR(D$3))*12+MONTH($A70)-MONTH(D$3)+1)/'Capacity by month'!$O$2)),0)</f>
        <v/>
      </c>
      <c r="E70" s="9">
        <f>IF(ISNUMBER(E$3),E$2*MAX(0,MIN(1,((YEAR($A70)-YEAR(E$3))*12+MONTH($A70)-MONTH(E$3)+1)/'Capacity by month'!$O$2)),0)</f>
        <v/>
      </c>
      <c r="F70" s="9">
        <f>IF(ISNUMBER(F$3),F$2*MAX(0,MIN(1,((YEAR($A70)-YEAR(F$3))*12+MONTH($A70)-MONTH(F$3)+1)/'Capacity by month'!$O$2)),0)</f>
        <v/>
      </c>
      <c r="G70" s="9">
        <f>IF(ISNUMBER(G$3),G$2*MAX(0,MIN(1,((YEAR($A70)-YEAR(G$3))*12+MONTH($A70)-MONTH(G$3)+1)/'Capacity by month'!$O$2)),0)</f>
        <v/>
      </c>
      <c r="H70" s="9">
        <f>IF(ISNUMBER(H$3),H$2*MAX(0,MIN(1,((YEAR($A70)-YEAR(H$3))*12+MONTH($A70)-MONTH(H$3)+1)/'Capacity by month'!$O$2)),0)</f>
        <v/>
      </c>
      <c r="I70" s="9">
        <f>IF(ISNUMBER(I$3),I$2*MAX(0,MIN(1,((YEAR($A70)-YEAR(I$3))*12+MONTH($A70)-MONTH(I$3)+1)/'Capacity by month'!$O$2)),0)</f>
        <v/>
      </c>
      <c r="J70" s="9">
        <f>IF(ISNUMBER(J$3),J$2*MAX(0,MIN(1,((YEAR($A70)-YEAR(J$3))*12+MONTH($A70)-MONTH(J$3)+1)/'Capacity by month'!$O$2)),0)</f>
        <v/>
      </c>
      <c r="K70" s="9">
        <f>IF(ISNUMBER(K$3),K$2*MAX(0,MIN(1,((YEAR($A70)-YEAR(K$3))*12+MONTH($A70)-MONTH(K$3)+1)/'Capacity by month'!$O$2)),0)</f>
        <v/>
      </c>
      <c r="L70" s="9">
        <f>IF(ISNUMBER(L$3),L$2*MAX(0,MIN(1,((YEAR($A70)-YEAR(L$3))*12+MONTH($A70)-MONTH(L$3)+1)/'Capacity by month'!$O$2)),0)</f>
        <v/>
      </c>
      <c r="M70" s="9">
        <f>IF(ISNUMBER(M$3),M$2*MAX(0,MIN(1,((YEAR($A70)-YEAR(M$3))*12+MONTH($A70)-MONTH(M$3)+1)/'Capacity by month'!$O$2)),0)</f>
        <v/>
      </c>
      <c r="N70" s="9">
        <f>IF(ISNUMBER(N$3),N$2*MAX(0,MIN(1,((YEAR($A70)-YEAR(N$3))*12+MONTH($A70)-MONTH(N$3)+1)/'Capacity by month'!$O$2)),0)</f>
        <v/>
      </c>
      <c r="O70" s="9">
        <f>IF(ISNUMBER(O$3),O$2*MAX(0,MIN(1,((YEAR($A70)-YEAR(O$3))*12+MONTH($A70)-MONTH(O$3)+1)/'Capacity by month'!$O$2)),0)</f>
        <v/>
      </c>
      <c r="P70" s="9">
        <f>IF(ISNUMBER(P$3),P$2*MAX(0,MIN(1,((YEAR($A70)-YEAR(P$3))*12+MONTH($A70)-MONTH(P$3)+1)/'Capacity by month'!$O$2)),0)</f>
        <v/>
      </c>
      <c r="Q70" s="9">
        <f>IF(ISNUMBER(Q$3),Q$2*MAX(0,MIN(1,((YEAR($A70)-YEAR(Q$3))*12+MONTH($A70)-MONTH(Q$3)+1)/'Capacity by month'!$O$2)),0)</f>
        <v/>
      </c>
      <c r="R70" s="9">
        <f>IF(ISNUMBER(R$3),R$2*MAX(0,MIN(1,((YEAR($A70)-YEAR(R$3))*12+MONTH($A70)-MONTH(R$3)+1)/'Capacity by month'!$O$2)),0)</f>
        <v/>
      </c>
      <c r="S70" s="9">
        <f>IF(ISNUMBER(S$3),S$2*MAX(0,MIN(1,((YEAR($A70)-YEAR(S$3))*12+MONTH($A70)-MONTH(S$3)+1)/'Capacity by month'!$O$2)),0)</f>
        <v/>
      </c>
      <c r="T70" s="9">
        <f>IF(ISNUMBER(T$3),T$2*MAX(0,MIN(1,((YEAR($A70)-YEAR(T$3))*12+MONTH($A70)-MONTH(T$3)+1)/'Capacity by month'!$O$2)),0)</f>
        <v/>
      </c>
      <c r="U70" s="9">
        <f>IF(ISNUMBER(U$3),U$2*MAX(0,MIN(1,((YEAR($A70)-YEAR(U$3))*12+MONTH($A70)-MONTH(U$3)+1)/'Capacity by month'!$O$2)),0)</f>
        <v/>
      </c>
      <c r="V70" s="9">
        <f>IF(ISNUMBER(V$3),V$2*MAX(0,MIN(1,((YEAR($A70)-YEAR(V$3))*12+MONTH($A70)-MONTH(V$3)+1)/'Capacity by month'!$O$2)),0)</f>
        <v/>
      </c>
      <c r="W70" s="9">
        <f>IF(ISNUMBER(W$3),W$2*MAX(0,MIN(1,((YEAR($A70)-YEAR(W$3))*12+MONTH($A70)-MONTH(W$3)+1)/'Capacity by month'!$O$2)),0)</f>
        <v/>
      </c>
      <c r="X70" s="9">
        <f>IF(ISNUMBER(X$3),X$2*MAX(0,MIN(1,((YEAR($A70)-YEAR(X$3))*12+MONTH($A70)-MONTH(X$3)+1)/'Capacity by month'!$O$2)),0)</f>
        <v/>
      </c>
      <c r="Y70" s="9">
        <f>IF(ISNUMBER(Y$3),Y$2*MAX(0,MIN(1,((YEAR($A70)-YEAR(Y$3))*12+MONTH($A70)-MONTH(Y$3)+1)/'Capacity by month'!$O$2)),0)</f>
        <v/>
      </c>
      <c r="Z70" s="9">
        <f>IF(ISNUMBER(Z$3),Z$2*MAX(0,MIN(1,((YEAR($A70)-YEAR(Z$3))*12+MONTH($A70)-MONTH(Z$3)+1)/'Capacity by month'!$O$2)),0)</f>
        <v/>
      </c>
      <c r="AA70">
        <f>SUM(B70:Z70)</f>
        <v/>
      </c>
      <c r="AB70" t="n">
        <v>0</v>
      </c>
    </row>
    <row r="71">
      <c r="A71" s="8" t="n">
        <v>46235</v>
      </c>
      <c r="B71" s="9">
        <f>IF(ISNUMBER(B$3),B$2*MAX(0,MIN(1,((YEAR($A71)-YEAR(B$3))*12+MONTH($A71)-MONTH(B$3)+1)/'Capacity by month'!$O$2)),0)</f>
        <v/>
      </c>
      <c r="C71" s="9">
        <f>IF(ISNUMBER(C$3),C$2*MAX(0,MIN(1,((YEAR($A71)-YEAR(C$3))*12+MONTH($A71)-MONTH(C$3)+1)/'Capacity by month'!$O$2)),0)</f>
        <v/>
      </c>
      <c r="D71" s="9">
        <f>IF(ISNUMBER(D$3),D$2*MAX(0,MIN(1,((YEAR($A71)-YEAR(D$3))*12+MONTH($A71)-MONTH(D$3)+1)/'Capacity by month'!$O$2)),0)</f>
        <v/>
      </c>
      <c r="E71" s="9">
        <f>IF(ISNUMBER(E$3),E$2*MAX(0,MIN(1,((YEAR($A71)-YEAR(E$3))*12+MONTH($A71)-MONTH(E$3)+1)/'Capacity by month'!$O$2)),0)</f>
        <v/>
      </c>
      <c r="F71" s="9">
        <f>IF(ISNUMBER(F$3),F$2*MAX(0,MIN(1,((YEAR($A71)-YEAR(F$3))*12+MONTH($A71)-MONTH(F$3)+1)/'Capacity by month'!$O$2)),0)</f>
        <v/>
      </c>
      <c r="G71" s="9">
        <f>IF(ISNUMBER(G$3),G$2*MAX(0,MIN(1,((YEAR($A71)-YEAR(G$3))*12+MONTH($A71)-MONTH(G$3)+1)/'Capacity by month'!$O$2)),0)</f>
        <v/>
      </c>
      <c r="H71" s="9">
        <f>IF(ISNUMBER(H$3),H$2*MAX(0,MIN(1,((YEAR($A71)-YEAR(H$3))*12+MONTH($A71)-MONTH(H$3)+1)/'Capacity by month'!$O$2)),0)</f>
        <v/>
      </c>
      <c r="I71" s="9">
        <f>IF(ISNUMBER(I$3),I$2*MAX(0,MIN(1,((YEAR($A71)-YEAR(I$3))*12+MONTH($A71)-MONTH(I$3)+1)/'Capacity by month'!$O$2)),0)</f>
        <v/>
      </c>
      <c r="J71" s="9">
        <f>IF(ISNUMBER(J$3),J$2*MAX(0,MIN(1,((YEAR($A71)-YEAR(J$3))*12+MONTH($A71)-MONTH(J$3)+1)/'Capacity by month'!$O$2)),0)</f>
        <v/>
      </c>
      <c r="K71" s="9">
        <f>IF(ISNUMBER(K$3),K$2*MAX(0,MIN(1,((YEAR($A71)-YEAR(K$3))*12+MONTH($A71)-MONTH(K$3)+1)/'Capacity by month'!$O$2)),0)</f>
        <v/>
      </c>
      <c r="L71" s="9">
        <f>IF(ISNUMBER(L$3),L$2*MAX(0,MIN(1,((YEAR($A71)-YEAR(L$3))*12+MONTH($A71)-MONTH(L$3)+1)/'Capacity by month'!$O$2)),0)</f>
        <v/>
      </c>
      <c r="M71" s="9">
        <f>IF(ISNUMBER(M$3),M$2*MAX(0,MIN(1,((YEAR($A71)-YEAR(M$3))*12+MONTH($A71)-MONTH(M$3)+1)/'Capacity by month'!$O$2)),0)</f>
        <v/>
      </c>
      <c r="N71" s="9">
        <f>IF(ISNUMBER(N$3),N$2*MAX(0,MIN(1,((YEAR($A71)-YEAR(N$3))*12+MONTH($A71)-MONTH(N$3)+1)/'Capacity by month'!$O$2)),0)</f>
        <v/>
      </c>
      <c r="O71" s="9">
        <f>IF(ISNUMBER(O$3),O$2*MAX(0,MIN(1,((YEAR($A71)-YEAR(O$3))*12+MONTH($A71)-MONTH(O$3)+1)/'Capacity by month'!$O$2)),0)</f>
        <v/>
      </c>
      <c r="P71" s="9">
        <f>IF(ISNUMBER(P$3),P$2*MAX(0,MIN(1,((YEAR($A71)-YEAR(P$3))*12+MONTH($A71)-MONTH(P$3)+1)/'Capacity by month'!$O$2)),0)</f>
        <v/>
      </c>
      <c r="Q71" s="9">
        <f>IF(ISNUMBER(Q$3),Q$2*MAX(0,MIN(1,((YEAR($A71)-YEAR(Q$3))*12+MONTH($A71)-MONTH(Q$3)+1)/'Capacity by month'!$O$2)),0)</f>
        <v/>
      </c>
      <c r="R71" s="9">
        <f>IF(ISNUMBER(R$3),R$2*MAX(0,MIN(1,((YEAR($A71)-YEAR(R$3))*12+MONTH($A71)-MONTH(R$3)+1)/'Capacity by month'!$O$2)),0)</f>
        <v/>
      </c>
      <c r="S71" s="9">
        <f>IF(ISNUMBER(S$3),S$2*MAX(0,MIN(1,((YEAR($A71)-YEAR(S$3))*12+MONTH($A71)-MONTH(S$3)+1)/'Capacity by month'!$O$2)),0)</f>
        <v/>
      </c>
      <c r="T71" s="9">
        <f>IF(ISNUMBER(T$3),T$2*MAX(0,MIN(1,((YEAR($A71)-YEAR(T$3))*12+MONTH($A71)-MONTH(T$3)+1)/'Capacity by month'!$O$2)),0)</f>
        <v/>
      </c>
      <c r="U71" s="9">
        <f>IF(ISNUMBER(U$3),U$2*MAX(0,MIN(1,((YEAR($A71)-YEAR(U$3))*12+MONTH($A71)-MONTH(U$3)+1)/'Capacity by month'!$O$2)),0)</f>
        <v/>
      </c>
      <c r="V71" s="9">
        <f>IF(ISNUMBER(V$3),V$2*MAX(0,MIN(1,((YEAR($A71)-YEAR(V$3))*12+MONTH($A71)-MONTH(V$3)+1)/'Capacity by month'!$O$2)),0)</f>
        <v/>
      </c>
      <c r="W71" s="9">
        <f>IF(ISNUMBER(W$3),W$2*MAX(0,MIN(1,((YEAR($A71)-YEAR(W$3))*12+MONTH($A71)-MONTH(W$3)+1)/'Capacity by month'!$O$2)),0)</f>
        <v/>
      </c>
      <c r="X71" s="9">
        <f>IF(ISNUMBER(X$3),X$2*MAX(0,MIN(1,((YEAR($A71)-YEAR(X$3))*12+MONTH($A71)-MONTH(X$3)+1)/'Capacity by month'!$O$2)),0)</f>
        <v/>
      </c>
      <c r="Y71" s="9">
        <f>IF(ISNUMBER(Y$3),Y$2*MAX(0,MIN(1,((YEAR($A71)-YEAR(Y$3))*12+MONTH($A71)-MONTH(Y$3)+1)/'Capacity by month'!$O$2)),0)</f>
        <v/>
      </c>
      <c r="Z71" s="9">
        <f>IF(ISNUMBER(Z$3),Z$2*MAX(0,MIN(1,((YEAR($A71)-YEAR(Z$3))*12+MONTH($A71)-MONTH(Z$3)+1)/'Capacity by month'!$O$2)),0)</f>
        <v/>
      </c>
      <c r="AA71">
        <f>SUM(B71:Z71)</f>
        <v/>
      </c>
      <c r="AB71" t="n">
        <v>0</v>
      </c>
    </row>
    <row r="72">
      <c r="A72" s="8" t="n">
        <v>46266</v>
      </c>
      <c r="B72" s="9">
        <f>IF(ISNUMBER(B$3),B$2*MAX(0,MIN(1,((YEAR($A72)-YEAR(B$3))*12+MONTH($A72)-MONTH(B$3)+1)/'Capacity by month'!$O$2)),0)</f>
        <v/>
      </c>
      <c r="C72" s="9">
        <f>IF(ISNUMBER(C$3),C$2*MAX(0,MIN(1,((YEAR($A72)-YEAR(C$3))*12+MONTH($A72)-MONTH(C$3)+1)/'Capacity by month'!$O$2)),0)</f>
        <v/>
      </c>
      <c r="D72" s="9">
        <f>IF(ISNUMBER(D$3),D$2*MAX(0,MIN(1,((YEAR($A72)-YEAR(D$3))*12+MONTH($A72)-MONTH(D$3)+1)/'Capacity by month'!$O$2)),0)</f>
        <v/>
      </c>
      <c r="E72" s="9">
        <f>IF(ISNUMBER(E$3),E$2*MAX(0,MIN(1,((YEAR($A72)-YEAR(E$3))*12+MONTH($A72)-MONTH(E$3)+1)/'Capacity by month'!$O$2)),0)</f>
        <v/>
      </c>
      <c r="F72" s="9">
        <f>IF(ISNUMBER(F$3),F$2*MAX(0,MIN(1,((YEAR($A72)-YEAR(F$3))*12+MONTH($A72)-MONTH(F$3)+1)/'Capacity by month'!$O$2)),0)</f>
        <v/>
      </c>
      <c r="G72" s="9">
        <f>IF(ISNUMBER(G$3),G$2*MAX(0,MIN(1,((YEAR($A72)-YEAR(G$3))*12+MONTH($A72)-MONTH(G$3)+1)/'Capacity by month'!$O$2)),0)</f>
        <v/>
      </c>
      <c r="H72" s="9">
        <f>IF(ISNUMBER(H$3),H$2*MAX(0,MIN(1,((YEAR($A72)-YEAR(H$3))*12+MONTH($A72)-MONTH(H$3)+1)/'Capacity by month'!$O$2)),0)</f>
        <v/>
      </c>
      <c r="I72" s="9">
        <f>IF(ISNUMBER(I$3),I$2*MAX(0,MIN(1,((YEAR($A72)-YEAR(I$3))*12+MONTH($A72)-MONTH(I$3)+1)/'Capacity by month'!$O$2)),0)</f>
        <v/>
      </c>
      <c r="J72" s="9">
        <f>IF(ISNUMBER(J$3),J$2*MAX(0,MIN(1,((YEAR($A72)-YEAR(J$3))*12+MONTH($A72)-MONTH(J$3)+1)/'Capacity by month'!$O$2)),0)</f>
        <v/>
      </c>
      <c r="K72" s="9">
        <f>IF(ISNUMBER(K$3),K$2*MAX(0,MIN(1,((YEAR($A72)-YEAR(K$3))*12+MONTH($A72)-MONTH(K$3)+1)/'Capacity by month'!$O$2)),0)</f>
        <v/>
      </c>
      <c r="L72" s="9">
        <f>IF(ISNUMBER(L$3),L$2*MAX(0,MIN(1,((YEAR($A72)-YEAR(L$3))*12+MONTH($A72)-MONTH(L$3)+1)/'Capacity by month'!$O$2)),0)</f>
        <v/>
      </c>
      <c r="M72" s="9">
        <f>IF(ISNUMBER(M$3),M$2*MAX(0,MIN(1,((YEAR($A72)-YEAR(M$3))*12+MONTH($A72)-MONTH(M$3)+1)/'Capacity by month'!$O$2)),0)</f>
        <v/>
      </c>
      <c r="N72" s="9">
        <f>IF(ISNUMBER(N$3),N$2*MAX(0,MIN(1,((YEAR($A72)-YEAR(N$3))*12+MONTH($A72)-MONTH(N$3)+1)/'Capacity by month'!$O$2)),0)</f>
        <v/>
      </c>
      <c r="O72" s="9">
        <f>IF(ISNUMBER(O$3),O$2*MAX(0,MIN(1,((YEAR($A72)-YEAR(O$3))*12+MONTH($A72)-MONTH(O$3)+1)/'Capacity by month'!$O$2)),0)</f>
        <v/>
      </c>
      <c r="P72" s="9">
        <f>IF(ISNUMBER(P$3),P$2*MAX(0,MIN(1,((YEAR($A72)-YEAR(P$3))*12+MONTH($A72)-MONTH(P$3)+1)/'Capacity by month'!$O$2)),0)</f>
        <v/>
      </c>
      <c r="Q72" s="9">
        <f>IF(ISNUMBER(Q$3),Q$2*MAX(0,MIN(1,((YEAR($A72)-YEAR(Q$3))*12+MONTH($A72)-MONTH(Q$3)+1)/'Capacity by month'!$O$2)),0)</f>
        <v/>
      </c>
      <c r="R72" s="9">
        <f>IF(ISNUMBER(R$3),R$2*MAX(0,MIN(1,((YEAR($A72)-YEAR(R$3))*12+MONTH($A72)-MONTH(R$3)+1)/'Capacity by month'!$O$2)),0)</f>
        <v/>
      </c>
      <c r="S72" s="9">
        <f>IF(ISNUMBER(S$3),S$2*MAX(0,MIN(1,((YEAR($A72)-YEAR(S$3))*12+MONTH($A72)-MONTH(S$3)+1)/'Capacity by month'!$O$2)),0)</f>
        <v/>
      </c>
      <c r="T72" s="9">
        <f>IF(ISNUMBER(T$3),T$2*MAX(0,MIN(1,((YEAR($A72)-YEAR(T$3))*12+MONTH($A72)-MONTH(T$3)+1)/'Capacity by month'!$O$2)),0)</f>
        <v/>
      </c>
      <c r="U72" s="9">
        <f>IF(ISNUMBER(U$3),U$2*MAX(0,MIN(1,((YEAR($A72)-YEAR(U$3))*12+MONTH($A72)-MONTH(U$3)+1)/'Capacity by month'!$O$2)),0)</f>
        <v/>
      </c>
      <c r="V72" s="9">
        <f>IF(ISNUMBER(V$3),V$2*MAX(0,MIN(1,((YEAR($A72)-YEAR(V$3))*12+MONTH($A72)-MONTH(V$3)+1)/'Capacity by month'!$O$2)),0)</f>
        <v/>
      </c>
      <c r="W72" s="9">
        <f>IF(ISNUMBER(W$3),W$2*MAX(0,MIN(1,((YEAR($A72)-YEAR(W$3))*12+MONTH($A72)-MONTH(W$3)+1)/'Capacity by month'!$O$2)),0)</f>
        <v/>
      </c>
      <c r="X72" s="9">
        <f>IF(ISNUMBER(X$3),X$2*MAX(0,MIN(1,((YEAR($A72)-YEAR(X$3))*12+MONTH($A72)-MONTH(X$3)+1)/'Capacity by month'!$O$2)),0)</f>
        <v/>
      </c>
      <c r="Y72" s="9">
        <f>IF(ISNUMBER(Y$3),Y$2*MAX(0,MIN(1,((YEAR($A72)-YEAR(Y$3))*12+MONTH($A72)-MONTH(Y$3)+1)/'Capacity by month'!$O$2)),0)</f>
        <v/>
      </c>
      <c r="Z72" s="9">
        <f>IF(ISNUMBER(Z$3),Z$2*MAX(0,MIN(1,((YEAR($A72)-YEAR(Z$3))*12+MONTH($A72)-MONTH(Z$3)+1)/'Capacity by month'!$O$2)),0)</f>
        <v/>
      </c>
      <c r="AA72">
        <f>SUM(B72:Z72)</f>
        <v/>
      </c>
      <c r="AB72" t="n">
        <v>0</v>
      </c>
    </row>
    <row r="73">
      <c r="A73" s="8" t="n">
        <v>46296</v>
      </c>
      <c r="B73" s="9">
        <f>IF(ISNUMBER(B$3),B$2*MAX(0,MIN(1,((YEAR($A73)-YEAR(B$3))*12+MONTH($A73)-MONTH(B$3)+1)/'Capacity by month'!$O$2)),0)</f>
        <v/>
      </c>
      <c r="C73" s="9">
        <f>IF(ISNUMBER(C$3),C$2*MAX(0,MIN(1,((YEAR($A73)-YEAR(C$3))*12+MONTH($A73)-MONTH(C$3)+1)/'Capacity by month'!$O$2)),0)</f>
        <v/>
      </c>
      <c r="D73" s="9">
        <f>IF(ISNUMBER(D$3),D$2*MAX(0,MIN(1,((YEAR($A73)-YEAR(D$3))*12+MONTH($A73)-MONTH(D$3)+1)/'Capacity by month'!$O$2)),0)</f>
        <v/>
      </c>
      <c r="E73" s="9">
        <f>IF(ISNUMBER(E$3),E$2*MAX(0,MIN(1,((YEAR($A73)-YEAR(E$3))*12+MONTH($A73)-MONTH(E$3)+1)/'Capacity by month'!$O$2)),0)</f>
        <v/>
      </c>
      <c r="F73" s="9">
        <f>IF(ISNUMBER(F$3),F$2*MAX(0,MIN(1,((YEAR($A73)-YEAR(F$3))*12+MONTH($A73)-MONTH(F$3)+1)/'Capacity by month'!$O$2)),0)</f>
        <v/>
      </c>
      <c r="G73" s="9">
        <f>IF(ISNUMBER(G$3),G$2*MAX(0,MIN(1,((YEAR($A73)-YEAR(G$3))*12+MONTH($A73)-MONTH(G$3)+1)/'Capacity by month'!$O$2)),0)</f>
        <v/>
      </c>
      <c r="H73" s="9">
        <f>IF(ISNUMBER(H$3),H$2*MAX(0,MIN(1,((YEAR($A73)-YEAR(H$3))*12+MONTH($A73)-MONTH(H$3)+1)/'Capacity by month'!$O$2)),0)</f>
        <v/>
      </c>
      <c r="I73" s="9">
        <f>IF(ISNUMBER(I$3),I$2*MAX(0,MIN(1,((YEAR($A73)-YEAR(I$3))*12+MONTH($A73)-MONTH(I$3)+1)/'Capacity by month'!$O$2)),0)</f>
        <v/>
      </c>
      <c r="J73" s="9">
        <f>IF(ISNUMBER(J$3),J$2*MAX(0,MIN(1,((YEAR($A73)-YEAR(J$3))*12+MONTH($A73)-MONTH(J$3)+1)/'Capacity by month'!$O$2)),0)</f>
        <v/>
      </c>
      <c r="K73" s="9">
        <f>IF(ISNUMBER(K$3),K$2*MAX(0,MIN(1,((YEAR($A73)-YEAR(K$3))*12+MONTH($A73)-MONTH(K$3)+1)/'Capacity by month'!$O$2)),0)</f>
        <v/>
      </c>
      <c r="L73" s="9">
        <f>IF(ISNUMBER(L$3),L$2*MAX(0,MIN(1,((YEAR($A73)-YEAR(L$3))*12+MONTH($A73)-MONTH(L$3)+1)/'Capacity by month'!$O$2)),0)</f>
        <v/>
      </c>
      <c r="M73" s="9">
        <f>IF(ISNUMBER(M$3),M$2*MAX(0,MIN(1,((YEAR($A73)-YEAR(M$3))*12+MONTH($A73)-MONTH(M$3)+1)/'Capacity by month'!$O$2)),0)</f>
        <v/>
      </c>
      <c r="N73" s="9">
        <f>IF(ISNUMBER(N$3),N$2*MAX(0,MIN(1,((YEAR($A73)-YEAR(N$3))*12+MONTH($A73)-MONTH(N$3)+1)/'Capacity by month'!$O$2)),0)</f>
        <v/>
      </c>
      <c r="O73" s="9">
        <f>IF(ISNUMBER(O$3),O$2*MAX(0,MIN(1,((YEAR($A73)-YEAR(O$3))*12+MONTH($A73)-MONTH(O$3)+1)/'Capacity by month'!$O$2)),0)</f>
        <v/>
      </c>
      <c r="P73" s="9">
        <f>IF(ISNUMBER(P$3),P$2*MAX(0,MIN(1,((YEAR($A73)-YEAR(P$3))*12+MONTH($A73)-MONTH(P$3)+1)/'Capacity by month'!$O$2)),0)</f>
        <v/>
      </c>
      <c r="Q73" s="9">
        <f>IF(ISNUMBER(Q$3),Q$2*MAX(0,MIN(1,((YEAR($A73)-YEAR(Q$3))*12+MONTH($A73)-MONTH(Q$3)+1)/'Capacity by month'!$O$2)),0)</f>
        <v/>
      </c>
      <c r="R73" s="9">
        <f>IF(ISNUMBER(R$3),R$2*MAX(0,MIN(1,((YEAR($A73)-YEAR(R$3))*12+MONTH($A73)-MONTH(R$3)+1)/'Capacity by month'!$O$2)),0)</f>
        <v/>
      </c>
      <c r="S73" s="9">
        <f>IF(ISNUMBER(S$3),S$2*MAX(0,MIN(1,((YEAR($A73)-YEAR(S$3))*12+MONTH($A73)-MONTH(S$3)+1)/'Capacity by month'!$O$2)),0)</f>
        <v/>
      </c>
      <c r="T73" s="9">
        <f>IF(ISNUMBER(T$3),T$2*MAX(0,MIN(1,((YEAR($A73)-YEAR(T$3))*12+MONTH($A73)-MONTH(T$3)+1)/'Capacity by month'!$O$2)),0)</f>
        <v/>
      </c>
      <c r="U73" s="9">
        <f>IF(ISNUMBER(U$3),U$2*MAX(0,MIN(1,((YEAR($A73)-YEAR(U$3))*12+MONTH($A73)-MONTH(U$3)+1)/'Capacity by month'!$O$2)),0)</f>
        <v/>
      </c>
      <c r="V73" s="9">
        <f>IF(ISNUMBER(V$3),V$2*MAX(0,MIN(1,((YEAR($A73)-YEAR(V$3))*12+MONTH($A73)-MONTH(V$3)+1)/'Capacity by month'!$O$2)),0)</f>
        <v/>
      </c>
      <c r="W73" s="9">
        <f>IF(ISNUMBER(W$3),W$2*MAX(0,MIN(1,((YEAR($A73)-YEAR(W$3))*12+MONTH($A73)-MONTH(W$3)+1)/'Capacity by month'!$O$2)),0)</f>
        <v/>
      </c>
      <c r="X73" s="9">
        <f>IF(ISNUMBER(X$3),X$2*MAX(0,MIN(1,((YEAR($A73)-YEAR(X$3))*12+MONTH($A73)-MONTH(X$3)+1)/'Capacity by month'!$O$2)),0)</f>
        <v/>
      </c>
      <c r="Y73" s="9">
        <f>IF(ISNUMBER(Y$3),Y$2*MAX(0,MIN(1,((YEAR($A73)-YEAR(Y$3))*12+MONTH($A73)-MONTH(Y$3)+1)/'Capacity by month'!$O$2)),0)</f>
        <v/>
      </c>
      <c r="Z73" s="9">
        <f>IF(ISNUMBER(Z$3),Z$2*MAX(0,MIN(1,((YEAR($A73)-YEAR(Z$3))*12+MONTH($A73)-MONTH(Z$3)+1)/'Capacity by month'!$O$2)),0)</f>
        <v/>
      </c>
      <c r="AA73">
        <f>SUM(B73:Z73)</f>
        <v/>
      </c>
      <c r="AB73" t="n">
        <v>0</v>
      </c>
    </row>
    <row r="74">
      <c r="A74" s="8" t="n">
        <v>46327</v>
      </c>
      <c r="B74" s="9">
        <f>IF(ISNUMBER(B$3),B$2*MAX(0,MIN(1,((YEAR($A74)-YEAR(B$3))*12+MONTH($A74)-MONTH(B$3)+1)/'Capacity by month'!$O$2)),0)</f>
        <v/>
      </c>
      <c r="C74" s="9">
        <f>IF(ISNUMBER(C$3),C$2*MAX(0,MIN(1,((YEAR($A74)-YEAR(C$3))*12+MONTH($A74)-MONTH(C$3)+1)/'Capacity by month'!$O$2)),0)</f>
        <v/>
      </c>
      <c r="D74" s="9">
        <f>IF(ISNUMBER(D$3),D$2*MAX(0,MIN(1,((YEAR($A74)-YEAR(D$3))*12+MONTH($A74)-MONTH(D$3)+1)/'Capacity by month'!$O$2)),0)</f>
        <v/>
      </c>
      <c r="E74" s="9">
        <f>IF(ISNUMBER(E$3),E$2*MAX(0,MIN(1,((YEAR($A74)-YEAR(E$3))*12+MONTH($A74)-MONTH(E$3)+1)/'Capacity by month'!$O$2)),0)</f>
        <v/>
      </c>
      <c r="F74" s="9">
        <f>IF(ISNUMBER(F$3),F$2*MAX(0,MIN(1,((YEAR($A74)-YEAR(F$3))*12+MONTH($A74)-MONTH(F$3)+1)/'Capacity by month'!$O$2)),0)</f>
        <v/>
      </c>
      <c r="G74" s="9">
        <f>IF(ISNUMBER(G$3),G$2*MAX(0,MIN(1,((YEAR($A74)-YEAR(G$3))*12+MONTH($A74)-MONTH(G$3)+1)/'Capacity by month'!$O$2)),0)</f>
        <v/>
      </c>
      <c r="H74" s="9">
        <f>IF(ISNUMBER(H$3),H$2*MAX(0,MIN(1,((YEAR($A74)-YEAR(H$3))*12+MONTH($A74)-MONTH(H$3)+1)/'Capacity by month'!$O$2)),0)</f>
        <v/>
      </c>
      <c r="I74" s="9">
        <f>IF(ISNUMBER(I$3),I$2*MAX(0,MIN(1,((YEAR($A74)-YEAR(I$3))*12+MONTH($A74)-MONTH(I$3)+1)/'Capacity by month'!$O$2)),0)</f>
        <v/>
      </c>
      <c r="J74" s="9">
        <f>IF(ISNUMBER(J$3),J$2*MAX(0,MIN(1,((YEAR($A74)-YEAR(J$3))*12+MONTH($A74)-MONTH(J$3)+1)/'Capacity by month'!$O$2)),0)</f>
        <v/>
      </c>
      <c r="K74" s="9">
        <f>IF(ISNUMBER(K$3),K$2*MAX(0,MIN(1,((YEAR($A74)-YEAR(K$3))*12+MONTH($A74)-MONTH(K$3)+1)/'Capacity by month'!$O$2)),0)</f>
        <v/>
      </c>
      <c r="L74" s="9">
        <f>IF(ISNUMBER(L$3),L$2*MAX(0,MIN(1,((YEAR($A74)-YEAR(L$3))*12+MONTH($A74)-MONTH(L$3)+1)/'Capacity by month'!$O$2)),0)</f>
        <v/>
      </c>
      <c r="M74" s="9">
        <f>IF(ISNUMBER(M$3),M$2*MAX(0,MIN(1,((YEAR($A74)-YEAR(M$3))*12+MONTH($A74)-MONTH(M$3)+1)/'Capacity by month'!$O$2)),0)</f>
        <v/>
      </c>
      <c r="N74" s="9">
        <f>IF(ISNUMBER(N$3),N$2*MAX(0,MIN(1,((YEAR($A74)-YEAR(N$3))*12+MONTH($A74)-MONTH(N$3)+1)/'Capacity by month'!$O$2)),0)</f>
        <v/>
      </c>
      <c r="O74" s="9">
        <f>IF(ISNUMBER(O$3),O$2*MAX(0,MIN(1,((YEAR($A74)-YEAR(O$3))*12+MONTH($A74)-MONTH(O$3)+1)/'Capacity by month'!$O$2)),0)</f>
        <v/>
      </c>
      <c r="P74" s="9">
        <f>IF(ISNUMBER(P$3),P$2*MAX(0,MIN(1,((YEAR($A74)-YEAR(P$3))*12+MONTH($A74)-MONTH(P$3)+1)/'Capacity by month'!$O$2)),0)</f>
        <v/>
      </c>
      <c r="Q74" s="9">
        <f>IF(ISNUMBER(Q$3),Q$2*MAX(0,MIN(1,((YEAR($A74)-YEAR(Q$3))*12+MONTH($A74)-MONTH(Q$3)+1)/'Capacity by month'!$O$2)),0)</f>
        <v/>
      </c>
      <c r="R74" s="9">
        <f>IF(ISNUMBER(R$3),R$2*MAX(0,MIN(1,((YEAR($A74)-YEAR(R$3))*12+MONTH($A74)-MONTH(R$3)+1)/'Capacity by month'!$O$2)),0)</f>
        <v/>
      </c>
      <c r="S74" s="9">
        <f>IF(ISNUMBER(S$3),S$2*MAX(0,MIN(1,((YEAR($A74)-YEAR(S$3))*12+MONTH($A74)-MONTH(S$3)+1)/'Capacity by month'!$O$2)),0)</f>
        <v/>
      </c>
      <c r="T74" s="9">
        <f>IF(ISNUMBER(T$3),T$2*MAX(0,MIN(1,((YEAR($A74)-YEAR(T$3))*12+MONTH($A74)-MONTH(T$3)+1)/'Capacity by month'!$O$2)),0)</f>
        <v/>
      </c>
      <c r="U74" s="9">
        <f>IF(ISNUMBER(U$3),U$2*MAX(0,MIN(1,((YEAR($A74)-YEAR(U$3))*12+MONTH($A74)-MONTH(U$3)+1)/'Capacity by month'!$O$2)),0)</f>
        <v/>
      </c>
      <c r="V74" s="9">
        <f>IF(ISNUMBER(V$3),V$2*MAX(0,MIN(1,((YEAR($A74)-YEAR(V$3))*12+MONTH($A74)-MONTH(V$3)+1)/'Capacity by month'!$O$2)),0)</f>
        <v/>
      </c>
      <c r="W74" s="9">
        <f>IF(ISNUMBER(W$3),W$2*MAX(0,MIN(1,((YEAR($A74)-YEAR(W$3))*12+MONTH($A74)-MONTH(W$3)+1)/'Capacity by month'!$O$2)),0)</f>
        <v/>
      </c>
      <c r="X74" s="9">
        <f>IF(ISNUMBER(X$3),X$2*MAX(0,MIN(1,((YEAR($A74)-YEAR(X$3))*12+MONTH($A74)-MONTH(X$3)+1)/'Capacity by month'!$O$2)),0)</f>
        <v/>
      </c>
      <c r="Y74" s="9">
        <f>IF(ISNUMBER(Y$3),Y$2*MAX(0,MIN(1,((YEAR($A74)-YEAR(Y$3))*12+MONTH($A74)-MONTH(Y$3)+1)/'Capacity by month'!$O$2)),0)</f>
        <v/>
      </c>
      <c r="Z74" s="9">
        <f>IF(ISNUMBER(Z$3),Z$2*MAX(0,MIN(1,((YEAR($A74)-YEAR(Z$3))*12+MONTH($A74)-MONTH(Z$3)+1)/'Capacity by month'!$O$2)),0)</f>
        <v/>
      </c>
      <c r="AA74">
        <f>SUM(B74:Z74)</f>
        <v/>
      </c>
      <c r="AB74" t="n">
        <v>0</v>
      </c>
    </row>
    <row r="75">
      <c r="A75" s="8" t="n">
        <v>46357</v>
      </c>
      <c r="B75" s="9">
        <f>IF(ISNUMBER(B$3),B$2*MAX(0,MIN(1,((YEAR($A75)-YEAR(B$3))*12+MONTH($A75)-MONTH(B$3)+1)/'Capacity by month'!$O$2)),0)</f>
        <v/>
      </c>
      <c r="C75" s="9">
        <f>IF(ISNUMBER(C$3),C$2*MAX(0,MIN(1,((YEAR($A75)-YEAR(C$3))*12+MONTH($A75)-MONTH(C$3)+1)/'Capacity by month'!$O$2)),0)</f>
        <v/>
      </c>
      <c r="D75" s="9">
        <f>IF(ISNUMBER(D$3),D$2*MAX(0,MIN(1,((YEAR($A75)-YEAR(D$3))*12+MONTH($A75)-MONTH(D$3)+1)/'Capacity by month'!$O$2)),0)</f>
        <v/>
      </c>
      <c r="E75" s="9">
        <f>IF(ISNUMBER(E$3),E$2*MAX(0,MIN(1,((YEAR($A75)-YEAR(E$3))*12+MONTH($A75)-MONTH(E$3)+1)/'Capacity by month'!$O$2)),0)</f>
        <v/>
      </c>
      <c r="F75" s="9">
        <f>IF(ISNUMBER(F$3),F$2*MAX(0,MIN(1,((YEAR($A75)-YEAR(F$3))*12+MONTH($A75)-MONTH(F$3)+1)/'Capacity by month'!$O$2)),0)</f>
        <v/>
      </c>
      <c r="G75" s="9">
        <f>IF(ISNUMBER(G$3),G$2*MAX(0,MIN(1,((YEAR($A75)-YEAR(G$3))*12+MONTH($A75)-MONTH(G$3)+1)/'Capacity by month'!$O$2)),0)</f>
        <v/>
      </c>
      <c r="H75" s="9">
        <f>IF(ISNUMBER(H$3),H$2*MAX(0,MIN(1,((YEAR($A75)-YEAR(H$3))*12+MONTH($A75)-MONTH(H$3)+1)/'Capacity by month'!$O$2)),0)</f>
        <v/>
      </c>
      <c r="I75" s="9">
        <f>IF(ISNUMBER(I$3),I$2*MAX(0,MIN(1,((YEAR($A75)-YEAR(I$3))*12+MONTH($A75)-MONTH(I$3)+1)/'Capacity by month'!$O$2)),0)</f>
        <v/>
      </c>
      <c r="J75" s="9">
        <f>IF(ISNUMBER(J$3),J$2*MAX(0,MIN(1,((YEAR($A75)-YEAR(J$3))*12+MONTH($A75)-MONTH(J$3)+1)/'Capacity by month'!$O$2)),0)</f>
        <v/>
      </c>
      <c r="K75" s="9">
        <f>IF(ISNUMBER(K$3),K$2*MAX(0,MIN(1,((YEAR($A75)-YEAR(K$3))*12+MONTH($A75)-MONTH(K$3)+1)/'Capacity by month'!$O$2)),0)</f>
        <v/>
      </c>
      <c r="L75" s="9">
        <f>IF(ISNUMBER(L$3),L$2*MAX(0,MIN(1,((YEAR($A75)-YEAR(L$3))*12+MONTH($A75)-MONTH(L$3)+1)/'Capacity by month'!$O$2)),0)</f>
        <v/>
      </c>
      <c r="M75" s="9">
        <f>IF(ISNUMBER(M$3),M$2*MAX(0,MIN(1,((YEAR($A75)-YEAR(M$3))*12+MONTH($A75)-MONTH(M$3)+1)/'Capacity by month'!$O$2)),0)</f>
        <v/>
      </c>
      <c r="N75" s="9">
        <f>IF(ISNUMBER(N$3),N$2*MAX(0,MIN(1,((YEAR($A75)-YEAR(N$3))*12+MONTH($A75)-MONTH(N$3)+1)/'Capacity by month'!$O$2)),0)</f>
        <v/>
      </c>
      <c r="O75" s="9">
        <f>IF(ISNUMBER(O$3),O$2*MAX(0,MIN(1,((YEAR($A75)-YEAR(O$3))*12+MONTH($A75)-MONTH(O$3)+1)/'Capacity by month'!$O$2)),0)</f>
        <v/>
      </c>
      <c r="P75" s="9">
        <f>IF(ISNUMBER(P$3),P$2*MAX(0,MIN(1,((YEAR($A75)-YEAR(P$3))*12+MONTH($A75)-MONTH(P$3)+1)/'Capacity by month'!$O$2)),0)</f>
        <v/>
      </c>
      <c r="Q75" s="9">
        <f>IF(ISNUMBER(Q$3),Q$2*MAX(0,MIN(1,((YEAR($A75)-YEAR(Q$3))*12+MONTH($A75)-MONTH(Q$3)+1)/'Capacity by month'!$O$2)),0)</f>
        <v/>
      </c>
      <c r="R75" s="9">
        <f>IF(ISNUMBER(R$3),R$2*MAX(0,MIN(1,((YEAR($A75)-YEAR(R$3))*12+MONTH($A75)-MONTH(R$3)+1)/'Capacity by month'!$O$2)),0)</f>
        <v/>
      </c>
      <c r="S75" s="9">
        <f>IF(ISNUMBER(S$3),S$2*MAX(0,MIN(1,((YEAR($A75)-YEAR(S$3))*12+MONTH($A75)-MONTH(S$3)+1)/'Capacity by month'!$O$2)),0)</f>
        <v/>
      </c>
      <c r="T75" s="9">
        <f>IF(ISNUMBER(T$3),T$2*MAX(0,MIN(1,((YEAR($A75)-YEAR(T$3))*12+MONTH($A75)-MONTH(T$3)+1)/'Capacity by month'!$O$2)),0)</f>
        <v/>
      </c>
      <c r="U75" s="9">
        <f>IF(ISNUMBER(U$3),U$2*MAX(0,MIN(1,((YEAR($A75)-YEAR(U$3))*12+MONTH($A75)-MONTH(U$3)+1)/'Capacity by month'!$O$2)),0)</f>
        <v/>
      </c>
      <c r="V75" s="9">
        <f>IF(ISNUMBER(V$3),V$2*MAX(0,MIN(1,((YEAR($A75)-YEAR(V$3))*12+MONTH($A75)-MONTH(V$3)+1)/'Capacity by month'!$O$2)),0)</f>
        <v/>
      </c>
      <c r="W75" s="9">
        <f>IF(ISNUMBER(W$3),W$2*MAX(0,MIN(1,((YEAR($A75)-YEAR(W$3))*12+MONTH($A75)-MONTH(W$3)+1)/'Capacity by month'!$O$2)),0)</f>
        <v/>
      </c>
      <c r="X75" s="9">
        <f>IF(ISNUMBER(X$3),X$2*MAX(0,MIN(1,((YEAR($A75)-YEAR(X$3))*12+MONTH($A75)-MONTH(X$3)+1)/'Capacity by month'!$O$2)),0)</f>
        <v/>
      </c>
      <c r="Y75" s="9">
        <f>IF(ISNUMBER(Y$3),Y$2*MAX(0,MIN(1,((YEAR($A75)-YEAR(Y$3))*12+MONTH($A75)-MONTH(Y$3)+1)/'Capacity by month'!$O$2)),0)</f>
        <v/>
      </c>
      <c r="Z75" s="9">
        <f>IF(ISNUMBER(Z$3),Z$2*MAX(0,MIN(1,((YEAR($A75)-YEAR(Z$3))*12+MONTH($A75)-MONTH(Z$3)+1)/'Capacity by month'!$O$2)),0)</f>
        <v/>
      </c>
      <c r="AA75">
        <f>SUM(B75:Z75)</f>
        <v/>
      </c>
      <c r="AB75" t="n">
        <v>0</v>
      </c>
    </row>
    <row r="76">
      <c r="A76" s="8" t="n">
        <v>46388</v>
      </c>
      <c r="B76" s="9">
        <f>IF(ISNUMBER(B$3),B$2*MAX(0,MIN(1,((YEAR($A76)-YEAR(B$3))*12+MONTH($A76)-MONTH(B$3)+1)/'Capacity by month'!$O$2)),0)</f>
        <v/>
      </c>
      <c r="C76" s="9">
        <f>IF(ISNUMBER(C$3),C$2*MAX(0,MIN(1,((YEAR($A76)-YEAR(C$3))*12+MONTH($A76)-MONTH(C$3)+1)/'Capacity by month'!$O$2)),0)</f>
        <v/>
      </c>
      <c r="D76" s="9">
        <f>IF(ISNUMBER(D$3),D$2*MAX(0,MIN(1,((YEAR($A76)-YEAR(D$3))*12+MONTH($A76)-MONTH(D$3)+1)/'Capacity by month'!$O$2)),0)</f>
        <v/>
      </c>
      <c r="E76" s="9">
        <f>IF(ISNUMBER(E$3),E$2*MAX(0,MIN(1,((YEAR($A76)-YEAR(E$3))*12+MONTH($A76)-MONTH(E$3)+1)/'Capacity by month'!$O$2)),0)</f>
        <v/>
      </c>
      <c r="F76" s="9">
        <f>IF(ISNUMBER(F$3),F$2*MAX(0,MIN(1,((YEAR($A76)-YEAR(F$3))*12+MONTH($A76)-MONTH(F$3)+1)/'Capacity by month'!$O$2)),0)</f>
        <v/>
      </c>
      <c r="G76" s="9">
        <f>IF(ISNUMBER(G$3),G$2*MAX(0,MIN(1,((YEAR($A76)-YEAR(G$3))*12+MONTH($A76)-MONTH(G$3)+1)/'Capacity by month'!$O$2)),0)</f>
        <v/>
      </c>
      <c r="H76" s="9">
        <f>IF(ISNUMBER(H$3),H$2*MAX(0,MIN(1,((YEAR($A76)-YEAR(H$3))*12+MONTH($A76)-MONTH(H$3)+1)/'Capacity by month'!$O$2)),0)</f>
        <v/>
      </c>
      <c r="I76" s="9">
        <f>IF(ISNUMBER(I$3),I$2*MAX(0,MIN(1,((YEAR($A76)-YEAR(I$3))*12+MONTH($A76)-MONTH(I$3)+1)/'Capacity by month'!$O$2)),0)</f>
        <v/>
      </c>
      <c r="J76" s="9">
        <f>IF(ISNUMBER(J$3),J$2*MAX(0,MIN(1,((YEAR($A76)-YEAR(J$3))*12+MONTH($A76)-MONTH(J$3)+1)/'Capacity by month'!$O$2)),0)</f>
        <v/>
      </c>
      <c r="K76" s="9">
        <f>IF(ISNUMBER(K$3),K$2*MAX(0,MIN(1,((YEAR($A76)-YEAR(K$3))*12+MONTH($A76)-MONTH(K$3)+1)/'Capacity by month'!$O$2)),0)</f>
        <v/>
      </c>
      <c r="L76" s="9">
        <f>IF(ISNUMBER(L$3),L$2*MAX(0,MIN(1,((YEAR($A76)-YEAR(L$3))*12+MONTH($A76)-MONTH(L$3)+1)/'Capacity by month'!$O$2)),0)</f>
        <v/>
      </c>
      <c r="M76" s="9">
        <f>IF(ISNUMBER(M$3),M$2*MAX(0,MIN(1,((YEAR($A76)-YEAR(M$3))*12+MONTH($A76)-MONTH(M$3)+1)/'Capacity by month'!$O$2)),0)</f>
        <v/>
      </c>
      <c r="N76" s="9">
        <f>IF(ISNUMBER(N$3),N$2*MAX(0,MIN(1,((YEAR($A76)-YEAR(N$3))*12+MONTH($A76)-MONTH(N$3)+1)/'Capacity by month'!$O$2)),0)</f>
        <v/>
      </c>
      <c r="O76" s="9">
        <f>IF(ISNUMBER(O$3),O$2*MAX(0,MIN(1,((YEAR($A76)-YEAR(O$3))*12+MONTH($A76)-MONTH(O$3)+1)/'Capacity by month'!$O$2)),0)</f>
        <v/>
      </c>
      <c r="P76" s="9">
        <f>IF(ISNUMBER(P$3),P$2*MAX(0,MIN(1,((YEAR($A76)-YEAR(P$3))*12+MONTH($A76)-MONTH(P$3)+1)/'Capacity by month'!$O$2)),0)</f>
        <v/>
      </c>
      <c r="Q76" s="9">
        <f>IF(ISNUMBER(Q$3),Q$2*MAX(0,MIN(1,((YEAR($A76)-YEAR(Q$3))*12+MONTH($A76)-MONTH(Q$3)+1)/'Capacity by month'!$O$2)),0)</f>
        <v/>
      </c>
      <c r="R76" s="9">
        <f>IF(ISNUMBER(R$3),R$2*MAX(0,MIN(1,((YEAR($A76)-YEAR(R$3))*12+MONTH($A76)-MONTH(R$3)+1)/'Capacity by month'!$O$2)),0)</f>
        <v/>
      </c>
      <c r="S76" s="9">
        <f>IF(ISNUMBER(S$3),S$2*MAX(0,MIN(1,((YEAR($A76)-YEAR(S$3))*12+MONTH($A76)-MONTH(S$3)+1)/'Capacity by month'!$O$2)),0)</f>
        <v/>
      </c>
      <c r="T76" s="9">
        <f>IF(ISNUMBER(T$3),T$2*MAX(0,MIN(1,((YEAR($A76)-YEAR(T$3))*12+MONTH($A76)-MONTH(T$3)+1)/'Capacity by month'!$O$2)),0)</f>
        <v/>
      </c>
      <c r="U76" s="9">
        <f>IF(ISNUMBER(U$3),U$2*MAX(0,MIN(1,((YEAR($A76)-YEAR(U$3))*12+MONTH($A76)-MONTH(U$3)+1)/'Capacity by month'!$O$2)),0)</f>
        <v/>
      </c>
      <c r="V76" s="9">
        <f>IF(ISNUMBER(V$3),V$2*MAX(0,MIN(1,((YEAR($A76)-YEAR(V$3))*12+MONTH($A76)-MONTH(V$3)+1)/'Capacity by month'!$O$2)),0)</f>
        <v/>
      </c>
      <c r="W76" s="9">
        <f>IF(ISNUMBER(W$3),W$2*MAX(0,MIN(1,((YEAR($A76)-YEAR(W$3))*12+MONTH($A76)-MONTH(W$3)+1)/'Capacity by month'!$O$2)),0)</f>
        <v/>
      </c>
      <c r="X76" s="9">
        <f>IF(ISNUMBER(X$3),X$2*MAX(0,MIN(1,((YEAR($A76)-YEAR(X$3))*12+MONTH($A76)-MONTH(X$3)+1)/'Capacity by month'!$O$2)),0)</f>
        <v/>
      </c>
      <c r="Y76" s="9">
        <f>IF(ISNUMBER(Y$3),Y$2*MAX(0,MIN(1,((YEAR($A76)-YEAR(Y$3))*12+MONTH($A76)-MONTH(Y$3)+1)/'Capacity by month'!$O$2)),0)</f>
        <v/>
      </c>
      <c r="Z76" s="9">
        <f>IF(ISNUMBER(Z$3),Z$2*MAX(0,MIN(1,((YEAR($A76)-YEAR(Z$3))*12+MONTH($A76)-MONTH(Z$3)+1)/'Capacity by month'!$O$2)),0)</f>
        <v/>
      </c>
      <c r="AA76">
        <f>SUM(B76:Z76)</f>
        <v/>
      </c>
      <c r="AB76" t="n">
        <v>0</v>
      </c>
    </row>
    <row r="77">
      <c r="A77" s="8" t="n">
        <v>46419</v>
      </c>
      <c r="B77" s="9">
        <f>IF(ISNUMBER(B$3),B$2*MAX(0,MIN(1,((YEAR($A77)-YEAR(B$3))*12+MONTH($A77)-MONTH(B$3)+1)/'Capacity by month'!$O$2)),0)</f>
        <v/>
      </c>
      <c r="C77" s="9">
        <f>IF(ISNUMBER(C$3),C$2*MAX(0,MIN(1,((YEAR($A77)-YEAR(C$3))*12+MONTH($A77)-MONTH(C$3)+1)/'Capacity by month'!$O$2)),0)</f>
        <v/>
      </c>
      <c r="D77" s="9">
        <f>IF(ISNUMBER(D$3),D$2*MAX(0,MIN(1,((YEAR($A77)-YEAR(D$3))*12+MONTH($A77)-MONTH(D$3)+1)/'Capacity by month'!$O$2)),0)</f>
        <v/>
      </c>
      <c r="E77" s="9">
        <f>IF(ISNUMBER(E$3),E$2*MAX(0,MIN(1,((YEAR($A77)-YEAR(E$3))*12+MONTH($A77)-MONTH(E$3)+1)/'Capacity by month'!$O$2)),0)</f>
        <v/>
      </c>
      <c r="F77" s="9">
        <f>IF(ISNUMBER(F$3),F$2*MAX(0,MIN(1,((YEAR($A77)-YEAR(F$3))*12+MONTH($A77)-MONTH(F$3)+1)/'Capacity by month'!$O$2)),0)</f>
        <v/>
      </c>
      <c r="G77" s="9">
        <f>IF(ISNUMBER(G$3),G$2*MAX(0,MIN(1,((YEAR($A77)-YEAR(G$3))*12+MONTH($A77)-MONTH(G$3)+1)/'Capacity by month'!$O$2)),0)</f>
        <v/>
      </c>
      <c r="H77" s="9">
        <f>IF(ISNUMBER(H$3),H$2*MAX(0,MIN(1,((YEAR($A77)-YEAR(H$3))*12+MONTH($A77)-MONTH(H$3)+1)/'Capacity by month'!$O$2)),0)</f>
        <v/>
      </c>
      <c r="I77" s="9">
        <f>IF(ISNUMBER(I$3),I$2*MAX(0,MIN(1,((YEAR($A77)-YEAR(I$3))*12+MONTH($A77)-MONTH(I$3)+1)/'Capacity by month'!$O$2)),0)</f>
        <v/>
      </c>
      <c r="J77" s="9">
        <f>IF(ISNUMBER(J$3),J$2*MAX(0,MIN(1,((YEAR($A77)-YEAR(J$3))*12+MONTH($A77)-MONTH(J$3)+1)/'Capacity by month'!$O$2)),0)</f>
        <v/>
      </c>
      <c r="K77" s="9">
        <f>IF(ISNUMBER(K$3),K$2*MAX(0,MIN(1,((YEAR($A77)-YEAR(K$3))*12+MONTH($A77)-MONTH(K$3)+1)/'Capacity by month'!$O$2)),0)</f>
        <v/>
      </c>
      <c r="L77" s="9">
        <f>IF(ISNUMBER(L$3),L$2*MAX(0,MIN(1,((YEAR($A77)-YEAR(L$3))*12+MONTH($A77)-MONTH(L$3)+1)/'Capacity by month'!$O$2)),0)</f>
        <v/>
      </c>
      <c r="M77" s="9">
        <f>IF(ISNUMBER(M$3),M$2*MAX(0,MIN(1,((YEAR($A77)-YEAR(M$3))*12+MONTH($A77)-MONTH(M$3)+1)/'Capacity by month'!$O$2)),0)</f>
        <v/>
      </c>
      <c r="N77" s="9">
        <f>IF(ISNUMBER(N$3),N$2*MAX(0,MIN(1,((YEAR($A77)-YEAR(N$3))*12+MONTH($A77)-MONTH(N$3)+1)/'Capacity by month'!$O$2)),0)</f>
        <v/>
      </c>
      <c r="O77" s="9">
        <f>IF(ISNUMBER(O$3),O$2*MAX(0,MIN(1,((YEAR($A77)-YEAR(O$3))*12+MONTH($A77)-MONTH(O$3)+1)/'Capacity by month'!$O$2)),0)</f>
        <v/>
      </c>
      <c r="P77" s="9">
        <f>IF(ISNUMBER(P$3),P$2*MAX(0,MIN(1,((YEAR($A77)-YEAR(P$3))*12+MONTH($A77)-MONTH(P$3)+1)/'Capacity by month'!$O$2)),0)</f>
        <v/>
      </c>
      <c r="Q77" s="9">
        <f>IF(ISNUMBER(Q$3),Q$2*MAX(0,MIN(1,((YEAR($A77)-YEAR(Q$3))*12+MONTH($A77)-MONTH(Q$3)+1)/'Capacity by month'!$O$2)),0)</f>
        <v/>
      </c>
      <c r="R77" s="9">
        <f>IF(ISNUMBER(R$3),R$2*MAX(0,MIN(1,((YEAR($A77)-YEAR(R$3))*12+MONTH($A77)-MONTH(R$3)+1)/'Capacity by month'!$O$2)),0)</f>
        <v/>
      </c>
      <c r="S77" s="9">
        <f>IF(ISNUMBER(S$3),S$2*MAX(0,MIN(1,((YEAR($A77)-YEAR(S$3))*12+MONTH($A77)-MONTH(S$3)+1)/'Capacity by month'!$O$2)),0)</f>
        <v/>
      </c>
      <c r="T77" s="9">
        <f>IF(ISNUMBER(T$3),T$2*MAX(0,MIN(1,((YEAR($A77)-YEAR(T$3))*12+MONTH($A77)-MONTH(T$3)+1)/'Capacity by month'!$O$2)),0)</f>
        <v/>
      </c>
      <c r="U77" s="9">
        <f>IF(ISNUMBER(U$3),U$2*MAX(0,MIN(1,((YEAR($A77)-YEAR(U$3))*12+MONTH($A77)-MONTH(U$3)+1)/'Capacity by month'!$O$2)),0)</f>
        <v/>
      </c>
      <c r="V77" s="9">
        <f>IF(ISNUMBER(V$3),V$2*MAX(0,MIN(1,((YEAR($A77)-YEAR(V$3))*12+MONTH($A77)-MONTH(V$3)+1)/'Capacity by month'!$O$2)),0)</f>
        <v/>
      </c>
      <c r="W77" s="9">
        <f>IF(ISNUMBER(W$3),W$2*MAX(0,MIN(1,((YEAR($A77)-YEAR(W$3))*12+MONTH($A77)-MONTH(W$3)+1)/'Capacity by month'!$O$2)),0)</f>
        <v/>
      </c>
      <c r="X77" s="9">
        <f>IF(ISNUMBER(X$3),X$2*MAX(0,MIN(1,((YEAR($A77)-YEAR(X$3))*12+MONTH($A77)-MONTH(X$3)+1)/'Capacity by month'!$O$2)),0)</f>
        <v/>
      </c>
      <c r="Y77" s="9">
        <f>IF(ISNUMBER(Y$3),Y$2*MAX(0,MIN(1,((YEAR($A77)-YEAR(Y$3))*12+MONTH($A77)-MONTH(Y$3)+1)/'Capacity by month'!$O$2)),0)</f>
        <v/>
      </c>
      <c r="Z77" s="9">
        <f>IF(ISNUMBER(Z$3),Z$2*MAX(0,MIN(1,((YEAR($A77)-YEAR(Z$3))*12+MONTH($A77)-MONTH(Z$3)+1)/'Capacity by month'!$O$2)),0)</f>
        <v/>
      </c>
      <c r="AA77">
        <f>SUM(B77:Z77)</f>
        <v/>
      </c>
      <c r="AB77" t="n">
        <v>0</v>
      </c>
    </row>
    <row r="78">
      <c r="A78" s="8" t="n">
        <v>46447</v>
      </c>
      <c r="B78" s="9">
        <f>IF(ISNUMBER(B$3),B$2*MAX(0,MIN(1,((YEAR($A78)-YEAR(B$3))*12+MONTH($A78)-MONTH(B$3)+1)/'Capacity by month'!$O$2)),0)</f>
        <v/>
      </c>
      <c r="C78" s="9">
        <f>IF(ISNUMBER(C$3),C$2*MAX(0,MIN(1,((YEAR($A78)-YEAR(C$3))*12+MONTH($A78)-MONTH(C$3)+1)/'Capacity by month'!$O$2)),0)</f>
        <v/>
      </c>
      <c r="D78" s="9">
        <f>IF(ISNUMBER(D$3),D$2*MAX(0,MIN(1,((YEAR($A78)-YEAR(D$3))*12+MONTH($A78)-MONTH(D$3)+1)/'Capacity by month'!$O$2)),0)</f>
        <v/>
      </c>
      <c r="E78" s="9">
        <f>IF(ISNUMBER(E$3),E$2*MAX(0,MIN(1,((YEAR($A78)-YEAR(E$3))*12+MONTH($A78)-MONTH(E$3)+1)/'Capacity by month'!$O$2)),0)</f>
        <v/>
      </c>
      <c r="F78" s="9">
        <f>IF(ISNUMBER(F$3),F$2*MAX(0,MIN(1,((YEAR($A78)-YEAR(F$3))*12+MONTH($A78)-MONTH(F$3)+1)/'Capacity by month'!$O$2)),0)</f>
        <v/>
      </c>
      <c r="G78" s="9">
        <f>IF(ISNUMBER(G$3),G$2*MAX(0,MIN(1,((YEAR($A78)-YEAR(G$3))*12+MONTH($A78)-MONTH(G$3)+1)/'Capacity by month'!$O$2)),0)</f>
        <v/>
      </c>
      <c r="H78" s="9">
        <f>IF(ISNUMBER(H$3),H$2*MAX(0,MIN(1,((YEAR($A78)-YEAR(H$3))*12+MONTH($A78)-MONTH(H$3)+1)/'Capacity by month'!$O$2)),0)</f>
        <v/>
      </c>
      <c r="I78" s="9">
        <f>IF(ISNUMBER(I$3),I$2*MAX(0,MIN(1,((YEAR($A78)-YEAR(I$3))*12+MONTH($A78)-MONTH(I$3)+1)/'Capacity by month'!$O$2)),0)</f>
        <v/>
      </c>
      <c r="J78" s="9">
        <f>IF(ISNUMBER(J$3),J$2*MAX(0,MIN(1,((YEAR($A78)-YEAR(J$3))*12+MONTH($A78)-MONTH(J$3)+1)/'Capacity by month'!$O$2)),0)</f>
        <v/>
      </c>
      <c r="K78" s="9">
        <f>IF(ISNUMBER(K$3),K$2*MAX(0,MIN(1,((YEAR($A78)-YEAR(K$3))*12+MONTH($A78)-MONTH(K$3)+1)/'Capacity by month'!$O$2)),0)</f>
        <v/>
      </c>
      <c r="L78" s="9">
        <f>IF(ISNUMBER(L$3),L$2*MAX(0,MIN(1,((YEAR($A78)-YEAR(L$3))*12+MONTH($A78)-MONTH(L$3)+1)/'Capacity by month'!$O$2)),0)</f>
        <v/>
      </c>
      <c r="M78" s="9">
        <f>IF(ISNUMBER(M$3),M$2*MAX(0,MIN(1,((YEAR($A78)-YEAR(M$3))*12+MONTH($A78)-MONTH(M$3)+1)/'Capacity by month'!$O$2)),0)</f>
        <v/>
      </c>
      <c r="N78" s="9">
        <f>IF(ISNUMBER(N$3),N$2*MAX(0,MIN(1,((YEAR($A78)-YEAR(N$3))*12+MONTH($A78)-MONTH(N$3)+1)/'Capacity by month'!$O$2)),0)</f>
        <v/>
      </c>
      <c r="O78" s="9">
        <f>IF(ISNUMBER(O$3),O$2*MAX(0,MIN(1,((YEAR($A78)-YEAR(O$3))*12+MONTH($A78)-MONTH(O$3)+1)/'Capacity by month'!$O$2)),0)</f>
        <v/>
      </c>
      <c r="P78" s="9">
        <f>IF(ISNUMBER(P$3),P$2*MAX(0,MIN(1,((YEAR($A78)-YEAR(P$3))*12+MONTH($A78)-MONTH(P$3)+1)/'Capacity by month'!$O$2)),0)</f>
        <v/>
      </c>
      <c r="Q78" s="9">
        <f>IF(ISNUMBER(Q$3),Q$2*MAX(0,MIN(1,((YEAR($A78)-YEAR(Q$3))*12+MONTH($A78)-MONTH(Q$3)+1)/'Capacity by month'!$O$2)),0)</f>
        <v/>
      </c>
      <c r="R78" s="9">
        <f>IF(ISNUMBER(R$3),R$2*MAX(0,MIN(1,((YEAR($A78)-YEAR(R$3))*12+MONTH($A78)-MONTH(R$3)+1)/'Capacity by month'!$O$2)),0)</f>
        <v/>
      </c>
      <c r="S78" s="9">
        <f>IF(ISNUMBER(S$3),S$2*MAX(0,MIN(1,((YEAR($A78)-YEAR(S$3))*12+MONTH($A78)-MONTH(S$3)+1)/'Capacity by month'!$O$2)),0)</f>
        <v/>
      </c>
      <c r="T78" s="9">
        <f>IF(ISNUMBER(T$3),T$2*MAX(0,MIN(1,((YEAR($A78)-YEAR(T$3))*12+MONTH($A78)-MONTH(T$3)+1)/'Capacity by month'!$O$2)),0)</f>
        <v/>
      </c>
      <c r="U78" s="9">
        <f>IF(ISNUMBER(U$3),U$2*MAX(0,MIN(1,((YEAR($A78)-YEAR(U$3))*12+MONTH($A78)-MONTH(U$3)+1)/'Capacity by month'!$O$2)),0)</f>
        <v/>
      </c>
      <c r="V78" s="9">
        <f>IF(ISNUMBER(V$3),V$2*MAX(0,MIN(1,((YEAR($A78)-YEAR(V$3))*12+MONTH($A78)-MONTH(V$3)+1)/'Capacity by month'!$O$2)),0)</f>
        <v/>
      </c>
      <c r="W78" s="9">
        <f>IF(ISNUMBER(W$3),W$2*MAX(0,MIN(1,((YEAR($A78)-YEAR(W$3))*12+MONTH($A78)-MONTH(W$3)+1)/'Capacity by month'!$O$2)),0)</f>
        <v/>
      </c>
      <c r="X78" s="9">
        <f>IF(ISNUMBER(X$3),X$2*MAX(0,MIN(1,((YEAR($A78)-YEAR(X$3))*12+MONTH($A78)-MONTH(X$3)+1)/'Capacity by month'!$O$2)),0)</f>
        <v/>
      </c>
      <c r="Y78" s="9">
        <f>IF(ISNUMBER(Y$3),Y$2*MAX(0,MIN(1,((YEAR($A78)-YEAR(Y$3))*12+MONTH($A78)-MONTH(Y$3)+1)/'Capacity by month'!$O$2)),0)</f>
        <v/>
      </c>
      <c r="Z78" s="9">
        <f>IF(ISNUMBER(Z$3),Z$2*MAX(0,MIN(1,((YEAR($A78)-YEAR(Z$3))*12+MONTH($A78)-MONTH(Z$3)+1)/'Capacity by month'!$O$2)),0)</f>
        <v/>
      </c>
      <c r="AA78">
        <f>SUM(B78:Z78)</f>
        <v/>
      </c>
      <c r="AB78" t="n">
        <v>0</v>
      </c>
    </row>
    <row r="79">
      <c r="A79" s="8" t="n">
        <v>46478</v>
      </c>
      <c r="B79" s="9">
        <f>IF(ISNUMBER(B$3),B$2*MAX(0,MIN(1,((YEAR($A79)-YEAR(B$3))*12+MONTH($A79)-MONTH(B$3)+1)/'Capacity by month'!$O$2)),0)</f>
        <v/>
      </c>
      <c r="C79" s="9">
        <f>IF(ISNUMBER(C$3),C$2*MAX(0,MIN(1,((YEAR($A79)-YEAR(C$3))*12+MONTH($A79)-MONTH(C$3)+1)/'Capacity by month'!$O$2)),0)</f>
        <v/>
      </c>
      <c r="D79" s="9">
        <f>IF(ISNUMBER(D$3),D$2*MAX(0,MIN(1,((YEAR($A79)-YEAR(D$3))*12+MONTH($A79)-MONTH(D$3)+1)/'Capacity by month'!$O$2)),0)</f>
        <v/>
      </c>
      <c r="E79" s="9">
        <f>IF(ISNUMBER(E$3),E$2*MAX(0,MIN(1,((YEAR($A79)-YEAR(E$3))*12+MONTH($A79)-MONTH(E$3)+1)/'Capacity by month'!$O$2)),0)</f>
        <v/>
      </c>
      <c r="F79" s="9">
        <f>IF(ISNUMBER(F$3),F$2*MAX(0,MIN(1,((YEAR($A79)-YEAR(F$3))*12+MONTH($A79)-MONTH(F$3)+1)/'Capacity by month'!$O$2)),0)</f>
        <v/>
      </c>
      <c r="G79" s="9">
        <f>IF(ISNUMBER(G$3),G$2*MAX(0,MIN(1,((YEAR($A79)-YEAR(G$3))*12+MONTH($A79)-MONTH(G$3)+1)/'Capacity by month'!$O$2)),0)</f>
        <v/>
      </c>
      <c r="H79" s="9">
        <f>IF(ISNUMBER(H$3),H$2*MAX(0,MIN(1,((YEAR($A79)-YEAR(H$3))*12+MONTH($A79)-MONTH(H$3)+1)/'Capacity by month'!$O$2)),0)</f>
        <v/>
      </c>
      <c r="I79" s="9">
        <f>IF(ISNUMBER(I$3),I$2*MAX(0,MIN(1,((YEAR($A79)-YEAR(I$3))*12+MONTH($A79)-MONTH(I$3)+1)/'Capacity by month'!$O$2)),0)</f>
        <v/>
      </c>
      <c r="J79" s="9">
        <f>IF(ISNUMBER(J$3),J$2*MAX(0,MIN(1,((YEAR($A79)-YEAR(J$3))*12+MONTH($A79)-MONTH(J$3)+1)/'Capacity by month'!$O$2)),0)</f>
        <v/>
      </c>
      <c r="K79" s="9">
        <f>IF(ISNUMBER(K$3),K$2*MAX(0,MIN(1,((YEAR($A79)-YEAR(K$3))*12+MONTH($A79)-MONTH(K$3)+1)/'Capacity by month'!$O$2)),0)</f>
        <v/>
      </c>
      <c r="L79" s="9">
        <f>IF(ISNUMBER(L$3),L$2*MAX(0,MIN(1,((YEAR($A79)-YEAR(L$3))*12+MONTH($A79)-MONTH(L$3)+1)/'Capacity by month'!$O$2)),0)</f>
        <v/>
      </c>
      <c r="M79" s="9">
        <f>IF(ISNUMBER(M$3),M$2*MAX(0,MIN(1,((YEAR($A79)-YEAR(M$3))*12+MONTH($A79)-MONTH(M$3)+1)/'Capacity by month'!$O$2)),0)</f>
        <v/>
      </c>
      <c r="N79" s="9">
        <f>IF(ISNUMBER(N$3),N$2*MAX(0,MIN(1,((YEAR($A79)-YEAR(N$3))*12+MONTH($A79)-MONTH(N$3)+1)/'Capacity by month'!$O$2)),0)</f>
        <v/>
      </c>
      <c r="O79" s="9">
        <f>IF(ISNUMBER(O$3),O$2*MAX(0,MIN(1,((YEAR($A79)-YEAR(O$3))*12+MONTH($A79)-MONTH(O$3)+1)/'Capacity by month'!$O$2)),0)</f>
        <v/>
      </c>
      <c r="P79" s="9">
        <f>IF(ISNUMBER(P$3),P$2*MAX(0,MIN(1,((YEAR($A79)-YEAR(P$3))*12+MONTH($A79)-MONTH(P$3)+1)/'Capacity by month'!$O$2)),0)</f>
        <v/>
      </c>
      <c r="Q79" s="9">
        <f>IF(ISNUMBER(Q$3),Q$2*MAX(0,MIN(1,((YEAR($A79)-YEAR(Q$3))*12+MONTH($A79)-MONTH(Q$3)+1)/'Capacity by month'!$O$2)),0)</f>
        <v/>
      </c>
      <c r="R79" s="9">
        <f>IF(ISNUMBER(R$3),R$2*MAX(0,MIN(1,((YEAR($A79)-YEAR(R$3))*12+MONTH($A79)-MONTH(R$3)+1)/'Capacity by month'!$O$2)),0)</f>
        <v/>
      </c>
      <c r="S79" s="9">
        <f>IF(ISNUMBER(S$3),S$2*MAX(0,MIN(1,((YEAR($A79)-YEAR(S$3))*12+MONTH($A79)-MONTH(S$3)+1)/'Capacity by month'!$O$2)),0)</f>
        <v/>
      </c>
      <c r="T79" s="9">
        <f>IF(ISNUMBER(T$3),T$2*MAX(0,MIN(1,((YEAR($A79)-YEAR(T$3))*12+MONTH($A79)-MONTH(T$3)+1)/'Capacity by month'!$O$2)),0)</f>
        <v/>
      </c>
      <c r="U79" s="9">
        <f>IF(ISNUMBER(U$3),U$2*MAX(0,MIN(1,((YEAR($A79)-YEAR(U$3))*12+MONTH($A79)-MONTH(U$3)+1)/'Capacity by month'!$O$2)),0)</f>
        <v/>
      </c>
      <c r="V79" s="9">
        <f>IF(ISNUMBER(V$3),V$2*MAX(0,MIN(1,((YEAR($A79)-YEAR(V$3))*12+MONTH($A79)-MONTH(V$3)+1)/'Capacity by month'!$O$2)),0)</f>
        <v/>
      </c>
      <c r="W79" s="9">
        <f>IF(ISNUMBER(W$3),W$2*MAX(0,MIN(1,((YEAR($A79)-YEAR(W$3))*12+MONTH($A79)-MONTH(W$3)+1)/'Capacity by month'!$O$2)),0)</f>
        <v/>
      </c>
      <c r="X79" s="9">
        <f>IF(ISNUMBER(X$3),X$2*MAX(0,MIN(1,((YEAR($A79)-YEAR(X$3))*12+MONTH($A79)-MONTH(X$3)+1)/'Capacity by month'!$O$2)),0)</f>
        <v/>
      </c>
      <c r="Y79" s="9">
        <f>IF(ISNUMBER(Y$3),Y$2*MAX(0,MIN(1,((YEAR($A79)-YEAR(Y$3))*12+MONTH($A79)-MONTH(Y$3)+1)/'Capacity by month'!$O$2)),0)</f>
        <v/>
      </c>
      <c r="Z79" s="9">
        <f>IF(ISNUMBER(Z$3),Z$2*MAX(0,MIN(1,((YEAR($A79)-YEAR(Z$3))*12+MONTH($A79)-MONTH(Z$3)+1)/'Capacity by month'!$O$2)),0)</f>
        <v/>
      </c>
      <c r="AA79">
        <f>SUM(B79:Z79)</f>
        <v/>
      </c>
      <c r="AB79" t="n">
        <v>0</v>
      </c>
    </row>
    <row r="80">
      <c r="A80" s="8" t="n">
        <v>46508</v>
      </c>
      <c r="B80" s="9">
        <f>IF(ISNUMBER(B$3),B$2*MAX(0,MIN(1,((YEAR($A80)-YEAR(B$3))*12+MONTH($A80)-MONTH(B$3)+1)/'Capacity by month'!$O$2)),0)</f>
        <v/>
      </c>
      <c r="C80" s="9">
        <f>IF(ISNUMBER(C$3),C$2*MAX(0,MIN(1,((YEAR($A80)-YEAR(C$3))*12+MONTH($A80)-MONTH(C$3)+1)/'Capacity by month'!$O$2)),0)</f>
        <v/>
      </c>
      <c r="D80" s="9">
        <f>IF(ISNUMBER(D$3),D$2*MAX(0,MIN(1,((YEAR($A80)-YEAR(D$3))*12+MONTH($A80)-MONTH(D$3)+1)/'Capacity by month'!$O$2)),0)</f>
        <v/>
      </c>
      <c r="E80" s="9">
        <f>IF(ISNUMBER(E$3),E$2*MAX(0,MIN(1,((YEAR($A80)-YEAR(E$3))*12+MONTH($A80)-MONTH(E$3)+1)/'Capacity by month'!$O$2)),0)</f>
        <v/>
      </c>
      <c r="F80" s="9">
        <f>IF(ISNUMBER(F$3),F$2*MAX(0,MIN(1,((YEAR($A80)-YEAR(F$3))*12+MONTH($A80)-MONTH(F$3)+1)/'Capacity by month'!$O$2)),0)</f>
        <v/>
      </c>
      <c r="G80" s="9">
        <f>IF(ISNUMBER(G$3),G$2*MAX(0,MIN(1,((YEAR($A80)-YEAR(G$3))*12+MONTH($A80)-MONTH(G$3)+1)/'Capacity by month'!$O$2)),0)</f>
        <v/>
      </c>
      <c r="H80" s="9">
        <f>IF(ISNUMBER(H$3),H$2*MAX(0,MIN(1,((YEAR($A80)-YEAR(H$3))*12+MONTH($A80)-MONTH(H$3)+1)/'Capacity by month'!$O$2)),0)</f>
        <v/>
      </c>
      <c r="I80" s="9">
        <f>IF(ISNUMBER(I$3),I$2*MAX(0,MIN(1,((YEAR($A80)-YEAR(I$3))*12+MONTH($A80)-MONTH(I$3)+1)/'Capacity by month'!$O$2)),0)</f>
        <v/>
      </c>
      <c r="J80" s="9">
        <f>IF(ISNUMBER(J$3),J$2*MAX(0,MIN(1,((YEAR($A80)-YEAR(J$3))*12+MONTH($A80)-MONTH(J$3)+1)/'Capacity by month'!$O$2)),0)</f>
        <v/>
      </c>
      <c r="K80" s="9">
        <f>IF(ISNUMBER(K$3),K$2*MAX(0,MIN(1,((YEAR($A80)-YEAR(K$3))*12+MONTH($A80)-MONTH(K$3)+1)/'Capacity by month'!$O$2)),0)</f>
        <v/>
      </c>
      <c r="L80" s="9">
        <f>IF(ISNUMBER(L$3),L$2*MAX(0,MIN(1,((YEAR($A80)-YEAR(L$3))*12+MONTH($A80)-MONTH(L$3)+1)/'Capacity by month'!$O$2)),0)</f>
        <v/>
      </c>
      <c r="M80" s="9">
        <f>IF(ISNUMBER(M$3),M$2*MAX(0,MIN(1,((YEAR($A80)-YEAR(M$3))*12+MONTH($A80)-MONTH(M$3)+1)/'Capacity by month'!$O$2)),0)</f>
        <v/>
      </c>
      <c r="N80" s="9">
        <f>IF(ISNUMBER(N$3),N$2*MAX(0,MIN(1,((YEAR($A80)-YEAR(N$3))*12+MONTH($A80)-MONTH(N$3)+1)/'Capacity by month'!$O$2)),0)</f>
        <v/>
      </c>
      <c r="O80" s="9">
        <f>IF(ISNUMBER(O$3),O$2*MAX(0,MIN(1,((YEAR($A80)-YEAR(O$3))*12+MONTH($A80)-MONTH(O$3)+1)/'Capacity by month'!$O$2)),0)</f>
        <v/>
      </c>
      <c r="P80" s="9">
        <f>IF(ISNUMBER(P$3),P$2*MAX(0,MIN(1,((YEAR($A80)-YEAR(P$3))*12+MONTH($A80)-MONTH(P$3)+1)/'Capacity by month'!$O$2)),0)</f>
        <v/>
      </c>
      <c r="Q80" s="9">
        <f>IF(ISNUMBER(Q$3),Q$2*MAX(0,MIN(1,((YEAR($A80)-YEAR(Q$3))*12+MONTH($A80)-MONTH(Q$3)+1)/'Capacity by month'!$O$2)),0)</f>
        <v/>
      </c>
      <c r="R80" s="9">
        <f>IF(ISNUMBER(R$3),R$2*MAX(0,MIN(1,((YEAR($A80)-YEAR(R$3))*12+MONTH($A80)-MONTH(R$3)+1)/'Capacity by month'!$O$2)),0)</f>
        <v/>
      </c>
      <c r="S80" s="9">
        <f>IF(ISNUMBER(S$3),S$2*MAX(0,MIN(1,((YEAR($A80)-YEAR(S$3))*12+MONTH($A80)-MONTH(S$3)+1)/'Capacity by month'!$O$2)),0)</f>
        <v/>
      </c>
      <c r="T80" s="9">
        <f>IF(ISNUMBER(T$3),T$2*MAX(0,MIN(1,((YEAR($A80)-YEAR(T$3))*12+MONTH($A80)-MONTH(T$3)+1)/'Capacity by month'!$O$2)),0)</f>
        <v/>
      </c>
      <c r="U80" s="9">
        <f>IF(ISNUMBER(U$3),U$2*MAX(0,MIN(1,((YEAR($A80)-YEAR(U$3))*12+MONTH($A80)-MONTH(U$3)+1)/'Capacity by month'!$O$2)),0)</f>
        <v/>
      </c>
      <c r="V80" s="9">
        <f>IF(ISNUMBER(V$3),V$2*MAX(0,MIN(1,((YEAR($A80)-YEAR(V$3))*12+MONTH($A80)-MONTH(V$3)+1)/'Capacity by month'!$O$2)),0)</f>
        <v/>
      </c>
      <c r="W80" s="9">
        <f>IF(ISNUMBER(W$3),W$2*MAX(0,MIN(1,((YEAR($A80)-YEAR(W$3))*12+MONTH($A80)-MONTH(W$3)+1)/'Capacity by month'!$O$2)),0)</f>
        <v/>
      </c>
      <c r="X80" s="9">
        <f>IF(ISNUMBER(X$3),X$2*MAX(0,MIN(1,((YEAR($A80)-YEAR(X$3))*12+MONTH($A80)-MONTH(X$3)+1)/'Capacity by month'!$O$2)),0)</f>
        <v/>
      </c>
      <c r="Y80" s="9">
        <f>IF(ISNUMBER(Y$3),Y$2*MAX(0,MIN(1,((YEAR($A80)-YEAR(Y$3))*12+MONTH($A80)-MONTH(Y$3)+1)/'Capacity by month'!$O$2)),0)</f>
        <v/>
      </c>
      <c r="Z80" s="9">
        <f>IF(ISNUMBER(Z$3),Z$2*MAX(0,MIN(1,((YEAR($A80)-YEAR(Z$3))*12+MONTH($A80)-MONTH(Z$3)+1)/'Capacity by month'!$O$2)),0)</f>
        <v/>
      </c>
      <c r="AA80">
        <f>SUM(B80:Z80)</f>
        <v/>
      </c>
      <c r="AB80" t="n">
        <v>0</v>
      </c>
    </row>
    <row r="81">
      <c r="A81" s="8" t="n">
        <v>46539</v>
      </c>
      <c r="B81" s="9">
        <f>IF(ISNUMBER(B$3),B$2*MAX(0,MIN(1,((YEAR($A81)-YEAR(B$3))*12+MONTH($A81)-MONTH(B$3)+1)/'Capacity by month'!$O$2)),0)</f>
        <v/>
      </c>
      <c r="C81" s="9">
        <f>IF(ISNUMBER(C$3),C$2*MAX(0,MIN(1,((YEAR($A81)-YEAR(C$3))*12+MONTH($A81)-MONTH(C$3)+1)/'Capacity by month'!$O$2)),0)</f>
        <v/>
      </c>
      <c r="D81" s="9">
        <f>IF(ISNUMBER(D$3),D$2*MAX(0,MIN(1,((YEAR($A81)-YEAR(D$3))*12+MONTH($A81)-MONTH(D$3)+1)/'Capacity by month'!$O$2)),0)</f>
        <v/>
      </c>
      <c r="E81" s="9">
        <f>IF(ISNUMBER(E$3),E$2*MAX(0,MIN(1,((YEAR($A81)-YEAR(E$3))*12+MONTH($A81)-MONTH(E$3)+1)/'Capacity by month'!$O$2)),0)</f>
        <v/>
      </c>
      <c r="F81" s="9">
        <f>IF(ISNUMBER(F$3),F$2*MAX(0,MIN(1,((YEAR($A81)-YEAR(F$3))*12+MONTH($A81)-MONTH(F$3)+1)/'Capacity by month'!$O$2)),0)</f>
        <v/>
      </c>
      <c r="G81" s="9">
        <f>IF(ISNUMBER(G$3),G$2*MAX(0,MIN(1,((YEAR($A81)-YEAR(G$3))*12+MONTH($A81)-MONTH(G$3)+1)/'Capacity by month'!$O$2)),0)</f>
        <v/>
      </c>
      <c r="H81" s="9">
        <f>IF(ISNUMBER(H$3),H$2*MAX(0,MIN(1,((YEAR($A81)-YEAR(H$3))*12+MONTH($A81)-MONTH(H$3)+1)/'Capacity by month'!$O$2)),0)</f>
        <v/>
      </c>
      <c r="I81" s="9">
        <f>IF(ISNUMBER(I$3),I$2*MAX(0,MIN(1,((YEAR($A81)-YEAR(I$3))*12+MONTH($A81)-MONTH(I$3)+1)/'Capacity by month'!$O$2)),0)</f>
        <v/>
      </c>
      <c r="J81" s="9">
        <f>IF(ISNUMBER(J$3),J$2*MAX(0,MIN(1,((YEAR($A81)-YEAR(J$3))*12+MONTH($A81)-MONTH(J$3)+1)/'Capacity by month'!$O$2)),0)</f>
        <v/>
      </c>
      <c r="K81" s="9">
        <f>IF(ISNUMBER(K$3),K$2*MAX(0,MIN(1,((YEAR($A81)-YEAR(K$3))*12+MONTH($A81)-MONTH(K$3)+1)/'Capacity by month'!$O$2)),0)</f>
        <v/>
      </c>
      <c r="L81" s="9">
        <f>IF(ISNUMBER(L$3),L$2*MAX(0,MIN(1,((YEAR($A81)-YEAR(L$3))*12+MONTH($A81)-MONTH(L$3)+1)/'Capacity by month'!$O$2)),0)</f>
        <v/>
      </c>
      <c r="M81" s="9">
        <f>IF(ISNUMBER(M$3),M$2*MAX(0,MIN(1,((YEAR($A81)-YEAR(M$3))*12+MONTH($A81)-MONTH(M$3)+1)/'Capacity by month'!$O$2)),0)</f>
        <v/>
      </c>
      <c r="N81" s="9">
        <f>IF(ISNUMBER(N$3),N$2*MAX(0,MIN(1,((YEAR($A81)-YEAR(N$3))*12+MONTH($A81)-MONTH(N$3)+1)/'Capacity by month'!$O$2)),0)</f>
        <v/>
      </c>
      <c r="O81" s="9">
        <f>IF(ISNUMBER(O$3),O$2*MAX(0,MIN(1,((YEAR($A81)-YEAR(O$3))*12+MONTH($A81)-MONTH(O$3)+1)/'Capacity by month'!$O$2)),0)</f>
        <v/>
      </c>
      <c r="P81" s="9">
        <f>IF(ISNUMBER(P$3),P$2*MAX(0,MIN(1,((YEAR($A81)-YEAR(P$3))*12+MONTH($A81)-MONTH(P$3)+1)/'Capacity by month'!$O$2)),0)</f>
        <v/>
      </c>
      <c r="Q81" s="9">
        <f>IF(ISNUMBER(Q$3),Q$2*MAX(0,MIN(1,((YEAR($A81)-YEAR(Q$3))*12+MONTH($A81)-MONTH(Q$3)+1)/'Capacity by month'!$O$2)),0)</f>
        <v/>
      </c>
      <c r="R81" s="9">
        <f>IF(ISNUMBER(R$3),R$2*MAX(0,MIN(1,((YEAR($A81)-YEAR(R$3))*12+MONTH($A81)-MONTH(R$3)+1)/'Capacity by month'!$O$2)),0)</f>
        <v/>
      </c>
      <c r="S81" s="9">
        <f>IF(ISNUMBER(S$3),S$2*MAX(0,MIN(1,((YEAR($A81)-YEAR(S$3))*12+MONTH($A81)-MONTH(S$3)+1)/'Capacity by month'!$O$2)),0)</f>
        <v/>
      </c>
      <c r="T81" s="9">
        <f>IF(ISNUMBER(T$3),T$2*MAX(0,MIN(1,((YEAR($A81)-YEAR(T$3))*12+MONTH($A81)-MONTH(T$3)+1)/'Capacity by month'!$O$2)),0)</f>
        <v/>
      </c>
      <c r="U81" s="9">
        <f>IF(ISNUMBER(U$3),U$2*MAX(0,MIN(1,((YEAR($A81)-YEAR(U$3))*12+MONTH($A81)-MONTH(U$3)+1)/'Capacity by month'!$O$2)),0)</f>
        <v/>
      </c>
      <c r="V81" s="9">
        <f>IF(ISNUMBER(V$3),V$2*MAX(0,MIN(1,((YEAR($A81)-YEAR(V$3))*12+MONTH($A81)-MONTH(V$3)+1)/'Capacity by month'!$O$2)),0)</f>
        <v/>
      </c>
      <c r="W81" s="9">
        <f>IF(ISNUMBER(W$3),W$2*MAX(0,MIN(1,((YEAR($A81)-YEAR(W$3))*12+MONTH($A81)-MONTH(W$3)+1)/'Capacity by month'!$O$2)),0)</f>
        <v/>
      </c>
      <c r="X81" s="9">
        <f>IF(ISNUMBER(X$3),X$2*MAX(0,MIN(1,((YEAR($A81)-YEAR(X$3))*12+MONTH($A81)-MONTH(X$3)+1)/'Capacity by month'!$O$2)),0)</f>
        <v/>
      </c>
      <c r="Y81" s="9">
        <f>IF(ISNUMBER(Y$3),Y$2*MAX(0,MIN(1,((YEAR($A81)-YEAR(Y$3))*12+MONTH($A81)-MONTH(Y$3)+1)/'Capacity by month'!$O$2)),0)</f>
        <v/>
      </c>
      <c r="Z81" s="9">
        <f>IF(ISNUMBER(Z$3),Z$2*MAX(0,MIN(1,((YEAR($A81)-YEAR(Z$3))*12+MONTH($A81)-MONTH(Z$3)+1)/'Capacity by month'!$O$2)),0)</f>
        <v/>
      </c>
      <c r="AA81">
        <f>SUM(B81:Z81)</f>
        <v/>
      </c>
      <c r="AB81" t="n">
        <v>0</v>
      </c>
    </row>
    <row r="82">
      <c r="A82" s="8" t="n">
        <v>46569</v>
      </c>
      <c r="B82" s="9">
        <f>IF(ISNUMBER(B$3),B$2*MAX(0,MIN(1,((YEAR($A82)-YEAR(B$3))*12+MONTH($A82)-MONTH(B$3)+1)/'Capacity by month'!$O$2)),0)</f>
        <v/>
      </c>
      <c r="C82" s="9">
        <f>IF(ISNUMBER(C$3),C$2*MAX(0,MIN(1,((YEAR($A82)-YEAR(C$3))*12+MONTH($A82)-MONTH(C$3)+1)/'Capacity by month'!$O$2)),0)</f>
        <v/>
      </c>
      <c r="D82" s="9">
        <f>IF(ISNUMBER(D$3),D$2*MAX(0,MIN(1,((YEAR($A82)-YEAR(D$3))*12+MONTH($A82)-MONTH(D$3)+1)/'Capacity by month'!$O$2)),0)</f>
        <v/>
      </c>
      <c r="E82" s="9">
        <f>IF(ISNUMBER(E$3),E$2*MAX(0,MIN(1,((YEAR($A82)-YEAR(E$3))*12+MONTH($A82)-MONTH(E$3)+1)/'Capacity by month'!$O$2)),0)</f>
        <v/>
      </c>
      <c r="F82" s="9">
        <f>IF(ISNUMBER(F$3),F$2*MAX(0,MIN(1,((YEAR($A82)-YEAR(F$3))*12+MONTH($A82)-MONTH(F$3)+1)/'Capacity by month'!$O$2)),0)</f>
        <v/>
      </c>
      <c r="G82" s="9">
        <f>IF(ISNUMBER(G$3),G$2*MAX(0,MIN(1,((YEAR($A82)-YEAR(G$3))*12+MONTH($A82)-MONTH(G$3)+1)/'Capacity by month'!$O$2)),0)</f>
        <v/>
      </c>
      <c r="H82" s="9">
        <f>IF(ISNUMBER(H$3),H$2*MAX(0,MIN(1,((YEAR($A82)-YEAR(H$3))*12+MONTH($A82)-MONTH(H$3)+1)/'Capacity by month'!$O$2)),0)</f>
        <v/>
      </c>
      <c r="I82" s="9">
        <f>IF(ISNUMBER(I$3),I$2*MAX(0,MIN(1,((YEAR($A82)-YEAR(I$3))*12+MONTH($A82)-MONTH(I$3)+1)/'Capacity by month'!$O$2)),0)</f>
        <v/>
      </c>
      <c r="J82" s="9">
        <f>IF(ISNUMBER(J$3),J$2*MAX(0,MIN(1,((YEAR($A82)-YEAR(J$3))*12+MONTH($A82)-MONTH(J$3)+1)/'Capacity by month'!$O$2)),0)</f>
        <v/>
      </c>
      <c r="K82" s="9">
        <f>IF(ISNUMBER(K$3),K$2*MAX(0,MIN(1,((YEAR($A82)-YEAR(K$3))*12+MONTH($A82)-MONTH(K$3)+1)/'Capacity by month'!$O$2)),0)</f>
        <v/>
      </c>
      <c r="L82" s="9">
        <f>IF(ISNUMBER(L$3),L$2*MAX(0,MIN(1,((YEAR($A82)-YEAR(L$3))*12+MONTH($A82)-MONTH(L$3)+1)/'Capacity by month'!$O$2)),0)</f>
        <v/>
      </c>
      <c r="M82" s="9">
        <f>IF(ISNUMBER(M$3),M$2*MAX(0,MIN(1,((YEAR($A82)-YEAR(M$3))*12+MONTH($A82)-MONTH(M$3)+1)/'Capacity by month'!$O$2)),0)</f>
        <v/>
      </c>
      <c r="N82" s="9">
        <f>IF(ISNUMBER(N$3),N$2*MAX(0,MIN(1,((YEAR($A82)-YEAR(N$3))*12+MONTH($A82)-MONTH(N$3)+1)/'Capacity by month'!$O$2)),0)</f>
        <v/>
      </c>
      <c r="O82" s="9">
        <f>IF(ISNUMBER(O$3),O$2*MAX(0,MIN(1,((YEAR($A82)-YEAR(O$3))*12+MONTH($A82)-MONTH(O$3)+1)/'Capacity by month'!$O$2)),0)</f>
        <v/>
      </c>
      <c r="P82" s="9">
        <f>IF(ISNUMBER(P$3),P$2*MAX(0,MIN(1,((YEAR($A82)-YEAR(P$3))*12+MONTH($A82)-MONTH(P$3)+1)/'Capacity by month'!$O$2)),0)</f>
        <v/>
      </c>
      <c r="Q82" s="9">
        <f>IF(ISNUMBER(Q$3),Q$2*MAX(0,MIN(1,((YEAR($A82)-YEAR(Q$3))*12+MONTH($A82)-MONTH(Q$3)+1)/'Capacity by month'!$O$2)),0)</f>
        <v/>
      </c>
      <c r="R82" s="9">
        <f>IF(ISNUMBER(R$3),R$2*MAX(0,MIN(1,((YEAR($A82)-YEAR(R$3))*12+MONTH($A82)-MONTH(R$3)+1)/'Capacity by month'!$O$2)),0)</f>
        <v/>
      </c>
      <c r="S82" s="9">
        <f>IF(ISNUMBER(S$3),S$2*MAX(0,MIN(1,((YEAR($A82)-YEAR(S$3))*12+MONTH($A82)-MONTH(S$3)+1)/'Capacity by month'!$O$2)),0)</f>
        <v/>
      </c>
      <c r="T82" s="9">
        <f>IF(ISNUMBER(T$3),T$2*MAX(0,MIN(1,((YEAR($A82)-YEAR(T$3))*12+MONTH($A82)-MONTH(T$3)+1)/'Capacity by month'!$O$2)),0)</f>
        <v/>
      </c>
      <c r="U82" s="9">
        <f>IF(ISNUMBER(U$3),U$2*MAX(0,MIN(1,((YEAR($A82)-YEAR(U$3))*12+MONTH($A82)-MONTH(U$3)+1)/'Capacity by month'!$O$2)),0)</f>
        <v/>
      </c>
      <c r="V82" s="9">
        <f>IF(ISNUMBER(V$3),V$2*MAX(0,MIN(1,((YEAR($A82)-YEAR(V$3))*12+MONTH($A82)-MONTH(V$3)+1)/'Capacity by month'!$O$2)),0)</f>
        <v/>
      </c>
      <c r="W82" s="9">
        <f>IF(ISNUMBER(W$3),W$2*MAX(0,MIN(1,((YEAR($A82)-YEAR(W$3))*12+MONTH($A82)-MONTH(W$3)+1)/'Capacity by month'!$O$2)),0)</f>
        <v/>
      </c>
      <c r="X82" s="9">
        <f>IF(ISNUMBER(X$3),X$2*MAX(0,MIN(1,((YEAR($A82)-YEAR(X$3))*12+MONTH($A82)-MONTH(X$3)+1)/'Capacity by month'!$O$2)),0)</f>
        <v/>
      </c>
      <c r="Y82" s="9">
        <f>IF(ISNUMBER(Y$3),Y$2*MAX(0,MIN(1,((YEAR($A82)-YEAR(Y$3))*12+MONTH($A82)-MONTH(Y$3)+1)/'Capacity by month'!$O$2)),0)</f>
        <v/>
      </c>
      <c r="Z82" s="9">
        <f>IF(ISNUMBER(Z$3),Z$2*MAX(0,MIN(1,((YEAR($A82)-YEAR(Z$3))*12+MONTH($A82)-MONTH(Z$3)+1)/'Capacity by month'!$O$2)),0)</f>
        <v/>
      </c>
      <c r="AA82">
        <f>SUM(B82:Z82)</f>
        <v/>
      </c>
      <c r="AB82" t="n">
        <v>0</v>
      </c>
    </row>
    <row r="83">
      <c r="A83" s="8" t="n">
        <v>46600</v>
      </c>
      <c r="B83" s="9">
        <f>IF(ISNUMBER(B$3),B$2*MAX(0,MIN(1,((YEAR($A83)-YEAR(B$3))*12+MONTH($A83)-MONTH(B$3)+1)/'Capacity by month'!$O$2)),0)</f>
        <v/>
      </c>
      <c r="C83" s="9">
        <f>IF(ISNUMBER(C$3),C$2*MAX(0,MIN(1,((YEAR($A83)-YEAR(C$3))*12+MONTH($A83)-MONTH(C$3)+1)/'Capacity by month'!$O$2)),0)</f>
        <v/>
      </c>
      <c r="D83" s="9">
        <f>IF(ISNUMBER(D$3),D$2*MAX(0,MIN(1,((YEAR($A83)-YEAR(D$3))*12+MONTH($A83)-MONTH(D$3)+1)/'Capacity by month'!$O$2)),0)</f>
        <v/>
      </c>
      <c r="E83" s="9">
        <f>IF(ISNUMBER(E$3),E$2*MAX(0,MIN(1,((YEAR($A83)-YEAR(E$3))*12+MONTH($A83)-MONTH(E$3)+1)/'Capacity by month'!$O$2)),0)</f>
        <v/>
      </c>
      <c r="F83" s="9">
        <f>IF(ISNUMBER(F$3),F$2*MAX(0,MIN(1,((YEAR($A83)-YEAR(F$3))*12+MONTH($A83)-MONTH(F$3)+1)/'Capacity by month'!$O$2)),0)</f>
        <v/>
      </c>
      <c r="G83" s="9">
        <f>IF(ISNUMBER(G$3),G$2*MAX(0,MIN(1,((YEAR($A83)-YEAR(G$3))*12+MONTH($A83)-MONTH(G$3)+1)/'Capacity by month'!$O$2)),0)</f>
        <v/>
      </c>
      <c r="H83" s="9">
        <f>IF(ISNUMBER(H$3),H$2*MAX(0,MIN(1,((YEAR($A83)-YEAR(H$3))*12+MONTH($A83)-MONTH(H$3)+1)/'Capacity by month'!$O$2)),0)</f>
        <v/>
      </c>
      <c r="I83" s="9">
        <f>IF(ISNUMBER(I$3),I$2*MAX(0,MIN(1,((YEAR($A83)-YEAR(I$3))*12+MONTH($A83)-MONTH(I$3)+1)/'Capacity by month'!$O$2)),0)</f>
        <v/>
      </c>
      <c r="J83" s="9">
        <f>IF(ISNUMBER(J$3),J$2*MAX(0,MIN(1,((YEAR($A83)-YEAR(J$3))*12+MONTH($A83)-MONTH(J$3)+1)/'Capacity by month'!$O$2)),0)</f>
        <v/>
      </c>
      <c r="K83" s="9">
        <f>IF(ISNUMBER(K$3),K$2*MAX(0,MIN(1,((YEAR($A83)-YEAR(K$3))*12+MONTH($A83)-MONTH(K$3)+1)/'Capacity by month'!$O$2)),0)</f>
        <v/>
      </c>
      <c r="L83" s="9">
        <f>IF(ISNUMBER(L$3),L$2*MAX(0,MIN(1,((YEAR($A83)-YEAR(L$3))*12+MONTH($A83)-MONTH(L$3)+1)/'Capacity by month'!$O$2)),0)</f>
        <v/>
      </c>
      <c r="M83" s="9">
        <f>IF(ISNUMBER(M$3),M$2*MAX(0,MIN(1,((YEAR($A83)-YEAR(M$3))*12+MONTH($A83)-MONTH(M$3)+1)/'Capacity by month'!$O$2)),0)</f>
        <v/>
      </c>
      <c r="N83" s="9">
        <f>IF(ISNUMBER(N$3),N$2*MAX(0,MIN(1,((YEAR($A83)-YEAR(N$3))*12+MONTH($A83)-MONTH(N$3)+1)/'Capacity by month'!$O$2)),0)</f>
        <v/>
      </c>
      <c r="O83" s="9">
        <f>IF(ISNUMBER(O$3),O$2*MAX(0,MIN(1,((YEAR($A83)-YEAR(O$3))*12+MONTH($A83)-MONTH(O$3)+1)/'Capacity by month'!$O$2)),0)</f>
        <v/>
      </c>
      <c r="P83" s="9">
        <f>IF(ISNUMBER(P$3),P$2*MAX(0,MIN(1,((YEAR($A83)-YEAR(P$3))*12+MONTH($A83)-MONTH(P$3)+1)/'Capacity by month'!$O$2)),0)</f>
        <v/>
      </c>
      <c r="Q83" s="9">
        <f>IF(ISNUMBER(Q$3),Q$2*MAX(0,MIN(1,((YEAR($A83)-YEAR(Q$3))*12+MONTH($A83)-MONTH(Q$3)+1)/'Capacity by month'!$O$2)),0)</f>
        <v/>
      </c>
      <c r="R83" s="9">
        <f>IF(ISNUMBER(R$3),R$2*MAX(0,MIN(1,((YEAR($A83)-YEAR(R$3))*12+MONTH($A83)-MONTH(R$3)+1)/'Capacity by month'!$O$2)),0)</f>
        <v/>
      </c>
      <c r="S83" s="9">
        <f>IF(ISNUMBER(S$3),S$2*MAX(0,MIN(1,((YEAR($A83)-YEAR(S$3))*12+MONTH($A83)-MONTH(S$3)+1)/'Capacity by month'!$O$2)),0)</f>
        <v/>
      </c>
      <c r="T83" s="9">
        <f>IF(ISNUMBER(T$3),T$2*MAX(0,MIN(1,((YEAR($A83)-YEAR(T$3))*12+MONTH($A83)-MONTH(T$3)+1)/'Capacity by month'!$O$2)),0)</f>
        <v/>
      </c>
      <c r="U83" s="9">
        <f>IF(ISNUMBER(U$3),U$2*MAX(0,MIN(1,((YEAR($A83)-YEAR(U$3))*12+MONTH($A83)-MONTH(U$3)+1)/'Capacity by month'!$O$2)),0)</f>
        <v/>
      </c>
      <c r="V83" s="9">
        <f>IF(ISNUMBER(V$3),V$2*MAX(0,MIN(1,((YEAR($A83)-YEAR(V$3))*12+MONTH($A83)-MONTH(V$3)+1)/'Capacity by month'!$O$2)),0)</f>
        <v/>
      </c>
      <c r="W83" s="9">
        <f>IF(ISNUMBER(W$3),W$2*MAX(0,MIN(1,((YEAR($A83)-YEAR(W$3))*12+MONTH($A83)-MONTH(W$3)+1)/'Capacity by month'!$O$2)),0)</f>
        <v/>
      </c>
      <c r="X83" s="9">
        <f>IF(ISNUMBER(X$3),X$2*MAX(0,MIN(1,((YEAR($A83)-YEAR(X$3))*12+MONTH($A83)-MONTH(X$3)+1)/'Capacity by month'!$O$2)),0)</f>
        <v/>
      </c>
      <c r="Y83" s="9">
        <f>IF(ISNUMBER(Y$3),Y$2*MAX(0,MIN(1,((YEAR($A83)-YEAR(Y$3))*12+MONTH($A83)-MONTH(Y$3)+1)/'Capacity by month'!$O$2)),0)</f>
        <v/>
      </c>
      <c r="Z83" s="9">
        <f>IF(ISNUMBER(Z$3),Z$2*MAX(0,MIN(1,((YEAR($A83)-YEAR(Z$3))*12+MONTH($A83)-MONTH(Z$3)+1)/'Capacity by month'!$O$2)),0)</f>
        <v/>
      </c>
      <c r="AA83">
        <f>SUM(B83:Z83)</f>
        <v/>
      </c>
      <c r="AB83" t="n">
        <v>0</v>
      </c>
    </row>
    <row r="84">
      <c r="A84" s="8" t="n">
        <v>46631</v>
      </c>
      <c r="B84" s="9">
        <f>IF(ISNUMBER(B$3),B$2*MAX(0,MIN(1,((YEAR($A84)-YEAR(B$3))*12+MONTH($A84)-MONTH(B$3)+1)/'Capacity by month'!$O$2)),0)</f>
        <v/>
      </c>
      <c r="C84" s="9">
        <f>IF(ISNUMBER(C$3),C$2*MAX(0,MIN(1,((YEAR($A84)-YEAR(C$3))*12+MONTH($A84)-MONTH(C$3)+1)/'Capacity by month'!$O$2)),0)</f>
        <v/>
      </c>
      <c r="D84" s="9">
        <f>IF(ISNUMBER(D$3),D$2*MAX(0,MIN(1,((YEAR($A84)-YEAR(D$3))*12+MONTH($A84)-MONTH(D$3)+1)/'Capacity by month'!$O$2)),0)</f>
        <v/>
      </c>
      <c r="E84" s="9">
        <f>IF(ISNUMBER(E$3),E$2*MAX(0,MIN(1,((YEAR($A84)-YEAR(E$3))*12+MONTH($A84)-MONTH(E$3)+1)/'Capacity by month'!$O$2)),0)</f>
        <v/>
      </c>
      <c r="F84" s="9">
        <f>IF(ISNUMBER(F$3),F$2*MAX(0,MIN(1,((YEAR($A84)-YEAR(F$3))*12+MONTH($A84)-MONTH(F$3)+1)/'Capacity by month'!$O$2)),0)</f>
        <v/>
      </c>
      <c r="G84" s="9">
        <f>IF(ISNUMBER(G$3),G$2*MAX(0,MIN(1,((YEAR($A84)-YEAR(G$3))*12+MONTH($A84)-MONTH(G$3)+1)/'Capacity by month'!$O$2)),0)</f>
        <v/>
      </c>
      <c r="H84" s="9">
        <f>IF(ISNUMBER(H$3),H$2*MAX(0,MIN(1,((YEAR($A84)-YEAR(H$3))*12+MONTH($A84)-MONTH(H$3)+1)/'Capacity by month'!$O$2)),0)</f>
        <v/>
      </c>
      <c r="I84" s="9">
        <f>IF(ISNUMBER(I$3),I$2*MAX(0,MIN(1,((YEAR($A84)-YEAR(I$3))*12+MONTH($A84)-MONTH(I$3)+1)/'Capacity by month'!$O$2)),0)</f>
        <v/>
      </c>
      <c r="J84" s="9">
        <f>IF(ISNUMBER(J$3),J$2*MAX(0,MIN(1,((YEAR($A84)-YEAR(J$3))*12+MONTH($A84)-MONTH(J$3)+1)/'Capacity by month'!$O$2)),0)</f>
        <v/>
      </c>
      <c r="K84" s="9">
        <f>IF(ISNUMBER(K$3),K$2*MAX(0,MIN(1,((YEAR($A84)-YEAR(K$3))*12+MONTH($A84)-MONTH(K$3)+1)/'Capacity by month'!$O$2)),0)</f>
        <v/>
      </c>
      <c r="L84" s="9">
        <f>IF(ISNUMBER(L$3),L$2*MAX(0,MIN(1,((YEAR($A84)-YEAR(L$3))*12+MONTH($A84)-MONTH(L$3)+1)/'Capacity by month'!$O$2)),0)</f>
        <v/>
      </c>
      <c r="M84" s="9">
        <f>IF(ISNUMBER(M$3),M$2*MAX(0,MIN(1,((YEAR($A84)-YEAR(M$3))*12+MONTH($A84)-MONTH(M$3)+1)/'Capacity by month'!$O$2)),0)</f>
        <v/>
      </c>
      <c r="N84" s="9">
        <f>IF(ISNUMBER(N$3),N$2*MAX(0,MIN(1,((YEAR($A84)-YEAR(N$3))*12+MONTH($A84)-MONTH(N$3)+1)/'Capacity by month'!$O$2)),0)</f>
        <v/>
      </c>
      <c r="O84" s="9">
        <f>IF(ISNUMBER(O$3),O$2*MAX(0,MIN(1,((YEAR($A84)-YEAR(O$3))*12+MONTH($A84)-MONTH(O$3)+1)/'Capacity by month'!$O$2)),0)</f>
        <v/>
      </c>
      <c r="P84" s="9">
        <f>IF(ISNUMBER(P$3),P$2*MAX(0,MIN(1,((YEAR($A84)-YEAR(P$3))*12+MONTH($A84)-MONTH(P$3)+1)/'Capacity by month'!$O$2)),0)</f>
        <v/>
      </c>
      <c r="Q84" s="9">
        <f>IF(ISNUMBER(Q$3),Q$2*MAX(0,MIN(1,((YEAR($A84)-YEAR(Q$3))*12+MONTH($A84)-MONTH(Q$3)+1)/'Capacity by month'!$O$2)),0)</f>
        <v/>
      </c>
      <c r="R84" s="9">
        <f>IF(ISNUMBER(R$3),R$2*MAX(0,MIN(1,((YEAR($A84)-YEAR(R$3))*12+MONTH($A84)-MONTH(R$3)+1)/'Capacity by month'!$O$2)),0)</f>
        <v/>
      </c>
      <c r="S84" s="9">
        <f>IF(ISNUMBER(S$3),S$2*MAX(0,MIN(1,((YEAR($A84)-YEAR(S$3))*12+MONTH($A84)-MONTH(S$3)+1)/'Capacity by month'!$O$2)),0)</f>
        <v/>
      </c>
      <c r="T84" s="9">
        <f>IF(ISNUMBER(T$3),T$2*MAX(0,MIN(1,((YEAR($A84)-YEAR(T$3))*12+MONTH($A84)-MONTH(T$3)+1)/'Capacity by month'!$O$2)),0)</f>
        <v/>
      </c>
      <c r="U84" s="9">
        <f>IF(ISNUMBER(U$3),U$2*MAX(0,MIN(1,((YEAR($A84)-YEAR(U$3))*12+MONTH($A84)-MONTH(U$3)+1)/'Capacity by month'!$O$2)),0)</f>
        <v/>
      </c>
      <c r="V84" s="9">
        <f>IF(ISNUMBER(V$3),V$2*MAX(0,MIN(1,((YEAR($A84)-YEAR(V$3))*12+MONTH($A84)-MONTH(V$3)+1)/'Capacity by month'!$O$2)),0)</f>
        <v/>
      </c>
      <c r="W84" s="9">
        <f>IF(ISNUMBER(W$3),W$2*MAX(0,MIN(1,((YEAR($A84)-YEAR(W$3))*12+MONTH($A84)-MONTH(W$3)+1)/'Capacity by month'!$O$2)),0)</f>
        <v/>
      </c>
      <c r="X84" s="9">
        <f>IF(ISNUMBER(X$3),X$2*MAX(0,MIN(1,((YEAR($A84)-YEAR(X$3))*12+MONTH($A84)-MONTH(X$3)+1)/'Capacity by month'!$O$2)),0)</f>
        <v/>
      </c>
      <c r="Y84" s="9">
        <f>IF(ISNUMBER(Y$3),Y$2*MAX(0,MIN(1,((YEAR($A84)-YEAR(Y$3))*12+MONTH($A84)-MONTH(Y$3)+1)/'Capacity by month'!$O$2)),0)</f>
        <v/>
      </c>
      <c r="Z84" s="9">
        <f>IF(ISNUMBER(Z$3),Z$2*MAX(0,MIN(1,((YEAR($A84)-YEAR(Z$3))*12+MONTH($A84)-MONTH(Z$3)+1)/'Capacity by month'!$O$2)),0)</f>
        <v/>
      </c>
      <c r="AA84">
        <f>SUM(B84:Z84)</f>
        <v/>
      </c>
      <c r="AB84" t="n">
        <v>0</v>
      </c>
    </row>
    <row r="85">
      <c r="A85" s="8" t="n">
        <v>46661</v>
      </c>
      <c r="B85" s="9">
        <f>IF(ISNUMBER(B$3),B$2*MAX(0,MIN(1,((YEAR($A85)-YEAR(B$3))*12+MONTH($A85)-MONTH(B$3)+1)/'Capacity by month'!$O$2)),0)</f>
        <v/>
      </c>
      <c r="C85" s="9">
        <f>IF(ISNUMBER(C$3),C$2*MAX(0,MIN(1,((YEAR($A85)-YEAR(C$3))*12+MONTH($A85)-MONTH(C$3)+1)/'Capacity by month'!$O$2)),0)</f>
        <v/>
      </c>
      <c r="D85" s="9">
        <f>IF(ISNUMBER(D$3),D$2*MAX(0,MIN(1,((YEAR($A85)-YEAR(D$3))*12+MONTH($A85)-MONTH(D$3)+1)/'Capacity by month'!$O$2)),0)</f>
        <v/>
      </c>
      <c r="E85" s="9">
        <f>IF(ISNUMBER(E$3),E$2*MAX(0,MIN(1,((YEAR($A85)-YEAR(E$3))*12+MONTH($A85)-MONTH(E$3)+1)/'Capacity by month'!$O$2)),0)</f>
        <v/>
      </c>
      <c r="F85" s="9">
        <f>IF(ISNUMBER(F$3),F$2*MAX(0,MIN(1,((YEAR($A85)-YEAR(F$3))*12+MONTH($A85)-MONTH(F$3)+1)/'Capacity by month'!$O$2)),0)</f>
        <v/>
      </c>
      <c r="G85" s="9">
        <f>IF(ISNUMBER(G$3),G$2*MAX(0,MIN(1,((YEAR($A85)-YEAR(G$3))*12+MONTH($A85)-MONTH(G$3)+1)/'Capacity by month'!$O$2)),0)</f>
        <v/>
      </c>
      <c r="H85" s="9">
        <f>IF(ISNUMBER(H$3),H$2*MAX(0,MIN(1,((YEAR($A85)-YEAR(H$3))*12+MONTH($A85)-MONTH(H$3)+1)/'Capacity by month'!$O$2)),0)</f>
        <v/>
      </c>
      <c r="I85" s="9">
        <f>IF(ISNUMBER(I$3),I$2*MAX(0,MIN(1,((YEAR($A85)-YEAR(I$3))*12+MONTH($A85)-MONTH(I$3)+1)/'Capacity by month'!$O$2)),0)</f>
        <v/>
      </c>
      <c r="J85" s="9">
        <f>IF(ISNUMBER(J$3),J$2*MAX(0,MIN(1,((YEAR($A85)-YEAR(J$3))*12+MONTH($A85)-MONTH(J$3)+1)/'Capacity by month'!$O$2)),0)</f>
        <v/>
      </c>
      <c r="K85" s="9">
        <f>IF(ISNUMBER(K$3),K$2*MAX(0,MIN(1,((YEAR($A85)-YEAR(K$3))*12+MONTH($A85)-MONTH(K$3)+1)/'Capacity by month'!$O$2)),0)</f>
        <v/>
      </c>
      <c r="L85" s="9">
        <f>IF(ISNUMBER(L$3),L$2*MAX(0,MIN(1,((YEAR($A85)-YEAR(L$3))*12+MONTH($A85)-MONTH(L$3)+1)/'Capacity by month'!$O$2)),0)</f>
        <v/>
      </c>
      <c r="M85" s="9">
        <f>IF(ISNUMBER(M$3),M$2*MAX(0,MIN(1,((YEAR($A85)-YEAR(M$3))*12+MONTH($A85)-MONTH(M$3)+1)/'Capacity by month'!$O$2)),0)</f>
        <v/>
      </c>
      <c r="N85" s="9">
        <f>IF(ISNUMBER(N$3),N$2*MAX(0,MIN(1,((YEAR($A85)-YEAR(N$3))*12+MONTH($A85)-MONTH(N$3)+1)/'Capacity by month'!$O$2)),0)</f>
        <v/>
      </c>
      <c r="O85" s="9">
        <f>IF(ISNUMBER(O$3),O$2*MAX(0,MIN(1,((YEAR($A85)-YEAR(O$3))*12+MONTH($A85)-MONTH(O$3)+1)/'Capacity by month'!$O$2)),0)</f>
        <v/>
      </c>
      <c r="P85" s="9">
        <f>IF(ISNUMBER(P$3),P$2*MAX(0,MIN(1,((YEAR($A85)-YEAR(P$3))*12+MONTH($A85)-MONTH(P$3)+1)/'Capacity by month'!$O$2)),0)</f>
        <v/>
      </c>
      <c r="Q85" s="9">
        <f>IF(ISNUMBER(Q$3),Q$2*MAX(0,MIN(1,((YEAR($A85)-YEAR(Q$3))*12+MONTH($A85)-MONTH(Q$3)+1)/'Capacity by month'!$O$2)),0)</f>
        <v/>
      </c>
      <c r="R85" s="9">
        <f>IF(ISNUMBER(R$3),R$2*MAX(0,MIN(1,((YEAR($A85)-YEAR(R$3))*12+MONTH($A85)-MONTH(R$3)+1)/'Capacity by month'!$O$2)),0)</f>
        <v/>
      </c>
      <c r="S85" s="9">
        <f>IF(ISNUMBER(S$3),S$2*MAX(0,MIN(1,((YEAR($A85)-YEAR(S$3))*12+MONTH($A85)-MONTH(S$3)+1)/'Capacity by month'!$O$2)),0)</f>
        <v/>
      </c>
      <c r="T85" s="9">
        <f>IF(ISNUMBER(T$3),T$2*MAX(0,MIN(1,((YEAR($A85)-YEAR(T$3))*12+MONTH($A85)-MONTH(T$3)+1)/'Capacity by month'!$O$2)),0)</f>
        <v/>
      </c>
      <c r="U85" s="9">
        <f>IF(ISNUMBER(U$3),U$2*MAX(0,MIN(1,((YEAR($A85)-YEAR(U$3))*12+MONTH($A85)-MONTH(U$3)+1)/'Capacity by month'!$O$2)),0)</f>
        <v/>
      </c>
      <c r="V85" s="9">
        <f>IF(ISNUMBER(V$3),V$2*MAX(0,MIN(1,((YEAR($A85)-YEAR(V$3))*12+MONTH($A85)-MONTH(V$3)+1)/'Capacity by month'!$O$2)),0)</f>
        <v/>
      </c>
      <c r="W85" s="9">
        <f>IF(ISNUMBER(W$3),W$2*MAX(0,MIN(1,((YEAR($A85)-YEAR(W$3))*12+MONTH($A85)-MONTH(W$3)+1)/'Capacity by month'!$O$2)),0)</f>
        <v/>
      </c>
      <c r="X85" s="9">
        <f>IF(ISNUMBER(X$3),X$2*MAX(0,MIN(1,((YEAR($A85)-YEAR(X$3))*12+MONTH($A85)-MONTH(X$3)+1)/'Capacity by month'!$O$2)),0)</f>
        <v/>
      </c>
      <c r="Y85" s="9">
        <f>IF(ISNUMBER(Y$3),Y$2*MAX(0,MIN(1,((YEAR($A85)-YEAR(Y$3))*12+MONTH($A85)-MONTH(Y$3)+1)/'Capacity by month'!$O$2)),0)</f>
        <v/>
      </c>
      <c r="Z85" s="9">
        <f>IF(ISNUMBER(Z$3),Z$2*MAX(0,MIN(1,((YEAR($A85)-YEAR(Z$3))*12+MONTH($A85)-MONTH(Z$3)+1)/'Capacity by month'!$O$2)),0)</f>
        <v/>
      </c>
      <c r="AA85">
        <f>SUM(B85:Z85)</f>
        <v/>
      </c>
      <c r="AB85" t="n">
        <v>0</v>
      </c>
    </row>
    <row r="86">
      <c r="A86" s="8" t="n">
        <v>46692</v>
      </c>
      <c r="B86" s="9">
        <f>IF(ISNUMBER(B$3),B$2*MAX(0,MIN(1,((YEAR($A86)-YEAR(B$3))*12+MONTH($A86)-MONTH(B$3)+1)/'Capacity by month'!$O$2)),0)</f>
        <v/>
      </c>
      <c r="C86" s="9">
        <f>IF(ISNUMBER(C$3),C$2*MAX(0,MIN(1,((YEAR($A86)-YEAR(C$3))*12+MONTH($A86)-MONTH(C$3)+1)/'Capacity by month'!$O$2)),0)</f>
        <v/>
      </c>
      <c r="D86" s="9">
        <f>IF(ISNUMBER(D$3),D$2*MAX(0,MIN(1,((YEAR($A86)-YEAR(D$3))*12+MONTH($A86)-MONTH(D$3)+1)/'Capacity by month'!$O$2)),0)</f>
        <v/>
      </c>
      <c r="E86" s="9">
        <f>IF(ISNUMBER(E$3),E$2*MAX(0,MIN(1,((YEAR($A86)-YEAR(E$3))*12+MONTH($A86)-MONTH(E$3)+1)/'Capacity by month'!$O$2)),0)</f>
        <v/>
      </c>
      <c r="F86" s="9">
        <f>IF(ISNUMBER(F$3),F$2*MAX(0,MIN(1,((YEAR($A86)-YEAR(F$3))*12+MONTH($A86)-MONTH(F$3)+1)/'Capacity by month'!$O$2)),0)</f>
        <v/>
      </c>
      <c r="G86" s="9">
        <f>IF(ISNUMBER(G$3),G$2*MAX(0,MIN(1,((YEAR($A86)-YEAR(G$3))*12+MONTH($A86)-MONTH(G$3)+1)/'Capacity by month'!$O$2)),0)</f>
        <v/>
      </c>
      <c r="H86" s="9">
        <f>IF(ISNUMBER(H$3),H$2*MAX(0,MIN(1,((YEAR($A86)-YEAR(H$3))*12+MONTH($A86)-MONTH(H$3)+1)/'Capacity by month'!$O$2)),0)</f>
        <v/>
      </c>
      <c r="I86" s="9">
        <f>IF(ISNUMBER(I$3),I$2*MAX(0,MIN(1,((YEAR($A86)-YEAR(I$3))*12+MONTH($A86)-MONTH(I$3)+1)/'Capacity by month'!$O$2)),0)</f>
        <v/>
      </c>
      <c r="J86" s="9">
        <f>IF(ISNUMBER(J$3),J$2*MAX(0,MIN(1,((YEAR($A86)-YEAR(J$3))*12+MONTH($A86)-MONTH(J$3)+1)/'Capacity by month'!$O$2)),0)</f>
        <v/>
      </c>
      <c r="K86" s="9">
        <f>IF(ISNUMBER(K$3),K$2*MAX(0,MIN(1,((YEAR($A86)-YEAR(K$3))*12+MONTH($A86)-MONTH(K$3)+1)/'Capacity by month'!$O$2)),0)</f>
        <v/>
      </c>
      <c r="L86" s="9">
        <f>IF(ISNUMBER(L$3),L$2*MAX(0,MIN(1,((YEAR($A86)-YEAR(L$3))*12+MONTH($A86)-MONTH(L$3)+1)/'Capacity by month'!$O$2)),0)</f>
        <v/>
      </c>
      <c r="M86" s="9">
        <f>IF(ISNUMBER(M$3),M$2*MAX(0,MIN(1,((YEAR($A86)-YEAR(M$3))*12+MONTH($A86)-MONTH(M$3)+1)/'Capacity by month'!$O$2)),0)</f>
        <v/>
      </c>
      <c r="N86" s="9">
        <f>IF(ISNUMBER(N$3),N$2*MAX(0,MIN(1,((YEAR($A86)-YEAR(N$3))*12+MONTH($A86)-MONTH(N$3)+1)/'Capacity by month'!$O$2)),0)</f>
        <v/>
      </c>
      <c r="O86" s="9">
        <f>IF(ISNUMBER(O$3),O$2*MAX(0,MIN(1,((YEAR($A86)-YEAR(O$3))*12+MONTH($A86)-MONTH(O$3)+1)/'Capacity by month'!$O$2)),0)</f>
        <v/>
      </c>
      <c r="P86" s="9">
        <f>IF(ISNUMBER(P$3),P$2*MAX(0,MIN(1,((YEAR($A86)-YEAR(P$3))*12+MONTH($A86)-MONTH(P$3)+1)/'Capacity by month'!$O$2)),0)</f>
        <v/>
      </c>
      <c r="Q86" s="9">
        <f>IF(ISNUMBER(Q$3),Q$2*MAX(0,MIN(1,((YEAR($A86)-YEAR(Q$3))*12+MONTH($A86)-MONTH(Q$3)+1)/'Capacity by month'!$O$2)),0)</f>
        <v/>
      </c>
      <c r="R86" s="9">
        <f>IF(ISNUMBER(R$3),R$2*MAX(0,MIN(1,((YEAR($A86)-YEAR(R$3))*12+MONTH($A86)-MONTH(R$3)+1)/'Capacity by month'!$O$2)),0)</f>
        <v/>
      </c>
      <c r="S86" s="9">
        <f>IF(ISNUMBER(S$3),S$2*MAX(0,MIN(1,((YEAR($A86)-YEAR(S$3))*12+MONTH($A86)-MONTH(S$3)+1)/'Capacity by month'!$O$2)),0)</f>
        <v/>
      </c>
      <c r="T86" s="9">
        <f>IF(ISNUMBER(T$3),T$2*MAX(0,MIN(1,((YEAR($A86)-YEAR(T$3))*12+MONTH($A86)-MONTH(T$3)+1)/'Capacity by month'!$O$2)),0)</f>
        <v/>
      </c>
      <c r="U86" s="9">
        <f>IF(ISNUMBER(U$3),U$2*MAX(0,MIN(1,((YEAR($A86)-YEAR(U$3))*12+MONTH($A86)-MONTH(U$3)+1)/'Capacity by month'!$O$2)),0)</f>
        <v/>
      </c>
      <c r="V86" s="9">
        <f>IF(ISNUMBER(V$3),V$2*MAX(0,MIN(1,((YEAR($A86)-YEAR(V$3))*12+MONTH($A86)-MONTH(V$3)+1)/'Capacity by month'!$O$2)),0)</f>
        <v/>
      </c>
      <c r="W86" s="9">
        <f>IF(ISNUMBER(W$3),W$2*MAX(0,MIN(1,((YEAR($A86)-YEAR(W$3))*12+MONTH($A86)-MONTH(W$3)+1)/'Capacity by month'!$O$2)),0)</f>
        <v/>
      </c>
      <c r="X86" s="9">
        <f>IF(ISNUMBER(X$3),X$2*MAX(0,MIN(1,((YEAR($A86)-YEAR(X$3))*12+MONTH($A86)-MONTH(X$3)+1)/'Capacity by month'!$O$2)),0)</f>
        <v/>
      </c>
      <c r="Y86" s="9">
        <f>IF(ISNUMBER(Y$3),Y$2*MAX(0,MIN(1,((YEAR($A86)-YEAR(Y$3))*12+MONTH($A86)-MONTH(Y$3)+1)/'Capacity by month'!$O$2)),0)</f>
        <v/>
      </c>
      <c r="Z86" s="9">
        <f>IF(ISNUMBER(Z$3),Z$2*MAX(0,MIN(1,((YEAR($A86)-YEAR(Z$3))*12+MONTH($A86)-MONTH(Z$3)+1)/'Capacity by month'!$O$2)),0)</f>
        <v/>
      </c>
      <c r="AA86">
        <f>SUM(B86:Z86)</f>
        <v/>
      </c>
      <c r="AB86" t="n">
        <v>0</v>
      </c>
    </row>
    <row r="87">
      <c r="A87" s="8" t="n">
        <v>46722</v>
      </c>
      <c r="B87" s="9">
        <f>IF(ISNUMBER(B$3),B$2*MAX(0,MIN(1,((YEAR($A87)-YEAR(B$3))*12+MONTH($A87)-MONTH(B$3)+1)/'Capacity by month'!$O$2)),0)</f>
        <v/>
      </c>
      <c r="C87" s="9">
        <f>IF(ISNUMBER(C$3),C$2*MAX(0,MIN(1,((YEAR($A87)-YEAR(C$3))*12+MONTH($A87)-MONTH(C$3)+1)/'Capacity by month'!$O$2)),0)</f>
        <v/>
      </c>
      <c r="D87" s="9">
        <f>IF(ISNUMBER(D$3),D$2*MAX(0,MIN(1,((YEAR($A87)-YEAR(D$3))*12+MONTH($A87)-MONTH(D$3)+1)/'Capacity by month'!$O$2)),0)</f>
        <v/>
      </c>
      <c r="E87" s="9">
        <f>IF(ISNUMBER(E$3),E$2*MAX(0,MIN(1,((YEAR($A87)-YEAR(E$3))*12+MONTH($A87)-MONTH(E$3)+1)/'Capacity by month'!$O$2)),0)</f>
        <v/>
      </c>
      <c r="F87" s="9">
        <f>IF(ISNUMBER(F$3),F$2*MAX(0,MIN(1,((YEAR($A87)-YEAR(F$3))*12+MONTH($A87)-MONTH(F$3)+1)/'Capacity by month'!$O$2)),0)</f>
        <v/>
      </c>
      <c r="G87" s="9">
        <f>IF(ISNUMBER(G$3),G$2*MAX(0,MIN(1,((YEAR($A87)-YEAR(G$3))*12+MONTH($A87)-MONTH(G$3)+1)/'Capacity by month'!$O$2)),0)</f>
        <v/>
      </c>
      <c r="H87" s="9">
        <f>IF(ISNUMBER(H$3),H$2*MAX(0,MIN(1,((YEAR($A87)-YEAR(H$3))*12+MONTH($A87)-MONTH(H$3)+1)/'Capacity by month'!$O$2)),0)</f>
        <v/>
      </c>
      <c r="I87" s="9">
        <f>IF(ISNUMBER(I$3),I$2*MAX(0,MIN(1,((YEAR($A87)-YEAR(I$3))*12+MONTH($A87)-MONTH(I$3)+1)/'Capacity by month'!$O$2)),0)</f>
        <v/>
      </c>
      <c r="J87" s="9">
        <f>IF(ISNUMBER(J$3),J$2*MAX(0,MIN(1,((YEAR($A87)-YEAR(J$3))*12+MONTH($A87)-MONTH(J$3)+1)/'Capacity by month'!$O$2)),0)</f>
        <v/>
      </c>
      <c r="K87" s="9">
        <f>IF(ISNUMBER(K$3),K$2*MAX(0,MIN(1,((YEAR($A87)-YEAR(K$3))*12+MONTH($A87)-MONTH(K$3)+1)/'Capacity by month'!$O$2)),0)</f>
        <v/>
      </c>
      <c r="L87" s="9">
        <f>IF(ISNUMBER(L$3),L$2*MAX(0,MIN(1,((YEAR($A87)-YEAR(L$3))*12+MONTH($A87)-MONTH(L$3)+1)/'Capacity by month'!$O$2)),0)</f>
        <v/>
      </c>
      <c r="M87" s="9">
        <f>IF(ISNUMBER(M$3),M$2*MAX(0,MIN(1,((YEAR($A87)-YEAR(M$3))*12+MONTH($A87)-MONTH(M$3)+1)/'Capacity by month'!$O$2)),0)</f>
        <v/>
      </c>
      <c r="N87" s="9">
        <f>IF(ISNUMBER(N$3),N$2*MAX(0,MIN(1,((YEAR($A87)-YEAR(N$3))*12+MONTH($A87)-MONTH(N$3)+1)/'Capacity by month'!$O$2)),0)</f>
        <v/>
      </c>
      <c r="O87" s="9">
        <f>IF(ISNUMBER(O$3),O$2*MAX(0,MIN(1,((YEAR($A87)-YEAR(O$3))*12+MONTH($A87)-MONTH(O$3)+1)/'Capacity by month'!$O$2)),0)</f>
        <v/>
      </c>
      <c r="P87" s="9">
        <f>IF(ISNUMBER(P$3),P$2*MAX(0,MIN(1,((YEAR($A87)-YEAR(P$3))*12+MONTH($A87)-MONTH(P$3)+1)/'Capacity by month'!$O$2)),0)</f>
        <v/>
      </c>
      <c r="Q87" s="9">
        <f>IF(ISNUMBER(Q$3),Q$2*MAX(0,MIN(1,((YEAR($A87)-YEAR(Q$3))*12+MONTH($A87)-MONTH(Q$3)+1)/'Capacity by month'!$O$2)),0)</f>
        <v/>
      </c>
      <c r="R87" s="9">
        <f>IF(ISNUMBER(R$3),R$2*MAX(0,MIN(1,((YEAR($A87)-YEAR(R$3))*12+MONTH($A87)-MONTH(R$3)+1)/'Capacity by month'!$O$2)),0)</f>
        <v/>
      </c>
      <c r="S87" s="9">
        <f>IF(ISNUMBER(S$3),S$2*MAX(0,MIN(1,((YEAR($A87)-YEAR(S$3))*12+MONTH($A87)-MONTH(S$3)+1)/'Capacity by month'!$O$2)),0)</f>
        <v/>
      </c>
      <c r="T87" s="9">
        <f>IF(ISNUMBER(T$3),T$2*MAX(0,MIN(1,((YEAR($A87)-YEAR(T$3))*12+MONTH($A87)-MONTH(T$3)+1)/'Capacity by month'!$O$2)),0)</f>
        <v/>
      </c>
      <c r="U87" s="9">
        <f>IF(ISNUMBER(U$3),U$2*MAX(0,MIN(1,((YEAR($A87)-YEAR(U$3))*12+MONTH($A87)-MONTH(U$3)+1)/'Capacity by month'!$O$2)),0)</f>
        <v/>
      </c>
      <c r="V87" s="9">
        <f>IF(ISNUMBER(V$3),V$2*MAX(0,MIN(1,((YEAR($A87)-YEAR(V$3))*12+MONTH($A87)-MONTH(V$3)+1)/'Capacity by month'!$O$2)),0)</f>
        <v/>
      </c>
      <c r="W87" s="9">
        <f>IF(ISNUMBER(W$3),W$2*MAX(0,MIN(1,((YEAR($A87)-YEAR(W$3))*12+MONTH($A87)-MONTH(W$3)+1)/'Capacity by month'!$O$2)),0)</f>
        <v/>
      </c>
      <c r="X87" s="9">
        <f>IF(ISNUMBER(X$3),X$2*MAX(0,MIN(1,((YEAR($A87)-YEAR(X$3))*12+MONTH($A87)-MONTH(X$3)+1)/'Capacity by month'!$O$2)),0)</f>
        <v/>
      </c>
      <c r="Y87" s="9">
        <f>IF(ISNUMBER(Y$3),Y$2*MAX(0,MIN(1,((YEAR($A87)-YEAR(Y$3))*12+MONTH($A87)-MONTH(Y$3)+1)/'Capacity by month'!$O$2)),0)</f>
        <v/>
      </c>
      <c r="Z87" s="9">
        <f>IF(ISNUMBER(Z$3),Z$2*MAX(0,MIN(1,((YEAR($A87)-YEAR(Z$3))*12+MONTH($A87)-MONTH(Z$3)+1)/'Capacity by month'!$O$2)),0)</f>
        <v/>
      </c>
      <c r="AA87">
        <f>SUM(B87:Z87)</f>
        <v/>
      </c>
      <c r="AB87" t="n">
        <v>0</v>
      </c>
    </row>
    <row r="88">
      <c r="A88" s="8" t="n">
        <v>46753</v>
      </c>
      <c r="B88" s="9">
        <f>IF(ISNUMBER(B$3),B$2*MAX(0,MIN(1,((YEAR($A88)-YEAR(B$3))*12+MONTH($A88)-MONTH(B$3)+1)/'Capacity by month'!$O$2)),0)</f>
        <v/>
      </c>
      <c r="C88" s="9">
        <f>IF(ISNUMBER(C$3),C$2*MAX(0,MIN(1,((YEAR($A88)-YEAR(C$3))*12+MONTH($A88)-MONTH(C$3)+1)/'Capacity by month'!$O$2)),0)</f>
        <v/>
      </c>
      <c r="D88" s="9">
        <f>IF(ISNUMBER(D$3),D$2*MAX(0,MIN(1,((YEAR($A88)-YEAR(D$3))*12+MONTH($A88)-MONTH(D$3)+1)/'Capacity by month'!$O$2)),0)</f>
        <v/>
      </c>
      <c r="E88" s="9">
        <f>IF(ISNUMBER(E$3),E$2*MAX(0,MIN(1,((YEAR($A88)-YEAR(E$3))*12+MONTH($A88)-MONTH(E$3)+1)/'Capacity by month'!$O$2)),0)</f>
        <v/>
      </c>
      <c r="F88" s="9">
        <f>IF(ISNUMBER(F$3),F$2*MAX(0,MIN(1,((YEAR($A88)-YEAR(F$3))*12+MONTH($A88)-MONTH(F$3)+1)/'Capacity by month'!$O$2)),0)</f>
        <v/>
      </c>
      <c r="G88" s="9">
        <f>IF(ISNUMBER(G$3),G$2*MAX(0,MIN(1,((YEAR($A88)-YEAR(G$3))*12+MONTH($A88)-MONTH(G$3)+1)/'Capacity by month'!$O$2)),0)</f>
        <v/>
      </c>
      <c r="H88" s="9">
        <f>IF(ISNUMBER(H$3),H$2*MAX(0,MIN(1,((YEAR($A88)-YEAR(H$3))*12+MONTH($A88)-MONTH(H$3)+1)/'Capacity by month'!$O$2)),0)</f>
        <v/>
      </c>
      <c r="I88" s="9">
        <f>IF(ISNUMBER(I$3),I$2*MAX(0,MIN(1,((YEAR($A88)-YEAR(I$3))*12+MONTH($A88)-MONTH(I$3)+1)/'Capacity by month'!$O$2)),0)</f>
        <v/>
      </c>
      <c r="J88" s="9">
        <f>IF(ISNUMBER(J$3),J$2*MAX(0,MIN(1,((YEAR($A88)-YEAR(J$3))*12+MONTH($A88)-MONTH(J$3)+1)/'Capacity by month'!$O$2)),0)</f>
        <v/>
      </c>
      <c r="K88" s="9">
        <f>IF(ISNUMBER(K$3),K$2*MAX(0,MIN(1,((YEAR($A88)-YEAR(K$3))*12+MONTH($A88)-MONTH(K$3)+1)/'Capacity by month'!$O$2)),0)</f>
        <v/>
      </c>
      <c r="L88" s="9">
        <f>IF(ISNUMBER(L$3),L$2*MAX(0,MIN(1,((YEAR($A88)-YEAR(L$3))*12+MONTH($A88)-MONTH(L$3)+1)/'Capacity by month'!$O$2)),0)</f>
        <v/>
      </c>
      <c r="M88" s="9">
        <f>IF(ISNUMBER(M$3),M$2*MAX(0,MIN(1,((YEAR($A88)-YEAR(M$3))*12+MONTH($A88)-MONTH(M$3)+1)/'Capacity by month'!$O$2)),0)</f>
        <v/>
      </c>
      <c r="N88" s="9">
        <f>IF(ISNUMBER(N$3),N$2*MAX(0,MIN(1,((YEAR($A88)-YEAR(N$3))*12+MONTH($A88)-MONTH(N$3)+1)/'Capacity by month'!$O$2)),0)</f>
        <v/>
      </c>
      <c r="O88" s="9">
        <f>IF(ISNUMBER(O$3),O$2*MAX(0,MIN(1,((YEAR($A88)-YEAR(O$3))*12+MONTH($A88)-MONTH(O$3)+1)/'Capacity by month'!$O$2)),0)</f>
        <v/>
      </c>
      <c r="P88" s="9">
        <f>IF(ISNUMBER(P$3),P$2*MAX(0,MIN(1,((YEAR($A88)-YEAR(P$3))*12+MONTH($A88)-MONTH(P$3)+1)/'Capacity by month'!$O$2)),0)</f>
        <v/>
      </c>
      <c r="Q88" s="9">
        <f>IF(ISNUMBER(Q$3),Q$2*MAX(0,MIN(1,((YEAR($A88)-YEAR(Q$3))*12+MONTH($A88)-MONTH(Q$3)+1)/'Capacity by month'!$O$2)),0)</f>
        <v/>
      </c>
      <c r="R88" s="9">
        <f>IF(ISNUMBER(R$3),R$2*MAX(0,MIN(1,((YEAR($A88)-YEAR(R$3))*12+MONTH($A88)-MONTH(R$3)+1)/'Capacity by month'!$O$2)),0)</f>
        <v/>
      </c>
      <c r="S88" s="9">
        <f>IF(ISNUMBER(S$3),S$2*MAX(0,MIN(1,((YEAR($A88)-YEAR(S$3))*12+MONTH($A88)-MONTH(S$3)+1)/'Capacity by month'!$O$2)),0)</f>
        <v/>
      </c>
      <c r="T88" s="9">
        <f>IF(ISNUMBER(T$3),T$2*MAX(0,MIN(1,((YEAR($A88)-YEAR(T$3))*12+MONTH($A88)-MONTH(T$3)+1)/'Capacity by month'!$O$2)),0)</f>
        <v/>
      </c>
      <c r="U88" s="9">
        <f>IF(ISNUMBER(U$3),U$2*MAX(0,MIN(1,((YEAR($A88)-YEAR(U$3))*12+MONTH($A88)-MONTH(U$3)+1)/'Capacity by month'!$O$2)),0)</f>
        <v/>
      </c>
      <c r="V88" s="9">
        <f>IF(ISNUMBER(V$3),V$2*MAX(0,MIN(1,((YEAR($A88)-YEAR(V$3))*12+MONTH($A88)-MONTH(V$3)+1)/'Capacity by month'!$O$2)),0)</f>
        <v/>
      </c>
      <c r="W88" s="9">
        <f>IF(ISNUMBER(W$3),W$2*MAX(0,MIN(1,((YEAR($A88)-YEAR(W$3))*12+MONTH($A88)-MONTH(W$3)+1)/'Capacity by month'!$O$2)),0)</f>
        <v/>
      </c>
      <c r="X88" s="9">
        <f>IF(ISNUMBER(X$3),X$2*MAX(0,MIN(1,((YEAR($A88)-YEAR(X$3))*12+MONTH($A88)-MONTH(X$3)+1)/'Capacity by month'!$O$2)),0)</f>
        <v/>
      </c>
      <c r="Y88" s="9">
        <f>IF(ISNUMBER(Y$3),Y$2*MAX(0,MIN(1,((YEAR($A88)-YEAR(Y$3))*12+MONTH($A88)-MONTH(Y$3)+1)/'Capacity by month'!$O$2)),0)</f>
        <v/>
      </c>
      <c r="Z88" s="9">
        <f>IF(ISNUMBER(Z$3),Z$2*MAX(0,MIN(1,((YEAR($A88)-YEAR(Z$3))*12+MONTH($A88)-MONTH(Z$3)+1)/'Capacity by month'!$O$2)),0)</f>
        <v/>
      </c>
      <c r="AA88">
        <f>SUM(B88:Z88)</f>
        <v/>
      </c>
      <c r="AB88" t="n">
        <v>0</v>
      </c>
    </row>
    <row r="89">
      <c r="A89" s="8" t="n">
        <v>46784</v>
      </c>
      <c r="B89" s="9">
        <f>IF(ISNUMBER(B$3),B$2*MAX(0,MIN(1,((YEAR($A89)-YEAR(B$3))*12+MONTH($A89)-MONTH(B$3)+1)/'Capacity by month'!$O$2)),0)</f>
        <v/>
      </c>
      <c r="C89" s="9">
        <f>IF(ISNUMBER(C$3),C$2*MAX(0,MIN(1,((YEAR($A89)-YEAR(C$3))*12+MONTH($A89)-MONTH(C$3)+1)/'Capacity by month'!$O$2)),0)</f>
        <v/>
      </c>
      <c r="D89" s="9">
        <f>IF(ISNUMBER(D$3),D$2*MAX(0,MIN(1,((YEAR($A89)-YEAR(D$3))*12+MONTH($A89)-MONTH(D$3)+1)/'Capacity by month'!$O$2)),0)</f>
        <v/>
      </c>
      <c r="E89" s="9">
        <f>IF(ISNUMBER(E$3),E$2*MAX(0,MIN(1,((YEAR($A89)-YEAR(E$3))*12+MONTH($A89)-MONTH(E$3)+1)/'Capacity by month'!$O$2)),0)</f>
        <v/>
      </c>
      <c r="F89" s="9">
        <f>IF(ISNUMBER(F$3),F$2*MAX(0,MIN(1,((YEAR($A89)-YEAR(F$3))*12+MONTH($A89)-MONTH(F$3)+1)/'Capacity by month'!$O$2)),0)</f>
        <v/>
      </c>
      <c r="G89" s="9">
        <f>IF(ISNUMBER(G$3),G$2*MAX(0,MIN(1,((YEAR($A89)-YEAR(G$3))*12+MONTH($A89)-MONTH(G$3)+1)/'Capacity by month'!$O$2)),0)</f>
        <v/>
      </c>
      <c r="H89" s="9">
        <f>IF(ISNUMBER(H$3),H$2*MAX(0,MIN(1,((YEAR($A89)-YEAR(H$3))*12+MONTH($A89)-MONTH(H$3)+1)/'Capacity by month'!$O$2)),0)</f>
        <v/>
      </c>
      <c r="I89" s="9">
        <f>IF(ISNUMBER(I$3),I$2*MAX(0,MIN(1,((YEAR($A89)-YEAR(I$3))*12+MONTH($A89)-MONTH(I$3)+1)/'Capacity by month'!$O$2)),0)</f>
        <v/>
      </c>
      <c r="J89" s="9">
        <f>IF(ISNUMBER(J$3),J$2*MAX(0,MIN(1,((YEAR($A89)-YEAR(J$3))*12+MONTH($A89)-MONTH(J$3)+1)/'Capacity by month'!$O$2)),0)</f>
        <v/>
      </c>
      <c r="K89" s="9">
        <f>IF(ISNUMBER(K$3),K$2*MAX(0,MIN(1,((YEAR($A89)-YEAR(K$3))*12+MONTH($A89)-MONTH(K$3)+1)/'Capacity by month'!$O$2)),0)</f>
        <v/>
      </c>
      <c r="L89" s="9">
        <f>IF(ISNUMBER(L$3),L$2*MAX(0,MIN(1,((YEAR($A89)-YEAR(L$3))*12+MONTH($A89)-MONTH(L$3)+1)/'Capacity by month'!$O$2)),0)</f>
        <v/>
      </c>
      <c r="M89" s="9">
        <f>IF(ISNUMBER(M$3),M$2*MAX(0,MIN(1,((YEAR($A89)-YEAR(M$3))*12+MONTH($A89)-MONTH(M$3)+1)/'Capacity by month'!$O$2)),0)</f>
        <v/>
      </c>
      <c r="N89" s="9">
        <f>IF(ISNUMBER(N$3),N$2*MAX(0,MIN(1,((YEAR($A89)-YEAR(N$3))*12+MONTH($A89)-MONTH(N$3)+1)/'Capacity by month'!$O$2)),0)</f>
        <v/>
      </c>
      <c r="O89" s="9">
        <f>IF(ISNUMBER(O$3),O$2*MAX(0,MIN(1,((YEAR($A89)-YEAR(O$3))*12+MONTH($A89)-MONTH(O$3)+1)/'Capacity by month'!$O$2)),0)</f>
        <v/>
      </c>
      <c r="P89" s="9">
        <f>IF(ISNUMBER(P$3),P$2*MAX(0,MIN(1,((YEAR($A89)-YEAR(P$3))*12+MONTH($A89)-MONTH(P$3)+1)/'Capacity by month'!$O$2)),0)</f>
        <v/>
      </c>
      <c r="Q89" s="9">
        <f>IF(ISNUMBER(Q$3),Q$2*MAX(0,MIN(1,((YEAR($A89)-YEAR(Q$3))*12+MONTH($A89)-MONTH(Q$3)+1)/'Capacity by month'!$O$2)),0)</f>
        <v/>
      </c>
      <c r="R89" s="9">
        <f>IF(ISNUMBER(R$3),R$2*MAX(0,MIN(1,((YEAR($A89)-YEAR(R$3))*12+MONTH($A89)-MONTH(R$3)+1)/'Capacity by month'!$O$2)),0)</f>
        <v/>
      </c>
      <c r="S89" s="9">
        <f>IF(ISNUMBER(S$3),S$2*MAX(0,MIN(1,((YEAR($A89)-YEAR(S$3))*12+MONTH($A89)-MONTH(S$3)+1)/'Capacity by month'!$O$2)),0)</f>
        <v/>
      </c>
      <c r="T89" s="9">
        <f>IF(ISNUMBER(T$3),T$2*MAX(0,MIN(1,((YEAR($A89)-YEAR(T$3))*12+MONTH($A89)-MONTH(T$3)+1)/'Capacity by month'!$O$2)),0)</f>
        <v/>
      </c>
      <c r="U89" s="9">
        <f>IF(ISNUMBER(U$3),U$2*MAX(0,MIN(1,((YEAR($A89)-YEAR(U$3))*12+MONTH($A89)-MONTH(U$3)+1)/'Capacity by month'!$O$2)),0)</f>
        <v/>
      </c>
      <c r="V89" s="9">
        <f>IF(ISNUMBER(V$3),V$2*MAX(0,MIN(1,((YEAR($A89)-YEAR(V$3))*12+MONTH($A89)-MONTH(V$3)+1)/'Capacity by month'!$O$2)),0)</f>
        <v/>
      </c>
      <c r="W89" s="9">
        <f>IF(ISNUMBER(W$3),W$2*MAX(0,MIN(1,((YEAR($A89)-YEAR(W$3))*12+MONTH($A89)-MONTH(W$3)+1)/'Capacity by month'!$O$2)),0)</f>
        <v/>
      </c>
      <c r="X89" s="9">
        <f>IF(ISNUMBER(X$3),X$2*MAX(0,MIN(1,((YEAR($A89)-YEAR(X$3))*12+MONTH($A89)-MONTH(X$3)+1)/'Capacity by month'!$O$2)),0)</f>
        <v/>
      </c>
      <c r="Y89" s="9">
        <f>IF(ISNUMBER(Y$3),Y$2*MAX(0,MIN(1,((YEAR($A89)-YEAR(Y$3))*12+MONTH($A89)-MONTH(Y$3)+1)/'Capacity by month'!$O$2)),0)</f>
        <v/>
      </c>
      <c r="Z89" s="9">
        <f>IF(ISNUMBER(Z$3),Z$2*MAX(0,MIN(1,((YEAR($A89)-YEAR(Z$3))*12+MONTH($A89)-MONTH(Z$3)+1)/'Capacity by month'!$O$2)),0)</f>
        <v/>
      </c>
      <c r="AA89">
        <f>SUM(B89:Z89)</f>
        <v/>
      </c>
      <c r="AB89" t="n">
        <v>0</v>
      </c>
    </row>
    <row r="90">
      <c r="A90" s="8" t="n">
        <v>46813</v>
      </c>
      <c r="B90" s="9">
        <f>IF(ISNUMBER(B$3),B$2*MAX(0,MIN(1,((YEAR($A90)-YEAR(B$3))*12+MONTH($A90)-MONTH(B$3)+1)/'Capacity by month'!$O$2)),0)</f>
        <v/>
      </c>
      <c r="C90" s="9">
        <f>IF(ISNUMBER(C$3),C$2*MAX(0,MIN(1,((YEAR($A90)-YEAR(C$3))*12+MONTH($A90)-MONTH(C$3)+1)/'Capacity by month'!$O$2)),0)</f>
        <v/>
      </c>
      <c r="D90" s="9">
        <f>IF(ISNUMBER(D$3),D$2*MAX(0,MIN(1,((YEAR($A90)-YEAR(D$3))*12+MONTH($A90)-MONTH(D$3)+1)/'Capacity by month'!$O$2)),0)</f>
        <v/>
      </c>
      <c r="E90" s="9">
        <f>IF(ISNUMBER(E$3),E$2*MAX(0,MIN(1,((YEAR($A90)-YEAR(E$3))*12+MONTH($A90)-MONTH(E$3)+1)/'Capacity by month'!$O$2)),0)</f>
        <v/>
      </c>
      <c r="F90" s="9">
        <f>IF(ISNUMBER(F$3),F$2*MAX(0,MIN(1,((YEAR($A90)-YEAR(F$3))*12+MONTH($A90)-MONTH(F$3)+1)/'Capacity by month'!$O$2)),0)</f>
        <v/>
      </c>
      <c r="G90" s="9">
        <f>IF(ISNUMBER(G$3),G$2*MAX(0,MIN(1,((YEAR($A90)-YEAR(G$3))*12+MONTH($A90)-MONTH(G$3)+1)/'Capacity by month'!$O$2)),0)</f>
        <v/>
      </c>
      <c r="H90" s="9">
        <f>IF(ISNUMBER(H$3),H$2*MAX(0,MIN(1,((YEAR($A90)-YEAR(H$3))*12+MONTH($A90)-MONTH(H$3)+1)/'Capacity by month'!$O$2)),0)</f>
        <v/>
      </c>
      <c r="I90" s="9">
        <f>IF(ISNUMBER(I$3),I$2*MAX(0,MIN(1,((YEAR($A90)-YEAR(I$3))*12+MONTH($A90)-MONTH(I$3)+1)/'Capacity by month'!$O$2)),0)</f>
        <v/>
      </c>
      <c r="J90" s="9">
        <f>IF(ISNUMBER(J$3),J$2*MAX(0,MIN(1,((YEAR($A90)-YEAR(J$3))*12+MONTH($A90)-MONTH(J$3)+1)/'Capacity by month'!$O$2)),0)</f>
        <v/>
      </c>
      <c r="K90" s="9">
        <f>IF(ISNUMBER(K$3),K$2*MAX(0,MIN(1,((YEAR($A90)-YEAR(K$3))*12+MONTH($A90)-MONTH(K$3)+1)/'Capacity by month'!$O$2)),0)</f>
        <v/>
      </c>
      <c r="L90" s="9">
        <f>IF(ISNUMBER(L$3),L$2*MAX(0,MIN(1,((YEAR($A90)-YEAR(L$3))*12+MONTH($A90)-MONTH(L$3)+1)/'Capacity by month'!$O$2)),0)</f>
        <v/>
      </c>
      <c r="M90" s="9">
        <f>IF(ISNUMBER(M$3),M$2*MAX(0,MIN(1,((YEAR($A90)-YEAR(M$3))*12+MONTH($A90)-MONTH(M$3)+1)/'Capacity by month'!$O$2)),0)</f>
        <v/>
      </c>
      <c r="N90" s="9">
        <f>IF(ISNUMBER(N$3),N$2*MAX(0,MIN(1,((YEAR($A90)-YEAR(N$3))*12+MONTH($A90)-MONTH(N$3)+1)/'Capacity by month'!$O$2)),0)</f>
        <v/>
      </c>
      <c r="O90" s="9">
        <f>IF(ISNUMBER(O$3),O$2*MAX(0,MIN(1,((YEAR($A90)-YEAR(O$3))*12+MONTH($A90)-MONTH(O$3)+1)/'Capacity by month'!$O$2)),0)</f>
        <v/>
      </c>
      <c r="P90" s="9">
        <f>IF(ISNUMBER(P$3),P$2*MAX(0,MIN(1,((YEAR($A90)-YEAR(P$3))*12+MONTH($A90)-MONTH(P$3)+1)/'Capacity by month'!$O$2)),0)</f>
        <v/>
      </c>
      <c r="Q90" s="9">
        <f>IF(ISNUMBER(Q$3),Q$2*MAX(0,MIN(1,((YEAR($A90)-YEAR(Q$3))*12+MONTH($A90)-MONTH(Q$3)+1)/'Capacity by month'!$O$2)),0)</f>
        <v/>
      </c>
      <c r="R90" s="9">
        <f>IF(ISNUMBER(R$3),R$2*MAX(0,MIN(1,((YEAR($A90)-YEAR(R$3))*12+MONTH($A90)-MONTH(R$3)+1)/'Capacity by month'!$O$2)),0)</f>
        <v/>
      </c>
      <c r="S90" s="9">
        <f>IF(ISNUMBER(S$3),S$2*MAX(0,MIN(1,((YEAR($A90)-YEAR(S$3))*12+MONTH($A90)-MONTH(S$3)+1)/'Capacity by month'!$O$2)),0)</f>
        <v/>
      </c>
      <c r="T90" s="9">
        <f>IF(ISNUMBER(T$3),T$2*MAX(0,MIN(1,((YEAR($A90)-YEAR(T$3))*12+MONTH($A90)-MONTH(T$3)+1)/'Capacity by month'!$O$2)),0)</f>
        <v/>
      </c>
      <c r="U90" s="9">
        <f>IF(ISNUMBER(U$3),U$2*MAX(0,MIN(1,((YEAR($A90)-YEAR(U$3))*12+MONTH($A90)-MONTH(U$3)+1)/'Capacity by month'!$O$2)),0)</f>
        <v/>
      </c>
      <c r="V90" s="9">
        <f>IF(ISNUMBER(V$3),V$2*MAX(0,MIN(1,((YEAR($A90)-YEAR(V$3))*12+MONTH($A90)-MONTH(V$3)+1)/'Capacity by month'!$O$2)),0)</f>
        <v/>
      </c>
      <c r="W90" s="9">
        <f>IF(ISNUMBER(W$3),W$2*MAX(0,MIN(1,((YEAR($A90)-YEAR(W$3))*12+MONTH($A90)-MONTH(W$3)+1)/'Capacity by month'!$O$2)),0)</f>
        <v/>
      </c>
      <c r="X90" s="9">
        <f>IF(ISNUMBER(X$3),X$2*MAX(0,MIN(1,((YEAR($A90)-YEAR(X$3))*12+MONTH($A90)-MONTH(X$3)+1)/'Capacity by month'!$O$2)),0)</f>
        <v/>
      </c>
      <c r="Y90" s="9">
        <f>IF(ISNUMBER(Y$3),Y$2*MAX(0,MIN(1,((YEAR($A90)-YEAR(Y$3))*12+MONTH($A90)-MONTH(Y$3)+1)/'Capacity by month'!$O$2)),0)</f>
        <v/>
      </c>
      <c r="Z90" s="9">
        <f>IF(ISNUMBER(Z$3),Z$2*MAX(0,MIN(1,((YEAR($A90)-YEAR(Z$3))*12+MONTH($A90)-MONTH(Z$3)+1)/'Capacity by month'!$O$2)),0)</f>
        <v/>
      </c>
      <c r="AA90">
        <f>SUM(B90:Z90)</f>
        <v/>
      </c>
      <c r="AB90" t="n">
        <v>0</v>
      </c>
    </row>
    <row r="91">
      <c r="A91" s="8" t="n">
        <v>46844</v>
      </c>
      <c r="B91" s="9">
        <f>IF(ISNUMBER(B$3),B$2*MAX(0,MIN(1,((YEAR($A91)-YEAR(B$3))*12+MONTH($A91)-MONTH(B$3)+1)/'Capacity by month'!$O$2)),0)</f>
        <v/>
      </c>
      <c r="C91" s="9">
        <f>IF(ISNUMBER(C$3),C$2*MAX(0,MIN(1,((YEAR($A91)-YEAR(C$3))*12+MONTH($A91)-MONTH(C$3)+1)/'Capacity by month'!$O$2)),0)</f>
        <v/>
      </c>
      <c r="D91" s="9">
        <f>IF(ISNUMBER(D$3),D$2*MAX(0,MIN(1,((YEAR($A91)-YEAR(D$3))*12+MONTH($A91)-MONTH(D$3)+1)/'Capacity by month'!$O$2)),0)</f>
        <v/>
      </c>
      <c r="E91" s="9">
        <f>IF(ISNUMBER(E$3),E$2*MAX(0,MIN(1,((YEAR($A91)-YEAR(E$3))*12+MONTH($A91)-MONTH(E$3)+1)/'Capacity by month'!$O$2)),0)</f>
        <v/>
      </c>
      <c r="F91" s="9">
        <f>IF(ISNUMBER(F$3),F$2*MAX(0,MIN(1,((YEAR($A91)-YEAR(F$3))*12+MONTH($A91)-MONTH(F$3)+1)/'Capacity by month'!$O$2)),0)</f>
        <v/>
      </c>
      <c r="G91" s="9">
        <f>IF(ISNUMBER(G$3),G$2*MAX(0,MIN(1,((YEAR($A91)-YEAR(G$3))*12+MONTH($A91)-MONTH(G$3)+1)/'Capacity by month'!$O$2)),0)</f>
        <v/>
      </c>
      <c r="H91" s="9">
        <f>IF(ISNUMBER(H$3),H$2*MAX(0,MIN(1,((YEAR($A91)-YEAR(H$3))*12+MONTH($A91)-MONTH(H$3)+1)/'Capacity by month'!$O$2)),0)</f>
        <v/>
      </c>
      <c r="I91" s="9">
        <f>IF(ISNUMBER(I$3),I$2*MAX(0,MIN(1,((YEAR($A91)-YEAR(I$3))*12+MONTH($A91)-MONTH(I$3)+1)/'Capacity by month'!$O$2)),0)</f>
        <v/>
      </c>
      <c r="J91" s="9">
        <f>IF(ISNUMBER(J$3),J$2*MAX(0,MIN(1,((YEAR($A91)-YEAR(J$3))*12+MONTH($A91)-MONTH(J$3)+1)/'Capacity by month'!$O$2)),0)</f>
        <v/>
      </c>
      <c r="K91" s="9">
        <f>IF(ISNUMBER(K$3),K$2*MAX(0,MIN(1,((YEAR($A91)-YEAR(K$3))*12+MONTH($A91)-MONTH(K$3)+1)/'Capacity by month'!$O$2)),0)</f>
        <v/>
      </c>
      <c r="L91" s="9">
        <f>IF(ISNUMBER(L$3),L$2*MAX(0,MIN(1,((YEAR($A91)-YEAR(L$3))*12+MONTH($A91)-MONTH(L$3)+1)/'Capacity by month'!$O$2)),0)</f>
        <v/>
      </c>
      <c r="M91" s="9">
        <f>IF(ISNUMBER(M$3),M$2*MAX(0,MIN(1,((YEAR($A91)-YEAR(M$3))*12+MONTH($A91)-MONTH(M$3)+1)/'Capacity by month'!$O$2)),0)</f>
        <v/>
      </c>
      <c r="N91" s="9">
        <f>IF(ISNUMBER(N$3),N$2*MAX(0,MIN(1,((YEAR($A91)-YEAR(N$3))*12+MONTH($A91)-MONTH(N$3)+1)/'Capacity by month'!$O$2)),0)</f>
        <v/>
      </c>
      <c r="O91" s="9">
        <f>IF(ISNUMBER(O$3),O$2*MAX(0,MIN(1,((YEAR($A91)-YEAR(O$3))*12+MONTH($A91)-MONTH(O$3)+1)/'Capacity by month'!$O$2)),0)</f>
        <v/>
      </c>
      <c r="P91" s="9">
        <f>IF(ISNUMBER(P$3),P$2*MAX(0,MIN(1,((YEAR($A91)-YEAR(P$3))*12+MONTH($A91)-MONTH(P$3)+1)/'Capacity by month'!$O$2)),0)</f>
        <v/>
      </c>
      <c r="Q91" s="9">
        <f>IF(ISNUMBER(Q$3),Q$2*MAX(0,MIN(1,((YEAR($A91)-YEAR(Q$3))*12+MONTH($A91)-MONTH(Q$3)+1)/'Capacity by month'!$O$2)),0)</f>
        <v/>
      </c>
      <c r="R91" s="9">
        <f>IF(ISNUMBER(R$3),R$2*MAX(0,MIN(1,((YEAR($A91)-YEAR(R$3))*12+MONTH($A91)-MONTH(R$3)+1)/'Capacity by month'!$O$2)),0)</f>
        <v/>
      </c>
      <c r="S91" s="9">
        <f>IF(ISNUMBER(S$3),S$2*MAX(0,MIN(1,((YEAR($A91)-YEAR(S$3))*12+MONTH($A91)-MONTH(S$3)+1)/'Capacity by month'!$O$2)),0)</f>
        <v/>
      </c>
      <c r="T91" s="9">
        <f>IF(ISNUMBER(T$3),T$2*MAX(0,MIN(1,((YEAR($A91)-YEAR(T$3))*12+MONTH($A91)-MONTH(T$3)+1)/'Capacity by month'!$O$2)),0)</f>
        <v/>
      </c>
      <c r="U91" s="9">
        <f>IF(ISNUMBER(U$3),U$2*MAX(0,MIN(1,((YEAR($A91)-YEAR(U$3))*12+MONTH($A91)-MONTH(U$3)+1)/'Capacity by month'!$O$2)),0)</f>
        <v/>
      </c>
      <c r="V91" s="9">
        <f>IF(ISNUMBER(V$3),V$2*MAX(0,MIN(1,((YEAR($A91)-YEAR(V$3))*12+MONTH($A91)-MONTH(V$3)+1)/'Capacity by month'!$O$2)),0)</f>
        <v/>
      </c>
      <c r="W91" s="9">
        <f>IF(ISNUMBER(W$3),W$2*MAX(0,MIN(1,((YEAR($A91)-YEAR(W$3))*12+MONTH($A91)-MONTH(W$3)+1)/'Capacity by month'!$O$2)),0)</f>
        <v/>
      </c>
      <c r="X91" s="9">
        <f>IF(ISNUMBER(X$3),X$2*MAX(0,MIN(1,((YEAR($A91)-YEAR(X$3))*12+MONTH($A91)-MONTH(X$3)+1)/'Capacity by month'!$O$2)),0)</f>
        <v/>
      </c>
      <c r="Y91" s="9">
        <f>IF(ISNUMBER(Y$3),Y$2*MAX(0,MIN(1,((YEAR($A91)-YEAR(Y$3))*12+MONTH($A91)-MONTH(Y$3)+1)/'Capacity by month'!$O$2)),0)</f>
        <v/>
      </c>
      <c r="Z91" s="9">
        <f>IF(ISNUMBER(Z$3),Z$2*MAX(0,MIN(1,((YEAR($A91)-YEAR(Z$3))*12+MONTH($A91)-MONTH(Z$3)+1)/'Capacity by month'!$O$2)),0)</f>
        <v/>
      </c>
      <c r="AA91">
        <f>SUM(B91:Z91)</f>
        <v/>
      </c>
      <c r="AB91" t="n">
        <v>0</v>
      </c>
    </row>
    <row r="92">
      <c r="A92" s="8" t="n">
        <v>46874</v>
      </c>
      <c r="B92" s="9">
        <f>IF(ISNUMBER(B$3),B$2*MAX(0,MIN(1,((YEAR($A92)-YEAR(B$3))*12+MONTH($A92)-MONTH(B$3)+1)/'Capacity by month'!$O$2)),0)</f>
        <v/>
      </c>
      <c r="C92" s="9">
        <f>IF(ISNUMBER(C$3),C$2*MAX(0,MIN(1,((YEAR($A92)-YEAR(C$3))*12+MONTH($A92)-MONTH(C$3)+1)/'Capacity by month'!$O$2)),0)</f>
        <v/>
      </c>
      <c r="D92" s="9">
        <f>IF(ISNUMBER(D$3),D$2*MAX(0,MIN(1,((YEAR($A92)-YEAR(D$3))*12+MONTH($A92)-MONTH(D$3)+1)/'Capacity by month'!$O$2)),0)</f>
        <v/>
      </c>
      <c r="E92" s="9">
        <f>IF(ISNUMBER(E$3),E$2*MAX(0,MIN(1,((YEAR($A92)-YEAR(E$3))*12+MONTH($A92)-MONTH(E$3)+1)/'Capacity by month'!$O$2)),0)</f>
        <v/>
      </c>
      <c r="F92" s="9">
        <f>IF(ISNUMBER(F$3),F$2*MAX(0,MIN(1,((YEAR($A92)-YEAR(F$3))*12+MONTH($A92)-MONTH(F$3)+1)/'Capacity by month'!$O$2)),0)</f>
        <v/>
      </c>
      <c r="G92" s="9">
        <f>IF(ISNUMBER(G$3),G$2*MAX(0,MIN(1,((YEAR($A92)-YEAR(G$3))*12+MONTH($A92)-MONTH(G$3)+1)/'Capacity by month'!$O$2)),0)</f>
        <v/>
      </c>
      <c r="H92" s="9">
        <f>IF(ISNUMBER(H$3),H$2*MAX(0,MIN(1,((YEAR($A92)-YEAR(H$3))*12+MONTH($A92)-MONTH(H$3)+1)/'Capacity by month'!$O$2)),0)</f>
        <v/>
      </c>
      <c r="I92" s="9">
        <f>IF(ISNUMBER(I$3),I$2*MAX(0,MIN(1,((YEAR($A92)-YEAR(I$3))*12+MONTH($A92)-MONTH(I$3)+1)/'Capacity by month'!$O$2)),0)</f>
        <v/>
      </c>
      <c r="J92" s="9">
        <f>IF(ISNUMBER(J$3),J$2*MAX(0,MIN(1,((YEAR($A92)-YEAR(J$3))*12+MONTH($A92)-MONTH(J$3)+1)/'Capacity by month'!$O$2)),0)</f>
        <v/>
      </c>
      <c r="K92" s="9">
        <f>IF(ISNUMBER(K$3),K$2*MAX(0,MIN(1,((YEAR($A92)-YEAR(K$3))*12+MONTH($A92)-MONTH(K$3)+1)/'Capacity by month'!$O$2)),0)</f>
        <v/>
      </c>
      <c r="L92" s="9">
        <f>IF(ISNUMBER(L$3),L$2*MAX(0,MIN(1,((YEAR($A92)-YEAR(L$3))*12+MONTH($A92)-MONTH(L$3)+1)/'Capacity by month'!$O$2)),0)</f>
        <v/>
      </c>
      <c r="M92" s="9">
        <f>IF(ISNUMBER(M$3),M$2*MAX(0,MIN(1,((YEAR($A92)-YEAR(M$3))*12+MONTH($A92)-MONTH(M$3)+1)/'Capacity by month'!$O$2)),0)</f>
        <v/>
      </c>
      <c r="N92" s="9">
        <f>IF(ISNUMBER(N$3),N$2*MAX(0,MIN(1,((YEAR($A92)-YEAR(N$3))*12+MONTH($A92)-MONTH(N$3)+1)/'Capacity by month'!$O$2)),0)</f>
        <v/>
      </c>
      <c r="O92" s="9">
        <f>IF(ISNUMBER(O$3),O$2*MAX(0,MIN(1,((YEAR($A92)-YEAR(O$3))*12+MONTH($A92)-MONTH(O$3)+1)/'Capacity by month'!$O$2)),0)</f>
        <v/>
      </c>
      <c r="P92" s="9">
        <f>IF(ISNUMBER(P$3),P$2*MAX(0,MIN(1,((YEAR($A92)-YEAR(P$3))*12+MONTH($A92)-MONTH(P$3)+1)/'Capacity by month'!$O$2)),0)</f>
        <v/>
      </c>
      <c r="Q92" s="9">
        <f>IF(ISNUMBER(Q$3),Q$2*MAX(0,MIN(1,((YEAR($A92)-YEAR(Q$3))*12+MONTH($A92)-MONTH(Q$3)+1)/'Capacity by month'!$O$2)),0)</f>
        <v/>
      </c>
      <c r="R92" s="9">
        <f>IF(ISNUMBER(R$3),R$2*MAX(0,MIN(1,((YEAR($A92)-YEAR(R$3))*12+MONTH($A92)-MONTH(R$3)+1)/'Capacity by month'!$O$2)),0)</f>
        <v/>
      </c>
      <c r="S92" s="9">
        <f>IF(ISNUMBER(S$3),S$2*MAX(0,MIN(1,((YEAR($A92)-YEAR(S$3))*12+MONTH($A92)-MONTH(S$3)+1)/'Capacity by month'!$O$2)),0)</f>
        <v/>
      </c>
      <c r="T92" s="9">
        <f>IF(ISNUMBER(T$3),T$2*MAX(0,MIN(1,((YEAR($A92)-YEAR(T$3))*12+MONTH($A92)-MONTH(T$3)+1)/'Capacity by month'!$O$2)),0)</f>
        <v/>
      </c>
      <c r="U92" s="9">
        <f>IF(ISNUMBER(U$3),U$2*MAX(0,MIN(1,((YEAR($A92)-YEAR(U$3))*12+MONTH($A92)-MONTH(U$3)+1)/'Capacity by month'!$O$2)),0)</f>
        <v/>
      </c>
      <c r="V92" s="9">
        <f>IF(ISNUMBER(V$3),V$2*MAX(0,MIN(1,((YEAR($A92)-YEAR(V$3))*12+MONTH($A92)-MONTH(V$3)+1)/'Capacity by month'!$O$2)),0)</f>
        <v/>
      </c>
      <c r="W92" s="9">
        <f>IF(ISNUMBER(W$3),W$2*MAX(0,MIN(1,((YEAR($A92)-YEAR(W$3))*12+MONTH($A92)-MONTH(W$3)+1)/'Capacity by month'!$O$2)),0)</f>
        <v/>
      </c>
      <c r="X92" s="9">
        <f>IF(ISNUMBER(X$3),X$2*MAX(0,MIN(1,((YEAR($A92)-YEAR(X$3))*12+MONTH($A92)-MONTH(X$3)+1)/'Capacity by month'!$O$2)),0)</f>
        <v/>
      </c>
      <c r="Y92" s="9">
        <f>IF(ISNUMBER(Y$3),Y$2*MAX(0,MIN(1,((YEAR($A92)-YEAR(Y$3))*12+MONTH($A92)-MONTH(Y$3)+1)/'Capacity by month'!$O$2)),0)</f>
        <v/>
      </c>
      <c r="Z92" s="9">
        <f>IF(ISNUMBER(Z$3),Z$2*MAX(0,MIN(1,((YEAR($A92)-YEAR(Z$3))*12+MONTH($A92)-MONTH(Z$3)+1)/'Capacity by month'!$O$2)),0)</f>
        <v/>
      </c>
      <c r="AA92">
        <f>SUM(B92:Z92)</f>
        <v/>
      </c>
      <c r="AB92" t="n">
        <v>0</v>
      </c>
    </row>
    <row r="93">
      <c r="A93" s="8" t="n">
        <v>46905</v>
      </c>
      <c r="B93" s="9">
        <f>IF(ISNUMBER(B$3),B$2*MAX(0,MIN(1,((YEAR($A93)-YEAR(B$3))*12+MONTH($A93)-MONTH(B$3)+1)/'Capacity by month'!$O$2)),0)</f>
        <v/>
      </c>
      <c r="C93" s="9">
        <f>IF(ISNUMBER(C$3),C$2*MAX(0,MIN(1,((YEAR($A93)-YEAR(C$3))*12+MONTH($A93)-MONTH(C$3)+1)/'Capacity by month'!$O$2)),0)</f>
        <v/>
      </c>
      <c r="D93" s="9">
        <f>IF(ISNUMBER(D$3),D$2*MAX(0,MIN(1,((YEAR($A93)-YEAR(D$3))*12+MONTH($A93)-MONTH(D$3)+1)/'Capacity by month'!$O$2)),0)</f>
        <v/>
      </c>
      <c r="E93" s="9">
        <f>IF(ISNUMBER(E$3),E$2*MAX(0,MIN(1,((YEAR($A93)-YEAR(E$3))*12+MONTH($A93)-MONTH(E$3)+1)/'Capacity by month'!$O$2)),0)</f>
        <v/>
      </c>
      <c r="F93" s="9">
        <f>IF(ISNUMBER(F$3),F$2*MAX(0,MIN(1,((YEAR($A93)-YEAR(F$3))*12+MONTH($A93)-MONTH(F$3)+1)/'Capacity by month'!$O$2)),0)</f>
        <v/>
      </c>
      <c r="G93" s="9">
        <f>IF(ISNUMBER(G$3),G$2*MAX(0,MIN(1,((YEAR($A93)-YEAR(G$3))*12+MONTH($A93)-MONTH(G$3)+1)/'Capacity by month'!$O$2)),0)</f>
        <v/>
      </c>
      <c r="H93" s="9">
        <f>IF(ISNUMBER(H$3),H$2*MAX(0,MIN(1,((YEAR($A93)-YEAR(H$3))*12+MONTH($A93)-MONTH(H$3)+1)/'Capacity by month'!$O$2)),0)</f>
        <v/>
      </c>
      <c r="I93" s="9">
        <f>IF(ISNUMBER(I$3),I$2*MAX(0,MIN(1,((YEAR($A93)-YEAR(I$3))*12+MONTH($A93)-MONTH(I$3)+1)/'Capacity by month'!$O$2)),0)</f>
        <v/>
      </c>
      <c r="J93" s="9">
        <f>IF(ISNUMBER(J$3),J$2*MAX(0,MIN(1,((YEAR($A93)-YEAR(J$3))*12+MONTH($A93)-MONTH(J$3)+1)/'Capacity by month'!$O$2)),0)</f>
        <v/>
      </c>
      <c r="K93" s="9">
        <f>IF(ISNUMBER(K$3),K$2*MAX(0,MIN(1,((YEAR($A93)-YEAR(K$3))*12+MONTH($A93)-MONTH(K$3)+1)/'Capacity by month'!$O$2)),0)</f>
        <v/>
      </c>
      <c r="L93" s="9">
        <f>IF(ISNUMBER(L$3),L$2*MAX(0,MIN(1,((YEAR($A93)-YEAR(L$3))*12+MONTH($A93)-MONTH(L$3)+1)/'Capacity by month'!$O$2)),0)</f>
        <v/>
      </c>
      <c r="M93" s="9">
        <f>IF(ISNUMBER(M$3),M$2*MAX(0,MIN(1,((YEAR($A93)-YEAR(M$3))*12+MONTH($A93)-MONTH(M$3)+1)/'Capacity by month'!$O$2)),0)</f>
        <v/>
      </c>
      <c r="N93" s="9">
        <f>IF(ISNUMBER(N$3),N$2*MAX(0,MIN(1,((YEAR($A93)-YEAR(N$3))*12+MONTH($A93)-MONTH(N$3)+1)/'Capacity by month'!$O$2)),0)</f>
        <v/>
      </c>
      <c r="O93" s="9">
        <f>IF(ISNUMBER(O$3),O$2*MAX(0,MIN(1,((YEAR($A93)-YEAR(O$3))*12+MONTH($A93)-MONTH(O$3)+1)/'Capacity by month'!$O$2)),0)</f>
        <v/>
      </c>
      <c r="P93" s="9">
        <f>IF(ISNUMBER(P$3),P$2*MAX(0,MIN(1,((YEAR($A93)-YEAR(P$3))*12+MONTH($A93)-MONTH(P$3)+1)/'Capacity by month'!$O$2)),0)</f>
        <v/>
      </c>
      <c r="Q93" s="9">
        <f>IF(ISNUMBER(Q$3),Q$2*MAX(0,MIN(1,((YEAR($A93)-YEAR(Q$3))*12+MONTH($A93)-MONTH(Q$3)+1)/'Capacity by month'!$O$2)),0)</f>
        <v/>
      </c>
      <c r="R93" s="9">
        <f>IF(ISNUMBER(R$3),R$2*MAX(0,MIN(1,((YEAR($A93)-YEAR(R$3))*12+MONTH($A93)-MONTH(R$3)+1)/'Capacity by month'!$O$2)),0)</f>
        <v/>
      </c>
      <c r="S93" s="9">
        <f>IF(ISNUMBER(S$3),S$2*MAX(0,MIN(1,((YEAR($A93)-YEAR(S$3))*12+MONTH($A93)-MONTH(S$3)+1)/'Capacity by month'!$O$2)),0)</f>
        <v/>
      </c>
      <c r="T93" s="9">
        <f>IF(ISNUMBER(T$3),T$2*MAX(0,MIN(1,((YEAR($A93)-YEAR(T$3))*12+MONTH($A93)-MONTH(T$3)+1)/'Capacity by month'!$O$2)),0)</f>
        <v/>
      </c>
      <c r="U93" s="9">
        <f>IF(ISNUMBER(U$3),U$2*MAX(0,MIN(1,((YEAR($A93)-YEAR(U$3))*12+MONTH($A93)-MONTH(U$3)+1)/'Capacity by month'!$O$2)),0)</f>
        <v/>
      </c>
      <c r="V93" s="9">
        <f>IF(ISNUMBER(V$3),V$2*MAX(0,MIN(1,((YEAR($A93)-YEAR(V$3))*12+MONTH($A93)-MONTH(V$3)+1)/'Capacity by month'!$O$2)),0)</f>
        <v/>
      </c>
      <c r="W93" s="9">
        <f>IF(ISNUMBER(W$3),W$2*MAX(0,MIN(1,((YEAR($A93)-YEAR(W$3))*12+MONTH($A93)-MONTH(W$3)+1)/'Capacity by month'!$O$2)),0)</f>
        <v/>
      </c>
      <c r="X93" s="9">
        <f>IF(ISNUMBER(X$3),X$2*MAX(0,MIN(1,((YEAR($A93)-YEAR(X$3))*12+MONTH($A93)-MONTH(X$3)+1)/'Capacity by month'!$O$2)),0)</f>
        <v/>
      </c>
      <c r="Y93" s="9">
        <f>IF(ISNUMBER(Y$3),Y$2*MAX(0,MIN(1,((YEAR($A93)-YEAR(Y$3))*12+MONTH($A93)-MONTH(Y$3)+1)/'Capacity by month'!$O$2)),0)</f>
        <v/>
      </c>
      <c r="Z93" s="9">
        <f>IF(ISNUMBER(Z$3),Z$2*MAX(0,MIN(1,((YEAR($A93)-YEAR(Z$3))*12+MONTH($A93)-MONTH(Z$3)+1)/'Capacity by month'!$O$2)),0)</f>
        <v/>
      </c>
      <c r="AA93">
        <f>SUM(B93:Z93)</f>
        <v/>
      </c>
      <c r="AB93" t="n">
        <v>0</v>
      </c>
    </row>
    <row r="94">
      <c r="A94" s="8" t="n">
        <v>46935</v>
      </c>
      <c r="B94" s="9">
        <f>IF(ISNUMBER(B$3),B$2*MAX(0,MIN(1,((YEAR($A94)-YEAR(B$3))*12+MONTH($A94)-MONTH(B$3)+1)/'Capacity by month'!$O$2)),0)</f>
        <v/>
      </c>
      <c r="C94" s="9">
        <f>IF(ISNUMBER(C$3),C$2*MAX(0,MIN(1,((YEAR($A94)-YEAR(C$3))*12+MONTH($A94)-MONTH(C$3)+1)/'Capacity by month'!$O$2)),0)</f>
        <v/>
      </c>
      <c r="D94" s="9">
        <f>IF(ISNUMBER(D$3),D$2*MAX(0,MIN(1,((YEAR($A94)-YEAR(D$3))*12+MONTH($A94)-MONTH(D$3)+1)/'Capacity by month'!$O$2)),0)</f>
        <v/>
      </c>
      <c r="E94" s="9">
        <f>IF(ISNUMBER(E$3),E$2*MAX(0,MIN(1,((YEAR($A94)-YEAR(E$3))*12+MONTH($A94)-MONTH(E$3)+1)/'Capacity by month'!$O$2)),0)</f>
        <v/>
      </c>
      <c r="F94" s="9">
        <f>IF(ISNUMBER(F$3),F$2*MAX(0,MIN(1,((YEAR($A94)-YEAR(F$3))*12+MONTH($A94)-MONTH(F$3)+1)/'Capacity by month'!$O$2)),0)</f>
        <v/>
      </c>
      <c r="G94" s="9">
        <f>IF(ISNUMBER(G$3),G$2*MAX(0,MIN(1,((YEAR($A94)-YEAR(G$3))*12+MONTH($A94)-MONTH(G$3)+1)/'Capacity by month'!$O$2)),0)</f>
        <v/>
      </c>
      <c r="H94" s="9">
        <f>IF(ISNUMBER(H$3),H$2*MAX(0,MIN(1,((YEAR($A94)-YEAR(H$3))*12+MONTH($A94)-MONTH(H$3)+1)/'Capacity by month'!$O$2)),0)</f>
        <v/>
      </c>
      <c r="I94" s="9">
        <f>IF(ISNUMBER(I$3),I$2*MAX(0,MIN(1,((YEAR($A94)-YEAR(I$3))*12+MONTH($A94)-MONTH(I$3)+1)/'Capacity by month'!$O$2)),0)</f>
        <v/>
      </c>
      <c r="J94" s="9">
        <f>IF(ISNUMBER(J$3),J$2*MAX(0,MIN(1,((YEAR($A94)-YEAR(J$3))*12+MONTH($A94)-MONTH(J$3)+1)/'Capacity by month'!$O$2)),0)</f>
        <v/>
      </c>
      <c r="K94" s="9">
        <f>IF(ISNUMBER(K$3),K$2*MAX(0,MIN(1,((YEAR($A94)-YEAR(K$3))*12+MONTH($A94)-MONTH(K$3)+1)/'Capacity by month'!$O$2)),0)</f>
        <v/>
      </c>
      <c r="L94" s="9">
        <f>IF(ISNUMBER(L$3),L$2*MAX(0,MIN(1,((YEAR($A94)-YEAR(L$3))*12+MONTH($A94)-MONTH(L$3)+1)/'Capacity by month'!$O$2)),0)</f>
        <v/>
      </c>
      <c r="M94" s="9">
        <f>IF(ISNUMBER(M$3),M$2*MAX(0,MIN(1,((YEAR($A94)-YEAR(M$3))*12+MONTH($A94)-MONTH(M$3)+1)/'Capacity by month'!$O$2)),0)</f>
        <v/>
      </c>
      <c r="N94" s="9">
        <f>IF(ISNUMBER(N$3),N$2*MAX(0,MIN(1,((YEAR($A94)-YEAR(N$3))*12+MONTH($A94)-MONTH(N$3)+1)/'Capacity by month'!$O$2)),0)</f>
        <v/>
      </c>
      <c r="O94" s="9">
        <f>IF(ISNUMBER(O$3),O$2*MAX(0,MIN(1,((YEAR($A94)-YEAR(O$3))*12+MONTH($A94)-MONTH(O$3)+1)/'Capacity by month'!$O$2)),0)</f>
        <v/>
      </c>
      <c r="P94" s="9">
        <f>IF(ISNUMBER(P$3),P$2*MAX(0,MIN(1,((YEAR($A94)-YEAR(P$3))*12+MONTH($A94)-MONTH(P$3)+1)/'Capacity by month'!$O$2)),0)</f>
        <v/>
      </c>
      <c r="Q94" s="9">
        <f>IF(ISNUMBER(Q$3),Q$2*MAX(0,MIN(1,((YEAR($A94)-YEAR(Q$3))*12+MONTH($A94)-MONTH(Q$3)+1)/'Capacity by month'!$O$2)),0)</f>
        <v/>
      </c>
      <c r="R94" s="9">
        <f>IF(ISNUMBER(R$3),R$2*MAX(0,MIN(1,((YEAR($A94)-YEAR(R$3))*12+MONTH($A94)-MONTH(R$3)+1)/'Capacity by month'!$O$2)),0)</f>
        <v/>
      </c>
      <c r="S94" s="9">
        <f>IF(ISNUMBER(S$3),S$2*MAX(0,MIN(1,((YEAR($A94)-YEAR(S$3))*12+MONTH($A94)-MONTH(S$3)+1)/'Capacity by month'!$O$2)),0)</f>
        <v/>
      </c>
      <c r="T94" s="9">
        <f>IF(ISNUMBER(T$3),T$2*MAX(0,MIN(1,((YEAR($A94)-YEAR(T$3))*12+MONTH($A94)-MONTH(T$3)+1)/'Capacity by month'!$O$2)),0)</f>
        <v/>
      </c>
      <c r="U94" s="9">
        <f>IF(ISNUMBER(U$3),U$2*MAX(0,MIN(1,((YEAR($A94)-YEAR(U$3))*12+MONTH($A94)-MONTH(U$3)+1)/'Capacity by month'!$O$2)),0)</f>
        <v/>
      </c>
      <c r="V94" s="9">
        <f>IF(ISNUMBER(V$3),V$2*MAX(0,MIN(1,((YEAR($A94)-YEAR(V$3))*12+MONTH($A94)-MONTH(V$3)+1)/'Capacity by month'!$O$2)),0)</f>
        <v/>
      </c>
      <c r="W94" s="9">
        <f>IF(ISNUMBER(W$3),W$2*MAX(0,MIN(1,((YEAR($A94)-YEAR(W$3))*12+MONTH($A94)-MONTH(W$3)+1)/'Capacity by month'!$O$2)),0)</f>
        <v/>
      </c>
      <c r="X94" s="9">
        <f>IF(ISNUMBER(X$3),X$2*MAX(0,MIN(1,((YEAR($A94)-YEAR(X$3))*12+MONTH($A94)-MONTH(X$3)+1)/'Capacity by month'!$O$2)),0)</f>
        <v/>
      </c>
      <c r="Y94" s="9">
        <f>IF(ISNUMBER(Y$3),Y$2*MAX(0,MIN(1,((YEAR($A94)-YEAR(Y$3))*12+MONTH($A94)-MONTH(Y$3)+1)/'Capacity by month'!$O$2)),0)</f>
        <v/>
      </c>
      <c r="Z94" s="9">
        <f>IF(ISNUMBER(Z$3),Z$2*MAX(0,MIN(1,((YEAR($A94)-YEAR(Z$3))*12+MONTH($A94)-MONTH(Z$3)+1)/'Capacity by month'!$O$2)),0)</f>
        <v/>
      </c>
      <c r="AA94">
        <f>SUM(B94:Z94)</f>
        <v/>
      </c>
      <c r="AB94" t="n">
        <v>0</v>
      </c>
    </row>
    <row r="95">
      <c r="A95" s="8" t="n">
        <v>46966</v>
      </c>
      <c r="B95" s="9">
        <f>IF(ISNUMBER(B$3),B$2*MAX(0,MIN(1,((YEAR($A95)-YEAR(B$3))*12+MONTH($A95)-MONTH(B$3)+1)/'Capacity by month'!$O$2)),0)</f>
        <v/>
      </c>
      <c r="C95" s="9">
        <f>IF(ISNUMBER(C$3),C$2*MAX(0,MIN(1,((YEAR($A95)-YEAR(C$3))*12+MONTH($A95)-MONTH(C$3)+1)/'Capacity by month'!$O$2)),0)</f>
        <v/>
      </c>
      <c r="D95" s="9">
        <f>IF(ISNUMBER(D$3),D$2*MAX(0,MIN(1,((YEAR($A95)-YEAR(D$3))*12+MONTH($A95)-MONTH(D$3)+1)/'Capacity by month'!$O$2)),0)</f>
        <v/>
      </c>
      <c r="E95" s="9">
        <f>IF(ISNUMBER(E$3),E$2*MAX(0,MIN(1,((YEAR($A95)-YEAR(E$3))*12+MONTH($A95)-MONTH(E$3)+1)/'Capacity by month'!$O$2)),0)</f>
        <v/>
      </c>
      <c r="F95" s="9">
        <f>IF(ISNUMBER(F$3),F$2*MAX(0,MIN(1,((YEAR($A95)-YEAR(F$3))*12+MONTH($A95)-MONTH(F$3)+1)/'Capacity by month'!$O$2)),0)</f>
        <v/>
      </c>
      <c r="G95" s="9">
        <f>IF(ISNUMBER(G$3),G$2*MAX(0,MIN(1,((YEAR($A95)-YEAR(G$3))*12+MONTH($A95)-MONTH(G$3)+1)/'Capacity by month'!$O$2)),0)</f>
        <v/>
      </c>
      <c r="H95" s="9">
        <f>IF(ISNUMBER(H$3),H$2*MAX(0,MIN(1,((YEAR($A95)-YEAR(H$3))*12+MONTH($A95)-MONTH(H$3)+1)/'Capacity by month'!$O$2)),0)</f>
        <v/>
      </c>
      <c r="I95" s="9">
        <f>IF(ISNUMBER(I$3),I$2*MAX(0,MIN(1,((YEAR($A95)-YEAR(I$3))*12+MONTH($A95)-MONTH(I$3)+1)/'Capacity by month'!$O$2)),0)</f>
        <v/>
      </c>
      <c r="J95" s="9">
        <f>IF(ISNUMBER(J$3),J$2*MAX(0,MIN(1,((YEAR($A95)-YEAR(J$3))*12+MONTH($A95)-MONTH(J$3)+1)/'Capacity by month'!$O$2)),0)</f>
        <v/>
      </c>
      <c r="K95" s="9">
        <f>IF(ISNUMBER(K$3),K$2*MAX(0,MIN(1,((YEAR($A95)-YEAR(K$3))*12+MONTH($A95)-MONTH(K$3)+1)/'Capacity by month'!$O$2)),0)</f>
        <v/>
      </c>
      <c r="L95" s="9">
        <f>IF(ISNUMBER(L$3),L$2*MAX(0,MIN(1,((YEAR($A95)-YEAR(L$3))*12+MONTH($A95)-MONTH(L$3)+1)/'Capacity by month'!$O$2)),0)</f>
        <v/>
      </c>
      <c r="M95" s="9">
        <f>IF(ISNUMBER(M$3),M$2*MAX(0,MIN(1,((YEAR($A95)-YEAR(M$3))*12+MONTH($A95)-MONTH(M$3)+1)/'Capacity by month'!$O$2)),0)</f>
        <v/>
      </c>
      <c r="N95" s="9">
        <f>IF(ISNUMBER(N$3),N$2*MAX(0,MIN(1,((YEAR($A95)-YEAR(N$3))*12+MONTH($A95)-MONTH(N$3)+1)/'Capacity by month'!$O$2)),0)</f>
        <v/>
      </c>
      <c r="O95" s="9">
        <f>IF(ISNUMBER(O$3),O$2*MAX(0,MIN(1,((YEAR($A95)-YEAR(O$3))*12+MONTH($A95)-MONTH(O$3)+1)/'Capacity by month'!$O$2)),0)</f>
        <v/>
      </c>
      <c r="P95" s="9">
        <f>IF(ISNUMBER(P$3),P$2*MAX(0,MIN(1,((YEAR($A95)-YEAR(P$3))*12+MONTH($A95)-MONTH(P$3)+1)/'Capacity by month'!$O$2)),0)</f>
        <v/>
      </c>
      <c r="Q95" s="9">
        <f>IF(ISNUMBER(Q$3),Q$2*MAX(0,MIN(1,((YEAR($A95)-YEAR(Q$3))*12+MONTH($A95)-MONTH(Q$3)+1)/'Capacity by month'!$O$2)),0)</f>
        <v/>
      </c>
      <c r="R95" s="9">
        <f>IF(ISNUMBER(R$3),R$2*MAX(0,MIN(1,((YEAR($A95)-YEAR(R$3))*12+MONTH($A95)-MONTH(R$3)+1)/'Capacity by month'!$O$2)),0)</f>
        <v/>
      </c>
      <c r="S95" s="9">
        <f>IF(ISNUMBER(S$3),S$2*MAX(0,MIN(1,((YEAR($A95)-YEAR(S$3))*12+MONTH($A95)-MONTH(S$3)+1)/'Capacity by month'!$O$2)),0)</f>
        <v/>
      </c>
      <c r="T95" s="9">
        <f>IF(ISNUMBER(T$3),T$2*MAX(0,MIN(1,((YEAR($A95)-YEAR(T$3))*12+MONTH($A95)-MONTH(T$3)+1)/'Capacity by month'!$O$2)),0)</f>
        <v/>
      </c>
      <c r="U95" s="9">
        <f>IF(ISNUMBER(U$3),U$2*MAX(0,MIN(1,((YEAR($A95)-YEAR(U$3))*12+MONTH($A95)-MONTH(U$3)+1)/'Capacity by month'!$O$2)),0)</f>
        <v/>
      </c>
      <c r="V95" s="9">
        <f>IF(ISNUMBER(V$3),V$2*MAX(0,MIN(1,((YEAR($A95)-YEAR(V$3))*12+MONTH($A95)-MONTH(V$3)+1)/'Capacity by month'!$O$2)),0)</f>
        <v/>
      </c>
      <c r="W95" s="9">
        <f>IF(ISNUMBER(W$3),W$2*MAX(0,MIN(1,((YEAR($A95)-YEAR(W$3))*12+MONTH($A95)-MONTH(W$3)+1)/'Capacity by month'!$O$2)),0)</f>
        <v/>
      </c>
      <c r="X95" s="9">
        <f>IF(ISNUMBER(X$3),X$2*MAX(0,MIN(1,((YEAR($A95)-YEAR(X$3))*12+MONTH($A95)-MONTH(X$3)+1)/'Capacity by month'!$O$2)),0)</f>
        <v/>
      </c>
      <c r="Y95" s="9">
        <f>IF(ISNUMBER(Y$3),Y$2*MAX(0,MIN(1,((YEAR($A95)-YEAR(Y$3))*12+MONTH($A95)-MONTH(Y$3)+1)/'Capacity by month'!$O$2)),0)</f>
        <v/>
      </c>
      <c r="Z95" s="9">
        <f>IF(ISNUMBER(Z$3),Z$2*MAX(0,MIN(1,((YEAR($A95)-YEAR(Z$3))*12+MONTH($A95)-MONTH(Z$3)+1)/'Capacity by month'!$O$2)),0)</f>
        <v/>
      </c>
      <c r="AA95">
        <f>SUM(B95:Z95)</f>
        <v/>
      </c>
      <c r="AB95" t="n">
        <v>0</v>
      </c>
    </row>
    <row r="96">
      <c r="A96" s="8" t="n">
        <v>46997</v>
      </c>
      <c r="B96" s="9">
        <f>IF(ISNUMBER(B$3),B$2*MAX(0,MIN(1,((YEAR($A96)-YEAR(B$3))*12+MONTH($A96)-MONTH(B$3)+1)/'Capacity by month'!$O$2)),0)</f>
        <v/>
      </c>
      <c r="C96" s="9">
        <f>IF(ISNUMBER(C$3),C$2*MAX(0,MIN(1,((YEAR($A96)-YEAR(C$3))*12+MONTH($A96)-MONTH(C$3)+1)/'Capacity by month'!$O$2)),0)</f>
        <v/>
      </c>
      <c r="D96" s="9">
        <f>IF(ISNUMBER(D$3),D$2*MAX(0,MIN(1,((YEAR($A96)-YEAR(D$3))*12+MONTH($A96)-MONTH(D$3)+1)/'Capacity by month'!$O$2)),0)</f>
        <v/>
      </c>
      <c r="E96" s="9">
        <f>IF(ISNUMBER(E$3),E$2*MAX(0,MIN(1,((YEAR($A96)-YEAR(E$3))*12+MONTH($A96)-MONTH(E$3)+1)/'Capacity by month'!$O$2)),0)</f>
        <v/>
      </c>
      <c r="F96" s="9">
        <f>IF(ISNUMBER(F$3),F$2*MAX(0,MIN(1,((YEAR($A96)-YEAR(F$3))*12+MONTH($A96)-MONTH(F$3)+1)/'Capacity by month'!$O$2)),0)</f>
        <v/>
      </c>
      <c r="G96" s="9">
        <f>IF(ISNUMBER(G$3),G$2*MAX(0,MIN(1,((YEAR($A96)-YEAR(G$3))*12+MONTH($A96)-MONTH(G$3)+1)/'Capacity by month'!$O$2)),0)</f>
        <v/>
      </c>
      <c r="H96" s="9">
        <f>IF(ISNUMBER(H$3),H$2*MAX(0,MIN(1,((YEAR($A96)-YEAR(H$3))*12+MONTH($A96)-MONTH(H$3)+1)/'Capacity by month'!$O$2)),0)</f>
        <v/>
      </c>
      <c r="I96" s="9">
        <f>IF(ISNUMBER(I$3),I$2*MAX(0,MIN(1,((YEAR($A96)-YEAR(I$3))*12+MONTH($A96)-MONTH(I$3)+1)/'Capacity by month'!$O$2)),0)</f>
        <v/>
      </c>
      <c r="J96" s="9">
        <f>IF(ISNUMBER(J$3),J$2*MAX(0,MIN(1,((YEAR($A96)-YEAR(J$3))*12+MONTH($A96)-MONTH(J$3)+1)/'Capacity by month'!$O$2)),0)</f>
        <v/>
      </c>
      <c r="K96" s="9">
        <f>IF(ISNUMBER(K$3),K$2*MAX(0,MIN(1,((YEAR($A96)-YEAR(K$3))*12+MONTH($A96)-MONTH(K$3)+1)/'Capacity by month'!$O$2)),0)</f>
        <v/>
      </c>
      <c r="L96" s="9">
        <f>IF(ISNUMBER(L$3),L$2*MAX(0,MIN(1,((YEAR($A96)-YEAR(L$3))*12+MONTH($A96)-MONTH(L$3)+1)/'Capacity by month'!$O$2)),0)</f>
        <v/>
      </c>
      <c r="M96" s="9">
        <f>IF(ISNUMBER(M$3),M$2*MAX(0,MIN(1,((YEAR($A96)-YEAR(M$3))*12+MONTH($A96)-MONTH(M$3)+1)/'Capacity by month'!$O$2)),0)</f>
        <v/>
      </c>
      <c r="N96" s="9">
        <f>IF(ISNUMBER(N$3),N$2*MAX(0,MIN(1,((YEAR($A96)-YEAR(N$3))*12+MONTH($A96)-MONTH(N$3)+1)/'Capacity by month'!$O$2)),0)</f>
        <v/>
      </c>
      <c r="O96" s="9">
        <f>IF(ISNUMBER(O$3),O$2*MAX(0,MIN(1,((YEAR($A96)-YEAR(O$3))*12+MONTH($A96)-MONTH(O$3)+1)/'Capacity by month'!$O$2)),0)</f>
        <v/>
      </c>
      <c r="P96" s="9">
        <f>IF(ISNUMBER(P$3),P$2*MAX(0,MIN(1,((YEAR($A96)-YEAR(P$3))*12+MONTH($A96)-MONTH(P$3)+1)/'Capacity by month'!$O$2)),0)</f>
        <v/>
      </c>
      <c r="Q96" s="9">
        <f>IF(ISNUMBER(Q$3),Q$2*MAX(0,MIN(1,((YEAR($A96)-YEAR(Q$3))*12+MONTH($A96)-MONTH(Q$3)+1)/'Capacity by month'!$O$2)),0)</f>
        <v/>
      </c>
      <c r="R96" s="9">
        <f>IF(ISNUMBER(R$3),R$2*MAX(0,MIN(1,((YEAR($A96)-YEAR(R$3))*12+MONTH($A96)-MONTH(R$3)+1)/'Capacity by month'!$O$2)),0)</f>
        <v/>
      </c>
      <c r="S96" s="9">
        <f>IF(ISNUMBER(S$3),S$2*MAX(0,MIN(1,((YEAR($A96)-YEAR(S$3))*12+MONTH($A96)-MONTH(S$3)+1)/'Capacity by month'!$O$2)),0)</f>
        <v/>
      </c>
      <c r="T96" s="9">
        <f>IF(ISNUMBER(T$3),T$2*MAX(0,MIN(1,((YEAR($A96)-YEAR(T$3))*12+MONTH($A96)-MONTH(T$3)+1)/'Capacity by month'!$O$2)),0)</f>
        <v/>
      </c>
      <c r="U96" s="9">
        <f>IF(ISNUMBER(U$3),U$2*MAX(0,MIN(1,((YEAR($A96)-YEAR(U$3))*12+MONTH($A96)-MONTH(U$3)+1)/'Capacity by month'!$O$2)),0)</f>
        <v/>
      </c>
      <c r="V96" s="9">
        <f>IF(ISNUMBER(V$3),V$2*MAX(0,MIN(1,((YEAR($A96)-YEAR(V$3))*12+MONTH($A96)-MONTH(V$3)+1)/'Capacity by month'!$O$2)),0)</f>
        <v/>
      </c>
      <c r="W96" s="9">
        <f>IF(ISNUMBER(W$3),W$2*MAX(0,MIN(1,((YEAR($A96)-YEAR(W$3))*12+MONTH($A96)-MONTH(W$3)+1)/'Capacity by month'!$O$2)),0)</f>
        <v/>
      </c>
      <c r="X96" s="9">
        <f>IF(ISNUMBER(X$3),X$2*MAX(0,MIN(1,((YEAR($A96)-YEAR(X$3))*12+MONTH($A96)-MONTH(X$3)+1)/'Capacity by month'!$O$2)),0)</f>
        <v/>
      </c>
      <c r="Y96" s="9">
        <f>IF(ISNUMBER(Y$3),Y$2*MAX(0,MIN(1,((YEAR($A96)-YEAR(Y$3))*12+MONTH($A96)-MONTH(Y$3)+1)/'Capacity by month'!$O$2)),0)</f>
        <v/>
      </c>
      <c r="Z96" s="9">
        <f>IF(ISNUMBER(Z$3),Z$2*MAX(0,MIN(1,((YEAR($A96)-YEAR(Z$3))*12+MONTH($A96)-MONTH(Z$3)+1)/'Capacity by month'!$O$2)),0)</f>
        <v/>
      </c>
      <c r="AA96">
        <f>SUM(B96:Z96)</f>
        <v/>
      </c>
      <c r="AB96" t="n">
        <v>0</v>
      </c>
    </row>
    <row r="97">
      <c r="A97" s="8" t="n">
        <v>47027</v>
      </c>
      <c r="B97" s="9">
        <f>IF(ISNUMBER(B$3),B$2*MAX(0,MIN(1,((YEAR($A97)-YEAR(B$3))*12+MONTH($A97)-MONTH(B$3)+1)/'Capacity by month'!$O$2)),0)</f>
        <v/>
      </c>
      <c r="C97" s="9">
        <f>IF(ISNUMBER(C$3),C$2*MAX(0,MIN(1,((YEAR($A97)-YEAR(C$3))*12+MONTH($A97)-MONTH(C$3)+1)/'Capacity by month'!$O$2)),0)</f>
        <v/>
      </c>
      <c r="D97" s="9">
        <f>IF(ISNUMBER(D$3),D$2*MAX(0,MIN(1,((YEAR($A97)-YEAR(D$3))*12+MONTH($A97)-MONTH(D$3)+1)/'Capacity by month'!$O$2)),0)</f>
        <v/>
      </c>
      <c r="E97" s="9">
        <f>IF(ISNUMBER(E$3),E$2*MAX(0,MIN(1,((YEAR($A97)-YEAR(E$3))*12+MONTH($A97)-MONTH(E$3)+1)/'Capacity by month'!$O$2)),0)</f>
        <v/>
      </c>
      <c r="F97" s="9">
        <f>IF(ISNUMBER(F$3),F$2*MAX(0,MIN(1,((YEAR($A97)-YEAR(F$3))*12+MONTH($A97)-MONTH(F$3)+1)/'Capacity by month'!$O$2)),0)</f>
        <v/>
      </c>
      <c r="G97" s="9">
        <f>IF(ISNUMBER(G$3),G$2*MAX(0,MIN(1,((YEAR($A97)-YEAR(G$3))*12+MONTH($A97)-MONTH(G$3)+1)/'Capacity by month'!$O$2)),0)</f>
        <v/>
      </c>
      <c r="H97" s="9">
        <f>IF(ISNUMBER(H$3),H$2*MAX(0,MIN(1,((YEAR($A97)-YEAR(H$3))*12+MONTH($A97)-MONTH(H$3)+1)/'Capacity by month'!$O$2)),0)</f>
        <v/>
      </c>
      <c r="I97" s="9">
        <f>IF(ISNUMBER(I$3),I$2*MAX(0,MIN(1,((YEAR($A97)-YEAR(I$3))*12+MONTH($A97)-MONTH(I$3)+1)/'Capacity by month'!$O$2)),0)</f>
        <v/>
      </c>
      <c r="J97" s="9">
        <f>IF(ISNUMBER(J$3),J$2*MAX(0,MIN(1,((YEAR($A97)-YEAR(J$3))*12+MONTH($A97)-MONTH(J$3)+1)/'Capacity by month'!$O$2)),0)</f>
        <v/>
      </c>
      <c r="K97" s="9">
        <f>IF(ISNUMBER(K$3),K$2*MAX(0,MIN(1,((YEAR($A97)-YEAR(K$3))*12+MONTH($A97)-MONTH(K$3)+1)/'Capacity by month'!$O$2)),0)</f>
        <v/>
      </c>
      <c r="L97" s="9">
        <f>IF(ISNUMBER(L$3),L$2*MAX(0,MIN(1,((YEAR($A97)-YEAR(L$3))*12+MONTH($A97)-MONTH(L$3)+1)/'Capacity by month'!$O$2)),0)</f>
        <v/>
      </c>
      <c r="M97" s="9">
        <f>IF(ISNUMBER(M$3),M$2*MAX(0,MIN(1,((YEAR($A97)-YEAR(M$3))*12+MONTH($A97)-MONTH(M$3)+1)/'Capacity by month'!$O$2)),0)</f>
        <v/>
      </c>
      <c r="N97" s="9">
        <f>IF(ISNUMBER(N$3),N$2*MAX(0,MIN(1,((YEAR($A97)-YEAR(N$3))*12+MONTH($A97)-MONTH(N$3)+1)/'Capacity by month'!$O$2)),0)</f>
        <v/>
      </c>
      <c r="O97" s="9">
        <f>IF(ISNUMBER(O$3),O$2*MAX(0,MIN(1,((YEAR($A97)-YEAR(O$3))*12+MONTH($A97)-MONTH(O$3)+1)/'Capacity by month'!$O$2)),0)</f>
        <v/>
      </c>
      <c r="P97" s="9">
        <f>IF(ISNUMBER(P$3),P$2*MAX(0,MIN(1,((YEAR($A97)-YEAR(P$3))*12+MONTH($A97)-MONTH(P$3)+1)/'Capacity by month'!$O$2)),0)</f>
        <v/>
      </c>
      <c r="Q97" s="9">
        <f>IF(ISNUMBER(Q$3),Q$2*MAX(0,MIN(1,((YEAR($A97)-YEAR(Q$3))*12+MONTH($A97)-MONTH(Q$3)+1)/'Capacity by month'!$O$2)),0)</f>
        <v/>
      </c>
      <c r="R97" s="9">
        <f>IF(ISNUMBER(R$3),R$2*MAX(0,MIN(1,((YEAR($A97)-YEAR(R$3))*12+MONTH($A97)-MONTH(R$3)+1)/'Capacity by month'!$O$2)),0)</f>
        <v/>
      </c>
      <c r="S97" s="9">
        <f>IF(ISNUMBER(S$3),S$2*MAX(0,MIN(1,((YEAR($A97)-YEAR(S$3))*12+MONTH($A97)-MONTH(S$3)+1)/'Capacity by month'!$O$2)),0)</f>
        <v/>
      </c>
      <c r="T97" s="9">
        <f>IF(ISNUMBER(T$3),T$2*MAX(0,MIN(1,((YEAR($A97)-YEAR(T$3))*12+MONTH($A97)-MONTH(T$3)+1)/'Capacity by month'!$O$2)),0)</f>
        <v/>
      </c>
      <c r="U97" s="9">
        <f>IF(ISNUMBER(U$3),U$2*MAX(0,MIN(1,((YEAR($A97)-YEAR(U$3))*12+MONTH($A97)-MONTH(U$3)+1)/'Capacity by month'!$O$2)),0)</f>
        <v/>
      </c>
      <c r="V97" s="9">
        <f>IF(ISNUMBER(V$3),V$2*MAX(0,MIN(1,((YEAR($A97)-YEAR(V$3))*12+MONTH($A97)-MONTH(V$3)+1)/'Capacity by month'!$O$2)),0)</f>
        <v/>
      </c>
      <c r="W97" s="9">
        <f>IF(ISNUMBER(W$3),W$2*MAX(0,MIN(1,((YEAR($A97)-YEAR(W$3))*12+MONTH($A97)-MONTH(W$3)+1)/'Capacity by month'!$O$2)),0)</f>
        <v/>
      </c>
      <c r="X97" s="9">
        <f>IF(ISNUMBER(X$3),X$2*MAX(0,MIN(1,((YEAR($A97)-YEAR(X$3))*12+MONTH($A97)-MONTH(X$3)+1)/'Capacity by month'!$O$2)),0)</f>
        <v/>
      </c>
      <c r="Y97" s="9">
        <f>IF(ISNUMBER(Y$3),Y$2*MAX(0,MIN(1,((YEAR($A97)-YEAR(Y$3))*12+MONTH($A97)-MONTH(Y$3)+1)/'Capacity by month'!$O$2)),0)</f>
        <v/>
      </c>
      <c r="Z97" s="9">
        <f>IF(ISNUMBER(Z$3),Z$2*MAX(0,MIN(1,((YEAR($A97)-YEAR(Z$3))*12+MONTH($A97)-MONTH(Z$3)+1)/'Capacity by month'!$O$2)),0)</f>
        <v/>
      </c>
      <c r="AA97">
        <f>SUM(B97:Z97)</f>
        <v/>
      </c>
      <c r="AB97" t="n">
        <v>0</v>
      </c>
    </row>
    <row r="98">
      <c r="A98" s="8" t="n">
        <v>47058</v>
      </c>
      <c r="B98" s="9">
        <f>IF(ISNUMBER(B$3),B$2*MAX(0,MIN(1,((YEAR($A98)-YEAR(B$3))*12+MONTH($A98)-MONTH(B$3)+1)/'Capacity by month'!$O$2)),0)</f>
        <v/>
      </c>
      <c r="C98" s="9">
        <f>IF(ISNUMBER(C$3),C$2*MAX(0,MIN(1,((YEAR($A98)-YEAR(C$3))*12+MONTH($A98)-MONTH(C$3)+1)/'Capacity by month'!$O$2)),0)</f>
        <v/>
      </c>
      <c r="D98" s="9">
        <f>IF(ISNUMBER(D$3),D$2*MAX(0,MIN(1,((YEAR($A98)-YEAR(D$3))*12+MONTH($A98)-MONTH(D$3)+1)/'Capacity by month'!$O$2)),0)</f>
        <v/>
      </c>
      <c r="E98" s="9">
        <f>IF(ISNUMBER(E$3),E$2*MAX(0,MIN(1,((YEAR($A98)-YEAR(E$3))*12+MONTH($A98)-MONTH(E$3)+1)/'Capacity by month'!$O$2)),0)</f>
        <v/>
      </c>
      <c r="F98" s="9">
        <f>IF(ISNUMBER(F$3),F$2*MAX(0,MIN(1,((YEAR($A98)-YEAR(F$3))*12+MONTH($A98)-MONTH(F$3)+1)/'Capacity by month'!$O$2)),0)</f>
        <v/>
      </c>
      <c r="G98" s="9">
        <f>IF(ISNUMBER(G$3),G$2*MAX(0,MIN(1,((YEAR($A98)-YEAR(G$3))*12+MONTH($A98)-MONTH(G$3)+1)/'Capacity by month'!$O$2)),0)</f>
        <v/>
      </c>
      <c r="H98" s="9">
        <f>IF(ISNUMBER(H$3),H$2*MAX(0,MIN(1,((YEAR($A98)-YEAR(H$3))*12+MONTH($A98)-MONTH(H$3)+1)/'Capacity by month'!$O$2)),0)</f>
        <v/>
      </c>
      <c r="I98" s="9">
        <f>IF(ISNUMBER(I$3),I$2*MAX(0,MIN(1,((YEAR($A98)-YEAR(I$3))*12+MONTH($A98)-MONTH(I$3)+1)/'Capacity by month'!$O$2)),0)</f>
        <v/>
      </c>
      <c r="J98" s="9">
        <f>IF(ISNUMBER(J$3),J$2*MAX(0,MIN(1,((YEAR($A98)-YEAR(J$3))*12+MONTH($A98)-MONTH(J$3)+1)/'Capacity by month'!$O$2)),0)</f>
        <v/>
      </c>
      <c r="K98" s="9">
        <f>IF(ISNUMBER(K$3),K$2*MAX(0,MIN(1,((YEAR($A98)-YEAR(K$3))*12+MONTH($A98)-MONTH(K$3)+1)/'Capacity by month'!$O$2)),0)</f>
        <v/>
      </c>
      <c r="L98" s="9">
        <f>IF(ISNUMBER(L$3),L$2*MAX(0,MIN(1,((YEAR($A98)-YEAR(L$3))*12+MONTH($A98)-MONTH(L$3)+1)/'Capacity by month'!$O$2)),0)</f>
        <v/>
      </c>
      <c r="M98" s="9">
        <f>IF(ISNUMBER(M$3),M$2*MAX(0,MIN(1,((YEAR($A98)-YEAR(M$3))*12+MONTH($A98)-MONTH(M$3)+1)/'Capacity by month'!$O$2)),0)</f>
        <v/>
      </c>
      <c r="N98" s="9">
        <f>IF(ISNUMBER(N$3),N$2*MAX(0,MIN(1,((YEAR($A98)-YEAR(N$3))*12+MONTH($A98)-MONTH(N$3)+1)/'Capacity by month'!$O$2)),0)</f>
        <v/>
      </c>
      <c r="O98" s="9">
        <f>IF(ISNUMBER(O$3),O$2*MAX(0,MIN(1,((YEAR($A98)-YEAR(O$3))*12+MONTH($A98)-MONTH(O$3)+1)/'Capacity by month'!$O$2)),0)</f>
        <v/>
      </c>
      <c r="P98" s="9">
        <f>IF(ISNUMBER(P$3),P$2*MAX(0,MIN(1,((YEAR($A98)-YEAR(P$3))*12+MONTH($A98)-MONTH(P$3)+1)/'Capacity by month'!$O$2)),0)</f>
        <v/>
      </c>
      <c r="Q98" s="9">
        <f>IF(ISNUMBER(Q$3),Q$2*MAX(0,MIN(1,((YEAR($A98)-YEAR(Q$3))*12+MONTH($A98)-MONTH(Q$3)+1)/'Capacity by month'!$O$2)),0)</f>
        <v/>
      </c>
      <c r="R98" s="9">
        <f>IF(ISNUMBER(R$3),R$2*MAX(0,MIN(1,((YEAR($A98)-YEAR(R$3))*12+MONTH($A98)-MONTH(R$3)+1)/'Capacity by month'!$O$2)),0)</f>
        <v/>
      </c>
      <c r="S98" s="9">
        <f>IF(ISNUMBER(S$3),S$2*MAX(0,MIN(1,((YEAR($A98)-YEAR(S$3))*12+MONTH($A98)-MONTH(S$3)+1)/'Capacity by month'!$O$2)),0)</f>
        <v/>
      </c>
      <c r="T98" s="9">
        <f>IF(ISNUMBER(T$3),T$2*MAX(0,MIN(1,((YEAR($A98)-YEAR(T$3))*12+MONTH($A98)-MONTH(T$3)+1)/'Capacity by month'!$O$2)),0)</f>
        <v/>
      </c>
      <c r="U98" s="9">
        <f>IF(ISNUMBER(U$3),U$2*MAX(0,MIN(1,((YEAR($A98)-YEAR(U$3))*12+MONTH($A98)-MONTH(U$3)+1)/'Capacity by month'!$O$2)),0)</f>
        <v/>
      </c>
      <c r="V98" s="9">
        <f>IF(ISNUMBER(V$3),V$2*MAX(0,MIN(1,((YEAR($A98)-YEAR(V$3))*12+MONTH($A98)-MONTH(V$3)+1)/'Capacity by month'!$O$2)),0)</f>
        <v/>
      </c>
      <c r="W98" s="9">
        <f>IF(ISNUMBER(W$3),W$2*MAX(0,MIN(1,((YEAR($A98)-YEAR(W$3))*12+MONTH($A98)-MONTH(W$3)+1)/'Capacity by month'!$O$2)),0)</f>
        <v/>
      </c>
      <c r="X98" s="9">
        <f>IF(ISNUMBER(X$3),X$2*MAX(0,MIN(1,((YEAR($A98)-YEAR(X$3))*12+MONTH($A98)-MONTH(X$3)+1)/'Capacity by month'!$O$2)),0)</f>
        <v/>
      </c>
      <c r="Y98" s="9">
        <f>IF(ISNUMBER(Y$3),Y$2*MAX(0,MIN(1,((YEAR($A98)-YEAR(Y$3))*12+MONTH($A98)-MONTH(Y$3)+1)/'Capacity by month'!$O$2)),0)</f>
        <v/>
      </c>
      <c r="Z98" s="9">
        <f>IF(ISNUMBER(Z$3),Z$2*MAX(0,MIN(1,((YEAR($A98)-YEAR(Z$3))*12+MONTH($A98)-MONTH(Z$3)+1)/'Capacity by month'!$O$2)),0)</f>
        <v/>
      </c>
      <c r="AA98">
        <f>SUM(B98:Z98)</f>
        <v/>
      </c>
      <c r="AB98" t="n">
        <v>0</v>
      </c>
    </row>
    <row r="99">
      <c r="A99" s="8" t="n">
        <v>47088</v>
      </c>
      <c r="B99" s="9">
        <f>IF(ISNUMBER(B$3),B$2*MAX(0,MIN(1,((YEAR($A99)-YEAR(B$3))*12+MONTH($A99)-MONTH(B$3)+1)/'Capacity by month'!$O$2)),0)</f>
        <v/>
      </c>
      <c r="C99" s="9">
        <f>IF(ISNUMBER(C$3),C$2*MAX(0,MIN(1,((YEAR($A99)-YEAR(C$3))*12+MONTH($A99)-MONTH(C$3)+1)/'Capacity by month'!$O$2)),0)</f>
        <v/>
      </c>
      <c r="D99" s="9">
        <f>IF(ISNUMBER(D$3),D$2*MAX(0,MIN(1,((YEAR($A99)-YEAR(D$3))*12+MONTH($A99)-MONTH(D$3)+1)/'Capacity by month'!$O$2)),0)</f>
        <v/>
      </c>
      <c r="E99" s="9">
        <f>IF(ISNUMBER(E$3),E$2*MAX(0,MIN(1,((YEAR($A99)-YEAR(E$3))*12+MONTH($A99)-MONTH(E$3)+1)/'Capacity by month'!$O$2)),0)</f>
        <v/>
      </c>
      <c r="F99" s="9">
        <f>IF(ISNUMBER(F$3),F$2*MAX(0,MIN(1,((YEAR($A99)-YEAR(F$3))*12+MONTH($A99)-MONTH(F$3)+1)/'Capacity by month'!$O$2)),0)</f>
        <v/>
      </c>
      <c r="G99" s="9">
        <f>IF(ISNUMBER(G$3),G$2*MAX(0,MIN(1,((YEAR($A99)-YEAR(G$3))*12+MONTH($A99)-MONTH(G$3)+1)/'Capacity by month'!$O$2)),0)</f>
        <v/>
      </c>
      <c r="H99" s="9">
        <f>IF(ISNUMBER(H$3),H$2*MAX(0,MIN(1,((YEAR($A99)-YEAR(H$3))*12+MONTH($A99)-MONTH(H$3)+1)/'Capacity by month'!$O$2)),0)</f>
        <v/>
      </c>
      <c r="I99" s="9">
        <f>IF(ISNUMBER(I$3),I$2*MAX(0,MIN(1,((YEAR($A99)-YEAR(I$3))*12+MONTH($A99)-MONTH(I$3)+1)/'Capacity by month'!$O$2)),0)</f>
        <v/>
      </c>
      <c r="J99" s="9">
        <f>IF(ISNUMBER(J$3),J$2*MAX(0,MIN(1,((YEAR($A99)-YEAR(J$3))*12+MONTH($A99)-MONTH(J$3)+1)/'Capacity by month'!$O$2)),0)</f>
        <v/>
      </c>
      <c r="K99" s="9">
        <f>IF(ISNUMBER(K$3),K$2*MAX(0,MIN(1,((YEAR($A99)-YEAR(K$3))*12+MONTH($A99)-MONTH(K$3)+1)/'Capacity by month'!$O$2)),0)</f>
        <v/>
      </c>
      <c r="L99" s="9">
        <f>IF(ISNUMBER(L$3),L$2*MAX(0,MIN(1,((YEAR($A99)-YEAR(L$3))*12+MONTH($A99)-MONTH(L$3)+1)/'Capacity by month'!$O$2)),0)</f>
        <v/>
      </c>
      <c r="M99" s="9">
        <f>IF(ISNUMBER(M$3),M$2*MAX(0,MIN(1,((YEAR($A99)-YEAR(M$3))*12+MONTH($A99)-MONTH(M$3)+1)/'Capacity by month'!$O$2)),0)</f>
        <v/>
      </c>
      <c r="N99" s="9">
        <f>IF(ISNUMBER(N$3),N$2*MAX(0,MIN(1,((YEAR($A99)-YEAR(N$3))*12+MONTH($A99)-MONTH(N$3)+1)/'Capacity by month'!$O$2)),0)</f>
        <v/>
      </c>
      <c r="O99" s="9">
        <f>IF(ISNUMBER(O$3),O$2*MAX(0,MIN(1,((YEAR($A99)-YEAR(O$3))*12+MONTH($A99)-MONTH(O$3)+1)/'Capacity by month'!$O$2)),0)</f>
        <v/>
      </c>
      <c r="P99" s="9">
        <f>IF(ISNUMBER(P$3),P$2*MAX(0,MIN(1,((YEAR($A99)-YEAR(P$3))*12+MONTH($A99)-MONTH(P$3)+1)/'Capacity by month'!$O$2)),0)</f>
        <v/>
      </c>
      <c r="Q99" s="9">
        <f>IF(ISNUMBER(Q$3),Q$2*MAX(0,MIN(1,((YEAR($A99)-YEAR(Q$3))*12+MONTH($A99)-MONTH(Q$3)+1)/'Capacity by month'!$O$2)),0)</f>
        <v/>
      </c>
      <c r="R99" s="9">
        <f>IF(ISNUMBER(R$3),R$2*MAX(0,MIN(1,((YEAR($A99)-YEAR(R$3))*12+MONTH($A99)-MONTH(R$3)+1)/'Capacity by month'!$O$2)),0)</f>
        <v/>
      </c>
      <c r="S99" s="9">
        <f>IF(ISNUMBER(S$3),S$2*MAX(0,MIN(1,((YEAR($A99)-YEAR(S$3))*12+MONTH($A99)-MONTH(S$3)+1)/'Capacity by month'!$O$2)),0)</f>
        <v/>
      </c>
      <c r="T99" s="9">
        <f>IF(ISNUMBER(T$3),T$2*MAX(0,MIN(1,((YEAR($A99)-YEAR(T$3))*12+MONTH($A99)-MONTH(T$3)+1)/'Capacity by month'!$O$2)),0)</f>
        <v/>
      </c>
      <c r="U99" s="9">
        <f>IF(ISNUMBER(U$3),U$2*MAX(0,MIN(1,((YEAR($A99)-YEAR(U$3))*12+MONTH($A99)-MONTH(U$3)+1)/'Capacity by month'!$O$2)),0)</f>
        <v/>
      </c>
      <c r="V99" s="9">
        <f>IF(ISNUMBER(V$3),V$2*MAX(0,MIN(1,((YEAR($A99)-YEAR(V$3))*12+MONTH($A99)-MONTH(V$3)+1)/'Capacity by month'!$O$2)),0)</f>
        <v/>
      </c>
      <c r="W99" s="9">
        <f>IF(ISNUMBER(W$3),W$2*MAX(0,MIN(1,((YEAR($A99)-YEAR(W$3))*12+MONTH($A99)-MONTH(W$3)+1)/'Capacity by month'!$O$2)),0)</f>
        <v/>
      </c>
      <c r="X99" s="9">
        <f>IF(ISNUMBER(X$3),X$2*MAX(0,MIN(1,((YEAR($A99)-YEAR(X$3))*12+MONTH($A99)-MONTH(X$3)+1)/'Capacity by month'!$O$2)),0)</f>
        <v/>
      </c>
      <c r="Y99" s="9">
        <f>IF(ISNUMBER(Y$3),Y$2*MAX(0,MIN(1,((YEAR($A99)-YEAR(Y$3))*12+MONTH($A99)-MONTH(Y$3)+1)/'Capacity by month'!$O$2)),0)</f>
        <v/>
      </c>
      <c r="Z99" s="9">
        <f>IF(ISNUMBER(Z$3),Z$2*MAX(0,MIN(1,((YEAR($A99)-YEAR(Z$3))*12+MONTH($A99)-MONTH(Z$3)+1)/'Capacity by month'!$O$2)),0)</f>
        <v/>
      </c>
      <c r="AA99">
        <f>SUM(B99:Z99)</f>
        <v/>
      </c>
      <c r="AB99" t="n">
        <v>0</v>
      </c>
    </row>
    <row r="100">
      <c r="A100" s="8" t="n">
        <v>47119</v>
      </c>
      <c r="B100" s="9">
        <f>IF(ISNUMBER(B$3),B$2*MAX(0,MIN(1,((YEAR($A100)-YEAR(B$3))*12+MONTH($A100)-MONTH(B$3)+1)/'Capacity by month'!$O$2)),0)</f>
        <v/>
      </c>
      <c r="C100" s="9">
        <f>IF(ISNUMBER(C$3),C$2*MAX(0,MIN(1,((YEAR($A100)-YEAR(C$3))*12+MONTH($A100)-MONTH(C$3)+1)/'Capacity by month'!$O$2)),0)</f>
        <v/>
      </c>
      <c r="D100" s="9">
        <f>IF(ISNUMBER(D$3),D$2*MAX(0,MIN(1,((YEAR($A100)-YEAR(D$3))*12+MONTH($A100)-MONTH(D$3)+1)/'Capacity by month'!$O$2)),0)</f>
        <v/>
      </c>
      <c r="E100" s="9">
        <f>IF(ISNUMBER(E$3),E$2*MAX(0,MIN(1,((YEAR($A100)-YEAR(E$3))*12+MONTH($A100)-MONTH(E$3)+1)/'Capacity by month'!$O$2)),0)</f>
        <v/>
      </c>
      <c r="F100" s="9">
        <f>IF(ISNUMBER(F$3),F$2*MAX(0,MIN(1,((YEAR($A100)-YEAR(F$3))*12+MONTH($A100)-MONTH(F$3)+1)/'Capacity by month'!$O$2)),0)</f>
        <v/>
      </c>
      <c r="G100" s="9">
        <f>IF(ISNUMBER(G$3),G$2*MAX(0,MIN(1,((YEAR($A100)-YEAR(G$3))*12+MONTH($A100)-MONTH(G$3)+1)/'Capacity by month'!$O$2)),0)</f>
        <v/>
      </c>
      <c r="H100" s="9">
        <f>IF(ISNUMBER(H$3),H$2*MAX(0,MIN(1,((YEAR($A100)-YEAR(H$3))*12+MONTH($A100)-MONTH(H$3)+1)/'Capacity by month'!$O$2)),0)</f>
        <v/>
      </c>
      <c r="I100" s="9">
        <f>IF(ISNUMBER(I$3),I$2*MAX(0,MIN(1,((YEAR($A100)-YEAR(I$3))*12+MONTH($A100)-MONTH(I$3)+1)/'Capacity by month'!$O$2)),0)</f>
        <v/>
      </c>
      <c r="J100" s="9">
        <f>IF(ISNUMBER(J$3),J$2*MAX(0,MIN(1,((YEAR($A100)-YEAR(J$3))*12+MONTH($A100)-MONTH(J$3)+1)/'Capacity by month'!$O$2)),0)</f>
        <v/>
      </c>
      <c r="K100" s="9">
        <f>IF(ISNUMBER(K$3),K$2*MAX(0,MIN(1,((YEAR($A100)-YEAR(K$3))*12+MONTH($A100)-MONTH(K$3)+1)/'Capacity by month'!$O$2)),0)</f>
        <v/>
      </c>
      <c r="L100" s="9">
        <f>IF(ISNUMBER(L$3),L$2*MAX(0,MIN(1,((YEAR($A100)-YEAR(L$3))*12+MONTH($A100)-MONTH(L$3)+1)/'Capacity by month'!$O$2)),0)</f>
        <v/>
      </c>
      <c r="M100" s="9">
        <f>IF(ISNUMBER(M$3),M$2*MAX(0,MIN(1,((YEAR($A100)-YEAR(M$3))*12+MONTH($A100)-MONTH(M$3)+1)/'Capacity by month'!$O$2)),0)</f>
        <v/>
      </c>
      <c r="N100" s="9">
        <f>IF(ISNUMBER(N$3),N$2*MAX(0,MIN(1,((YEAR($A100)-YEAR(N$3))*12+MONTH($A100)-MONTH(N$3)+1)/'Capacity by month'!$O$2)),0)</f>
        <v/>
      </c>
      <c r="O100" s="9">
        <f>IF(ISNUMBER(O$3),O$2*MAX(0,MIN(1,((YEAR($A100)-YEAR(O$3))*12+MONTH($A100)-MONTH(O$3)+1)/'Capacity by month'!$O$2)),0)</f>
        <v/>
      </c>
      <c r="P100" s="9">
        <f>IF(ISNUMBER(P$3),P$2*MAX(0,MIN(1,((YEAR($A100)-YEAR(P$3))*12+MONTH($A100)-MONTH(P$3)+1)/'Capacity by month'!$O$2)),0)</f>
        <v/>
      </c>
      <c r="Q100" s="9">
        <f>IF(ISNUMBER(Q$3),Q$2*MAX(0,MIN(1,((YEAR($A100)-YEAR(Q$3))*12+MONTH($A100)-MONTH(Q$3)+1)/'Capacity by month'!$O$2)),0)</f>
        <v/>
      </c>
      <c r="R100" s="9">
        <f>IF(ISNUMBER(R$3),R$2*MAX(0,MIN(1,((YEAR($A100)-YEAR(R$3))*12+MONTH($A100)-MONTH(R$3)+1)/'Capacity by month'!$O$2)),0)</f>
        <v/>
      </c>
      <c r="S100" s="9">
        <f>IF(ISNUMBER(S$3),S$2*MAX(0,MIN(1,((YEAR($A100)-YEAR(S$3))*12+MONTH($A100)-MONTH(S$3)+1)/'Capacity by month'!$O$2)),0)</f>
        <v/>
      </c>
      <c r="T100" s="9">
        <f>IF(ISNUMBER(T$3),T$2*MAX(0,MIN(1,((YEAR($A100)-YEAR(T$3))*12+MONTH($A100)-MONTH(T$3)+1)/'Capacity by month'!$O$2)),0)</f>
        <v/>
      </c>
      <c r="U100" s="9">
        <f>IF(ISNUMBER(U$3),U$2*MAX(0,MIN(1,((YEAR($A100)-YEAR(U$3))*12+MONTH($A100)-MONTH(U$3)+1)/'Capacity by month'!$O$2)),0)</f>
        <v/>
      </c>
      <c r="V100" s="9">
        <f>IF(ISNUMBER(V$3),V$2*MAX(0,MIN(1,((YEAR($A100)-YEAR(V$3))*12+MONTH($A100)-MONTH(V$3)+1)/'Capacity by month'!$O$2)),0)</f>
        <v/>
      </c>
      <c r="W100" s="9">
        <f>IF(ISNUMBER(W$3),W$2*MAX(0,MIN(1,((YEAR($A100)-YEAR(W$3))*12+MONTH($A100)-MONTH(W$3)+1)/'Capacity by month'!$O$2)),0)</f>
        <v/>
      </c>
      <c r="X100" s="9">
        <f>IF(ISNUMBER(X$3),X$2*MAX(0,MIN(1,((YEAR($A100)-YEAR(X$3))*12+MONTH($A100)-MONTH(X$3)+1)/'Capacity by month'!$O$2)),0)</f>
        <v/>
      </c>
      <c r="Y100" s="9">
        <f>IF(ISNUMBER(Y$3),Y$2*MAX(0,MIN(1,((YEAR($A100)-YEAR(Y$3))*12+MONTH($A100)-MONTH(Y$3)+1)/'Capacity by month'!$O$2)),0)</f>
        <v/>
      </c>
      <c r="Z100" s="9">
        <f>IF(ISNUMBER(Z$3),Z$2*MAX(0,MIN(1,((YEAR($A100)-YEAR(Z$3))*12+MONTH($A100)-MONTH(Z$3)+1)/'Capacity by month'!$O$2)),0)</f>
        <v/>
      </c>
      <c r="AA100">
        <f>SUM(B100:Z100)</f>
        <v/>
      </c>
      <c r="AB100" t="n">
        <v>0</v>
      </c>
    </row>
    <row r="101">
      <c r="A101" s="8" t="n">
        <v>47150</v>
      </c>
      <c r="B101" s="9">
        <f>IF(ISNUMBER(B$3),B$2*MAX(0,MIN(1,((YEAR($A101)-YEAR(B$3))*12+MONTH($A101)-MONTH(B$3)+1)/'Capacity by month'!$O$2)),0)</f>
        <v/>
      </c>
      <c r="C101" s="9">
        <f>IF(ISNUMBER(C$3),C$2*MAX(0,MIN(1,((YEAR($A101)-YEAR(C$3))*12+MONTH($A101)-MONTH(C$3)+1)/'Capacity by month'!$O$2)),0)</f>
        <v/>
      </c>
      <c r="D101" s="9">
        <f>IF(ISNUMBER(D$3),D$2*MAX(0,MIN(1,((YEAR($A101)-YEAR(D$3))*12+MONTH($A101)-MONTH(D$3)+1)/'Capacity by month'!$O$2)),0)</f>
        <v/>
      </c>
      <c r="E101" s="9">
        <f>IF(ISNUMBER(E$3),E$2*MAX(0,MIN(1,((YEAR($A101)-YEAR(E$3))*12+MONTH($A101)-MONTH(E$3)+1)/'Capacity by month'!$O$2)),0)</f>
        <v/>
      </c>
      <c r="F101" s="9">
        <f>IF(ISNUMBER(F$3),F$2*MAX(0,MIN(1,((YEAR($A101)-YEAR(F$3))*12+MONTH($A101)-MONTH(F$3)+1)/'Capacity by month'!$O$2)),0)</f>
        <v/>
      </c>
      <c r="G101" s="9">
        <f>IF(ISNUMBER(G$3),G$2*MAX(0,MIN(1,((YEAR($A101)-YEAR(G$3))*12+MONTH($A101)-MONTH(G$3)+1)/'Capacity by month'!$O$2)),0)</f>
        <v/>
      </c>
      <c r="H101" s="9">
        <f>IF(ISNUMBER(H$3),H$2*MAX(0,MIN(1,((YEAR($A101)-YEAR(H$3))*12+MONTH($A101)-MONTH(H$3)+1)/'Capacity by month'!$O$2)),0)</f>
        <v/>
      </c>
      <c r="I101" s="9">
        <f>IF(ISNUMBER(I$3),I$2*MAX(0,MIN(1,((YEAR($A101)-YEAR(I$3))*12+MONTH($A101)-MONTH(I$3)+1)/'Capacity by month'!$O$2)),0)</f>
        <v/>
      </c>
      <c r="J101" s="9">
        <f>IF(ISNUMBER(J$3),J$2*MAX(0,MIN(1,((YEAR($A101)-YEAR(J$3))*12+MONTH($A101)-MONTH(J$3)+1)/'Capacity by month'!$O$2)),0)</f>
        <v/>
      </c>
      <c r="K101" s="9">
        <f>IF(ISNUMBER(K$3),K$2*MAX(0,MIN(1,((YEAR($A101)-YEAR(K$3))*12+MONTH($A101)-MONTH(K$3)+1)/'Capacity by month'!$O$2)),0)</f>
        <v/>
      </c>
      <c r="L101" s="9">
        <f>IF(ISNUMBER(L$3),L$2*MAX(0,MIN(1,((YEAR($A101)-YEAR(L$3))*12+MONTH($A101)-MONTH(L$3)+1)/'Capacity by month'!$O$2)),0)</f>
        <v/>
      </c>
      <c r="M101" s="9">
        <f>IF(ISNUMBER(M$3),M$2*MAX(0,MIN(1,((YEAR($A101)-YEAR(M$3))*12+MONTH($A101)-MONTH(M$3)+1)/'Capacity by month'!$O$2)),0)</f>
        <v/>
      </c>
      <c r="N101" s="9">
        <f>IF(ISNUMBER(N$3),N$2*MAX(0,MIN(1,((YEAR($A101)-YEAR(N$3))*12+MONTH($A101)-MONTH(N$3)+1)/'Capacity by month'!$O$2)),0)</f>
        <v/>
      </c>
      <c r="O101" s="9">
        <f>IF(ISNUMBER(O$3),O$2*MAX(0,MIN(1,((YEAR($A101)-YEAR(O$3))*12+MONTH($A101)-MONTH(O$3)+1)/'Capacity by month'!$O$2)),0)</f>
        <v/>
      </c>
      <c r="P101" s="9">
        <f>IF(ISNUMBER(P$3),P$2*MAX(0,MIN(1,((YEAR($A101)-YEAR(P$3))*12+MONTH($A101)-MONTH(P$3)+1)/'Capacity by month'!$O$2)),0)</f>
        <v/>
      </c>
      <c r="Q101" s="9">
        <f>IF(ISNUMBER(Q$3),Q$2*MAX(0,MIN(1,((YEAR($A101)-YEAR(Q$3))*12+MONTH($A101)-MONTH(Q$3)+1)/'Capacity by month'!$O$2)),0)</f>
        <v/>
      </c>
      <c r="R101" s="9">
        <f>IF(ISNUMBER(R$3),R$2*MAX(0,MIN(1,((YEAR($A101)-YEAR(R$3))*12+MONTH($A101)-MONTH(R$3)+1)/'Capacity by month'!$O$2)),0)</f>
        <v/>
      </c>
      <c r="S101" s="9">
        <f>IF(ISNUMBER(S$3),S$2*MAX(0,MIN(1,((YEAR($A101)-YEAR(S$3))*12+MONTH($A101)-MONTH(S$3)+1)/'Capacity by month'!$O$2)),0)</f>
        <v/>
      </c>
      <c r="T101" s="9">
        <f>IF(ISNUMBER(T$3),T$2*MAX(0,MIN(1,((YEAR($A101)-YEAR(T$3))*12+MONTH($A101)-MONTH(T$3)+1)/'Capacity by month'!$O$2)),0)</f>
        <v/>
      </c>
      <c r="U101" s="9">
        <f>IF(ISNUMBER(U$3),U$2*MAX(0,MIN(1,((YEAR($A101)-YEAR(U$3))*12+MONTH($A101)-MONTH(U$3)+1)/'Capacity by month'!$O$2)),0)</f>
        <v/>
      </c>
      <c r="V101" s="9">
        <f>IF(ISNUMBER(V$3),V$2*MAX(0,MIN(1,((YEAR($A101)-YEAR(V$3))*12+MONTH($A101)-MONTH(V$3)+1)/'Capacity by month'!$O$2)),0)</f>
        <v/>
      </c>
      <c r="W101" s="9">
        <f>IF(ISNUMBER(W$3),W$2*MAX(0,MIN(1,((YEAR($A101)-YEAR(W$3))*12+MONTH($A101)-MONTH(W$3)+1)/'Capacity by month'!$O$2)),0)</f>
        <v/>
      </c>
      <c r="X101" s="9">
        <f>IF(ISNUMBER(X$3),X$2*MAX(0,MIN(1,((YEAR($A101)-YEAR(X$3))*12+MONTH($A101)-MONTH(X$3)+1)/'Capacity by month'!$O$2)),0)</f>
        <v/>
      </c>
      <c r="Y101" s="9">
        <f>IF(ISNUMBER(Y$3),Y$2*MAX(0,MIN(1,((YEAR($A101)-YEAR(Y$3))*12+MONTH($A101)-MONTH(Y$3)+1)/'Capacity by month'!$O$2)),0)</f>
        <v/>
      </c>
      <c r="Z101" s="9">
        <f>IF(ISNUMBER(Z$3),Z$2*MAX(0,MIN(1,((YEAR($A101)-YEAR(Z$3))*12+MONTH($A101)-MONTH(Z$3)+1)/'Capacity by month'!$O$2)),0)</f>
        <v/>
      </c>
      <c r="AA101">
        <f>SUM(B101:Z101)</f>
        <v/>
      </c>
      <c r="AB101" t="n">
        <v>0</v>
      </c>
    </row>
    <row r="102">
      <c r="A102" s="8" t="n">
        <v>47178</v>
      </c>
      <c r="B102" s="9">
        <f>IF(ISNUMBER(B$3),B$2*MAX(0,MIN(1,((YEAR($A102)-YEAR(B$3))*12+MONTH($A102)-MONTH(B$3)+1)/'Capacity by month'!$O$2)),0)</f>
        <v/>
      </c>
      <c r="C102" s="9">
        <f>IF(ISNUMBER(C$3),C$2*MAX(0,MIN(1,((YEAR($A102)-YEAR(C$3))*12+MONTH($A102)-MONTH(C$3)+1)/'Capacity by month'!$O$2)),0)</f>
        <v/>
      </c>
      <c r="D102" s="9">
        <f>IF(ISNUMBER(D$3),D$2*MAX(0,MIN(1,((YEAR($A102)-YEAR(D$3))*12+MONTH($A102)-MONTH(D$3)+1)/'Capacity by month'!$O$2)),0)</f>
        <v/>
      </c>
      <c r="E102" s="9">
        <f>IF(ISNUMBER(E$3),E$2*MAX(0,MIN(1,((YEAR($A102)-YEAR(E$3))*12+MONTH($A102)-MONTH(E$3)+1)/'Capacity by month'!$O$2)),0)</f>
        <v/>
      </c>
      <c r="F102" s="9">
        <f>IF(ISNUMBER(F$3),F$2*MAX(0,MIN(1,((YEAR($A102)-YEAR(F$3))*12+MONTH($A102)-MONTH(F$3)+1)/'Capacity by month'!$O$2)),0)</f>
        <v/>
      </c>
      <c r="G102" s="9">
        <f>IF(ISNUMBER(G$3),G$2*MAX(0,MIN(1,((YEAR($A102)-YEAR(G$3))*12+MONTH($A102)-MONTH(G$3)+1)/'Capacity by month'!$O$2)),0)</f>
        <v/>
      </c>
      <c r="H102" s="9">
        <f>IF(ISNUMBER(H$3),H$2*MAX(0,MIN(1,((YEAR($A102)-YEAR(H$3))*12+MONTH($A102)-MONTH(H$3)+1)/'Capacity by month'!$O$2)),0)</f>
        <v/>
      </c>
      <c r="I102" s="9">
        <f>IF(ISNUMBER(I$3),I$2*MAX(0,MIN(1,((YEAR($A102)-YEAR(I$3))*12+MONTH($A102)-MONTH(I$3)+1)/'Capacity by month'!$O$2)),0)</f>
        <v/>
      </c>
      <c r="J102" s="9">
        <f>IF(ISNUMBER(J$3),J$2*MAX(0,MIN(1,((YEAR($A102)-YEAR(J$3))*12+MONTH($A102)-MONTH(J$3)+1)/'Capacity by month'!$O$2)),0)</f>
        <v/>
      </c>
      <c r="K102" s="9">
        <f>IF(ISNUMBER(K$3),K$2*MAX(0,MIN(1,((YEAR($A102)-YEAR(K$3))*12+MONTH($A102)-MONTH(K$3)+1)/'Capacity by month'!$O$2)),0)</f>
        <v/>
      </c>
      <c r="L102" s="9">
        <f>IF(ISNUMBER(L$3),L$2*MAX(0,MIN(1,((YEAR($A102)-YEAR(L$3))*12+MONTH($A102)-MONTH(L$3)+1)/'Capacity by month'!$O$2)),0)</f>
        <v/>
      </c>
      <c r="M102" s="9">
        <f>IF(ISNUMBER(M$3),M$2*MAX(0,MIN(1,((YEAR($A102)-YEAR(M$3))*12+MONTH($A102)-MONTH(M$3)+1)/'Capacity by month'!$O$2)),0)</f>
        <v/>
      </c>
      <c r="N102" s="9">
        <f>IF(ISNUMBER(N$3),N$2*MAX(0,MIN(1,((YEAR($A102)-YEAR(N$3))*12+MONTH($A102)-MONTH(N$3)+1)/'Capacity by month'!$O$2)),0)</f>
        <v/>
      </c>
      <c r="O102" s="9">
        <f>IF(ISNUMBER(O$3),O$2*MAX(0,MIN(1,((YEAR($A102)-YEAR(O$3))*12+MONTH($A102)-MONTH(O$3)+1)/'Capacity by month'!$O$2)),0)</f>
        <v/>
      </c>
      <c r="P102" s="9">
        <f>IF(ISNUMBER(P$3),P$2*MAX(0,MIN(1,((YEAR($A102)-YEAR(P$3))*12+MONTH($A102)-MONTH(P$3)+1)/'Capacity by month'!$O$2)),0)</f>
        <v/>
      </c>
      <c r="Q102" s="9">
        <f>IF(ISNUMBER(Q$3),Q$2*MAX(0,MIN(1,((YEAR($A102)-YEAR(Q$3))*12+MONTH($A102)-MONTH(Q$3)+1)/'Capacity by month'!$O$2)),0)</f>
        <v/>
      </c>
      <c r="R102" s="9">
        <f>IF(ISNUMBER(R$3),R$2*MAX(0,MIN(1,((YEAR($A102)-YEAR(R$3))*12+MONTH($A102)-MONTH(R$3)+1)/'Capacity by month'!$O$2)),0)</f>
        <v/>
      </c>
      <c r="S102" s="9">
        <f>IF(ISNUMBER(S$3),S$2*MAX(0,MIN(1,((YEAR($A102)-YEAR(S$3))*12+MONTH($A102)-MONTH(S$3)+1)/'Capacity by month'!$O$2)),0)</f>
        <v/>
      </c>
      <c r="T102" s="9">
        <f>IF(ISNUMBER(T$3),T$2*MAX(0,MIN(1,((YEAR($A102)-YEAR(T$3))*12+MONTH($A102)-MONTH(T$3)+1)/'Capacity by month'!$O$2)),0)</f>
        <v/>
      </c>
      <c r="U102" s="9">
        <f>IF(ISNUMBER(U$3),U$2*MAX(0,MIN(1,((YEAR($A102)-YEAR(U$3))*12+MONTH($A102)-MONTH(U$3)+1)/'Capacity by month'!$O$2)),0)</f>
        <v/>
      </c>
      <c r="V102" s="9">
        <f>IF(ISNUMBER(V$3),V$2*MAX(0,MIN(1,((YEAR($A102)-YEAR(V$3))*12+MONTH($A102)-MONTH(V$3)+1)/'Capacity by month'!$O$2)),0)</f>
        <v/>
      </c>
      <c r="W102" s="9">
        <f>IF(ISNUMBER(W$3),W$2*MAX(0,MIN(1,((YEAR($A102)-YEAR(W$3))*12+MONTH($A102)-MONTH(W$3)+1)/'Capacity by month'!$O$2)),0)</f>
        <v/>
      </c>
      <c r="X102" s="9">
        <f>IF(ISNUMBER(X$3),X$2*MAX(0,MIN(1,((YEAR($A102)-YEAR(X$3))*12+MONTH($A102)-MONTH(X$3)+1)/'Capacity by month'!$O$2)),0)</f>
        <v/>
      </c>
      <c r="Y102" s="9">
        <f>IF(ISNUMBER(Y$3),Y$2*MAX(0,MIN(1,((YEAR($A102)-YEAR(Y$3))*12+MONTH($A102)-MONTH(Y$3)+1)/'Capacity by month'!$O$2)),0)</f>
        <v/>
      </c>
      <c r="Z102" s="9">
        <f>IF(ISNUMBER(Z$3),Z$2*MAX(0,MIN(1,((YEAR($A102)-YEAR(Z$3))*12+MONTH($A102)-MONTH(Z$3)+1)/'Capacity by month'!$O$2)),0)</f>
        <v/>
      </c>
      <c r="AA102">
        <f>SUM(B102:Z102)</f>
        <v/>
      </c>
      <c r="AB102" t="n">
        <v>0</v>
      </c>
    </row>
    <row r="103">
      <c r="A103" s="8" t="n">
        <v>47209</v>
      </c>
      <c r="B103" s="9">
        <f>IF(ISNUMBER(B$3),B$2*MAX(0,MIN(1,((YEAR($A103)-YEAR(B$3))*12+MONTH($A103)-MONTH(B$3)+1)/'Capacity by month'!$O$2)),0)</f>
        <v/>
      </c>
      <c r="C103" s="9">
        <f>IF(ISNUMBER(C$3),C$2*MAX(0,MIN(1,((YEAR($A103)-YEAR(C$3))*12+MONTH($A103)-MONTH(C$3)+1)/'Capacity by month'!$O$2)),0)</f>
        <v/>
      </c>
      <c r="D103" s="9">
        <f>IF(ISNUMBER(D$3),D$2*MAX(0,MIN(1,((YEAR($A103)-YEAR(D$3))*12+MONTH($A103)-MONTH(D$3)+1)/'Capacity by month'!$O$2)),0)</f>
        <v/>
      </c>
      <c r="E103" s="9">
        <f>IF(ISNUMBER(E$3),E$2*MAX(0,MIN(1,((YEAR($A103)-YEAR(E$3))*12+MONTH($A103)-MONTH(E$3)+1)/'Capacity by month'!$O$2)),0)</f>
        <v/>
      </c>
      <c r="F103" s="9">
        <f>IF(ISNUMBER(F$3),F$2*MAX(0,MIN(1,((YEAR($A103)-YEAR(F$3))*12+MONTH($A103)-MONTH(F$3)+1)/'Capacity by month'!$O$2)),0)</f>
        <v/>
      </c>
      <c r="G103" s="9">
        <f>IF(ISNUMBER(G$3),G$2*MAX(0,MIN(1,((YEAR($A103)-YEAR(G$3))*12+MONTH($A103)-MONTH(G$3)+1)/'Capacity by month'!$O$2)),0)</f>
        <v/>
      </c>
      <c r="H103" s="9">
        <f>IF(ISNUMBER(H$3),H$2*MAX(0,MIN(1,((YEAR($A103)-YEAR(H$3))*12+MONTH($A103)-MONTH(H$3)+1)/'Capacity by month'!$O$2)),0)</f>
        <v/>
      </c>
      <c r="I103" s="9">
        <f>IF(ISNUMBER(I$3),I$2*MAX(0,MIN(1,((YEAR($A103)-YEAR(I$3))*12+MONTH($A103)-MONTH(I$3)+1)/'Capacity by month'!$O$2)),0)</f>
        <v/>
      </c>
      <c r="J103" s="9">
        <f>IF(ISNUMBER(J$3),J$2*MAX(0,MIN(1,((YEAR($A103)-YEAR(J$3))*12+MONTH($A103)-MONTH(J$3)+1)/'Capacity by month'!$O$2)),0)</f>
        <v/>
      </c>
      <c r="K103" s="9">
        <f>IF(ISNUMBER(K$3),K$2*MAX(0,MIN(1,((YEAR($A103)-YEAR(K$3))*12+MONTH($A103)-MONTH(K$3)+1)/'Capacity by month'!$O$2)),0)</f>
        <v/>
      </c>
      <c r="L103" s="9">
        <f>IF(ISNUMBER(L$3),L$2*MAX(0,MIN(1,((YEAR($A103)-YEAR(L$3))*12+MONTH($A103)-MONTH(L$3)+1)/'Capacity by month'!$O$2)),0)</f>
        <v/>
      </c>
      <c r="M103" s="9">
        <f>IF(ISNUMBER(M$3),M$2*MAX(0,MIN(1,((YEAR($A103)-YEAR(M$3))*12+MONTH($A103)-MONTH(M$3)+1)/'Capacity by month'!$O$2)),0)</f>
        <v/>
      </c>
      <c r="N103" s="9">
        <f>IF(ISNUMBER(N$3),N$2*MAX(0,MIN(1,((YEAR($A103)-YEAR(N$3))*12+MONTH($A103)-MONTH(N$3)+1)/'Capacity by month'!$O$2)),0)</f>
        <v/>
      </c>
      <c r="O103" s="9">
        <f>IF(ISNUMBER(O$3),O$2*MAX(0,MIN(1,((YEAR($A103)-YEAR(O$3))*12+MONTH($A103)-MONTH(O$3)+1)/'Capacity by month'!$O$2)),0)</f>
        <v/>
      </c>
      <c r="P103" s="9">
        <f>IF(ISNUMBER(P$3),P$2*MAX(0,MIN(1,((YEAR($A103)-YEAR(P$3))*12+MONTH($A103)-MONTH(P$3)+1)/'Capacity by month'!$O$2)),0)</f>
        <v/>
      </c>
      <c r="Q103" s="9">
        <f>IF(ISNUMBER(Q$3),Q$2*MAX(0,MIN(1,((YEAR($A103)-YEAR(Q$3))*12+MONTH($A103)-MONTH(Q$3)+1)/'Capacity by month'!$O$2)),0)</f>
        <v/>
      </c>
      <c r="R103" s="9">
        <f>IF(ISNUMBER(R$3),R$2*MAX(0,MIN(1,((YEAR($A103)-YEAR(R$3))*12+MONTH($A103)-MONTH(R$3)+1)/'Capacity by month'!$O$2)),0)</f>
        <v/>
      </c>
      <c r="S103" s="9">
        <f>IF(ISNUMBER(S$3),S$2*MAX(0,MIN(1,((YEAR($A103)-YEAR(S$3))*12+MONTH($A103)-MONTH(S$3)+1)/'Capacity by month'!$O$2)),0)</f>
        <v/>
      </c>
      <c r="T103" s="9">
        <f>IF(ISNUMBER(T$3),T$2*MAX(0,MIN(1,((YEAR($A103)-YEAR(T$3))*12+MONTH($A103)-MONTH(T$3)+1)/'Capacity by month'!$O$2)),0)</f>
        <v/>
      </c>
      <c r="U103" s="9">
        <f>IF(ISNUMBER(U$3),U$2*MAX(0,MIN(1,((YEAR($A103)-YEAR(U$3))*12+MONTH($A103)-MONTH(U$3)+1)/'Capacity by month'!$O$2)),0)</f>
        <v/>
      </c>
      <c r="V103" s="9">
        <f>IF(ISNUMBER(V$3),V$2*MAX(0,MIN(1,((YEAR($A103)-YEAR(V$3))*12+MONTH($A103)-MONTH(V$3)+1)/'Capacity by month'!$O$2)),0)</f>
        <v/>
      </c>
      <c r="W103" s="9">
        <f>IF(ISNUMBER(W$3),W$2*MAX(0,MIN(1,((YEAR($A103)-YEAR(W$3))*12+MONTH($A103)-MONTH(W$3)+1)/'Capacity by month'!$O$2)),0)</f>
        <v/>
      </c>
      <c r="X103" s="9">
        <f>IF(ISNUMBER(X$3),X$2*MAX(0,MIN(1,((YEAR($A103)-YEAR(X$3))*12+MONTH($A103)-MONTH(X$3)+1)/'Capacity by month'!$O$2)),0)</f>
        <v/>
      </c>
      <c r="Y103" s="9">
        <f>IF(ISNUMBER(Y$3),Y$2*MAX(0,MIN(1,((YEAR($A103)-YEAR(Y$3))*12+MONTH($A103)-MONTH(Y$3)+1)/'Capacity by month'!$O$2)),0)</f>
        <v/>
      </c>
      <c r="Z103" s="9">
        <f>IF(ISNUMBER(Z$3),Z$2*MAX(0,MIN(1,((YEAR($A103)-YEAR(Z$3))*12+MONTH($A103)-MONTH(Z$3)+1)/'Capacity by month'!$O$2)),0)</f>
        <v/>
      </c>
      <c r="AA103">
        <f>SUM(B103:Z103)</f>
        <v/>
      </c>
      <c r="AB103" t="n">
        <v>0</v>
      </c>
    </row>
    <row r="104">
      <c r="A104" s="8" t="n">
        <v>47239</v>
      </c>
      <c r="B104" s="9">
        <f>IF(ISNUMBER(B$3),B$2*MAX(0,MIN(1,((YEAR($A104)-YEAR(B$3))*12+MONTH($A104)-MONTH(B$3)+1)/'Capacity by month'!$O$2)),0)</f>
        <v/>
      </c>
      <c r="C104" s="9">
        <f>IF(ISNUMBER(C$3),C$2*MAX(0,MIN(1,((YEAR($A104)-YEAR(C$3))*12+MONTH($A104)-MONTH(C$3)+1)/'Capacity by month'!$O$2)),0)</f>
        <v/>
      </c>
      <c r="D104" s="9">
        <f>IF(ISNUMBER(D$3),D$2*MAX(0,MIN(1,((YEAR($A104)-YEAR(D$3))*12+MONTH($A104)-MONTH(D$3)+1)/'Capacity by month'!$O$2)),0)</f>
        <v/>
      </c>
      <c r="E104" s="9">
        <f>IF(ISNUMBER(E$3),E$2*MAX(0,MIN(1,((YEAR($A104)-YEAR(E$3))*12+MONTH($A104)-MONTH(E$3)+1)/'Capacity by month'!$O$2)),0)</f>
        <v/>
      </c>
      <c r="F104" s="9">
        <f>IF(ISNUMBER(F$3),F$2*MAX(0,MIN(1,((YEAR($A104)-YEAR(F$3))*12+MONTH($A104)-MONTH(F$3)+1)/'Capacity by month'!$O$2)),0)</f>
        <v/>
      </c>
      <c r="G104" s="9">
        <f>IF(ISNUMBER(G$3),G$2*MAX(0,MIN(1,((YEAR($A104)-YEAR(G$3))*12+MONTH($A104)-MONTH(G$3)+1)/'Capacity by month'!$O$2)),0)</f>
        <v/>
      </c>
      <c r="H104" s="9">
        <f>IF(ISNUMBER(H$3),H$2*MAX(0,MIN(1,((YEAR($A104)-YEAR(H$3))*12+MONTH($A104)-MONTH(H$3)+1)/'Capacity by month'!$O$2)),0)</f>
        <v/>
      </c>
      <c r="I104" s="9">
        <f>IF(ISNUMBER(I$3),I$2*MAX(0,MIN(1,((YEAR($A104)-YEAR(I$3))*12+MONTH($A104)-MONTH(I$3)+1)/'Capacity by month'!$O$2)),0)</f>
        <v/>
      </c>
      <c r="J104" s="9">
        <f>IF(ISNUMBER(J$3),J$2*MAX(0,MIN(1,((YEAR($A104)-YEAR(J$3))*12+MONTH($A104)-MONTH(J$3)+1)/'Capacity by month'!$O$2)),0)</f>
        <v/>
      </c>
      <c r="K104" s="9">
        <f>IF(ISNUMBER(K$3),K$2*MAX(0,MIN(1,((YEAR($A104)-YEAR(K$3))*12+MONTH($A104)-MONTH(K$3)+1)/'Capacity by month'!$O$2)),0)</f>
        <v/>
      </c>
      <c r="L104" s="9">
        <f>IF(ISNUMBER(L$3),L$2*MAX(0,MIN(1,((YEAR($A104)-YEAR(L$3))*12+MONTH($A104)-MONTH(L$3)+1)/'Capacity by month'!$O$2)),0)</f>
        <v/>
      </c>
      <c r="M104" s="9">
        <f>IF(ISNUMBER(M$3),M$2*MAX(0,MIN(1,((YEAR($A104)-YEAR(M$3))*12+MONTH($A104)-MONTH(M$3)+1)/'Capacity by month'!$O$2)),0)</f>
        <v/>
      </c>
      <c r="N104" s="9">
        <f>IF(ISNUMBER(N$3),N$2*MAX(0,MIN(1,((YEAR($A104)-YEAR(N$3))*12+MONTH($A104)-MONTH(N$3)+1)/'Capacity by month'!$O$2)),0)</f>
        <v/>
      </c>
      <c r="O104" s="9">
        <f>IF(ISNUMBER(O$3),O$2*MAX(0,MIN(1,((YEAR($A104)-YEAR(O$3))*12+MONTH($A104)-MONTH(O$3)+1)/'Capacity by month'!$O$2)),0)</f>
        <v/>
      </c>
      <c r="P104" s="9">
        <f>IF(ISNUMBER(P$3),P$2*MAX(0,MIN(1,((YEAR($A104)-YEAR(P$3))*12+MONTH($A104)-MONTH(P$3)+1)/'Capacity by month'!$O$2)),0)</f>
        <v/>
      </c>
      <c r="Q104" s="9">
        <f>IF(ISNUMBER(Q$3),Q$2*MAX(0,MIN(1,((YEAR($A104)-YEAR(Q$3))*12+MONTH($A104)-MONTH(Q$3)+1)/'Capacity by month'!$O$2)),0)</f>
        <v/>
      </c>
      <c r="R104" s="9">
        <f>IF(ISNUMBER(R$3),R$2*MAX(0,MIN(1,((YEAR($A104)-YEAR(R$3))*12+MONTH($A104)-MONTH(R$3)+1)/'Capacity by month'!$O$2)),0)</f>
        <v/>
      </c>
      <c r="S104" s="9">
        <f>IF(ISNUMBER(S$3),S$2*MAX(0,MIN(1,((YEAR($A104)-YEAR(S$3))*12+MONTH($A104)-MONTH(S$3)+1)/'Capacity by month'!$O$2)),0)</f>
        <v/>
      </c>
      <c r="T104" s="9">
        <f>IF(ISNUMBER(T$3),T$2*MAX(0,MIN(1,((YEAR($A104)-YEAR(T$3))*12+MONTH($A104)-MONTH(T$3)+1)/'Capacity by month'!$O$2)),0)</f>
        <v/>
      </c>
      <c r="U104" s="9">
        <f>IF(ISNUMBER(U$3),U$2*MAX(0,MIN(1,((YEAR($A104)-YEAR(U$3))*12+MONTH($A104)-MONTH(U$3)+1)/'Capacity by month'!$O$2)),0)</f>
        <v/>
      </c>
      <c r="V104" s="9">
        <f>IF(ISNUMBER(V$3),V$2*MAX(0,MIN(1,((YEAR($A104)-YEAR(V$3))*12+MONTH($A104)-MONTH(V$3)+1)/'Capacity by month'!$O$2)),0)</f>
        <v/>
      </c>
      <c r="W104" s="9">
        <f>IF(ISNUMBER(W$3),W$2*MAX(0,MIN(1,((YEAR($A104)-YEAR(W$3))*12+MONTH($A104)-MONTH(W$3)+1)/'Capacity by month'!$O$2)),0)</f>
        <v/>
      </c>
      <c r="X104" s="9">
        <f>IF(ISNUMBER(X$3),X$2*MAX(0,MIN(1,((YEAR($A104)-YEAR(X$3))*12+MONTH($A104)-MONTH(X$3)+1)/'Capacity by month'!$O$2)),0)</f>
        <v/>
      </c>
      <c r="Y104" s="9">
        <f>IF(ISNUMBER(Y$3),Y$2*MAX(0,MIN(1,((YEAR($A104)-YEAR(Y$3))*12+MONTH($A104)-MONTH(Y$3)+1)/'Capacity by month'!$O$2)),0)</f>
        <v/>
      </c>
      <c r="Z104" s="9">
        <f>IF(ISNUMBER(Z$3),Z$2*MAX(0,MIN(1,((YEAR($A104)-YEAR(Z$3))*12+MONTH($A104)-MONTH(Z$3)+1)/'Capacity by month'!$O$2)),0)</f>
        <v/>
      </c>
      <c r="AA104">
        <f>SUM(B104:Z104)</f>
        <v/>
      </c>
      <c r="AB104" t="n">
        <v>0</v>
      </c>
    </row>
    <row r="105">
      <c r="A105" s="8" t="n">
        <v>47270</v>
      </c>
      <c r="B105" s="9">
        <f>IF(ISNUMBER(B$3),B$2*MAX(0,MIN(1,((YEAR($A105)-YEAR(B$3))*12+MONTH($A105)-MONTH(B$3)+1)/'Capacity by month'!$O$2)),0)</f>
        <v/>
      </c>
      <c r="C105" s="9">
        <f>IF(ISNUMBER(C$3),C$2*MAX(0,MIN(1,((YEAR($A105)-YEAR(C$3))*12+MONTH($A105)-MONTH(C$3)+1)/'Capacity by month'!$O$2)),0)</f>
        <v/>
      </c>
      <c r="D105" s="9">
        <f>IF(ISNUMBER(D$3),D$2*MAX(0,MIN(1,((YEAR($A105)-YEAR(D$3))*12+MONTH($A105)-MONTH(D$3)+1)/'Capacity by month'!$O$2)),0)</f>
        <v/>
      </c>
      <c r="E105" s="9">
        <f>IF(ISNUMBER(E$3),E$2*MAX(0,MIN(1,((YEAR($A105)-YEAR(E$3))*12+MONTH($A105)-MONTH(E$3)+1)/'Capacity by month'!$O$2)),0)</f>
        <v/>
      </c>
      <c r="F105" s="9">
        <f>IF(ISNUMBER(F$3),F$2*MAX(0,MIN(1,((YEAR($A105)-YEAR(F$3))*12+MONTH($A105)-MONTH(F$3)+1)/'Capacity by month'!$O$2)),0)</f>
        <v/>
      </c>
      <c r="G105" s="9">
        <f>IF(ISNUMBER(G$3),G$2*MAX(0,MIN(1,((YEAR($A105)-YEAR(G$3))*12+MONTH($A105)-MONTH(G$3)+1)/'Capacity by month'!$O$2)),0)</f>
        <v/>
      </c>
      <c r="H105" s="9">
        <f>IF(ISNUMBER(H$3),H$2*MAX(0,MIN(1,((YEAR($A105)-YEAR(H$3))*12+MONTH($A105)-MONTH(H$3)+1)/'Capacity by month'!$O$2)),0)</f>
        <v/>
      </c>
      <c r="I105" s="9">
        <f>IF(ISNUMBER(I$3),I$2*MAX(0,MIN(1,((YEAR($A105)-YEAR(I$3))*12+MONTH($A105)-MONTH(I$3)+1)/'Capacity by month'!$O$2)),0)</f>
        <v/>
      </c>
      <c r="J105" s="9">
        <f>IF(ISNUMBER(J$3),J$2*MAX(0,MIN(1,((YEAR($A105)-YEAR(J$3))*12+MONTH($A105)-MONTH(J$3)+1)/'Capacity by month'!$O$2)),0)</f>
        <v/>
      </c>
      <c r="K105" s="9">
        <f>IF(ISNUMBER(K$3),K$2*MAX(0,MIN(1,((YEAR($A105)-YEAR(K$3))*12+MONTH($A105)-MONTH(K$3)+1)/'Capacity by month'!$O$2)),0)</f>
        <v/>
      </c>
      <c r="L105" s="9">
        <f>IF(ISNUMBER(L$3),L$2*MAX(0,MIN(1,((YEAR($A105)-YEAR(L$3))*12+MONTH($A105)-MONTH(L$3)+1)/'Capacity by month'!$O$2)),0)</f>
        <v/>
      </c>
      <c r="M105" s="9">
        <f>IF(ISNUMBER(M$3),M$2*MAX(0,MIN(1,((YEAR($A105)-YEAR(M$3))*12+MONTH($A105)-MONTH(M$3)+1)/'Capacity by month'!$O$2)),0)</f>
        <v/>
      </c>
      <c r="N105" s="9">
        <f>IF(ISNUMBER(N$3),N$2*MAX(0,MIN(1,((YEAR($A105)-YEAR(N$3))*12+MONTH($A105)-MONTH(N$3)+1)/'Capacity by month'!$O$2)),0)</f>
        <v/>
      </c>
      <c r="O105" s="9">
        <f>IF(ISNUMBER(O$3),O$2*MAX(0,MIN(1,((YEAR($A105)-YEAR(O$3))*12+MONTH($A105)-MONTH(O$3)+1)/'Capacity by month'!$O$2)),0)</f>
        <v/>
      </c>
      <c r="P105" s="9">
        <f>IF(ISNUMBER(P$3),P$2*MAX(0,MIN(1,((YEAR($A105)-YEAR(P$3))*12+MONTH($A105)-MONTH(P$3)+1)/'Capacity by month'!$O$2)),0)</f>
        <v/>
      </c>
      <c r="Q105" s="9">
        <f>IF(ISNUMBER(Q$3),Q$2*MAX(0,MIN(1,((YEAR($A105)-YEAR(Q$3))*12+MONTH($A105)-MONTH(Q$3)+1)/'Capacity by month'!$O$2)),0)</f>
        <v/>
      </c>
      <c r="R105" s="9">
        <f>IF(ISNUMBER(R$3),R$2*MAX(0,MIN(1,((YEAR($A105)-YEAR(R$3))*12+MONTH($A105)-MONTH(R$3)+1)/'Capacity by month'!$O$2)),0)</f>
        <v/>
      </c>
      <c r="S105" s="9">
        <f>IF(ISNUMBER(S$3),S$2*MAX(0,MIN(1,((YEAR($A105)-YEAR(S$3))*12+MONTH($A105)-MONTH(S$3)+1)/'Capacity by month'!$O$2)),0)</f>
        <v/>
      </c>
      <c r="T105" s="9">
        <f>IF(ISNUMBER(T$3),T$2*MAX(0,MIN(1,((YEAR($A105)-YEAR(T$3))*12+MONTH($A105)-MONTH(T$3)+1)/'Capacity by month'!$O$2)),0)</f>
        <v/>
      </c>
      <c r="U105" s="9">
        <f>IF(ISNUMBER(U$3),U$2*MAX(0,MIN(1,((YEAR($A105)-YEAR(U$3))*12+MONTH($A105)-MONTH(U$3)+1)/'Capacity by month'!$O$2)),0)</f>
        <v/>
      </c>
      <c r="V105" s="9">
        <f>IF(ISNUMBER(V$3),V$2*MAX(0,MIN(1,((YEAR($A105)-YEAR(V$3))*12+MONTH($A105)-MONTH(V$3)+1)/'Capacity by month'!$O$2)),0)</f>
        <v/>
      </c>
      <c r="W105" s="9">
        <f>IF(ISNUMBER(W$3),W$2*MAX(0,MIN(1,((YEAR($A105)-YEAR(W$3))*12+MONTH($A105)-MONTH(W$3)+1)/'Capacity by month'!$O$2)),0)</f>
        <v/>
      </c>
      <c r="X105" s="9">
        <f>IF(ISNUMBER(X$3),X$2*MAX(0,MIN(1,((YEAR($A105)-YEAR(X$3))*12+MONTH($A105)-MONTH(X$3)+1)/'Capacity by month'!$O$2)),0)</f>
        <v/>
      </c>
      <c r="Y105" s="9">
        <f>IF(ISNUMBER(Y$3),Y$2*MAX(0,MIN(1,((YEAR($A105)-YEAR(Y$3))*12+MONTH($A105)-MONTH(Y$3)+1)/'Capacity by month'!$O$2)),0)</f>
        <v/>
      </c>
      <c r="Z105" s="9">
        <f>IF(ISNUMBER(Z$3),Z$2*MAX(0,MIN(1,((YEAR($A105)-YEAR(Z$3))*12+MONTH($A105)-MONTH(Z$3)+1)/'Capacity by month'!$O$2)),0)</f>
        <v/>
      </c>
      <c r="AA105">
        <f>SUM(B105:Z105)</f>
        <v/>
      </c>
      <c r="AB105" t="n">
        <v>0</v>
      </c>
    </row>
    <row r="106">
      <c r="A106" s="8" t="n">
        <v>47300</v>
      </c>
      <c r="B106" s="9">
        <f>IF(ISNUMBER(B$3),B$2*MAX(0,MIN(1,((YEAR($A106)-YEAR(B$3))*12+MONTH($A106)-MONTH(B$3)+1)/'Capacity by month'!$O$2)),0)</f>
        <v/>
      </c>
      <c r="C106" s="9">
        <f>IF(ISNUMBER(C$3),C$2*MAX(0,MIN(1,((YEAR($A106)-YEAR(C$3))*12+MONTH($A106)-MONTH(C$3)+1)/'Capacity by month'!$O$2)),0)</f>
        <v/>
      </c>
      <c r="D106" s="9">
        <f>IF(ISNUMBER(D$3),D$2*MAX(0,MIN(1,((YEAR($A106)-YEAR(D$3))*12+MONTH($A106)-MONTH(D$3)+1)/'Capacity by month'!$O$2)),0)</f>
        <v/>
      </c>
      <c r="E106" s="9">
        <f>IF(ISNUMBER(E$3),E$2*MAX(0,MIN(1,((YEAR($A106)-YEAR(E$3))*12+MONTH($A106)-MONTH(E$3)+1)/'Capacity by month'!$O$2)),0)</f>
        <v/>
      </c>
      <c r="F106" s="9">
        <f>IF(ISNUMBER(F$3),F$2*MAX(0,MIN(1,((YEAR($A106)-YEAR(F$3))*12+MONTH($A106)-MONTH(F$3)+1)/'Capacity by month'!$O$2)),0)</f>
        <v/>
      </c>
      <c r="G106" s="9">
        <f>IF(ISNUMBER(G$3),G$2*MAX(0,MIN(1,((YEAR($A106)-YEAR(G$3))*12+MONTH($A106)-MONTH(G$3)+1)/'Capacity by month'!$O$2)),0)</f>
        <v/>
      </c>
      <c r="H106" s="9">
        <f>IF(ISNUMBER(H$3),H$2*MAX(0,MIN(1,((YEAR($A106)-YEAR(H$3))*12+MONTH($A106)-MONTH(H$3)+1)/'Capacity by month'!$O$2)),0)</f>
        <v/>
      </c>
      <c r="I106" s="9">
        <f>IF(ISNUMBER(I$3),I$2*MAX(0,MIN(1,((YEAR($A106)-YEAR(I$3))*12+MONTH($A106)-MONTH(I$3)+1)/'Capacity by month'!$O$2)),0)</f>
        <v/>
      </c>
      <c r="J106" s="9">
        <f>IF(ISNUMBER(J$3),J$2*MAX(0,MIN(1,((YEAR($A106)-YEAR(J$3))*12+MONTH($A106)-MONTH(J$3)+1)/'Capacity by month'!$O$2)),0)</f>
        <v/>
      </c>
      <c r="K106" s="9">
        <f>IF(ISNUMBER(K$3),K$2*MAX(0,MIN(1,((YEAR($A106)-YEAR(K$3))*12+MONTH($A106)-MONTH(K$3)+1)/'Capacity by month'!$O$2)),0)</f>
        <v/>
      </c>
      <c r="L106" s="9">
        <f>IF(ISNUMBER(L$3),L$2*MAX(0,MIN(1,((YEAR($A106)-YEAR(L$3))*12+MONTH($A106)-MONTH(L$3)+1)/'Capacity by month'!$O$2)),0)</f>
        <v/>
      </c>
      <c r="M106" s="9">
        <f>IF(ISNUMBER(M$3),M$2*MAX(0,MIN(1,((YEAR($A106)-YEAR(M$3))*12+MONTH($A106)-MONTH(M$3)+1)/'Capacity by month'!$O$2)),0)</f>
        <v/>
      </c>
      <c r="N106" s="9">
        <f>IF(ISNUMBER(N$3),N$2*MAX(0,MIN(1,((YEAR($A106)-YEAR(N$3))*12+MONTH($A106)-MONTH(N$3)+1)/'Capacity by month'!$O$2)),0)</f>
        <v/>
      </c>
      <c r="O106" s="9">
        <f>IF(ISNUMBER(O$3),O$2*MAX(0,MIN(1,((YEAR($A106)-YEAR(O$3))*12+MONTH($A106)-MONTH(O$3)+1)/'Capacity by month'!$O$2)),0)</f>
        <v/>
      </c>
      <c r="P106" s="9">
        <f>IF(ISNUMBER(P$3),P$2*MAX(0,MIN(1,((YEAR($A106)-YEAR(P$3))*12+MONTH($A106)-MONTH(P$3)+1)/'Capacity by month'!$O$2)),0)</f>
        <v/>
      </c>
      <c r="Q106" s="9">
        <f>IF(ISNUMBER(Q$3),Q$2*MAX(0,MIN(1,((YEAR($A106)-YEAR(Q$3))*12+MONTH($A106)-MONTH(Q$3)+1)/'Capacity by month'!$O$2)),0)</f>
        <v/>
      </c>
      <c r="R106" s="9">
        <f>IF(ISNUMBER(R$3),R$2*MAX(0,MIN(1,((YEAR($A106)-YEAR(R$3))*12+MONTH($A106)-MONTH(R$3)+1)/'Capacity by month'!$O$2)),0)</f>
        <v/>
      </c>
      <c r="S106" s="9">
        <f>IF(ISNUMBER(S$3),S$2*MAX(0,MIN(1,((YEAR($A106)-YEAR(S$3))*12+MONTH($A106)-MONTH(S$3)+1)/'Capacity by month'!$O$2)),0)</f>
        <v/>
      </c>
      <c r="T106" s="9">
        <f>IF(ISNUMBER(T$3),T$2*MAX(0,MIN(1,((YEAR($A106)-YEAR(T$3))*12+MONTH($A106)-MONTH(T$3)+1)/'Capacity by month'!$O$2)),0)</f>
        <v/>
      </c>
      <c r="U106" s="9">
        <f>IF(ISNUMBER(U$3),U$2*MAX(0,MIN(1,((YEAR($A106)-YEAR(U$3))*12+MONTH($A106)-MONTH(U$3)+1)/'Capacity by month'!$O$2)),0)</f>
        <v/>
      </c>
      <c r="V106" s="9">
        <f>IF(ISNUMBER(V$3),V$2*MAX(0,MIN(1,((YEAR($A106)-YEAR(V$3))*12+MONTH($A106)-MONTH(V$3)+1)/'Capacity by month'!$O$2)),0)</f>
        <v/>
      </c>
      <c r="W106" s="9">
        <f>IF(ISNUMBER(W$3),W$2*MAX(0,MIN(1,((YEAR($A106)-YEAR(W$3))*12+MONTH($A106)-MONTH(W$3)+1)/'Capacity by month'!$O$2)),0)</f>
        <v/>
      </c>
      <c r="X106" s="9">
        <f>IF(ISNUMBER(X$3),X$2*MAX(0,MIN(1,((YEAR($A106)-YEAR(X$3))*12+MONTH($A106)-MONTH(X$3)+1)/'Capacity by month'!$O$2)),0)</f>
        <v/>
      </c>
      <c r="Y106" s="9">
        <f>IF(ISNUMBER(Y$3),Y$2*MAX(0,MIN(1,((YEAR($A106)-YEAR(Y$3))*12+MONTH($A106)-MONTH(Y$3)+1)/'Capacity by month'!$O$2)),0)</f>
        <v/>
      </c>
      <c r="Z106" s="9">
        <f>IF(ISNUMBER(Z$3),Z$2*MAX(0,MIN(1,((YEAR($A106)-YEAR(Z$3))*12+MONTH($A106)-MONTH(Z$3)+1)/'Capacity by month'!$O$2)),0)</f>
        <v/>
      </c>
      <c r="AA106">
        <f>SUM(B106:Z106)</f>
        <v/>
      </c>
      <c r="AB106" t="n">
        <v>0</v>
      </c>
    </row>
    <row r="107">
      <c r="A107" s="8" t="n">
        <v>47331</v>
      </c>
      <c r="B107" s="9">
        <f>IF(ISNUMBER(B$3),B$2*MAX(0,MIN(1,((YEAR($A107)-YEAR(B$3))*12+MONTH($A107)-MONTH(B$3)+1)/'Capacity by month'!$O$2)),0)</f>
        <v/>
      </c>
      <c r="C107" s="9">
        <f>IF(ISNUMBER(C$3),C$2*MAX(0,MIN(1,((YEAR($A107)-YEAR(C$3))*12+MONTH($A107)-MONTH(C$3)+1)/'Capacity by month'!$O$2)),0)</f>
        <v/>
      </c>
      <c r="D107" s="9">
        <f>IF(ISNUMBER(D$3),D$2*MAX(0,MIN(1,((YEAR($A107)-YEAR(D$3))*12+MONTH($A107)-MONTH(D$3)+1)/'Capacity by month'!$O$2)),0)</f>
        <v/>
      </c>
      <c r="E107" s="9">
        <f>IF(ISNUMBER(E$3),E$2*MAX(0,MIN(1,((YEAR($A107)-YEAR(E$3))*12+MONTH($A107)-MONTH(E$3)+1)/'Capacity by month'!$O$2)),0)</f>
        <v/>
      </c>
      <c r="F107" s="9">
        <f>IF(ISNUMBER(F$3),F$2*MAX(0,MIN(1,((YEAR($A107)-YEAR(F$3))*12+MONTH($A107)-MONTH(F$3)+1)/'Capacity by month'!$O$2)),0)</f>
        <v/>
      </c>
      <c r="G107" s="9">
        <f>IF(ISNUMBER(G$3),G$2*MAX(0,MIN(1,((YEAR($A107)-YEAR(G$3))*12+MONTH($A107)-MONTH(G$3)+1)/'Capacity by month'!$O$2)),0)</f>
        <v/>
      </c>
      <c r="H107" s="9">
        <f>IF(ISNUMBER(H$3),H$2*MAX(0,MIN(1,((YEAR($A107)-YEAR(H$3))*12+MONTH($A107)-MONTH(H$3)+1)/'Capacity by month'!$O$2)),0)</f>
        <v/>
      </c>
      <c r="I107" s="9">
        <f>IF(ISNUMBER(I$3),I$2*MAX(0,MIN(1,((YEAR($A107)-YEAR(I$3))*12+MONTH($A107)-MONTH(I$3)+1)/'Capacity by month'!$O$2)),0)</f>
        <v/>
      </c>
      <c r="J107" s="9">
        <f>IF(ISNUMBER(J$3),J$2*MAX(0,MIN(1,((YEAR($A107)-YEAR(J$3))*12+MONTH($A107)-MONTH(J$3)+1)/'Capacity by month'!$O$2)),0)</f>
        <v/>
      </c>
      <c r="K107" s="9">
        <f>IF(ISNUMBER(K$3),K$2*MAX(0,MIN(1,((YEAR($A107)-YEAR(K$3))*12+MONTH($A107)-MONTH(K$3)+1)/'Capacity by month'!$O$2)),0)</f>
        <v/>
      </c>
      <c r="L107" s="9">
        <f>IF(ISNUMBER(L$3),L$2*MAX(0,MIN(1,((YEAR($A107)-YEAR(L$3))*12+MONTH($A107)-MONTH(L$3)+1)/'Capacity by month'!$O$2)),0)</f>
        <v/>
      </c>
      <c r="M107" s="9">
        <f>IF(ISNUMBER(M$3),M$2*MAX(0,MIN(1,((YEAR($A107)-YEAR(M$3))*12+MONTH($A107)-MONTH(M$3)+1)/'Capacity by month'!$O$2)),0)</f>
        <v/>
      </c>
      <c r="N107" s="9">
        <f>IF(ISNUMBER(N$3),N$2*MAX(0,MIN(1,((YEAR($A107)-YEAR(N$3))*12+MONTH($A107)-MONTH(N$3)+1)/'Capacity by month'!$O$2)),0)</f>
        <v/>
      </c>
      <c r="O107" s="9">
        <f>IF(ISNUMBER(O$3),O$2*MAX(0,MIN(1,((YEAR($A107)-YEAR(O$3))*12+MONTH($A107)-MONTH(O$3)+1)/'Capacity by month'!$O$2)),0)</f>
        <v/>
      </c>
      <c r="P107" s="9">
        <f>IF(ISNUMBER(P$3),P$2*MAX(0,MIN(1,((YEAR($A107)-YEAR(P$3))*12+MONTH($A107)-MONTH(P$3)+1)/'Capacity by month'!$O$2)),0)</f>
        <v/>
      </c>
      <c r="Q107" s="9">
        <f>IF(ISNUMBER(Q$3),Q$2*MAX(0,MIN(1,((YEAR($A107)-YEAR(Q$3))*12+MONTH($A107)-MONTH(Q$3)+1)/'Capacity by month'!$O$2)),0)</f>
        <v/>
      </c>
      <c r="R107" s="9">
        <f>IF(ISNUMBER(R$3),R$2*MAX(0,MIN(1,((YEAR($A107)-YEAR(R$3))*12+MONTH($A107)-MONTH(R$3)+1)/'Capacity by month'!$O$2)),0)</f>
        <v/>
      </c>
      <c r="S107" s="9">
        <f>IF(ISNUMBER(S$3),S$2*MAX(0,MIN(1,((YEAR($A107)-YEAR(S$3))*12+MONTH($A107)-MONTH(S$3)+1)/'Capacity by month'!$O$2)),0)</f>
        <v/>
      </c>
      <c r="T107" s="9">
        <f>IF(ISNUMBER(T$3),T$2*MAX(0,MIN(1,((YEAR($A107)-YEAR(T$3))*12+MONTH($A107)-MONTH(T$3)+1)/'Capacity by month'!$O$2)),0)</f>
        <v/>
      </c>
      <c r="U107" s="9">
        <f>IF(ISNUMBER(U$3),U$2*MAX(0,MIN(1,((YEAR($A107)-YEAR(U$3))*12+MONTH($A107)-MONTH(U$3)+1)/'Capacity by month'!$O$2)),0)</f>
        <v/>
      </c>
      <c r="V107" s="9">
        <f>IF(ISNUMBER(V$3),V$2*MAX(0,MIN(1,((YEAR($A107)-YEAR(V$3))*12+MONTH($A107)-MONTH(V$3)+1)/'Capacity by month'!$O$2)),0)</f>
        <v/>
      </c>
      <c r="W107" s="9">
        <f>IF(ISNUMBER(W$3),W$2*MAX(0,MIN(1,((YEAR($A107)-YEAR(W$3))*12+MONTH($A107)-MONTH(W$3)+1)/'Capacity by month'!$O$2)),0)</f>
        <v/>
      </c>
      <c r="X107" s="9">
        <f>IF(ISNUMBER(X$3),X$2*MAX(0,MIN(1,((YEAR($A107)-YEAR(X$3))*12+MONTH($A107)-MONTH(X$3)+1)/'Capacity by month'!$O$2)),0)</f>
        <v/>
      </c>
      <c r="Y107" s="9">
        <f>IF(ISNUMBER(Y$3),Y$2*MAX(0,MIN(1,((YEAR($A107)-YEAR(Y$3))*12+MONTH($A107)-MONTH(Y$3)+1)/'Capacity by month'!$O$2)),0)</f>
        <v/>
      </c>
      <c r="Z107" s="9">
        <f>IF(ISNUMBER(Z$3),Z$2*MAX(0,MIN(1,((YEAR($A107)-YEAR(Z$3))*12+MONTH($A107)-MONTH(Z$3)+1)/'Capacity by month'!$O$2)),0)</f>
        <v/>
      </c>
      <c r="AA107">
        <f>SUM(B107:Z107)</f>
        <v/>
      </c>
      <c r="AB107" t="n">
        <v>0</v>
      </c>
    </row>
    <row r="108">
      <c r="A108" s="8" t="n">
        <v>47362</v>
      </c>
      <c r="B108" s="9">
        <f>IF(ISNUMBER(B$3),B$2*MAX(0,MIN(1,((YEAR($A108)-YEAR(B$3))*12+MONTH($A108)-MONTH(B$3)+1)/'Capacity by month'!$O$2)),0)</f>
        <v/>
      </c>
      <c r="C108" s="9">
        <f>IF(ISNUMBER(C$3),C$2*MAX(0,MIN(1,((YEAR($A108)-YEAR(C$3))*12+MONTH($A108)-MONTH(C$3)+1)/'Capacity by month'!$O$2)),0)</f>
        <v/>
      </c>
      <c r="D108" s="9">
        <f>IF(ISNUMBER(D$3),D$2*MAX(0,MIN(1,((YEAR($A108)-YEAR(D$3))*12+MONTH($A108)-MONTH(D$3)+1)/'Capacity by month'!$O$2)),0)</f>
        <v/>
      </c>
      <c r="E108" s="9">
        <f>IF(ISNUMBER(E$3),E$2*MAX(0,MIN(1,((YEAR($A108)-YEAR(E$3))*12+MONTH($A108)-MONTH(E$3)+1)/'Capacity by month'!$O$2)),0)</f>
        <v/>
      </c>
      <c r="F108" s="9">
        <f>IF(ISNUMBER(F$3),F$2*MAX(0,MIN(1,((YEAR($A108)-YEAR(F$3))*12+MONTH($A108)-MONTH(F$3)+1)/'Capacity by month'!$O$2)),0)</f>
        <v/>
      </c>
      <c r="G108" s="9">
        <f>IF(ISNUMBER(G$3),G$2*MAX(0,MIN(1,((YEAR($A108)-YEAR(G$3))*12+MONTH($A108)-MONTH(G$3)+1)/'Capacity by month'!$O$2)),0)</f>
        <v/>
      </c>
      <c r="H108" s="9">
        <f>IF(ISNUMBER(H$3),H$2*MAX(0,MIN(1,((YEAR($A108)-YEAR(H$3))*12+MONTH($A108)-MONTH(H$3)+1)/'Capacity by month'!$O$2)),0)</f>
        <v/>
      </c>
      <c r="I108" s="9">
        <f>IF(ISNUMBER(I$3),I$2*MAX(0,MIN(1,((YEAR($A108)-YEAR(I$3))*12+MONTH($A108)-MONTH(I$3)+1)/'Capacity by month'!$O$2)),0)</f>
        <v/>
      </c>
      <c r="J108" s="9">
        <f>IF(ISNUMBER(J$3),J$2*MAX(0,MIN(1,((YEAR($A108)-YEAR(J$3))*12+MONTH($A108)-MONTH(J$3)+1)/'Capacity by month'!$O$2)),0)</f>
        <v/>
      </c>
      <c r="K108" s="9">
        <f>IF(ISNUMBER(K$3),K$2*MAX(0,MIN(1,((YEAR($A108)-YEAR(K$3))*12+MONTH($A108)-MONTH(K$3)+1)/'Capacity by month'!$O$2)),0)</f>
        <v/>
      </c>
      <c r="L108" s="9">
        <f>IF(ISNUMBER(L$3),L$2*MAX(0,MIN(1,((YEAR($A108)-YEAR(L$3))*12+MONTH($A108)-MONTH(L$3)+1)/'Capacity by month'!$O$2)),0)</f>
        <v/>
      </c>
      <c r="M108" s="9">
        <f>IF(ISNUMBER(M$3),M$2*MAX(0,MIN(1,((YEAR($A108)-YEAR(M$3))*12+MONTH($A108)-MONTH(M$3)+1)/'Capacity by month'!$O$2)),0)</f>
        <v/>
      </c>
      <c r="N108" s="9">
        <f>IF(ISNUMBER(N$3),N$2*MAX(0,MIN(1,((YEAR($A108)-YEAR(N$3))*12+MONTH($A108)-MONTH(N$3)+1)/'Capacity by month'!$O$2)),0)</f>
        <v/>
      </c>
      <c r="O108" s="9">
        <f>IF(ISNUMBER(O$3),O$2*MAX(0,MIN(1,((YEAR($A108)-YEAR(O$3))*12+MONTH($A108)-MONTH(O$3)+1)/'Capacity by month'!$O$2)),0)</f>
        <v/>
      </c>
      <c r="P108" s="9">
        <f>IF(ISNUMBER(P$3),P$2*MAX(0,MIN(1,((YEAR($A108)-YEAR(P$3))*12+MONTH($A108)-MONTH(P$3)+1)/'Capacity by month'!$O$2)),0)</f>
        <v/>
      </c>
      <c r="Q108" s="9">
        <f>IF(ISNUMBER(Q$3),Q$2*MAX(0,MIN(1,((YEAR($A108)-YEAR(Q$3))*12+MONTH($A108)-MONTH(Q$3)+1)/'Capacity by month'!$O$2)),0)</f>
        <v/>
      </c>
      <c r="R108" s="9">
        <f>IF(ISNUMBER(R$3),R$2*MAX(0,MIN(1,((YEAR($A108)-YEAR(R$3))*12+MONTH($A108)-MONTH(R$3)+1)/'Capacity by month'!$O$2)),0)</f>
        <v/>
      </c>
      <c r="S108" s="9">
        <f>IF(ISNUMBER(S$3),S$2*MAX(0,MIN(1,((YEAR($A108)-YEAR(S$3))*12+MONTH($A108)-MONTH(S$3)+1)/'Capacity by month'!$O$2)),0)</f>
        <v/>
      </c>
      <c r="T108" s="9">
        <f>IF(ISNUMBER(T$3),T$2*MAX(0,MIN(1,((YEAR($A108)-YEAR(T$3))*12+MONTH($A108)-MONTH(T$3)+1)/'Capacity by month'!$O$2)),0)</f>
        <v/>
      </c>
      <c r="U108" s="9">
        <f>IF(ISNUMBER(U$3),U$2*MAX(0,MIN(1,((YEAR($A108)-YEAR(U$3))*12+MONTH($A108)-MONTH(U$3)+1)/'Capacity by month'!$O$2)),0)</f>
        <v/>
      </c>
      <c r="V108" s="9">
        <f>IF(ISNUMBER(V$3),V$2*MAX(0,MIN(1,((YEAR($A108)-YEAR(V$3))*12+MONTH($A108)-MONTH(V$3)+1)/'Capacity by month'!$O$2)),0)</f>
        <v/>
      </c>
      <c r="W108" s="9">
        <f>IF(ISNUMBER(W$3),W$2*MAX(0,MIN(1,((YEAR($A108)-YEAR(W$3))*12+MONTH($A108)-MONTH(W$3)+1)/'Capacity by month'!$O$2)),0)</f>
        <v/>
      </c>
      <c r="X108" s="9">
        <f>IF(ISNUMBER(X$3),X$2*MAX(0,MIN(1,((YEAR($A108)-YEAR(X$3))*12+MONTH($A108)-MONTH(X$3)+1)/'Capacity by month'!$O$2)),0)</f>
        <v/>
      </c>
      <c r="Y108" s="9">
        <f>IF(ISNUMBER(Y$3),Y$2*MAX(0,MIN(1,((YEAR($A108)-YEAR(Y$3))*12+MONTH($A108)-MONTH(Y$3)+1)/'Capacity by month'!$O$2)),0)</f>
        <v/>
      </c>
      <c r="Z108" s="9">
        <f>IF(ISNUMBER(Z$3),Z$2*MAX(0,MIN(1,((YEAR($A108)-YEAR(Z$3))*12+MONTH($A108)-MONTH(Z$3)+1)/'Capacity by month'!$O$2)),0)</f>
        <v/>
      </c>
      <c r="AA108">
        <f>SUM(B108:Z108)</f>
        <v/>
      </c>
      <c r="AB108" t="n">
        <v>0</v>
      </c>
    </row>
    <row r="109">
      <c r="A109" s="8" t="n">
        <v>47392</v>
      </c>
      <c r="B109" s="9">
        <f>IF(ISNUMBER(B$3),B$2*MAX(0,MIN(1,((YEAR($A109)-YEAR(B$3))*12+MONTH($A109)-MONTH(B$3)+1)/'Capacity by month'!$O$2)),0)</f>
        <v/>
      </c>
      <c r="C109" s="9">
        <f>IF(ISNUMBER(C$3),C$2*MAX(0,MIN(1,((YEAR($A109)-YEAR(C$3))*12+MONTH($A109)-MONTH(C$3)+1)/'Capacity by month'!$O$2)),0)</f>
        <v/>
      </c>
      <c r="D109" s="9">
        <f>IF(ISNUMBER(D$3),D$2*MAX(0,MIN(1,((YEAR($A109)-YEAR(D$3))*12+MONTH($A109)-MONTH(D$3)+1)/'Capacity by month'!$O$2)),0)</f>
        <v/>
      </c>
      <c r="E109" s="9">
        <f>IF(ISNUMBER(E$3),E$2*MAX(0,MIN(1,((YEAR($A109)-YEAR(E$3))*12+MONTH($A109)-MONTH(E$3)+1)/'Capacity by month'!$O$2)),0)</f>
        <v/>
      </c>
      <c r="F109" s="9">
        <f>IF(ISNUMBER(F$3),F$2*MAX(0,MIN(1,((YEAR($A109)-YEAR(F$3))*12+MONTH($A109)-MONTH(F$3)+1)/'Capacity by month'!$O$2)),0)</f>
        <v/>
      </c>
      <c r="G109" s="9">
        <f>IF(ISNUMBER(G$3),G$2*MAX(0,MIN(1,((YEAR($A109)-YEAR(G$3))*12+MONTH($A109)-MONTH(G$3)+1)/'Capacity by month'!$O$2)),0)</f>
        <v/>
      </c>
      <c r="H109" s="9">
        <f>IF(ISNUMBER(H$3),H$2*MAX(0,MIN(1,((YEAR($A109)-YEAR(H$3))*12+MONTH($A109)-MONTH(H$3)+1)/'Capacity by month'!$O$2)),0)</f>
        <v/>
      </c>
      <c r="I109" s="9">
        <f>IF(ISNUMBER(I$3),I$2*MAX(0,MIN(1,((YEAR($A109)-YEAR(I$3))*12+MONTH($A109)-MONTH(I$3)+1)/'Capacity by month'!$O$2)),0)</f>
        <v/>
      </c>
      <c r="J109" s="9">
        <f>IF(ISNUMBER(J$3),J$2*MAX(0,MIN(1,((YEAR($A109)-YEAR(J$3))*12+MONTH($A109)-MONTH(J$3)+1)/'Capacity by month'!$O$2)),0)</f>
        <v/>
      </c>
      <c r="K109" s="9">
        <f>IF(ISNUMBER(K$3),K$2*MAX(0,MIN(1,((YEAR($A109)-YEAR(K$3))*12+MONTH($A109)-MONTH(K$3)+1)/'Capacity by month'!$O$2)),0)</f>
        <v/>
      </c>
      <c r="L109" s="9">
        <f>IF(ISNUMBER(L$3),L$2*MAX(0,MIN(1,((YEAR($A109)-YEAR(L$3))*12+MONTH($A109)-MONTH(L$3)+1)/'Capacity by month'!$O$2)),0)</f>
        <v/>
      </c>
      <c r="M109" s="9">
        <f>IF(ISNUMBER(M$3),M$2*MAX(0,MIN(1,((YEAR($A109)-YEAR(M$3))*12+MONTH($A109)-MONTH(M$3)+1)/'Capacity by month'!$O$2)),0)</f>
        <v/>
      </c>
      <c r="N109" s="9">
        <f>IF(ISNUMBER(N$3),N$2*MAX(0,MIN(1,((YEAR($A109)-YEAR(N$3))*12+MONTH($A109)-MONTH(N$3)+1)/'Capacity by month'!$O$2)),0)</f>
        <v/>
      </c>
      <c r="O109" s="9">
        <f>IF(ISNUMBER(O$3),O$2*MAX(0,MIN(1,((YEAR($A109)-YEAR(O$3))*12+MONTH($A109)-MONTH(O$3)+1)/'Capacity by month'!$O$2)),0)</f>
        <v/>
      </c>
      <c r="P109" s="9">
        <f>IF(ISNUMBER(P$3),P$2*MAX(0,MIN(1,((YEAR($A109)-YEAR(P$3))*12+MONTH($A109)-MONTH(P$3)+1)/'Capacity by month'!$O$2)),0)</f>
        <v/>
      </c>
      <c r="Q109" s="9">
        <f>IF(ISNUMBER(Q$3),Q$2*MAX(0,MIN(1,((YEAR($A109)-YEAR(Q$3))*12+MONTH($A109)-MONTH(Q$3)+1)/'Capacity by month'!$O$2)),0)</f>
        <v/>
      </c>
      <c r="R109" s="9">
        <f>IF(ISNUMBER(R$3),R$2*MAX(0,MIN(1,((YEAR($A109)-YEAR(R$3))*12+MONTH($A109)-MONTH(R$3)+1)/'Capacity by month'!$O$2)),0)</f>
        <v/>
      </c>
      <c r="S109" s="9">
        <f>IF(ISNUMBER(S$3),S$2*MAX(0,MIN(1,((YEAR($A109)-YEAR(S$3))*12+MONTH($A109)-MONTH(S$3)+1)/'Capacity by month'!$O$2)),0)</f>
        <v/>
      </c>
      <c r="T109" s="9">
        <f>IF(ISNUMBER(T$3),T$2*MAX(0,MIN(1,((YEAR($A109)-YEAR(T$3))*12+MONTH($A109)-MONTH(T$3)+1)/'Capacity by month'!$O$2)),0)</f>
        <v/>
      </c>
      <c r="U109" s="9">
        <f>IF(ISNUMBER(U$3),U$2*MAX(0,MIN(1,((YEAR($A109)-YEAR(U$3))*12+MONTH($A109)-MONTH(U$3)+1)/'Capacity by month'!$O$2)),0)</f>
        <v/>
      </c>
      <c r="V109" s="9">
        <f>IF(ISNUMBER(V$3),V$2*MAX(0,MIN(1,((YEAR($A109)-YEAR(V$3))*12+MONTH($A109)-MONTH(V$3)+1)/'Capacity by month'!$O$2)),0)</f>
        <v/>
      </c>
      <c r="W109" s="9">
        <f>IF(ISNUMBER(W$3),W$2*MAX(0,MIN(1,((YEAR($A109)-YEAR(W$3))*12+MONTH($A109)-MONTH(W$3)+1)/'Capacity by month'!$O$2)),0)</f>
        <v/>
      </c>
      <c r="X109" s="9">
        <f>IF(ISNUMBER(X$3),X$2*MAX(0,MIN(1,((YEAR($A109)-YEAR(X$3))*12+MONTH($A109)-MONTH(X$3)+1)/'Capacity by month'!$O$2)),0)</f>
        <v/>
      </c>
      <c r="Y109" s="9">
        <f>IF(ISNUMBER(Y$3),Y$2*MAX(0,MIN(1,((YEAR($A109)-YEAR(Y$3))*12+MONTH($A109)-MONTH(Y$3)+1)/'Capacity by month'!$O$2)),0)</f>
        <v/>
      </c>
      <c r="Z109" s="9">
        <f>IF(ISNUMBER(Z$3),Z$2*MAX(0,MIN(1,((YEAR($A109)-YEAR(Z$3))*12+MONTH($A109)-MONTH(Z$3)+1)/'Capacity by month'!$O$2)),0)</f>
        <v/>
      </c>
      <c r="AA109">
        <f>SUM(B109:Z109)</f>
        <v/>
      </c>
      <c r="AB109" t="n">
        <v>0</v>
      </c>
    </row>
    <row r="110">
      <c r="A110" s="8" t="n">
        <v>47423</v>
      </c>
      <c r="B110" s="9">
        <f>IF(ISNUMBER(B$3),B$2*MAX(0,MIN(1,((YEAR($A110)-YEAR(B$3))*12+MONTH($A110)-MONTH(B$3)+1)/'Capacity by month'!$O$2)),0)</f>
        <v/>
      </c>
      <c r="C110" s="9">
        <f>IF(ISNUMBER(C$3),C$2*MAX(0,MIN(1,((YEAR($A110)-YEAR(C$3))*12+MONTH($A110)-MONTH(C$3)+1)/'Capacity by month'!$O$2)),0)</f>
        <v/>
      </c>
      <c r="D110" s="9">
        <f>IF(ISNUMBER(D$3),D$2*MAX(0,MIN(1,((YEAR($A110)-YEAR(D$3))*12+MONTH($A110)-MONTH(D$3)+1)/'Capacity by month'!$O$2)),0)</f>
        <v/>
      </c>
      <c r="E110" s="9">
        <f>IF(ISNUMBER(E$3),E$2*MAX(0,MIN(1,((YEAR($A110)-YEAR(E$3))*12+MONTH($A110)-MONTH(E$3)+1)/'Capacity by month'!$O$2)),0)</f>
        <v/>
      </c>
      <c r="F110" s="9">
        <f>IF(ISNUMBER(F$3),F$2*MAX(0,MIN(1,((YEAR($A110)-YEAR(F$3))*12+MONTH($A110)-MONTH(F$3)+1)/'Capacity by month'!$O$2)),0)</f>
        <v/>
      </c>
      <c r="G110" s="9">
        <f>IF(ISNUMBER(G$3),G$2*MAX(0,MIN(1,((YEAR($A110)-YEAR(G$3))*12+MONTH($A110)-MONTH(G$3)+1)/'Capacity by month'!$O$2)),0)</f>
        <v/>
      </c>
      <c r="H110" s="9">
        <f>IF(ISNUMBER(H$3),H$2*MAX(0,MIN(1,((YEAR($A110)-YEAR(H$3))*12+MONTH($A110)-MONTH(H$3)+1)/'Capacity by month'!$O$2)),0)</f>
        <v/>
      </c>
      <c r="I110" s="9">
        <f>IF(ISNUMBER(I$3),I$2*MAX(0,MIN(1,((YEAR($A110)-YEAR(I$3))*12+MONTH($A110)-MONTH(I$3)+1)/'Capacity by month'!$O$2)),0)</f>
        <v/>
      </c>
      <c r="J110" s="9">
        <f>IF(ISNUMBER(J$3),J$2*MAX(0,MIN(1,((YEAR($A110)-YEAR(J$3))*12+MONTH($A110)-MONTH(J$3)+1)/'Capacity by month'!$O$2)),0)</f>
        <v/>
      </c>
      <c r="K110" s="9">
        <f>IF(ISNUMBER(K$3),K$2*MAX(0,MIN(1,((YEAR($A110)-YEAR(K$3))*12+MONTH($A110)-MONTH(K$3)+1)/'Capacity by month'!$O$2)),0)</f>
        <v/>
      </c>
      <c r="L110" s="9">
        <f>IF(ISNUMBER(L$3),L$2*MAX(0,MIN(1,((YEAR($A110)-YEAR(L$3))*12+MONTH($A110)-MONTH(L$3)+1)/'Capacity by month'!$O$2)),0)</f>
        <v/>
      </c>
      <c r="M110" s="9">
        <f>IF(ISNUMBER(M$3),M$2*MAX(0,MIN(1,((YEAR($A110)-YEAR(M$3))*12+MONTH($A110)-MONTH(M$3)+1)/'Capacity by month'!$O$2)),0)</f>
        <v/>
      </c>
      <c r="N110" s="9">
        <f>IF(ISNUMBER(N$3),N$2*MAX(0,MIN(1,((YEAR($A110)-YEAR(N$3))*12+MONTH($A110)-MONTH(N$3)+1)/'Capacity by month'!$O$2)),0)</f>
        <v/>
      </c>
      <c r="O110" s="9">
        <f>IF(ISNUMBER(O$3),O$2*MAX(0,MIN(1,((YEAR($A110)-YEAR(O$3))*12+MONTH($A110)-MONTH(O$3)+1)/'Capacity by month'!$O$2)),0)</f>
        <v/>
      </c>
      <c r="P110" s="9">
        <f>IF(ISNUMBER(P$3),P$2*MAX(0,MIN(1,((YEAR($A110)-YEAR(P$3))*12+MONTH($A110)-MONTH(P$3)+1)/'Capacity by month'!$O$2)),0)</f>
        <v/>
      </c>
      <c r="Q110" s="9">
        <f>IF(ISNUMBER(Q$3),Q$2*MAX(0,MIN(1,((YEAR($A110)-YEAR(Q$3))*12+MONTH($A110)-MONTH(Q$3)+1)/'Capacity by month'!$O$2)),0)</f>
        <v/>
      </c>
      <c r="R110" s="9">
        <f>IF(ISNUMBER(R$3),R$2*MAX(0,MIN(1,((YEAR($A110)-YEAR(R$3))*12+MONTH($A110)-MONTH(R$3)+1)/'Capacity by month'!$O$2)),0)</f>
        <v/>
      </c>
      <c r="S110" s="9">
        <f>IF(ISNUMBER(S$3),S$2*MAX(0,MIN(1,((YEAR($A110)-YEAR(S$3))*12+MONTH($A110)-MONTH(S$3)+1)/'Capacity by month'!$O$2)),0)</f>
        <v/>
      </c>
      <c r="T110" s="9">
        <f>IF(ISNUMBER(T$3),T$2*MAX(0,MIN(1,((YEAR($A110)-YEAR(T$3))*12+MONTH($A110)-MONTH(T$3)+1)/'Capacity by month'!$O$2)),0)</f>
        <v/>
      </c>
      <c r="U110" s="9">
        <f>IF(ISNUMBER(U$3),U$2*MAX(0,MIN(1,((YEAR($A110)-YEAR(U$3))*12+MONTH($A110)-MONTH(U$3)+1)/'Capacity by month'!$O$2)),0)</f>
        <v/>
      </c>
      <c r="V110" s="9">
        <f>IF(ISNUMBER(V$3),V$2*MAX(0,MIN(1,((YEAR($A110)-YEAR(V$3))*12+MONTH($A110)-MONTH(V$3)+1)/'Capacity by month'!$O$2)),0)</f>
        <v/>
      </c>
      <c r="W110" s="9">
        <f>IF(ISNUMBER(W$3),W$2*MAX(0,MIN(1,((YEAR($A110)-YEAR(W$3))*12+MONTH($A110)-MONTH(W$3)+1)/'Capacity by month'!$O$2)),0)</f>
        <v/>
      </c>
      <c r="X110" s="9">
        <f>IF(ISNUMBER(X$3),X$2*MAX(0,MIN(1,((YEAR($A110)-YEAR(X$3))*12+MONTH($A110)-MONTH(X$3)+1)/'Capacity by month'!$O$2)),0)</f>
        <v/>
      </c>
      <c r="Y110" s="9">
        <f>IF(ISNUMBER(Y$3),Y$2*MAX(0,MIN(1,((YEAR($A110)-YEAR(Y$3))*12+MONTH($A110)-MONTH(Y$3)+1)/'Capacity by month'!$O$2)),0)</f>
        <v/>
      </c>
      <c r="Z110" s="9">
        <f>IF(ISNUMBER(Z$3),Z$2*MAX(0,MIN(1,((YEAR($A110)-YEAR(Z$3))*12+MONTH($A110)-MONTH(Z$3)+1)/'Capacity by month'!$O$2)),0)</f>
        <v/>
      </c>
      <c r="AA110">
        <f>SUM(B110:Z110)</f>
        <v/>
      </c>
      <c r="AB110" t="n">
        <v>0</v>
      </c>
    </row>
    <row r="111">
      <c r="A111" s="8" t="n">
        <v>47453</v>
      </c>
      <c r="B111" s="9">
        <f>IF(ISNUMBER(B$3),B$2*MAX(0,MIN(1,((YEAR($A111)-YEAR(B$3))*12+MONTH($A111)-MONTH(B$3)+1)/'Capacity by month'!$O$2)),0)</f>
        <v/>
      </c>
      <c r="C111" s="9">
        <f>IF(ISNUMBER(C$3),C$2*MAX(0,MIN(1,((YEAR($A111)-YEAR(C$3))*12+MONTH($A111)-MONTH(C$3)+1)/'Capacity by month'!$O$2)),0)</f>
        <v/>
      </c>
      <c r="D111" s="9">
        <f>IF(ISNUMBER(D$3),D$2*MAX(0,MIN(1,((YEAR($A111)-YEAR(D$3))*12+MONTH($A111)-MONTH(D$3)+1)/'Capacity by month'!$O$2)),0)</f>
        <v/>
      </c>
      <c r="E111" s="9">
        <f>IF(ISNUMBER(E$3),E$2*MAX(0,MIN(1,((YEAR($A111)-YEAR(E$3))*12+MONTH($A111)-MONTH(E$3)+1)/'Capacity by month'!$O$2)),0)</f>
        <v/>
      </c>
      <c r="F111" s="9">
        <f>IF(ISNUMBER(F$3),F$2*MAX(0,MIN(1,((YEAR($A111)-YEAR(F$3))*12+MONTH($A111)-MONTH(F$3)+1)/'Capacity by month'!$O$2)),0)</f>
        <v/>
      </c>
      <c r="G111" s="9">
        <f>IF(ISNUMBER(G$3),G$2*MAX(0,MIN(1,((YEAR($A111)-YEAR(G$3))*12+MONTH($A111)-MONTH(G$3)+1)/'Capacity by month'!$O$2)),0)</f>
        <v/>
      </c>
      <c r="H111" s="9">
        <f>IF(ISNUMBER(H$3),H$2*MAX(0,MIN(1,((YEAR($A111)-YEAR(H$3))*12+MONTH($A111)-MONTH(H$3)+1)/'Capacity by month'!$O$2)),0)</f>
        <v/>
      </c>
      <c r="I111" s="9">
        <f>IF(ISNUMBER(I$3),I$2*MAX(0,MIN(1,((YEAR($A111)-YEAR(I$3))*12+MONTH($A111)-MONTH(I$3)+1)/'Capacity by month'!$O$2)),0)</f>
        <v/>
      </c>
      <c r="J111" s="9">
        <f>IF(ISNUMBER(J$3),J$2*MAX(0,MIN(1,((YEAR($A111)-YEAR(J$3))*12+MONTH($A111)-MONTH(J$3)+1)/'Capacity by month'!$O$2)),0)</f>
        <v/>
      </c>
      <c r="K111" s="9">
        <f>IF(ISNUMBER(K$3),K$2*MAX(0,MIN(1,((YEAR($A111)-YEAR(K$3))*12+MONTH($A111)-MONTH(K$3)+1)/'Capacity by month'!$O$2)),0)</f>
        <v/>
      </c>
      <c r="L111" s="9">
        <f>IF(ISNUMBER(L$3),L$2*MAX(0,MIN(1,((YEAR($A111)-YEAR(L$3))*12+MONTH($A111)-MONTH(L$3)+1)/'Capacity by month'!$O$2)),0)</f>
        <v/>
      </c>
      <c r="M111" s="9">
        <f>IF(ISNUMBER(M$3),M$2*MAX(0,MIN(1,((YEAR($A111)-YEAR(M$3))*12+MONTH($A111)-MONTH(M$3)+1)/'Capacity by month'!$O$2)),0)</f>
        <v/>
      </c>
      <c r="N111" s="9">
        <f>IF(ISNUMBER(N$3),N$2*MAX(0,MIN(1,((YEAR($A111)-YEAR(N$3))*12+MONTH($A111)-MONTH(N$3)+1)/'Capacity by month'!$O$2)),0)</f>
        <v/>
      </c>
      <c r="O111" s="9">
        <f>IF(ISNUMBER(O$3),O$2*MAX(0,MIN(1,((YEAR($A111)-YEAR(O$3))*12+MONTH($A111)-MONTH(O$3)+1)/'Capacity by month'!$O$2)),0)</f>
        <v/>
      </c>
      <c r="P111" s="9">
        <f>IF(ISNUMBER(P$3),P$2*MAX(0,MIN(1,((YEAR($A111)-YEAR(P$3))*12+MONTH($A111)-MONTH(P$3)+1)/'Capacity by month'!$O$2)),0)</f>
        <v/>
      </c>
      <c r="Q111" s="9">
        <f>IF(ISNUMBER(Q$3),Q$2*MAX(0,MIN(1,((YEAR($A111)-YEAR(Q$3))*12+MONTH($A111)-MONTH(Q$3)+1)/'Capacity by month'!$O$2)),0)</f>
        <v/>
      </c>
      <c r="R111" s="9">
        <f>IF(ISNUMBER(R$3),R$2*MAX(0,MIN(1,((YEAR($A111)-YEAR(R$3))*12+MONTH($A111)-MONTH(R$3)+1)/'Capacity by month'!$O$2)),0)</f>
        <v/>
      </c>
      <c r="S111" s="9">
        <f>IF(ISNUMBER(S$3),S$2*MAX(0,MIN(1,((YEAR($A111)-YEAR(S$3))*12+MONTH($A111)-MONTH(S$3)+1)/'Capacity by month'!$O$2)),0)</f>
        <v/>
      </c>
      <c r="T111" s="9">
        <f>IF(ISNUMBER(T$3),T$2*MAX(0,MIN(1,((YEAR($A111)-YEAR(T$3))*12+MONTH($A111)-MONTH(T$3)+1)/'Capacity by month'!$O$2)),0)</f>
        <v/>
      </c>
      <c r="U111" s="9">
        <f>IF(ISNUMBER(U$3),U$2*MAX(0,MIN(1,((YEAR($A111)-YEAR(U$3))*12+MONTH($A111)-MONTH(U$3)+1)/'Capacity by month'!$O$2)),0)</f>
        <v/>
      </c>
      <c r="V111" s="9">
        <f>IF(ISNUMBER(V$3),V$2*MAX(0,MIN(1,((YEAR($A111)-YEAR(V$3))*12+MONTH($A111)-MONTH(V$3)+1)/'Capacity by month'!$O$2)),0)</f>
        <v/>
      </c>
      <c r="W111" s="9">
        <f>IF(ISNUMBER(W$3),W$2*MAX(0,MIN(1,((YEAR($A111)-YEAR(W$3))*12+MONTH($A111)-MONTH(W$3)+1)/'Capacity by month'!$O$2)),0)</f>
        <v/>
      </c>
      <c r="X111" s="9">
        <f>IF(ISNUMBER(X$3),X$2*MAX(0,MIN(1,((YEAR($A111)-YEAR(X$3))*12+MONTH($A111)-MONTH(X$3)+1)/'Capacity by month'!$O$2)),0)</f>
        <v/>
      </c>
      <c r="Y111" s="9">
        <f>IF(ISNUMBER(Y$3),Y$2*MAX(0,MIN(1,((YEAR($A111)-YEAR(Y$3))*12+MONTH($A111)-MONTH(Y$3)+1)/'Capacity by month'!$O$2)),0)</f>
        <v/>
      </c>
      <c r="Z111" s="9">
        <f>IF(ISNUMBER(Z$3),Z$2*MAX(0,MIN(1,((YEAR($A111)-YEAR(Z$3))*12+MONTH($A111)-MONTH(Z$3)+1)/'Capacity by month'!$O$2)),0)</f>
        <v/>
      </c>
      <c r="AA111">
        <f>SUM(B111:Z111)</f>
        <v/>
      </c>
      <c r="AB111" t="n">
        <v>0</v>
      </c>
    </row>
    <row r="112">
      <c r="A112" s="8" t="n">
        <v>47484</v>
      </c>
      <c r="B112" s="9">
        <f>IF(ISNUMBER(B$3),B$2*MAX(0,MIN(1,((YEAR($A112)-YEAR(B$3))*12+MONTH($A112)-MONTH(B$3)+1)/'Capacity by month'!$O$2)),0)</f>
        <v/>
      </c>
      <c r="C112" s="9">
        <f>IF(ISNUMBER(C$3),C$2*MAX(0,MIN(1,((YEAR($A112)-YEAR(C$3))*12+MONTH($A112)-MONTH(C$3)+1)/'Capacity by month'!$O$2)),0)</f>
        <v/>
      </c>
      <c r="D112" s="9">
        <f>IF(ISNUMBER(D$3),D$2*MAX(0,MIN(1,((YEAR($A112)-YEAR(D$3))*12+MONTH($A112)-MONTH(D$3)+1)/'Capacity by month'!$O$2)),0)</f>
        <v/>
      </c>
      <c r="E112" s="9">
        <f>IF(ISNUMBER(E$3),E$2*MAX(0,MIN(1,((YEAR($A112)-YEAR(E$3))*12+MONTH($A112)-MONTH(E$3)+1)/'Capacity by month'!$O$2)),0)</f>
        <v/>
      </c>
      <c r="F112" s="9">
        <f>IF(ISNUMBER(F$3),F$2*MAX(0,MIN(1,((YEAR($A112)-YEAR(F$3))*12+MONTH($A112)-MONTH(F$3)+1)/'Capacity by month'!$O$2)),0)</f>
        <v/>
      </c>
      <c r="G112" s="9">
        <f>IF(ISNUMBER(G$3),G$2*MAX(0,MIN(1,((YEAR($A112)-YEAR(G$3))*12+MONTH($A112)-MONTH(G$3)+1)/'Capacity by month'!$O$2)),0)</f>
        <v/>
      </c>
      <c r="H112" s="9">
        <f>IF(ISNUMBER(H$3),H$2*MAX(0,MIN(1,((YEAR($A112)-YEAR(H$3))*12+MONTH($A112)-MONTH(H$3)+1)/'Capacity by month'!$O$2)),0)</f>
        <v/>
      </c>
      <c r="I112" s="9">
        <f>IF(ISNUMBER(I$3),I$2*MAX(0,MIN(1,((YEAR($A112)-YEAR(I$3))*12+MONTH($A112)-MONTH(I$3)+1)/'Capacity by month'!$O$2)),0)</f>
        <v/>
      </c>
      <c r="J112" s="9">
        <f>IF(ISNUMBER(J$3),J$2*MAX(0,MIN(1,((YEAR($A112)-YEAR(J$3))*12+MONTH($A112)-MONTH(J$3)+1)/'Capacity by month'!$O$2)),0)</f>
        <v/>
      </c>
      <c r="K112" s="9">
        <f>IF(ISNUMBER(K$3),K$2*MAX(0,MIN(1,((YEAR($A112)-YEAR(K$3))*12+MONTH($A112)-MONTH(K$3)+1)/'Capacity by month'!$O$2)),0)</f>
        <v/>
      </c>
      <c r="L112" s="9">
        <f>IF(ISNUMBER(L$3),L$2*MAX(0,MIN(1,((YEAR($A112)-YEAR(L$3))*12+MONTH($A112)-MONTH(L$3)+1)/'Capacity by month'!$O$2)),0)</f>
        <v/>
      </c>
      <c r="M112" s="9">
        <f>IF(ISNUMBER(M$3),M$2*MAX(0,MIN(1,((YEAR($A112)-YEAR(M$3))*12+MONTH($A112)-MONTH(M$3)+1)/'Capacity by month'!$O$2)),0)</f>
        <v/>
      </c>
      <c r="N112" s="9">
        <f>IF(ISNUMBER(N$3),N$2*MAX(0,MIN(1,((YEAR($A112)-YEAR(N$3))*12+MONTH($A112)-MONTH(N$3)+1)/'Capacity by month'!$O$2)),0)</f>
        <v/>
      </c>
      <c r="O112" s="9">
        <f>IF(ISNUMBER(O$3),O$2*MAX(0,MIN(1,((YEAR($A112)-YEAR(O$3))*12+MONTH($A112)-MONTH(O$3)+1)/'Capacity by month'!$O$2)),0)</f>
        <v/>
      </c>
      <c r="P112" s="9">
        <f>IF(ISNUMBER(P$3),P$2*MAX(0,MIN(1,((YEAR($A112)-YEAR(P$3))*12+MONTH($A112)-MONTH(P$3)+1)/'Capacity by month'!$O$2)),0)</f>
        <v/>
      </c>
      <c r="Q112" s="9">
        <f>IF(ISNUMBER(Q$3),Q$2*MAX(0,MIN(1,((YEAR($A112)-YEAR(Q$3))*12+MONTH($A112)-MONTH(Q$3)+1)/'Capacity by month'!$O$2)),0)</f>
        <v/>
      </c>
      <c r="R112" s="9">
        <f>IF(ISNUMBER(R$3),R$2*MAX(0,MIN(1,((YEAR($A112)-YEAR(R$3))*12+MONTH($A112)-MONTH(R$3)+1)/'Capacity by month'!$O$2)),0)</f>
        <v/>
      </c>
      <c r="S112" s="9">
        <f>IF(ISNUMBER(S$3),S$2*MAX(0,MIN(1,((YEAR($A112)-YEAR(S$3))*12+MONTH($A112)-MONTH(S$3)+1)/'Capacity by month'!$O$2)),0)</f>
        <v/>
      </c>
      <c r="T112" s="9">
        <f>IF(ISNUMBER(T$3),T$2*MAX(0,MIN(1,((YEAR($A112)-YEAR(T$3))*12+MONTH($A112)-MONTH(T$3)+1)/'Capacity by month'!$O$2)),0)</f>
        <v/>
      </c>
      <c r="U112" s="9">
        <f>IF(ISNUMBER(U$3),U$2*MAX(0,MIN(1,((YEAR($A112)-YEAR(U$3))*12+MONTH($A112)-MONTH(U$3)+1)/'Capacity by month'!$O$2)),0)</f>
        <v/>
      </c>
      <c r="V112" s="9">
        <f>IF(ISNUMBER(V$3),V$2*MAX(0,MIN(1,((YEAR($A112)-YEAR(V$3))*12+MONTH($A112)-MONTH(V$3)+1)/'Capacity by month'!$O$2)),0)</f>
        <v/>
      </c>
      <c r="W112" s="9">
        <f>IF(ISNUMBER(W$3),W$2*MAX(0,MIN(1,((YEAR($A112)-YEAR(W$3))*12+MONTH($A112)-MONTH(W$3)+1)/'Capacity by month'!$O$2)),0)</f>
        <v/>
      </c>
      <c r="X112" s="9">
        <f>IF(ISNUMBER(X$3),X$2*MAX(0,MIN(1,((YEAR($A112)-YEAR(X$3))*12+MONTH($A112)-MONTH(X$3)+1)/'Capacity by month'!$O$2)),0)</f>
        <v/>
      </c>
      <c r="Y112" s="9">
        <f>IF(ISNUMBER(Y$3),Y$2*MAX(0,MIN(1,((YEAR($A112)-YEAR(Y$3))*12+MONTH($A112)-MONTH(Y$3)+1)/'Capacity by month'!$O$2)),0)</f>
        <v/>
      </c>
      <c r="Z112" s="9">
        <f>IF(ISNUMBER(Z$3),Z$2*MAX(0,MIN(1,((YEAR($A112)-YEAR(Z$3))*12+MONTH($A112)-MONTH(Z$3)+1)/'Capacity by month'!$O$2)),0)</f>
        <v/>
      </c>
      <c r="AA112">
        <f>SUM(B112:Z112)</f>
        <v/>
      </c>
      <c r="AB112" t="n">
        <v>0</v>
      </c>
    </row>
    <row r="113">
      <c r="A113" s="8" t="n">
        <v>47515</v>
      </c>
      <c r="B113" s="9">
        <f>IF(ISNUMBER(B$3),B$2*MAX(0,MIN(1,((YEAR($A113)-YEAR(B$3))*12+MONTH($A113)-MONTH(B$3)+1)/'Capacity by month'!$O$2)),0)</f>
        <v/>
      </c>
      <c r="C113" s="9">
        <f>IF(ISNUMBER(C$3),C$2*MAX(0,MIN(1,((YEAR($A113)-YEAR(C$3))*12+MONTH($A113)-MONTH(C$3)+1)/'Capacity by month'!$O$2)),0)</f>
        <v/>
      </c>
      <c r="D113" s="9">
        <f>IF(ISNUMBER(D$3),D$2*MAX(0,MIN(1,((YEAR($A113)-YEAR(D$3))*12+MONTH($A113)-MONTH(D$3)+1)/'Capacity by month'!$O$2)),0)</f>
        <v/>
      </c>
      <c r="E113" s="9">
        <f>IF(ISNUMBER(E$3),E$2*MAX(0,MIN(1,((YEAR($A113)-YEAR(E$3))*12+MONTH($A113)-MONTH(E$3)+1)/'Capacity by month'!$O$2)),0)</f>
        <v/>
      </c>
      <c r="F113" s="9">
        <f>IF(ISNUMBER(F$3),F$2*MAX(0,MIN(1,((YEAR($A113)-YEAR(F$3))*12+MONTH($A113)-MONTH(F$3)+1)/'Capacity by month'!$O$2)),0)</f>
        <v/>
      </c>
      <c r="G113" s="9">
        <f>IF(ISNUMBER(G$3),G$2*MAX(0,MIN(1,((YEAR($A113)-YEAR(G$3))*12+MONTH($A113)-MONTH(G$3)+1)/'Capacity by month'!$O$2)),0)</f>
        <v/>
      </c>
      <c r="H113" s="9">
        <f>IF(ISNUMBER(H$3),H$2*MAX(0,MIN(1,((YEAR($A113)-YEAR(H$3))*12+MONTH($A113)-MONTH(H$3)+1)/'Capacity by month'!$O$2)),0)</f>
        <v/>
      </c>
      <c r="I113" s="9">
        <f>IF(ISNUMBER(I$3),I$2*MAX(0,MIN(1,((YEAR($A113)-YEAR(I$3))*12+MONTH($A113)-MONTH(I$3)+1)/'Capacity by month'!$O$2)),0)</f>
        <v/>
      </c>
      <c r="J113" s="9">
        <f>IF(ISNUMBER(J$3),J$2*MAX(0,MIN(1,((YEAR($A113)-YEAR(J$3))*12+MONTH($A113)-MONTH(J$3)+1)/'Capacity by month'!$O$2)),0)</f>
        <v/>
      </c>
      <c r="K113" s="9">
        <f>IF(ISNUMBER(K$3),K$2*MAX(0,MIN(1,((YEAR($A113)-YEAR(K$3))*12+MONTH($A113)-MONTH(K$3)+1)/'Capacity by month'!$O$2)),0)</f>
        <v/>
      </c>
      <c r="L113" s="9">
        <f>IF(ISNUMBER(L$3),L$2*MAX(0,MIN(1,((YEAR($A113)-YEAR(L$3))*12+MONTH($A113)-MONTH(L$3)+1)/'Capacity by month'!$O$2)),0)</f>
        <v/>
      </c>
      <c r="M113" s="9">
        <f>IF(ISNUMBER(M$3),M$2*MAX(0,MIN(1,((YEAR($A113)-YEAR(M$3))*12+MONTH($A113)-MONTH(M$3)+1)/'Capacity by month'!$O$2)),0)</f>
        <v/>
      </c>
      <c r="N113" s="9">
        <f>IF(ISNUMBER(N$3),N$2*MAX(0,MIN(1,((YEAR($A113)-YEAR(N$3))*12+MONTH($A113)-MONTH(N$3)+1)/'Capacity by month'!$O$2)),0)</f>
        <v/>
      </c>
      <c r="O113" s="9">
        <f>IF(ISNUMBER(O$3),O$2*MAX(0,MIN(1,((YEAR($A113)-YEAR(O$3))*12+MONTH($A113)-MONTH(O$3)+1)/'Capacity by month'!$O$2)),0)</f>
        <v/>
      </c>
      <c r="P113" s="9">
        <f>IF(ISNUMBER(P$3),P$2*MAX(0,MIN(1,((YEAR($A113)-YEAR(P$3))*12+MONTH($A113)-MONTH(P$3)+1)/'Capacity by month'!$O$2)),0)</f>
        <v/>
      </c>
      <c r="Q113" s="9">
        <f>IF(ISNUMBER(Q$3),Q$2*MAX(0,MIN(1,((YEAR($A113)-YEAR(Q$3))*12+MONTH($A113)-MONTH(Q$3)+1)/'Capacity by month'!$O$2)),0)</f>
        <v/>
      </c>
      <c r="R113" s="9">
        <f>IF(ISNUMBER(R$3),R$2*MAX(0,MIN(1,((YEAR($A113)-YEAR(R$3))*12+MONTH($A113)-MONTH(R$3)+1)/'Capacity by month'!$O$2)),0)</f>
        <v/>
      </c>
      <c r="S113" s="9">
        <f>IF(ISNUMBER(S$3),S$2*MAX(0,MIN(1,((YEAR($A113)-YEAR(S$3))*12+MONTH($A113)-MONTH(S$3)+1)/'Capacity by month'!$O$2)),0)</f>
        <v/>
      </c>
      <c r="T113" s="9">
        <f>IF(ISNUMBER(T$3),T$2*MAX(0,MIN(1,((YEAR($A113)-YEAR(T$3))*12+MONTH($A113)-MONTH(T$3)+1)/'Capacity by month'!$O$2)),0)</f>
        <v/>
      </c>
      <c r="U113" s="9">
        <f>IF(ISNUMBER(U$3),U$2*MAX(0,MIN(1,((YEAR($A113)-YEAR(U$3))*12+MONTH($A113)-MONTH(U$3)+1)/'Capacity by month'!$O$2)),0)</f>
        <v/>
      </c>
      <c r="V113" s="9">
        <f>IF(ISNUMBER(V$3),V$2*MAX(0,MIN(1,((YEAR($A113)-YEAR(V$3))*12+MONTH($A113)-MONTH(V$3)+1)/'Capacity by month'!$O$2)),0)</f>
        <v/>
      </c>
      <c r="W113" s="9">
        <f>IF(ISNUMBER(W$3),W$2*MAX(0,MIN(1,((YEAR($A113)-YEAR(W$3))*12+MONTH($A113)-MONTH(W$3)+1)/'Capacity by month'!$O$2)),0)</f>
        <v/>
      </c>
      <c r="X113" s="9">
        <f>IF(ISNUMBER(X$3),X$2*MAX(0,MIN(1,((YEAR($A113)-YEAR(X$3))*12+MONTH($A113)-MONTH(X$3)+1)/'Capacity by month'!$O$2)),0)</f>
        <v/>
      </c>
      <c r="Y113" s="9">
        <f>IF(ISNUMBER(Y$3),Y$2*MAX(0,MIN(1,((YEAR($A113)-YEAR(Y$3))*12+MONTH($A113)-MONTH(Y$3)+1)/'Capacity by month'!$O$2)),0)</f>
        <v/>
      </c>
      <c r="Z113" s="9">
        <f>IF(ISNUMBER(Z$3),Z$2*MAX(0,MIN(1,((YEAR($A113)-YEAR(Z$3))*12+MONTH($A113)-MONTH(Z$3)+1)/'Capacity by month'!$O$2)),0)</f>
        <v/>
      </c>
      <c r="AA113">
        <f>SUM(B113:Z113)</f>
        <v/>
      </c>
      <c r="AB113" t="n">
        <v>0</v>
      </c>
    </row>
    <row r="114">
      <c r="A114" s="8" t="n">
        <v>47543</v>
      </c>
      <c r="B114" s="9">
        <f>IF(ISNUMBER(B$3),B$2*MAX(0,MIN(1,((YEAR($A114)-YEAR(B$3))*12+MONTH($A114)-MONTH(B$3)+1)/'Capacity by month'!$O$2)),0)</f>
        <v/>
      </c>
      <c r="C114" s="9">
        <f>IF(ISNUMBER(C$3),C$2*MAX(0,MIN(1,((YEAR($A114)-YEAR(C$3))*12+MONTH($A114)-MONTH(C$3)+1)/'Capacity by month'!$O$2)),0)</f>
        <v/>
      </c>
      <c r="D114" s="9">
        <f>IF(ISNUMBER(D$3),D$2*MAX(0,MIN(1,((YEAR($A114)-YEAR(D$3))*12+MONTH($A114)-MONTH(D$3)+1)/'Capacity by month'!$O$2)),0)</f>
        <v/>
      </c>
      <c r="E114" s="9">
        <f>IF(ISNUMBER(E$3),E$2*MAX(0,MIN(1,((YEAR($A114)-YEAR(E$3))*12+MONTH($A114)-MONTH(E$3)+1)/'Capacity by month'!$O$2)),0)</f>
        <v/>
      </c>
      <c r="F114" s="9">
        <f>IF(ISNUMBER(F$3),F$2*MAX(0,MIN(1,((YEAR($A114)-YEAR(F$3))*12+MONTH($A114)-MONTH(F$3)+1)/'Capacity by month'!$O$2)),0)</f>
        <v/>
      </c>
      <c r="G114" s="9">
        <f>IF(ISNUMBER(G$3),G$2*MAX(0,MIN(1,((YEAR($A114)-YEAR(G$3))*12+MONTH($A114)-MONTH(G$3)+1)/'Capacity by month'!$O$2)),0)</f>
        <v/>
      </c>
      <c r="H114" s="9">
        <f>IF(ISNUMBER(H$3),H$2*MAX(0,MIN(1,((YEAR($A114)-YEAR(H$3))*12+MONTH($A114)-MONTH(H$3)+1)/'Capacity by month'!$O$2)),0)</f>
        <v/>
      </c>
      <c r="I114" s="9">
        <f>IF(ISNUMBER(I$3),I$2*MAX(0,MIN(1,((YEAR($A114)-YEAR(I$3))*12+MONTH($A114)-MONTH(I$3)+1)/'Capacity by month'!$O$2)),0)</f>
        <v/>
      </c>
      <c r="J114" s="9">
        <f>IF(ISNUMBER(J$3),J$2*MAX(0,MIN(1,((YEAR($A114)-YEAR(J$3))*12+MONTH($A114)-MONTH(J$3)+1)/'Capacity by month'!$O$2)),0)</f>
        <v/>
      </c>
      <c r="K114" s="9">
        <f>IF(ISNUMBER(K$3),K$2*MAX(0,MIN(1,((YEAR($A114)-YEAR(K$3))*12+MONTH($A114)-MONTH(K$3)+1)/'Capacity by month'!$O$2)),0)</f>
        <v/>
      </c>
      <c r="L114" s="9">
        <f>IF(ISNUMBER(L$3),L$2*MAX(0,MIN(1,((YEAR($A114)-YEAR(L$3))*12+MONTH($A114)-MONTH(L$3)+1)/'Capacity by month'!$O$2)),0)</f>
        <v/>
      </c>
      <c r="M114" s="9">
        <f>IF(ISNUMBER(M$3),M$2*MAX(0,MIN(1,((YEAR($A114)-YEAR(M$3))*12+MONTH($A114)-MONTH(M$3)+1)/'Capacity by month'!$O$2)),0)</f>
        <v/>
      </c>
      <c r="N114" s="9">
        <f>IF(ISNUMBER(N$3),N$2*MAX(0,MIN(1,((YEAR($A114)-YEAR(N$3))*12+MONTH($A114)-MONTH(N$3)+1)/'Capacity by month'!$O$2)),0)</f>
        <v/>
      </c>
      <c r="O114" s="9">
        <f>IF(ISNUMBER(O$3),O$2*MAX(0,MIN(1,((YEAR($A114)-YEAR(O$3))*12+MONTH($A114)-MONTH(O$3)+1)/'Capacity by month'!$O$2)),0)</f>
        <v/>
      </c>
      <c r="P114" s="9">
        <f>IF(ISNUMBER(P$3),P$2*MAX(0,MIN(1,((YEAR($A114)-YEAR(P$3))*12+MONTH($A114)-MONTH(P$3)+1)/'Capacity by month'!$O$2)),0)</f>
        <v/>
      </c>
      <c r="Q114" s="9">
        <f>IF(ISNUMBER(Q$3),Q$2*MAX(0,MIN(1,((YEAR($A114)-YEAR(Q$3))*12+MONTH($A114)-MONTH(Q$3)+1)/'Capacity by month'!$O$2)),0)</f>
        <v/>
      </c>
      <c r="R114" s="9">
        <f>IF(ISNUMBER(R$3),R$2*MAX(0,MIN(1,((YEAR($A114)-YEAR(R$3))*12+MONTH($A114)-MONTH(R$3)+1)/'Capacity by month'!$O$2)),0)</f>
        <v/>
      </c>
      <c r="S114" s="9">
        <f>IF(ISNUMBER(S$3),S$2*MAX(0,MIN(1,((YEAR($A114)-YEAR(S$3))*12+MONTH($A114)-MONTH(S$3)+1)/'Capacity by month'!$O$2)),0)</f>
        <v/>
      </c>
      <c r="T114" s="9">
        <f>IF(ISNUMBER(T$3),T$2*MAX(0,MIN(1,((YEAR($A114)-YEAR(T$3))*12+MONTH($A114)-MONTH(T$3)+1)/'Capacity by month'!$O$2)),0)</f>
        <v/>
      </c>
      <c r="U114" s="9">
        <f>IF(ISNUMBER(U$3),U$2*MAX(0,MIN(1,((YEAR($A114)-YEAR(U$3))*12+MONTH($A114)-MONTH(U$3)+1)/'Capacity by month'!$O$2)),0)</f>
        <v/>
      </c>
      <c r="V114" s="9">
        <f>IF(ISNUMBER(V$3),V$2*MAX(0,MIN(1,((YEAR($A114)-YEAR(V$3))*12+MONTH($A114)-MONTH(V$3)+1)/'Capacity by month'!$O$2)),0)</f>
        <v/>
      </c>
      <c r="W114" s="9">
        <f>IF(ISNUMBER(W$3),W$2*MAX(0,MIN(1,((YEAR($A114)-YEAR(W$3))*12+MONTH($A114)-MONTH(W$3)+1)/'Capacity by month'!$O$2)),0)</f>
        <v/>
      </c>
      <c r="X114" s="9">
        <f>IF(ISNUMBER(X$3),X$2*MAX(0,MIN(1,((YEAR($A114)-YEAR(X$3))*12+MONTH($A114)-MONTH(X$3)+1)/'Capacity by month'!$O$2)),0)</f>
        <v/>
      </c>
      <c r="Y114" s="9">
        <f>IF(ISNUMBER(Y$3),Y$2*MAX(0,MIN(1,((YEAR($A114)-YEAR(Y$3))*12+MONTH($A114)-MONTH(Y$3)+1)/'Capacity by month'!$O$2)),0)</f>
        <v/>
      </c>
      <c r="Z114" s="9">
        <f>IF(ISNUMBER(Z$3),Z$2*MAX(0,MIN(1,((YEAR($A114)-YEAR(Z$3))*12+MONTH($A114)-MONTH(Z$3)+1)/'Capacity by month'!$O$2)),0)</f>
        <v/>
      </c>
      <c r="AA114">
        <f>SUM(B114:Z114)</f>
        <v/>
      </c>
      <c r="AB114" t="n">
        <v>0</v>
      </c>
    </row>
    <row r="115">
      <c r="A115" s="8" t="n">
        <v>47574</v>
      </c>
      <c r="B115" s="9">
        <f>IF(ISNUMBER(B$3),B$2*MAX(0,MIN(1,((YEAR($A115)-YEAR(B$3))*12+MONTH($A115)-MONTH(B$3)+1)/'Capacity by month'!$O$2)),0)</f>
        <v/>
      </c>
      <c r="C115" s="9">
        <f>IF(ISNUMBER(C$3),C$2*MAX(0,MIN(1,((YEAR($A115)-YEAR(C$3))*12+MONTH($A115)-MONTH(C$3)+1)/'Capacity by month'!$O$2)),0)</f>
        <v/>
      </c>
      <c r="D115" s="9">
        <f>IF(ISNUMBER(D$3),D$2*MAX(0,MIN(1,((YEAR($A115)-YEAR(D$3))*12+MONTH($A115)-MONTH(D$3)+1)/'Capacity by month'!$O$2)),0)</f>
        <v/>
      </c>
      <c r="E115" s="9">
        <f>IF(ISNUMBER(E$3),E$2*MAX(0,MIN(1,((YEAR($A115)-YEAR(E$3))*12+MONTH($A115)-MONTH(E$3)+1)/'Capacity by month'!$O$2)),0)</f>
        <v/>
      </c>
      <c r="F115" s="9">
        <f>IF(ISNUMBER(F$3),F$2*MAX(0,MIN(1,((YEAR($A115)-YEAR(F$3))*12+MONTH($A115)-MONTH(F$3)+1)/'Capacity by month'!$O$2)),0)</f>
        <v/>
      </c>
      <c r="G115" s="9">
        <f>IF(ISNUMBER(G$3),G$2*MAX(0,MIN(1,((YEAR($A115)-YEAR(G$3))*12+MONTH($A115)-MONTH(G$3)+1)/'Capacity by month'!$O$2)),0)</f>
        <v/>
      </c>
      <c r="H115" s="9">
        <f>IF(ISNUMBER(H$3),H$2*MAX(0,MIN(1,((YEAR($A115)-YEAR(H$3))*12+MONTH($A115)-MONTH(H$3)+1)/'Capacity by month'!$O$2)),0)</f>
        <v/>
      </c>
      <c r="I115" s="9">
        <f>IF(ISNUMBER(I$3),I$2*MAX(0,MIN(1,((YEAR($A115)-YEAR(I$3))*12+MONTH($A115)-MONTH(I$3)+1)/'Capacity by month'!$O$2)),0)</f>
        <v/>
      </c>
      <c r="J115" s="9">
        <f>IF(ISNUMBER(J$3),J$2*MAX(0,MIN(1,((YEAR($A115)-YEAR(J$3))*12+MONTH($A115)-MONTH(J$3)+1)/'Capacity by month'!$O$2)),0)</f>
        <v/>
      </c>
      <c r="K115" s="9">
        <f>IF(ISNUMBER(K$3),K$2*MAX(0,MIN(1,((YEAR($A115)-YEAR(K$3))*12+MONTH($A115)-MONTH(K$3)+1)/'Capacity by month'!$O$2)),0)</f>
        <v/>
      </c>
      <c r="L115" s="9">
        <f>IF(ISNUMBER(L$3),L$2*MAX(0,MIN(1,((YEAR($A115)-YEAR(L$3))*12+MONTH($A115)-MONTH(L$3)+1)/'Capacity by month'!$O$2)),0)</f>
        <v/>
      </c>
      <c r="M115" s="9">
        <f>IF(ISNUMBER(M$3),M$2*MAX(0,MIN(1,((YEAR($A115)-YEAR(M$3))*12+MONTH($A115)-MONTH(M$3)+1)/'Capacity by month'!$O$2)),0)</f>
        <v/>
      </c>
      <c r="N115" s="9">
        <f>IF(ISNUMBER(N$3),N$2*MAX(0,MIN(1,((YEAR($A115)-YEAR(N$3))*12+MONTH($A115)-MONTH(N$3)+1)/'Capacity by month'!$O$2)),0)</f>
        <v/>
      </c>
      <c r="O115" s="9">
        <f>IF(ISNUMBER(O$3),O$2*MAX(0,MIN(1,((YEAR($A115)-YEAR(O$3))*12+MONTH($A115)-MONTH(O$3)+1)/'Capacity by month'!$O$2)),0)</f>
        <v/>
      </c>
      <c r="P115" s="9">
        <f>IF(ISNUMBER(P$3),P$2*MAX(0,MIN(1,((YEAR($A115)-YEAR(P$3))*12+MONTH($A115)-MONTH(P$3)+1)/'Capacity by month'!$O$2)),0)</f>
        <v/>
      </c>
      <c r="Q115" s="9">
        <f>IF(ISNUMBER(Q$3),Q$2*MAX(0,MIN(1,((YEAR($A115)-YEAR(Q$3))*12+MONTH($A115)-MONTH(Q$3)+1)/'Capacity by month'!$O$2)),0)</f>
        <v/>
      </c>
      <c r="R115" s="9">
        <f>IF(ISNUMBER(R$3),R$2*MAX(0,MIN(1,((YEAR($A115)-YEAR(R$3))*12+MONTH($A115)-MONTH(R$3)+1)/'Capacity by month'!$O$2)),0)</f>
        <v/>
      </c>
      <c r="S115" s="9">
        <f>IF(ISNUMBER(S$3),S$2*MAX(0,MIN(1,((YEAR($A115)-YEAR(S$3))*12+MONTH($A115)-MONTH(S$3)+1)/'Capacity by month'!$O$2)),0)</f>
        <v/>
      </c>
      <c r="T115" s="9">
        <f>IF(ISNUMBER(T$3),T$2*MAX(0,MIN(1,((YEAR($A115)-YEAR(T$3))*12+MONTH($A115)-MONTH(T$3)+1)/'Capacity by month'!$O$2)),0)</f>
        <v/>
      </c>
      <c r="U115" s="9">
        <f>IF(ISNUMBER(U$3),U$2*MAX(0,MIN(1,((YEAR($A115)-YEAR(U$3))*12+MONTH($A115)-MONTH(U$3)+1)/'Capacity by month'!$O$2)),0)</f>
        <v/>
      </c>
      <c r="V115" s="9">
        <f>IF(ISNUMBER(V$3),V$2*MAX(0,MIN(1,((YEAR($A115)-YEAR(V$3))*12+MONTH($A115)-MONTH(V$3)+1)/'Capacity by month'!$O$2)),0)</f>
        <v/>
      </c>
      <c r="W115" s="9">
        <f>IF(ISNUMBER(W$3),W$2*MAX(0,MIN(1,((YEAR($A115)-YEAR(W$3))*12+MONTH($A115)-MONTH(W$3)+1)/'Capacity by month'!$O$2)),0)</f>
        <v/>
      </c>
      <c r="X115" s="9">
        <f>IF(ISNUMBER(X$3),X$2*MAX(0,MIN(1,((YEAR($A115)-YEAR(X$3))*12+MONTH($A115)-MONTH(X$3)+1)/'Capacity by month'!$O$2)),0)</f>
        <v/>
      </c>
      <c r="Y115" s="9">
        <f>IF(ISNUMBER(Y$3),Y$2*MAX(0,MIN(1,((YEAR($A115)-YEAR(Y$3))*12+MONTH($A115)-MONTH(Y$3)+1)/'Capacity by month'!$O$2)),0)</f>
        <v/>
      </c>
      <c r="Z115" s="9">
        <f>IF(ISNUMBER(Z$3),Z$2*MAX(0,MIN(1,((YEAR($A115)-YEAR(Z$3))*12+MONTH($A115)-MONTH(Z$3)+1)/'Capacity by month'!$O$2)),0)</f>
        <v/>
      </c>
      <c r="AA115">
        <f>SUM(B115:Z115)</f>
        <v/>
      </c>
      <c r="AB115" t="n">
        <v>0</v>
      </c>
    </row>
    <row r="116">
      <c r="A116" s="8" t="n">
        <v>47604</v>
      </c>
      <c r="B116" s="9">
        <f>IF(ISNUMBER(B$3),B$2*MAX(0,MIN(1,((YEAR($A116)-YEAR(B$3))*12+MONTH($A116)-MONTH(B$3)+1)/'Capacity by month'!$O$2)),0)</f>
        <v/>
      </c>
      <c r="C116" s="9">
        <f>IF(ISNUMBER(C$3),C$2*MAX(0,MIN(1,((YEAR($A116)-YEAR(C$3))*12+MONTH($A116)-MONTH(C$3)+1)/'Capacity by month'!$O$2)),0)</f>
        <v/>
      </c>
      <c r="D116" s="9">
        <f>IF(ISNUMBER(D$3),D$2*MAX(0,MIN(1,((YEAR($A116)-YEAR(D$3))*12+MONTH($A116)-MONTH(D$3)+1)/'Capacity by month'!$O$2)),0)</f>
        <v/>
      </c>
      <c r="E116" s="9">
        <f>IF(ISNUMBER(E$3),E$2*MAX(0,MIN(1,((YEAR($A116)-YEAR(E$3))*12+MONTH($A116)-MONTH(E$3)+1)/'Capacity by month'!$O$2)),0)</f>
        <v/>
      </c>
      <c r="F116" s="9">
        <f>IF(ISNUMBER(F$3),F$2*MAX(0,MIN(1,((YEAR($A116)-YEAR(F$3))*12+MONTH($A116)-MONTH(F$3)+1)/'Capacity by month'!$O$2)),0)</f>
        <v/>
      </c>
      <c r="G116" s="9">
        <f>IF(ISNUMBER(G$3),G$2*MAX(0,MIN(1,((YEAR($A116)-YEAR(G$3))*12+MONTH($A116)-MONTH(G$3)+1)/'Capacity by month'!$O$2)),0)</f>
        <v/>
      </c>
      <c r="H116" s="9">
        <f>IF(ISNUMBER(H$3),H$2*MAX(0,MIN(1,((YEAR($A116)-YEAR(H$3))*12+MONTH($A116)-MONTH(H$3)+1)/'Capacity by month'!$O$2)),0)</f>
        <v/>
      </c>
      <c r="I116" s="9">
        <f>IF(ISNUMBER(I$3),I$2*MAX(0,MIN(1,((YEAR($A116)-YEAR(I$3))*12+MONTH($A116)-MONTH(I$3)+1)/'Capacity by month'!$O$2)),0)</f>
        <v/>
      </c>
      <c r="J116" s="9">
        <f>IF(ISNUMBER(J$3),J$2*MAX(0,MIN(1,((YEAR($A116)-YEAR(J$3))*12+MONTH($A116)-MONTH(J$3)+1)/'Capacity by month'!$O$2)),0)</f>
        <v/>
      </c>
      <c r="K116" s="9">
        <f>IF(ISNUMBER(K$3),K$2*MAX(0,MIN(1,((YEAR($A116)-YEAR(K$3))*12+MONTH($A116)-MONTH(K$3)+1)/'Capacity by month'!$O$2)),0)</f>
        <v/>
      </c>
      <c r="L116" s="9">
        <f>IF(ISNUMBER(L$3),L$2*MAX(0,MIN(1,((YEAR($A116)-YEAR(L$3))*12+MONTH($A116)-MONTH(L$3)+1)/'Capacity by month'!$O$2)),0)</f>
        <v/>
      </c>
      <c r="M116" s="9">
        <f>IF(ISNUMBER(M$3),M$2*MAX(0,MIN(1,((YEAR($A116)-YEAR(M$3))*12+MONTH($A116)-MONTH(M$3)+1)/'Capacity by month'!$O$2)),0)</f>
        <v/>
      </c>
      <c r="N116" s="9">
        <f>IF(ISNUMBER(N$3),N$2*MAX(0,MIN(1,((YEAR($A116)-YEAR(N$3))*12+MONTH($A116)-MONTH(N$3)+1)/'Capacity by month'!$O$2)),0)</f>
        <v/>
      </c>
      <c r="O116" s="9">
        <f>IF(ISNUMBER(O$3),O$2*MAX(0,MIN(1,((YEAR($A116)-YEAR(O$3))*12+MONTH($A116)-MONTH(O$3)+1)/'Capacity by month'!$O$2)),0)</f>
        <v/>
      </c>
      <c r="P116" s="9">
        <f>IF(ISNUMBER(P$3),P$2*MAX(0,MIN(1,((YEAR($A116)-YEAR(P$3))*12+MONTH($A116)-MONTH(P$3)+1)/'Capacity by month'!$O$2)),0)</f>
        <v/>
      </c>
      <c r="Q116" s="9">
        <f>IF(ISNUMBER(Q$3),Q$2*MAX(0,MIN(1,((YEAR($A116)-YEAR(Q$3))*12+MONTH($A116)-MONTH(Q$3)+1)/'Capacity by month'!$O$2)),0)</f>
        <v/>
      </c>
      <c r="R116" s="9">
        <f>IF(ISNUMBER(R$3),R$2*MAX(0,MIN(1,((YEAR($A116)-YEAR(R$3))*12+MONTH($A116)-MONTH(R$3)+1)/'Capacity by month'!$O$2)),0)</f>
        <v/>
      </c>
      <c r="S116" s="9">
        <f>IF(ISNUMBER(S$3),S$2*MAX(0,MIN(1,((YEAR($A116)-YEAR(S$3))*12+MONTH($A116)-MONTH(S$3)+1)/'Capacity by month'!$O$2)),0)</f>
        <v/>
      </c>
      <c r="T116" s="9">
        <f>IF(ISNUMBER(T$3),T$2*MAX(0,MIN(1,((YEAR($A116)-YEAR(T$3))*12+MONTH($A116)-MONTH(T$3)+1)/'Capacity by month'!$O$2)),0)</f>
        <v/>
      </c>
      <c r="U116" s="9">
        <f>IF(ISNUMBER(U$3),U$2*MAX(0,MIN(1,((YEAR($A116)-YEAR(U$3))*12+MONTH($A116)-MONTH(U$3)+1)/'Capacity by month'!$O$2)),0)</f>
        <v/>
      </c>
      <c r="V116" s="9">
        <f>IF(ISNUMBER(V$3),V$2*MAX(0,MIN(1,((YEAR($A116)-YEAR(V$3))*12+MONTH($A116)-MONTH(V$3)+1)/'Capacity by month'!$O$2)),0)</f>
        <v/>
      </c>
      <c r="W116" s="9">
        <f>IF(ISNUMBER(W$3),W$2*MAX(0,MIN(1,((YEAR($A116)-YEAR(W$3))*12+MONTH($A116)-MONTH(W$3)+1)/'Capacity by month'!$O$2)),0)</f>
        <v/>
      </c>
      <c r="X116" s="9">
        <f>IF(ISNUMBER(X$3),X$2*MAX(0,MIN(1,((YEAR($A116)-YEAR(X$3))*12+MONTH($A116)-MONTH(X$3)+1)/'Capacity by month'!$O$2)),0)</f>
        <v/>
      </c>
      <c r="Y116" s="9">
        <f>IF(ISNUMBER(Y$3),Y$2*MAX(0,MIN(1,((YEAR($A116)-YEAR(Y$3))*12+MONTH($A116)-MONTH(Y$3)+1)/'Capacity by month'!$O$2)),0)</f>
        <v/>
      </c>
      <c r="Z116" s="9">
        <f>IF(ISNUMBER(Z$3),Z$2*MAX(0,MIN(1,((YEAR($A116)-YEAR(Z$3))*12+MONTH($A116)-MONTH(Z$3)+1)/'Capacity by month'!$O$2)),0)</f>
        <v/>
      </c>
      <c r="AA116">
        <f>SUM(B116:Z116)</f>
        <v/>
      </c>
      <c r="AB116" t="n">
        <v>0</v>
      </c>
    </row>
    <row r="117">
      <c r="A117" s="8" t="n">
        <v>47635</v>
      </c>
      <c r="B117" s="9">
        <f>IF(ISNUMBER(B$3),B$2*MAX(0,MIN(1,((YEAR($A117)-YEAR(B$3))*12+MONTH($A117)-MONTH(B$3)+1)/'Capacity by month'!$O$2)),0)</f>
        <v/>
      </c>
      <c r="C117" s="9">
        <f>IF(ISNUMBER(C$3),C$2*MAX(0,MIN(1,((YEAR($A117)-YEAR(C$3))*12+MONTH($A117)-MONTH(C$3)+1)/'Capacity by month'!$O$2)),0)</f>
        <v/>
      </c>
      <c r="D117" s="9">
        <f>IF(ISNUMBER(D$3),D$2*MAX(0,MIN(1,((YEAR($A117)-YEAR(D$3))*12+MONTH($A117)-MONTH(D$3)+1)/'Capacity by month'!$O$2)),0)</f>
        <v/>
      </c>
      <c r="E117" s="9">
        <f>IF(ISNUMBER(E$3),E$2*MAX(0,MIN(1,((YEAR($A117)-YEAR(E$3))*12+MONTH($A117)-MONTH(E$3)+1)/'Capacity by month'!$O$2)),0)</f>
        <v/>
      </c>
      <c r="F117" s="9">
        <f>IF(ISNUMBER(F$3),F$2*MAX(0,MIN(1,((YEAR($A117)-YEAR(F$3))*12+MONTH($A117)-MONTH(F$3)+1)/'Capacity by month'!$O$2)),0)</f>
        <v/>
      </c>
      <c r="G117" s="9">
        <f>IF(ISNUMBER(G$3),G$2*MAX(0,MIN(1,((YEAR($A117)-YEAR(G$3))*12+MONTH($A117)-MONTH(G$3)+1)/'Capacity by month'!$O$2)),0)</f>
        <v/>
      </c>
      <c r="H117" s="9">
        <f>IF(ISNUMBER(H$3),H$2*MAX(0,MIN(1,((YEAR($A117)-YEAR(H$3))*12+MONTH($A117)-MONTH(H$3)+1)/'Capacity by month'!$O$2)),0)</f>
        <v/>
      </c>
      <c r="I117" s="9">
        <f>IF(ISNUMBER(I$3),I$2*MAX(0,MIN(1,((YEAR($A117)-YEAR(I$3))*12+MONTH($A117)-MONTH(I$3)+1)/'Capacity by month'!$O$2)),0)</f>
        <v/>
      </c>
      <c r="J117" s="9">
        <f>IF(ISNUMBER(J$3),J$2*MAX(0,MIN(1,((YEAR($A117)-YEAR(J$3))*12+MONTH($A117)-MONTH(J$3)+1)/'Capacity by month'!$O$2)),0)</f>
        <v/>
      </c>
      <c r="K117" s="9">
        <f>IF(ISNUMBER(K$3),K$2*MAX(0,MIN(1,((YEAR($A117)-YEAR(K$3))*12+MONTH($A117)-MONTH(K$3)+1)/'Capacity by month'!$O$2)),0)</f>
        <v/>
      </c>
      <c r="L117" s="9">
        <f>IF(ISNUMBER(L$3),L$2*MAX(0,MIN(1,((YEAR($A117)-YEAR(L$3))*12+MONTH($A117)-MONTH(L$3)+1)/'Capacity by month'!$O$2)),0)</f>
        <v/>
      </c>
      <c r="M117" s="9">
        <f>IF(ISNUMBER(M$3),M$2*MAX(0,MIN(1,((YEAR($A117)-YEAR(M$3))*12+MONTH($A117)-MONTH(M$3)+1)/'Capacity by month'!$O$2)),0)</f>
        <v/>
      </c>
      <c r="N117" s="9">
        <f>IF(ISNUMBER(N$3),N$2*MAX(0,MIN(1,((YEAR($A117)-YEAR(N$3))*12+MONTH($A117)-MONTH(N$3)+1)/'Capacity by month'!$O$2)),0)</f>
        <v/>
      </c>
      <c r="O117" s="9">
        <f>IF(ISNUMBER(O$3),O$2*MAX(0,MIN(1,((YEAR($A117)-YEAR(O$3))*12+MONTH($A117)-MONTH(O$3)+1)/'Capacity by month'!$O$2)),0)</f>
        <v/>
      </c>
      <c r="P117" s="9">
        <f>IF(ISNUMBER(P$3),P$2*MAX(0,MIN(1,((YEAR($A117)-YEAR(P$3))*12+MONTH($A117)-MONTH(P$3)+1)/'Capacity by month'!$O$2)),0)</f>
        <v/>
      </c>
      <c r="Q117" s="9">
        <f>IF(ISNUMBER(Q$3),Q$2*MAX(0,MIN(1,((YEAR($A117)-YEAR(Q$3))*12+MONTH($A117)-MONTH(Q$3)+1)/'Capacity by month'!$O$2)),0)</f>
        <v/>
      </c>
      <c r="R117" s="9">
        <f>IF(ISNUMBER(R$3),R$2*MAX(0,MIN(1,((YEAR($A117)-YEAR(R$3))*12+MONTH($A117)-MONTH(R$3)+1)/'Capacity by month'!$O$2)),0)</f>
        <v/>
      </c>
      <c r="S117" s="9">
        <f>IF(ISNUMBER(S$3),S$2*MAX(0,MIN(1,((YEAR($A117)-YEAR(S$3))*12+MONTH($A117)-MONTH(S$3)+1)/'Capacity by month'!$O$2)),0)</f>
        <v/>
      </c>
      <c r="T117" s="9">
        <f>IF(ISNUMBER(T$3),T$2*MAX(0,MIN(1,((YEAR($A117)-YEAR(T$3))*12+MONTH($A117)-MONTH(T$3)+1)/'Capacity by month'!$O$2)),0)</f>
        <v/>
      </c>
      <c r="U117" s="9">
        <f>IF(ISNUMBER(U$3),U$2*MAX(0,MIN(1,((YEAR($A117)-YEAR(U$3))*12+MONTH($A117)-MONTH(U$3)+1)/'Capacity by month'!$O$2)),0)</f>
        <v/>
      </c>
      <c r="V117" s="9">
        <f>IF(ISNUMBER(V$3),V$2*MAX(0,MIN(1,((YEAR($A117)-YEAR(V$3))*12+MONTH($A117)-MONTH(V$3)+1)/'Capacity by month'!$O$2)),0)</f>
        <v/>
      </c>
      <c r="W117" s="9">
        <f>IF(ISNUMBER(W$3),W$2*MAX(0,MIN(1,((YEAR($A117)-YEAR(W$3))*12+MONTH($A117)-MONTH(W$3)+1)/'Capacity by month'!$O$2)),0)</f>
        <v/>
      </c>
      <c r="X117" s="9">
        <f>IF(ISNUMBER(X$3),X$2*MAX(0,MIN(1,((YEAR($A117)-YEAR(X$3))*12+MONTH($A117)-MONTH(X$3)+1)/'Capacity by month'!$O$2)),0)</f>
        <v/>
      </c>
      <c r="Y117" s="9">
        <f>IF(ISNUMBER(Y$3),Y$2*MAX(0,MIN(1,((YEAR($A117)-YEAR(Y$3))*12+MONTH($A117)-MONTH(Y$3)+1)/'Capacity by month'!$O$2)),0)</f>
        <v/>
      </c>
      <c r="Z117" s="9">
        <f>IF(ISNUMBER(Z$3),Z$2*MAX(0,MIN(1,((YEAR($A117)-YEAR(Z$3))*12+MONTH($A117)-MONTH(Z$3)+1)/'Capacity by month'!$O$2)),0)</f>
        <v/>
      </c>
      <c r="AA117">
        <f>SUM(B117:Z117)</f>
        <v/>
      </c>
      <c r="AB117" t="n">
        <v>0</v>
      </c>
    </row>
    <row r="118">
      <c r="A118" s="8" t="n">
        <v>47665</v>
      </c>
      <c r="B118" s="9">
        <f>IF(ISNUMBER(B$3),B$2*MAX(0,MIN(1,((YEAR($A118)-YEAR(B$3))*12+MONTH($A118)-MONTH(B$3)+1)/'Capacity by month'!$O$2)),0)</f>
        <v/>
      </c>
      <c r="C118" s="9">
        <f>IF(ISNUMBER(C$3),C$2*MAX(0,MIN(1,((YEAR($A118)-YEAR(C$3))*12+MONTH($A118)-MONTH(C$3)+1)/'Capacity by month'!$O$2)),0)</f>
        <v/>
      </c>
      <c r="D118" s="9">
        <f>IF(ISNUMBER(D$3),D$2*MAX(0,MIN(1,((YEAR($A118)-YEAR(D$3))*12+MONTH($A118)-MONTH(D$3)+1)/'Capacity by month'!$O$2)),0)</f>
        <v/>
      </c>
      <c r="E118" s="9">
        <f>IF(ISNUMBER(E$3),E$2*MAX(0,MIN(1,((YEAR($A118)-YEAR(E$3))*12+MONTH($A118)-MONTH(E$3)+1)/'Capacity by month'!$O$2)),0)</f>
        <v/>
      </c>
      <c r="F118" s="9">
        <f>IF(ISNUMBER(F$3),F$2*MAX(0,MIN(1,((YEAR($A118)-YEAR(F$3))*12+MONTH($A118)-MONTH(F$3)+1)/'Capacity by month'!$O$2)),0)</f>
        <v/>
      </c>
      <c r="G118" s="9">
        <f>IF(ISNUMBER(G$3),G$2*MAX(0,MIN(1,((YEAR($A118)-YEAR(G$3))*12+MONTH($A118)-MONTH(G$3)+1)/'Capacity by month'!$O$2)),0)</f>
        <v/>
      </c>
      <c r="H118" s="9">
        <f>IF(ISNUMBER(H$3),H$2*MAX(0,MIN(1,((YEAR($A118)-YEAR(H$3))*12+MONTH($A118)-MONTH(H$3)+1)/'Capacity by month'!$O$2)),0)</f>
        <v/>
      </c>
      <c r="I118" s="9">
        <f>IF(ISNUMBER(I$3),I$2*MAX(0,MIN(1,((YEAR($A118)-YEAR(I$3))*12+MONTH($A118)-MONTH(I$3)+1)/'Capacity by month'!$O$2)),0)</f>
        <v/>
      </c>
      <c r="J118" s="9">
        <f>IF(ISNUMBER(J$3),J$2*MAX(0,MIN(1,((YEAR($A118)-YEAR(J$3))*12+MONTH($A118)-MONTH(J$3)+1)/'Capacity by month'!$O$2)),0)</f>
        <v/>
      </c>
      <c r="K118" s="9">
        <f>IF(ISNUMBER(K$3),K$2*MAX(0,MIN(1,((YEAR($A118)-YEAR(K$3))*12+MONTH($A118)-MONTH(K$3)+1)/'Capacity by month'!$O$2)),0)</f>
        <v/>
      </c>
      <c r="L118" s="9">
        <f>IF(ISNUMBER(L$3),L$2*MAX(0,MIN(1,((YEAR($A118)-YEAR(L$3))*12+MONTH($A118)-MONTH(L$3)+1)/'Capacity by month'!$O$2)),0)</f>
        <v/>
      </c>
      <c r="M118" s="9">
        <f>IF(ISNUMBER(M$3),M$2*MAX(0,MIN(1,((YEAR($A118)-YEAR(M$3))*12+MONTH($A118)-MONTH(M$3)+1)/'Capacity by month'!$O$2)),0)</f>
        <v/>
      </c>
      <c r="N118" s="9">
        <f>IF(ISNUMBER(N$3),N$2*MAX(0,MIN(1,((YEAR($A118)-YEAR(N$3))*12+MONTH($A118)-MONTH(N$3)+1)/'Capacity by month'!$O$2)),0)</f>
        <v/>
      </c>
      <c r="O118" s="9">
        <f>IF(ISNUMBER(O$3),O$2*MAX(0,MIN(1,((YEAR($A118)-YEAR(O$3))*12+MONTH($A118)-MONTH(O$3)+1)/'Capacity by month'!$O$2)),0)</f>
        <v/>
      </c>
      <c r="P118" s="9">
        <f>IF(ISNUMBER(P$3),P$2*MAX(0,MIN(1,((YEAR($A118)-YEAR(P$3))*12+MONTH($A118)-MONTH(P$3)+1)/'Capacity by month'!$O$2)),0)</f>
        <v/>
      </c>
      <c r="Q118" s="9">
        <f>IF(ISNUMBER(Q$3),Q$2*MAX(0,MIN(1,((YEAR($A118)-YEAR(Q$3))*12+MONTH($A118)-MONTH(Q$3)+1)/'Capacity by month'!$O$2)),0)</f>
        <v/>
      </c>
      <c r="R118" s="9">
        <f>IF(ISNUMBER(R$3),R$2*MAX(0,MIN(1,((YEAR($A118)-YEAR(R$3))*12+MONTH($A118)-MONTH(R$3)+1)/'Capacity by month'!$O$2)),0)</f>
        <v/>
      </c>
      <c r="S118" s="9">
        <f>IF(ISNUMBER(S$3),S$2*MAX(0,MIN(1,((YEAR($A118)-YEAR(S$3))*12+MONTH($A118)-MONTH(S$3)+1)/'Capacity by month'!$O$2)),0)</f>
        <v/>
      </c>
      <c r="T118" s="9">
        <f>IF(ISNUMBER(T$3),T$2*MAX(0,MIN(1,((YEAR($A118)-YEAR(T$3))*12+MONTH($A118)-MONTH(T$3)+1)/'Capacity by month'!$O$2)),0)</f>
        <v/>
      </c>
      <c r="U118" s="9">
        <f>IF(ISNUMBER(U$3),U$2*MAX(0,MIN(1,((YEAR($A118)-YEAR(U$3))*12+MONTH($A118)-MONTH(U$3)+1)/'Capacity by month'!$O$2)),0)</f>
        <v/>
      </c>
      <c r="V118" s="9">
        <f>IF(ISNUMBER(V$3),V$2*MAX(0,MIN(1,((YEAR($A118)-YEAR(V$3))*12+MONTH($A118)-MONTH(V$3)+1)/'Capacity by month'!$O$2)),0)</f>
        <v/>
      </c>
      <c r="W118" s="9">
        <f>IF(ISNUMBER(W$3),W$2*MAX(0,MIN(1,((YEAR($A118)-YEAR(W$3))*12+MONTH($A118)-MONTH(W$3)+1)/'Capacity by month'!$O$2)),0)</f>
        <v/>
      </c>
      <c r="X118" s="9">
        <f>IF(ISNUMBER(X$3),X$2*MAX(0,MIN(1,((YEAR($A118)-YEAR(X$3))*12+MONTH($A118)-MONTH(X$3)+1)/'Capacity by month'!$O$2)),0)</f>
        <v/>
      </c>
      <c r="Y118" s="9">
        <f>IF(ISNUMBER(Y$3),Y$2*MAX(0,MIN(1,((YEAR($A118)-YEAR(Y$3))*12+MONTH($A118)-MONTH(Y$3)+1)/'Capacity by month'!$O$2)),0)</f>
        <v/>
      </c>
      <c r="Z118" s="9">
        <f>IF(ISNUMBER(Z$3),Z$2*MAX(0,MIN(1,((YEAR($A118)-YEAR(Z$3))*12+MONTH($A118)-MONTH(Z$3)+1)/'Capacity by month'!$O$2)),0)</f>
        <v/>
      </c>
      <c r="AA118">
        <f>SUM(B118:Z118)</f>
        <v/>
      </c>
      <c r="AB118" t="n">
        <v>0</v>
      </c>
    </row>
    <row r="119">
      <c r="A119" s="8" t="n">
        <v>47696</v>
      </c>
      <c r="B119" s="9">
        <f>IF(ISNUMBER(B$3),B$2*MAX(0,MIN(1,((YEAR($A119)-YEAR(B$3))*12+MONTH($A119)-MONTH(B$3)+1)/'Capacity by month'!$O$2)),0)</f>
        <v/>
      </c>
      <c r="C119" s="9">
        <f>IF(ISNUMBER(C$3),C$2*MAX(0,MIN(1,((YEAR($A119)-YEAR(C$3))*12+MONTH($A119)-MONTH(C$3)+1)/'Capacity by month'!$O$2)),0)</f>
        <v/>
      </c>
      <c r="D119" s="9">
        <f>IF(ISNUMBER(D$3),D$2*MAX(0,MIN(1,((YEAR($A119)-YEAR(D$3))*12+MONTH($A119)-MONTH(D$3)+1)/'Capacity by month'!$O$2)),0)</f>
        <v/>
      </c>
      <c r="E119" s="9">
        <f>IF(ISNUMBER(E$3),E$2*MAX(0,MIN(1,((YEAR($A119)-YEAR(E$3))*12+MONTH($A119)-MONTH(E$3)+1)/'Capacity by month'!$O$2)),0)</f>
        <v/>
      </c>
      <c r="F119" s="9">
        <f>IF(ISNUMBER(F$3),F$2*MAX(0,MIN(1,((YEAR($A119)-YEAR(F$3))*12+MONTH($A119)-MONTH(F$3)+1)/'Capacity by month'!$O$2)),0)</f>
        <v/>
      </c>
      <c r="G119" s="9">
        <f>IF(ISNUMBER(G$3),G$2*MAX(0,MIN(1,((YEAR($A119)-YEAR(G$3))*12+MONTH($A119)-MONTH(G$3)+1)/'Capacity by month'!$O$2)),0)</f>
        <v/>
      </c>
      <c r="H119" s="9">
        <f>IF(ISNUMBER(H$3),H$2*MAX(0,MIN(1,((YEAR($A119)-YEAR(H$3))*12+MONTH($A119)-MONTH(H$3)+1)/'Capacity by month'!$O$2)),0)</f>
        <v/>
      </c>
      <c r="I119" s="9">
        <f>IF(ISNUMBER(I$3),I$2*MAX(0,MIN(1,((YEAR($A119)-YEAR(I$3))*12+MONTH($A119)-MONTH(I$3)+1)/'Capacity by month'!$O$2)),0)</f>
        <v/>
      </c>
      <c r="J119" s="9">
        <f>IF(ISNUMBER(J$3),J$2*MAX(0,MIN(1,((YEAR($A119)-YEAR(J$3))*12+MONTH($A119)-MONTH(J$3)+1)/'Capacity by month'!$O$2)),0)</f>
        <v/>
      </c>
      <c r="K119" s="9">
        <f>IF(ISNUMBER(K$3),K$2*MAX(0,MIN(1,((YEAR($A119)-YEAR(K$3))*12+MONTH($A119)-MONTH(K$3)+1)/'Capacity by month'!$O$2)),0)</f>
        <v/>
      </c>
      <c r="L119" s="9">
        <f>IF(ISNUMBER(L$3),L$2*MAX(0,MIN(1,((YEAR($A119)-YEAR(L$3))*12+MONTH($A119)-MONTH(L$3)+1)/'Capacity by month'!$O$2)),0)</f>
        <v/>
      </c>
      <c r="M119" s="9">
        <f>IF(ISNUMBER(M$3),M$2*MAX(0,MIN(1,((YEAR($A119)-YEAR(M$3))*12+MONTH($A119)-MONTH(M$3)+1)/'Capacity by month'!$O$2)),0)</f>
        <v/>
      </c>
      <c r="N119" s="9">
        <f>IF(ISNUMBER(N$3),N$2*MAX(0,MIN(1,((YEAR($A119)-YEAR(N$3))*12+MONTH($A119)-MONTH(N$3)+1)/'Capacity by month'!$O$2)),0)</f>
        <v/>
      </c>
      <c r="O119" s="9">
        <f>IF(ISNUMBER(O$3),O$2*MAX(0,MIN(1,((YEAR($A119)-YEAR(O$3))*12+MONTH($A119)-MONTH(O$3)+1)/'Capacity by month'!$O$2)),0)</f>
        <v/>
      </c>
      <c r="P119" s="9">
        <f>IF(ISNUMBER(P$3),P$2*MAX(0,MIN(1,((YEAR($A119)-YEAR(P$3))*12+MONTH($A119)-MONTH(P$3)+1)/'Capacity by month'!$O$2)),0)</f>
        <v/>
      </c>
      <c r="Q119" s="9">
        <f>IF(ISNUMBER(Q$3),Q$2*MAX(0,MIN(1,((YEAR($A119)-YEAR(Q$3))*12+MONTH($A119)-MONTH(Q$3)+1)/'Capacity by month'!$O$2)),0)</f>
        <v/>
      </c>
      <c r="R119" s="9">
        <f>IF(ISNUMBER(R$3),R$2*MAX(0,MIN(1,((YEAR($A119)-YEAR(R$3))*12+MONTH($A119)-MONTH(R$3)+1)/'Capacity by month'!$O$2)),0)</f>
        <v/>
      </c>
      <c r="S119" s="9">
        <f>IF(ISNUMBER(S$3),S$2*MAX(0,MIN(1,((YEAR($A119)-YEAR(S$3))*12+MONTH($A119)-MONTH(S$3)+1)/'Capacity by month'!$O$2)),0)</f>
        <v/>
      </c>
      <c r="T119" s="9">
        <f>IF(ISNUMBER(T$3),T$2*MAX(0,MIN(1,((YEAR($A119)-YEAR(T$3))*12+MONTH($A119)-MONTH(T$3)+1)/'Capacity by month'!$O$2)),0)</f>
        <v/>
      </c>
      <c r="U119" s="9">
        <f>IF(ISNUMBER(U$3),U$2*MAX(0,MIN(1,((YEAR($A119)-YEAR(U$3))*12+MONTH($A119)-MONTH(U$3)+1)/'Capacity by month'!$O$2)),0)</f>
        <v/>
      </c>
      <c r="V119" s="9">
        <f>IF(ISNUMBER(V$3),V$2*MAX(0,MIN(1,((YEAR($A119)-YEAR(V$3))*12+MONTH($A119)-MONTH(V$3)+1)/'Capacity by month'!$O$2)),0)</f>
        <v/>
      </c>
      <c r="W119" s="9">
        <f>IF(ISNUMBER(W$3),W$2*MAX(0,MIN(1,((YEAR($A119)-YEAR(W$3))*12+MONTH($A119)-MONTH(W$3)+1)/'Capacity by month'!$O$2)),0)</f>
        <v/>
      </c>
      <c r="X119" s="9">
        <f>IF(ISNUMBER(X$3),X$2*MAX(0,MIN(1,((YEAR($A119)-YEAR(X$3))*12+MONTH($A119)-MONTH(X$3)+1)/'Capacity by month'!$O$2)),0)</f>
        <v/>
      </c>
      <c r="Y119" s="9">
        <f>IF(ISNUMBER(Y$3),Y$2*MAX(0,MIN(1,((YEAR($A119)-YEAR(Y$3))*12+MONTH($A119)-MONTH(Y$3)+1)/'Capacity by month'!$O$2)),0)</f>
        <v/>
      </c>
      <c r="Z119" s="9">
        <f>IF(ISNUMBER(Z$3),Z$2*MAX(0,MIN(1,((YEAR($A119)-YEAR(Z$3))*12+MONTH($A119)-MONTH(Z$3)+1)/'Capacity by month'!$O$2)),0)</f>
        <v/>
      </c>
      <c r="AA119">
        <f>SUM(B119:Z119)</f>
        <v/>
      </c>
      <c r="AB119" t="n">
        <v>0</v>
      </c>
    </row>
    <row r="120">
      <c r="A120" s="8" t="n">
        <v>47727</v>
      </c>
      <c r="B120" s="9">
        <f>IF(ISNUMBER(B$3),B$2*MAX(0,MIN(1,((YEAR($A120)-YEAR(B$3))*12+MONTH($A120)-MONTH(B$3)+1)/'Capacity by month'!$O$2)),0)</f>
        <v/>
      </c>
      <c r="C120" s="9">
        <f>IF(ISNUMBER(C$3),C$2*MAX(0,MIN(1,((YEAR($A120)-YEAR(C$3))*12+MONTH($A120)-MONTH(C$3)+1)/'Capacity by month'!$O$2)),0)</f>
        <v/>
      </c>
      <c r="D120" s="9">
        <f>IF(ISNUMBER(D$3),D$2*MAX(0,MIN(1,((YEAR($A120)-YEAR(D$3))*12+MONTH($A120)-MONTH(D$3)+1)/'Capacity by month'!$O$2)),0)</f>
        <v/>
      </c>
      <c r="E120" s="9">
        <f>IF(ISNUMBER(E$3),E$2*MAX(0,MIN(1,((YEAR($A120)-YEAR(E$3))*12+MONTH($A120)-MONTH(E$3)+1)/'Capacity by month'!$O$2)),0)</f>
        <v/>
      </c>
      <c r="F120" s="9">
        <f>IF(ISNUMBER(F$3),F$2*MAX(0,MIN(1,((YEAR($A120)-YEAR(F$3))*12+MONTH($A120)-MONTH(F$3)+1)/'Capacity by month'!$O$2)),0)</f>
        <v/>
      </c>
      <c r="G120" s="9">
        <f>IF(ISNUMBER(G$3),G$2*MAX(0,MIN(1,((YEAR($A120)-YEAR(G$3))*12+MONTH($A120)-MONTH(G$3)+1)/'Capacity by month'!$O$2)),0)</f>
        <v/>
      </c>
      <c r="H120" s="9">
        <f>IF(ISNUMBER(H$3),H$2*MAX(0,MIN(1,((YEAR($A120)-YEAR(H$3))*12+MONTH($A120)-MONTH(H$3)+1)/'Capacity by month'!$O$2)),0)</f>
        <v/>
      </c>
      <c r="I120" s="9">
        <f>IF(ISNUMBER(I$3),I$2*MAX(0,MIN(1,((YEAR($A120)-YEAR(I$3))*12+MONTH($A120)-MONTH(I$3)+1)/'Capacity by month'!$O$2)),0)</f>
        <v/>
      </c>
      <c r="J120" s="9">
        <f>IF(ISNUMBER(J$3),J$2*MAX(0,MIN(1,((YEAR($A120)-YEAR(J$3))*12+MONTH($A120)-MONTH(J$3)+1)/'Capacity by month'!$O$2)),0)</f>
        <v/>
      </c>
      <c r="K120" s="9">
        <f>IF(ISNUMBER(K$3),K$2*MAX(0,MIN(1,((YEAR($A120)-YEAR(K$3))*12+MONTH($A120)-MONTH(K$3)+1)/'Capacity by month'!$O$2)),0)</f>
        <v/>
      </c>
      <c r="L120" s="9">
        <f>IF(ISNUMBER(L$3),L$2*MAX(0,MIN(1,((YEAR($A120)-YEAR(L$3))*12+MONTH($A120)-MONTH(L$3)+1)/'Capacity by month'!$O$2)),0)</f>
        <v/>
      </c>
      <c r="M120" s="9">
        <f>IF(ISNUMBER(M$3),M$2*MAX(0,MIN(1,((YEAR($A120)-YEAR(M$3))*12+MONTH($A120)-MONTH(M$3)+1)/'Capacity by month'!$O$2)),0)</f>
        <v/>
      </c>
      <c r="N120" s="9">
        <f>IF(ISNUMBER(N$3),N$2*MAX(0,MIN(1,((YEAR($A120)-YEAR(N$3))*12+MONTH($A120)-MONTH(N$3)+1)/'Capacity by month'!$O$2)),0)</f>
        <v/>
      </c>
      <c r="O120" s="9">
        <f>IF(ISNUMBER(O$3),O$2*MAX(0,MIN(1,((YEAR($A120)-YEAR(O$3))*12+MONTH($A120)-MONTH(O$3)+1)/'Capacity by month'!$O$2)),0)</f>
        <v/>
      </c>
      <c r="P120" s="9">
        <f>IF(ISNUMBER(P$3),P$2*MAX(0,MIN(1,((YEAR($A120)-YEAR(P$3))*12+MONTH($A120)-MONTH(P$3)+1)/'Capacity by month'!$O$2)),0)</f>
        <v/>
      </c>
      <c r="Q120" s="9">
        <f>IF(ISNUMBER(Q$3),Q$2*MAX(0,MIN(1,((YEAR($A120)-YEAR(Q$3))*12+MONTH($A120)-MONTH(Q$3)+1)/'Capacity by month'!$O$2)),0)</f>
        <v/>
      </c>
      <c r="R120" s="9">
        <f>IF(ISNUMBER(R$3),R$2*MAX(0,MIN(1,((YEAR($A120)-YEAR(R$3))*12+MONTH($A120)-MONTH(R$3)+1)/'Capacity by month'!$O$2)),0)</f>
        <v/>
      </c>
      <c r="S120" s="9">
        <f>IF(ISNUMBER(S$3),S$2*MAX(0,MIN(1,((YEAR($A120)-YEAR(S$3))*12+MONTH($A120)-MONTH(S$3)+1)/'Capacity by month'!$O$2)),0)</f>
        <v/>
      </c>
      <c r="T120" s="9">
        <f>IF(ISNUMBER(T$3),T$2*MAX(0,MIN(1,((YEAR($A120)-YEAR(T$3))*12+MONTH($A120)-MONTH(T$3)+1)/'Capacity by month'!$O$2)),0)</f>
        <v/>
      </c>
      <c r="U120" s="9">
        <f>IF(ISNUMBER(U$3),U$2*MAX(0,MIN(1,((YEAR($A120)-YEAR(U$3))*12+MONTH($A120)-MONTH(U$3)+1)/'Capacity by month'!$O$2)),0)</f>
        <v/>
      </c>
      <c r="V120" s="9">
        <f>IF(ISNUMBER(V$3),V$2*MAX(0,MIN(1,((YEAR($A120)-YEAR(V$3))*12+MONTH($A120)-MONTH(V$3)+1)/'Capacity by month'!$O$2)),0)</f>
        <v/>
      </c>
      <c r="W120" s="9">
        <f>IF(ISNUMBER(W$3),W$2*MAX(0,MIN(1,((YEAR($A120)-YEAR(W$3))*12+MONTH($A120)-MONTH(W$3)+1)/'Capacity by month'!$O$2)),0)</f>
        <v/>
      </c>
      <c r="X120" s="9">
        <f>IF(ISNUMBER(X$3),X$2*MAX(0,MIN(1,((YEAR($A120)-YEAR(X$3))*12+MONTH($A120)-MONTH(X$3)+1)/'Capacity by month'!$O$2)),0)</f>
        <v/>
      </c>
      <c r="Y120" s="9">
        <f>IF(ISNUMBER(Y$3),Y$2*MAX(0,MIN(1,((YEAR($A120)-YEAR(Y$3))*12+MONTH($A120)-MONTH(Y$3)+1)/'Capacity by month'!$O$2)),0)</f>
        <v/>
      </c>
      <c r="Z120" s="9">
        <f>IF(ISNUMBER(Z$3),Z$2*MAX(0,MIN(1,((YEAR($A120)-YEAR(Z$3))*12+MONTH($A120)-MONTH(Z$3)+1)/'Capacity by month'!$O$2)),0)</f>
        <v/>
      </c>
      <c r="AA120">
        <f>SUM(B120:Z120)</f>
        <v/>
      </c>
      <c r="AB120" t="n">
        <v>0</v>
      </c>
    </row>
    <row r="121">
      <c r="A121" s="8" t="n">
        <v>47757</v>
      </c>
      <c r="B121" s="9">
        <f>IF(ISNUMBER(B$3),B$2*MAX(0,MIN(1,((YEAR($A121)-YEAR(B$3))*12+MONTH($A121)-MONTH(B$3)+1)/'Capacity by month'!$O$2)),0)</f>
        <v/>
      </c>
      <c r="C121" s="9">
        <f>IF(ISNUMBER(C$3),C$2*MAX(0,MIN(1,((YEAR($A121)-YEAR(C$3))*12+MONTH($A121)-MONTH(C$3)+1)/'Capacity by month'!$O$2)),0)</f>
        <v/>
      </c>
      <c r="D121" s="9">
        <f>IF(ISNUMBER(D$3),D$2*MAX(0,MIN(1,((YEAR($A121)-YEAR(D$3))*12+MONTH($A121)-MONTH(D$3)+1)/'Capacity by month'!$O$2)),0)</f>
        <v/>
      </c>
      <c r="E121" s="9">
        <f>IF(ISNUMBER(E$3),E$2*MAX(0,MIN(1,((YEAR($A121)-YEAR(E$3))*12+MONTH($A121)-MONTH(E$3)+1)/'Capacity by month'!$O$2)),0)</f>
        <v/>
      </c>
      <c r="F121" s="9">
        <f>IF(ISNUMBER(F$3),F$2*MAX(0,MIN(1,((YEAR($A121)-YEAR(F$3))*12+MONTH($A121)-MONTH(F$3)+1)/'Capacity by month'!$O$2)),0)</f>
        <v/>
      </c>
      <c r="G121" s="9">
        <f>IF(ISNUMBER(G$3),G$2*MAX(0,MIN(1,((YEAR($A121)-YEAR(G$3))*12+MONTH($A121)-MONTH(G$3)+1)/'Capacity by month'!$O$2)),0)</f>
        <v/>
      </c>
      <c r="H121" s="9">
        <f>IF(ISNUMBER(H$3),H$2*MAX(0,MIN(1,((YEAR($A121)-YEAR(H$3))*12+MONTH($A121)-MONTH(H$3)+1)/'Capacity by month'!$O$2)),0)</f>
        <v/>
      </c>
      <c r="I121" s="9">
        <f>IF(ISNUMBER(I$3),I$2*MAX(0,MIN(1,((YEAR($A121)-YEAR(I$3))*12+MONTH($A121)-MONTH(I$3)+1)/'Capacity by month'!$O$2)),0)</f>
        <v/>
      </c>
      <c r="J121" s="9">
        <f>IF(ISNUMBER(J$3),J$2*MAX(0,MIN(1,((YEAR($A121)-YEAR(J$3))*12+MONTH($A121)-MONTH(J$3)+1)/'Capacity by month'!$O$2)),0)</f>
        <v/>
      </c>
      <c r="K121" s="9">
        <f>IF(ISNUMBER(K$3),K$2*MAX(0,MIN(1,((YEAR($A121)-YEAR(K$3))*12+MONTH($A121)-MONTH(K$3)+1)/'Capacity by month'!$O$2)),0)</f>
        <v/>
      </c>
      <c r="L121" s="9">
        <f>IF(ISNUMBER(L$3),L$2*MAX(0,MIN(1,((YEAR($A121)-YEAR(L$3))*12+MONTH($A121)-MONTH(L$3)+1)/'Capacity by month'!$O$2)),0)</f>
        <v/>
      </c>
      <c r="M121" s="9">
        <f>IF(ISNUMBER(M$3),M$2*MAX(0,MIN(1,((YEAR($A121)-YEAR(M$3))*12+MONTH($A121)-MONTH(M$3)+1)/'Capacity by month'!$O$2)),0)</f>
        <v/>
      </c>
      <c r="N121" s="9">
        <f>IF(ISNUMBER(N$3),N$2*MAX(0,MIN(1,((YEAR($A121)-YEAR(N$3))*12+MONTH($A121)-MONTH(N$3)+1)/'Capacity by month'!$O$2)),0)</f>
        <v/>
      </c>
      <c r="O121" s="9">
        <f>IF(ISNUMBER(O$3),O$2*MAX(0,MIN(1,((YEAR($A121)-YEAR(O$3))*12+MONTH($A121)-MONTH(O$3)+1)/'Capacity by month'!$O$2)),0)</f>
        <v/>
      </c>
      <c r="P121" s="9">
        <f>IF(ISNUMBER(P$3),P$2*MAX(0,MIN(1,((YEAR($A121)-YEAR(P$3))*12+MONTH($A121)-MONTH(P$3)+1)/'Capacity by month'!$O$2)),0)</f>
        <v/>
      </c>
      <c r="Q121" s="9">
        <f>IF(ISNUMBER(Q$3),Q$2*MAX(0,MIN(1,((YEAR($A121)-YEAR(Q$3))*12+MONTH($A121)-MONTH(Q$3)+1)/'Capacity by month'!$O$2)),0)</f>
        <v/>
      </c>
      <c r="R121" s="9">
        <f>IF(ISNUMBER(R$3),R$2*MAX(0,MIN(1,((YEAR($A121)-YEAR(R$3))*12+MONTH($A121)-MONTH(R$3)+1)/'Capacity by month'!$O$2)),0)</f>
        <v/>
      </c>
      <c r="S121" s="9">
        <f>IF(ISNUMBER(S$3),S$2*MAX(0,MIN(1,((YEAR($A121)-YEAR(S$3))*12+MONTH($A121)-MONTH(S$3)+1)/'Capacity by month'!$O$2)),0)</f>
        <v/>
      </c>
      <c r="T121" s="9">
        <f>IF(ISNUMBER(T$3),T$2*MAX(0,MIN(1,((YEAR($A121)-YEAR(T$3))*12+MONTH($A121)-MONTH(T$3)+1)/'Capacity by month'!$O$2)),0)</f>
        <v/>
      </c>
      <c r="U121" s="9">
        <f>IF(ISNUMBER(U$3),U$2*MAX(0,MIN(1,((YEAR($A121)-YEAR(U$3))*12+MONTH($A121)-MONTH(U$3)+1)/'Capacity by month'!$O$2)),0)</f>
        <v/>
      </c>
      <c r="V121" s="9">
        <f>IF(ISNUMBER(V$3),V$2*MAX(0,MIN(1,((YEAR($A121)-YEAR(V$3))*12+MONTH($A121)-MONTH(V$3)+1)/'Capacity by month'!$O$2)),0)</f>
        <v/>
      </c>
      <c r="W121" s="9">
        <f>IF(ISNUMBER(W$3),W$2*MAX(0,MIN(1,((YEAR($A121)-YEAR(W$3))*12+MONTH($A121)-MONTH(W$3)+1)/'Capacity by month'!$O$2)),0)</f>
        <v/>
      </c>
      <c r="X121" s="9">
        <f>IF(ISNUMBER(X$3),X$2*MAX(0,MIN(1,((YEAR($A121)-YEAR(X$3))*12+MONTH($A121)-MONTH(X$3)+1)/'Capacity by month'!$O$2)),0)</f>
        <v/>
      </c>
      <c r="Y121" s="9">
        <f>IF(ISNUMBER(Y$3),Y$2*MAX(0,MIN(1,((YEAR($A121)-YEAR(Y$3))*12+MONTH($A121)-MONTH(Y$3)+1)/'Capacity by month'!$O$2)),0)</f>
        <v/>
      </c>
      <c r="Z121" s="9">
        <f>IF(ISNUMBER(Z$3),Z$2*MAX(0,MIN(1,((YEAR($A121)-YEAR(Z$3))*12+MONTH($A121)-MONTH(Z$3)+1)/'Capacity by month'!$O$2)),0)</f>
        <v/>
      </c>
      <c r="AA121">
        <f>SUM(B121:Z121)</f>
        <v/>
      </c>
      <c r="AB121" t="n">
        <v>0</v>
      </c>
    </row>
    <row r="122">
      <c r="A122" s="8" t="n">
        <v>47788</v>
      </c>
      <c r="B122" s="9">
        <f>IF(ISNUMBER(B$3),B$2*MAX(0,MIN(1,((YEAR($A122)-YEAR(B$3))*12+MONTH($A122)-MONTH(B$3)+1)/'Capacity by month'!$O$2)),0)</f>
        <v/>
      </c>
      <c r="C122" s="9">
        <f>IF(ISNUMBER(C$3),C$2*MAX(0,MIN(1,((YEAR($A122)-YEAR(C$3))*12+MONTH($A122)-MONTH(C$3)+1)/'Capacity by month'!$O$2)),0)</f>
        <v/>
      </c>
      <c r="D122" s="9">
        <f>IF(ISNUMBER(D$3),D$2*MAX(0,MIN(1,((YEAR($A122)-YEAR(D$3))*12+MONTH($A122)-MONTH(D$3)+1)/'Capacity by month'!$O$2)),0)</f>
        <v/>
      </c>
      <c r="E122" s="9">
        <f>IF(ISNUMBER(E$3),E$2*MAX(0,MIN(1,((YEAR($A122)-YEAR(E$3))*12+MONTH($A122)-MONTH(E$3)+1)/'Capacity by month'!$O$2)),0)</f>
        <v/>
      </c>
      <c r="F122" s="9">
        <f>IF(ISNUMBER(F$3),F$2*MAX(0,MIN(1,((YEAR($A122)-YEAR(F$3))*12+MONTH($A122)-MONTH(F$3)+1)/'Capacity by month'!$O$2)),0)</f>
        <v/>
      </c>
      <c r="G122" s="9">
        <f>IF(ISNUMBER(G$3),G$2*MAX(0,MIN(1,((YEAR($A122)-YEAR(G$3))*12+MONTH($A122)-MONTH(G$3)+1)/'Capacity by month'!$O$2)),0)</f>
        <v/>
      </c>
      <c r="H122" s="9">
        <f>IF(ISNUMBER(H$3),H$2*MAX(0,MIN(1,((YEAR($A122)-YEAR(H$3))*12+MONTH($A122)-MONTH(H$3)+1)/'Capacity by month'!$O$2)),0)</f>
        <v/>
      </c>
      <c r="I122" s="9">
        <f>IF(ISNUMBER(I$3),I$2*MAX(0,MIN(1,((YEAR($A122)-YEAR(I$3))*12+MONTH($A122)-MONTH(I$3)+1)/'Capacity by month'!$O$2)),0)</f>
        <v/>
      </c>
      <c r="J122" s="9">
        <f>IF(ISNUMBER(J$3),J$2*MAX(0,MIN(1,((YEAR($A122)-YEAR(J$3))*12+MONTH($A122)-MONTH(J$3)+1)/'Capacity by month'!$O$2)),0)</f>
        <v/>
      </c>
      <c r="K122" s="9">
        <f>IF(ISNUMBER(K$3),K$2*MAX(0,MIN(1,((YEAR($A122)-YEAR(K$3))*12+MONTH($A122)-MONTH(K$3)+1)/'Capacity by month'!$O$2)),0)</f>
        <v/>
      </c>
      <c r="L122" s="9">
        <f>IF(ISNUMBER(L$3),L$2*MAX(0,MIN(1,((YEAR($A122)-YEAR(L$3))*12+MONTH($A122)-MONTH(L$3)+1)/'Capacity by month'!$O$2)),0)</f>
        <v/>
      </c>
      <c r="M122" s="9">
        <f>IF(ISNUMBER(M$3),M$2*MAX(0,MIN(1,((YEAR($A122)-YEAR(M$3))*12+MONTH($A122)-MONTH(M$3)+1)/'Capacity by month'!$O$2)),0)</f>
        <v/>
      </c>
      <c r="N122" s="9">
        <f>IF(ISNUMBER(N$3),N$2*MAX(0,MIN(1,((YEAR($A122)-YEAR(N$3))*12+MONTH($A122)-MONTH(N$3)+1)/'Capacity by month'!$O$2)),0)</f>
        <v/>
      </c>
      <c r="O122" s="9">
        <f>IF(ISNUMBER(O$3),O$2*MAX(0,MIN(1,((YEAR($A122)-YEAR(O$3))*12+MONTH($A122)-MONTH(O$3)+1)/'Capacity by month'!$O$2)),0)</f>
        <v/>
      </c>
      <c r="P122" s="9">
        <f>IF(ISNUMBER(P$3),P$2*MAX(0,MIN(1,((YEAR($A122)-YEAR(P$3))*12+MONTH($A122)-MONTH(P$3)+1)/'Capacity by month'!$O$2)),0)</f>
        <v/>
      </c>
      <c r="Q122" s="9">
        <f>IF(ISNUMBER(Q$3),Q$2*MAX(0,MIN(1,((YEAR($A122)-YEAR(Q$3))*12+MONTH($A122)-MONTH(Q$3)+1)/'Capacity by month'!$O$2)),0)</f>
        <v/>
      </c>
      <c r="R122" s="9">
        <f>IF(ISNUMBER(R$3),R$2*MAX(0,MIN(1,((YEAR($A122)-YEAR(R$3))*12+MONTH($A122)-MONTH(R$3)+1)/'Capacity by month'!$O$2)),0)</f>
        <v/>
      </c>
      <c r="S122" s="9">
        <f>IF(ISNUMBER(S$3),S$2*MAX(0,MIN(1,((YEAR($A122)-YEAR(S$3))*12+MONTH($A122)-MONTH(S$3)+1)/'Capacity by month'!$O$2)),0)</f>
        <v/>
      </c>
      <c r="T122" s="9">
        <f>IF(ISNUMBER(T$3),T$2*MAX(0,MIN(1,((YEAR($A122)-YEAR(T$3))*12+MONTH($A122)-MONTH(T$3)+1)/'Capacity by month'!$O$2)),0)</f>
        <v/>
      </c>
      <c r="U122" s="9">
        <f>IF(ISNUMBER(U$3),U$2*MAX(0,MIN(1,((YEAR($A122)-YEAR(U$3))*12+MONTH($A122)-MONTH(U$3)+1)/'Capacity by month'!$O$2)),0)</f>
        <v/>
      </c>
      <c r="V122" s="9">
        <f>IF(ISNUMBER(V$3),V$2*MAX(0,MIN(1,((YEAR($A122)-YEAR(V$3))*12+MONTH($A122)-MONTH(V$3)+1)/'Capacity by month'!$O$2)),0)</f>
        <v/>
      </c>
      <c r="W122" s="9">
        <f>IF(ISNUMBER(W$3),W$2*MAX(0,MIN(1,((YEAR($A122)-YEAR(W$3))*12+MONTH($A122)-MONTH(W$3)+1)/'Capacity by month'!$O$2)),0)</f>
        <v/>
      </c>
      <c r="X122" s="9">
        <f>IF(ISNUMBER(X$3),X$2*MAX(0,MIN(1,((YEAR($A122)-YEAR(X$3))*12+MONTH($A122)-MONTH(X$3)+1)/'Capacity by month'!$O$2)),0)</f>
        <v/>
      </c>
      <c r="Y122" s="9">
        <f>IF(ISNUMBER(Y$3),Y$2*MAX(0,MIN(1,((YEAR($A122)-YEAR(Y$3))*12+MONTH($A122)-MONTH(Y$3)+1)/'Capacity by month'!$O$2)),0)</f>
        <v/>
      </c>
      <c r="Z122" s="9">
        <f>IF(ISNUMBER(Z$3),Z$2*MAX(0,MIN(1,((YEAR($A122)-YEAR(Z$3))*12+MONTH($A122)-MONTH(Z$3)+1)/'Capacity by month'!$O$2)),0)</f>
        <v/>
      </c>
      <c r="AA122">
        <f>SUM(B122:Z122)</f>
        <v/>
      </c>
      <c r="AB122" t="n">
        <v>0</v>
      </c>
    </row>
    <row r="123">
      <c r="A123" s="8" t="n">
        <v>47818</v>
      </c>
      <c r="B123" s="9">
        <f>IF(ISNUMBER(B$3),B$2*MAX(0,MIN(1,((YEAR($A123)-YEAR(B$3))*12+MONTH($A123)-MONTH(B$3)+1)/'Capacity by month'!$O$2)),0)</f>
        <v/>
      </c>
      <c r="C123" s="9">
        <f>IF(ISNUMBER(C$3),C$2*MAX(0,MIN(1,((YEAR($A123)-YEAR(C$3))*12+MONTH($A123)-MONTH(C$3)+1)/'Capacity by month'!$O$2)),0)</f>
        <v/>
      </c>
      <c r="D123" s="9">
        <f>IF(ISNUMBER(D$3),D$2*MAX(0,MIN(1,((YEAR($A123)-YEAR(D$3))*12+MONTH($A123)-MONTH(D$3)+1)/'Capacity by month'!$O$2)),0)</f>
        <v/>
      </c>
      <c r="E123" s="9">
        <f>IF(ISNUMBER(E$3),E$2*MAX(0,MIN(1,((YEAR($A123)-YEAR(E$3))*12+MONTH($A123)-MONTH(E$3)+1)/'Capacity by month'!$O$2)),0)</f>
        <v/>
      </c>
      <c r="F123" s="9">
        <f>IF(ISNUMBER(F$3),F$2*MAX(0,MIN(1,((YEAR($A123)-YEAR(F$3))*12+MONTH($A123)-MONTH(F$3)+1)/'Capacity by month'!$O$2)),0)</f>
        <v/>
      </c>
      <c r="G123" s="9">
        <f>IF(ISNUMBER(G$3),G$2*MAX(0,MIN(1,((YEAR($A123)-YEAR(G$3))*12+MONTH($A123)-MONTH(G$3)+1)/'Capacity by month'!$O$2)),0)</f>
        <v/>
      </c>
      <c r="H123" s="9">
        <f>IF(ISNUMBER(H$3),H$2*MAX(0,MIN(1,((YEAR($A123)-YEAR(H$3))*12+MONTH($A123)-MONTH(H$3)+1)/'Capacity by month'!$O$2)),0)</f>
        <v/>
      </c>
      <c r="I123" s="9">
        <f>IF(ISNUMBER(I$3),I$2*MAX(0,MIN(1,((YEAR($A123)-YEAR(I$3))*12+MONTH($A123)-MONTH(I$3)+1)/'Capacity by month'!$O$2)),0)</f>
        <v/>
      </c>
      <c r="J123" s="9">
        <f>IF(ISNUMBER(J$3),J$2*MAX(0,MIN(1,((YEAR($A123)-YEAR(J$3))*12+MONTH($A123)-MONTH(J$3)+1)/'Capacity by month'!$O$2)),0)</f>
        <v/>
      </c>
      <c r="K123" s="9">
        <f>IF(ISNUMBER(K$3),K$2*MAX(0,MIN(1,((YEAR($A123)-YEAR(K$3))*12+MONTH($A123)-MONTH(K$3)+1)/'Capacity by month'!$O$2)),0)</f>
        <v/>
      </c>
      <c r="L123" s="9">
        <f>IF(ISNUMBER(L$3),L$2*MAX(0,MIN(1,((YEAR($A123)-YEAR(L$3))*12+MONTH($A123)-MONTH(L$3)+1)/'Capacity by month'!$O$2)),0)</f>
        <v/>
      </c>
      <c r="M123" s="9">
        <f>IF(ISNUMBER(M$3),M$2*MAX(0,MIN(1,((YEAR($A123)-YEAR(M$3))*12+MONTH($A123)-MONTH(M$3)+1)/'Capacity by month'!$O$2)),0)</f>
        <v/>
      </c>
      <c r="N123" s="9">
        <f>IF(ISNUMBER(N$3),N$2*MAX(0,MIN(1,((YEAR($A123)-YEAR(N$3))*12+MONTH($A123)-MONTH(N$3)+1)/'Capacity by month'!$O$2)),0)</f>
        <v/>
      </c>
      <c r="O123" s="9">
        <f>IF(ISNUMBER(O$3),O$2*MAX(0,MIN(1,((YEAR($A123)-YEAR(O$3))*12+MONTH($A123)-MONTH(O$3)+1)/'Capacity by month'!$O$2)),0)</f>
        <v/>
      </c>
      <c r="P123" s="9">
        <f>IF(ISNUMBER(P$3),P$2*MAX(0,MIN(1,((YEAR($A123)-YEAR(P$3))*12+MONTH($A123)-MONTH(P$3)+1)/'Capacity by month'!$O$2)),0)</f>
        <v/>
      </c>
      <c r="Q123" s="9">
        <f>IF(ISNUMBER(Q$3),Q$2*MAX(0,MIN(1,((YEAR($A123)-YEAR(Q$3))*12+MONTH($A123)-MONTH(Q$3)+1)/'Capacity by month'!$O$2)),0)</f>
        <v/>
      </c>
      <c r="R123" s="9">
        <f>IF(ISNUMBER(R$3),R$2*MAX(0,MIN(1,((YEAR($A123)-YEAR(R$3))*12+MONTH($A123)-MONTH(R$3)+1)/'Capacity by month'!$O$2)),0)</f>
        <v/>
      </c>
      <c r="S123" s="9">
        <f>IF(ISNUMBER(S$3),S$2*MAX(0,MIN(1,((YEAR($A123)-YEAR(S$3))*12+MONTH($A123)-MONTH(S$3)+1)/'Capacity by month'!$O$2)),0)</f>
        <v/>
      </c>
      <c r="T123" s="9">
        <f>IF(ISNUMBER(T$3),T$2*MAX(0,MIN(1,((YEAR($A123)-YEAR(T$3))*12+MONTH($A123)-MONTH(T$3)+1)/'Capacity by month'!$O$2)),0)</f>
        <v/>
      </c>
      <c r="U123" s="9">
        <f>IF(ISNUMBER(U$3),U$2*MAX(0,MIN(1,((YEAR($A123)-YEAR(U$3))*12+MONTH($A123)-MONTH(U$3)+1)/'Capacity by month'!$O$2)),0)</f>
        <v/>
      </c>
      <c r="V123" s="9">
        <f>IF(ISNUMBER(V$3),V$2*MAX(0,MIN(1,((YEAR($A123)-YEAR(V$3))*12+MONTH($A123)-MONTH(V$3)+1)/'Capacity by month'!$O$2)),0)</f>
        <v/>
      </c>
      <c r="W123" s="9">
        <f>IF(ISNUMBER(W$3),W$2*MAX(0,MIN(1,((YEAR($A123)-YEAR(W$3))*12+MONTH($A123)-MONTH(W$3)+1)/'Capacity by month'!$O$2)),0)</f>
        <v/>
      </c>
      <c r="X123" s="9">
        <f>IF(ISNUMBER(X$3),X$2*MAX(0,MIN(1,((YEAR($A123)-YEAR(X$3))*12+MONTH($A123)-MONTH(X$3)+1)/'Capacity by month'!$O$2)),0)</f>
        <v/>
      </c>
      <c r="Y123" s="9">
        <f>IF(ISNUMBER(Y$3),Y$2*MAX(0,MIN(1,((YEAR($A123)-YEAR(Y$3))*12+MONTH($A123)-MONTH(Y$3)+1)/'Capacity by month'!$O$2)),0)</f>
        <v/>
      </c>
      <c r="Z123" s="9">
        <f>IF(ISNUMBER(Z$3),Z$2*MAX(0,MIN(1,((YEAR($A123)-YEAR(Z$3))*12+MONTH($A123)-MONTH(Z$3)+1)/'Capacity by month'!$O$2)),0)</f>
        <v/>
      </c>
      <c r="AA123">
        <f>SUM(B123:Z123)</f>
        <v/>
      </c>
      <c r="AB1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2026-10-12T12:04:10Z</dcterms:created>
  <dcterms:modified xsi:type="dcterms:W3CDTF">2026-10-12T12:04:11Z</dcterms:modified>
</cp:coreProperties>
</file>