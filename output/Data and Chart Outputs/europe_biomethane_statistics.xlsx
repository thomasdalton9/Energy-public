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Chart - Annual" sheetId="3" state="visible" r:id="rId3"/>
    <sheet name="Monthly" sheetId="4" state="visible" r:id="rId4"/>
    <sheet name="Annual" sheetId="5" state="visible" r:id="rId5"/>
    <sheet name="Annual national" sheetId="6" state="visible" r:id="rId6"/>
    <sheet name="Crosscheck" sheetId="7" state="visible" r:id="rId7"/>
  </sheets>
  <definedNames/>
  <calcPr calcId="124519" fullCalcOnLoad="1"/>
</workbook>
</file>

<file path=xl/styles.xml><?xml version="1.0" encoding="utf-8"?>
<styleSheet xmlns="http://schemas.openxmlformats.org/spreadsheetml/2006/main">
  <numFmts count="4">
    <numFmt numFmtId="164" formatCode="YYYY-MM-DD HH:MM:SS"/>
    <numFmt numFmtId="165" formatCode="yyyy-mm-dd h:mm:ss"/>
    <numFmt numFmtId="166" formatCode="mmm/yy"/>
    <numFmt numFmtId="167" formatCode="yy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164" fontId="0" fillId="0" borderId="0" pivotButton="0" quotePrefix="0" xfId="0"/>
    <xf numFmtId="166" fontId="0" fillId="0" borderId="0" pivotButton="0" quotePrefix="0" xfId="0"/>
    <xf numFmtId="167"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rPr sz="1200" b="1"/>
              <a:t>Biomethane injected into the gas grid, monthly (national sources) (to Sep/26)</a:t>
            </a:r>
          </a:p>
        </rich>
      </tx>
      <overlay val="0"/>
    </title>
    <plotArea>
      <lineChart>
        <grouping val="standard"/>
        <ser>
          <idx val="0"/>
          <order val="0"/>
          <tx>
            <strRef>
              <f>'Chart'!B1</f>
            </strRef>
          </tx>
          <spPr>
            <a:ln w="22225">
              <a:solidFill>
                <a:srgbClr val="2A78D6"/>
              </a:solidFill>
              <a:prstDash val="solid"/>
            </a:ln>
          </spPr>
          <marker>
            <symbol val="none"/>
            <spPr>
              <a:ln>
                <a:prstDash val="solid"/>
              </a:ln>
            </spPr>
          </marker>
          <cat>
            <numRef>
              <f>'Chart'!$A$2:$A$94</f>
            </numRef>
          </cat>
          <val>
            <numRef>
              <f>'Chart'!$B$2:$B$94</f>
            </numRef>
          </val>
          <smooth val="0"/>
        </ser>
        <ser>
          <idx val="1"/>
          <order val="1"/>
          <tx>
            <strRef>
              <f>'Chart'!C1</f>
            </strRef>
          </tx>
          <spPr>
            <a:ln w="22225">
              <a:solidFill>
                <a:srgbClr val="EB6834"/>
              </a:solidFill>
              <a:prstDash val="solid"/>
            </a:ln>
          </spPr>
          <marker>
            <symbol val="none"/>
            <spPr>
              <a:ln>
                <a:prstDash val="solid"/>
              </a:ln>
            </spPr>
          </marker>
          <cat>
            <numRef>
              <f>'Chart'!$A$2:$A$94</f>
            </numRef>
          </cat>
          <val>
            <numRef>
              <f>'Chart'!$C$2:$C$94</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7"/>
        <tickMarkSkip val="7"/>
      </catAx>
      <valAx>
        <axId val="100"/>
        <scaling>
          <orientation val="minMax"/>
        </scaling>
        <delete val="0"/>
        <axPos val="l"/>
        <majorGridlines/>
        <title>
          <tx>
            <rich>
              <a:bodyPr/>
              <a:p>
                <a:pPr>
                  <a:defRPr/>
                </a:pPr>
                <a:r>
                  <a:t>TWh per month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Biomethane blended into / injected in the gas grid, annual by country (Eurostat; UK after 2019 DESNZ) (to 2025)</a:t>
            </a:r>
          </a:p>
        </rich>
      </tx>
      <overlay val="0"/>
    </title>
    <plotArea>
      <barChart>
        <barDir val="col"/>
        <grouping val="stacked"/>
        <ser>
          <idx val="0"/>
          <order val="0"/>
          <tx>
            <strRef>
              <f>'Chart - Annual'!B1</f>
            </strRef>
          </tx>
          <spPr>
            <a:solidFill>
              <a:srgbClr val="2A78D6"/>
            </a:solidFill>
            <a:ln>
              <a:noFill/>
              <a:prstDash val="solid"/>
            </a:ln>
          </spPr>
          <cat>
            <numRef>
              <f>'Chart - Annual'!$A$2:$A$15</f>
            </numRef>
          </cat>
          <val>
            <numRef>
              <f>'Chart - Annual'!$B$2:$B$15</f>
            </numRef>
          </val>
        </ser>
        <ser>
          <idx val="1"/>
          <order val="1"/>
          <tx>
            <strRef>
              <f>'Chart - Annual'!C1</f>
            </strRef>
          </tx>
          <spPr>
            <a:solidFill>
              <a:srgbClr val="EB6834"/>
            </a:solidFill>
            <a:ln>
              <a:noFill/>
              <a:prstDash val="solid"/>
            </a:ln>
          </spPr>
          <cat>
            <numRef>
              <f>'Chart - Annual'!$A$2:$A$15</f>
            </numRef>
          </cat>
          <val>
            <numRef>
              <f>'Chart - Annual'!$C$2:$C$15</f>
            </numRef>
          </val>
        </ser>
        <ser>
          <idx val="2"/>
          <order val="2"/>
          <tx>
            <strRef>
              <f>'Chart - Annual'!D1</f>
            </strRef>
          </tx>
          <spPr>
            <a:solidFill>
              <a:srgbClr val="1BAF7A"/>
            </a:solidFill>
            <a:ln>
              <a:noFill/>
              <a:prstDash val="solid"/>
            </a:ln>
          </spPr>
          <cat>
            <numRef>
              <f>'Chart - Annual'!$A$2:$A$15</f>
            </numRef>
          </cat>
          <val>
            <numRef>
              <f>'Chart - Annual'!$D$2:$D$15</f>
            </numRef>
          </val>
        </ser>
        <ser>
          <idx val="3"/>
          <order val="3"/>
          <tx>
            <strRef>
              <f>'Chart - Annual'!E1</f>
            </strRef>
          </tx>
          <spPr>
            <a:solidFill>
              <a:srgbClr val="EDA100"/>
            </a:solidFill>
            <a:ln>
              <a:noFill/>
              <a:prstDash val="solid"/>
            </a:ln>
          </spPr>
          <cat>
            <numRef>
              <f>'Chart - Annual'!$A$2:$A$15</f>
            </numRef>
          </cat>
          <val>
            <numRef>
              <f>'Chart - Annual'!$E$2:$E$15</f>
            </numRef>
          </val>
        </ser>
        <ser>
          <idx val="4"/>
          <order val="4"/>
          <tx>
            <strRef>
              <f>'Chart - Annual'!F1</f>
            </strRef>
          </tx>
          <spPr>
            <a:solidFill>
              <a:srgbClr val="E87BA4"/>
            </a:solidFill>
            <a:ln>
              <a:noFill/>
              <a:prstDash val="solid"/>
            </a:ln>
          </spPr>
          <cat>
            <numRef>
              <f>'Chart - Annual'!$A$2:$A$15</f>
            </numRef>
          </cat>
          <val>
            <numRef>
              <f>'Chart - Annual'!$F$2:$F$15</f>
            </numRef>
          </val>
        </ser>
        <ser>
          <idx val="5"/>
          <order val="5"/>
          <tx>
            <strRef>
              <f>'Chart - Annual'!G1</f>
            </strRef>
          </tx>
          <spPr>
            <a:solidFill>
              <a:srgbClr val="008300"/>
            </a:solidFill>
            <a:ln>
              <a:noFill/>
              <a:prstDash val="solid"/>
            </a:ln>
          </spPr>
          <cat>
            <numRef>
              <f>'Chart - Annual'!$A$2:$A$15</f>
            </numRef>
          </cat>
          <val>
            <numRef>
              <f>'Chart - Annual'!$G$2:$G$15</f>
            </numRef>
          </val>
        </ser>
        <ser>
          <idx val="6"/>
          <order val="6"/>
          <tx>
            <strRef>
              <f>'Chart - Annual'!H1</f>
            </strRef>
          </tx>
          <spPr>
            <a:solidFill>
              <a:srgbClr val="9A9A9A"/>
            </a:solidFill>
            <a:ln>
              <a:noFill/>
              <a:prstDash val="solid"/>
            </a:ln>
          </spPr>
          <cat>
            <numRef>
              <f>'Chart - Annual'!$A$2:$A$15</f>
            </numRef>
          </cat>
          <val>
            <numRef>
              <f>'Chart - Annual'!$H$2:$H$15</f>
            </numRef>
          </val>
        </ser>
        <ser>
          <idx val="7"/>
          <order val="7"/>
          <tx>
            <strRef>
              <f>'Chart - Annual'!I1</f>
            </strRef>
          </tx>
          <spPr>
            <a:solidFill>
              <a:srgbClr val="9A9A9A"/>
            </a:solidFill>
            <a:ln>
              <a:noFill/>
              <a:prstDash val="solid"/>
            </a:ln>
          </spPr>
          <cat>
            <numRef>
              <f>'Chart - Annual'!$A$2:$A$15</f>
            </numRef>
          </cat>
          <val>
            <numRef>
              <f>'Chart - Annual'!$I$2:$I$15</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TWh per year</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10" customWidth="1" min="1" max="1"/>
  </cols>
  <sheetData>
    <row r="1">
      <c r="A1" s="1" t="inlineStr">
        <is>
          <t>Notes</t>
        </is>
      </c>
    </row>
    <row r="2">
      <c r="A2" t="inlineStr">
        <is>
          <t>Europe - biomethane (upgraded biogas) injected into gas grids: raw operator and statistical data</t>
        </is>
      </c>
    </row>
    <row r="3"/>
    <row r="4">
      <c r="A4" s="1" t="inlineStr">
        <is>
          <t>Source</t>
        </is>
      </c>
    </row>
    <row r="5">
      <c r="A5" t="inlineStr">
        <is>
          <t>Great Britain: DESNZ Energy Trends 4.2 (https://www.gov.uk/government/statistics/gas-section-4-energy-trends). Austria: AGGM data monitor (https://platform.aggm.at). Annual all-country table: Eurostat energy balances nrg_bal_c (https://ec.europa.eu/eurostat/databrowser/view/nrg_bal_c).</t>
        </is>
      </c>
    </row>
    <row r="6"/>
    <row r="7">
      <c r="A7" s="1" t="inlineStr">
        <is>
          <t>Units and definitions</t>
        </is>
      </c>
    </row>
    <row r="8">
      <c r="A8" t="inlineStr">
        <is>
          <t>GB_biomethane_GWh: Great Britain (UK national statistics): DESNZ Energy Trends table 4.2 'Biomethane to grid', GWh gross calorific value per month. Biomethane injected into the gas grid (transmission and distribution), NOT raw biogas and NOT biogas burnt for power. Estimated for the latest months; revised methodology from 2019.</t>
        </is>
      </c>
    </row>
    <row r="9">
      <c r="A9" t="inlineStr">
        <is>
          <t>AT_biomethane_GWh: Austria: AGGM data monitor, biomethane production allocated at the entry points of the three market areas (East, Tyrol, Vorarlberg), GWh per month. Biomethane injected into the gas grid only; biogas used for power is not included.</t>
        </is>
      </c>
    </row>
    <row r="10">
      <c r="A10" t="inlineStr">
        <is>
          <t>SE_upgraded_biogas_all_uses_TWh / SE_fed_into_gas_networks_TWh (sheet Annual national): Swedish Energy Agency official statistics 'Production and use of biogas' (EN0124_2 'Upgate' = biogas upgraded to biomethane, whatever its use - mostly vehicle fuel; EN0124_4 = fed into the biogas/gas networks, counties summed, 2023 on). Sweden's gas grid is small: only the second series is grid injection.</t>
        </is>
      </c>
    </row>
    <row r="11">
      <c r="A11" t="inlineStr">
        <is>
          <t>&lt;CC&gt;_biomethane_TWh (sheet Annual): Eurostat nrg_bal_c, product 'Biogases' (R5300), flow TI_BNG_E 'transformation input - for blending with natural gas', unit GWh converted to TWh, per year. This is the biogas upgraded to biomethane and fed into the natural gas grid as reported by the national statistics offices (annual only; latest years provisional or missing). It is not total biogas production and excludes biogas used for electricity/heat. UK = United Kingdom (Eurostat has UK data to 2019 only). EU27 = Eurostat aggregate; EU27_sum_of_countries_TWh is the sum of the member-state columns.</t>
        </is>
      </c>
    </row>
    <row r="12">
      <c r="A12" t="inlineStr">
        <is>
          <t>Crosscheck sheet: annual (12-month) sums of the monthly national series next to the Eurostat figure.</t>
        </is>
      </c>
    </row>
    <row r="13"/>
    <row r="14">
      <c r="A14" t="inlineStr">
        <is>
          <t>Caveats and validation</t>
        </is>
      </c>
    </row>
    <row r="15">
      <c r="A15" t="inlineStr">
        <is>
          <t>Great Britain: the DESNZ monthly values are smooth (a constant daily rate per year, i.e. modelled/estimated from the quarterly and annual returns, note 6/7 on the sheet), not metered monthly data. National Gas's data portal carries biomethane for one NTS-connected plant only (Glentham), most GB biomethane enters distribution networks, so no operator daily series exists. DESNZ 2019 4.71 TWh vs Eurostat UK 4.89 TWh (gross vs net CV / revisions).</t>
        </is>
      </c>
    </row>
    <row r="16">
      <c r="A16" t="inlineStr">
        <is>
          <t>Austria: AGGM series SummeBioOesterreich exists from 2023; before that the East market area only (Tyrol and Vorarlberg entry series start 2023), so 2019-2022 are slightly understated. AGGM 2023 = 155 GWh vs Eurostat 121 GWh vs EBA Statistical Report 2024 (131 GWh injected by 14 plants). A zero/low month (Nov 2025) is a source gap, not a plant stop.</t>
        </is>
      </c>
    </row>
    <row r="17">
      <c r="A17" t="inlineStr">
        <is>
          <t>EBA Statistical Report (full country tables) is members-only; only a 17-page preview is public, so EBA is not tabulated here. GIE/EBA European Biomethane Map 2026 (PDF, no data download): installed capacity 8.2 bcm/year at end Q2 2026, 1,974 plants (86% grid-connected) - capacity, not injected volume. Eurostat EU27 was 33.2 TWh in 2023 and 37.1 TWh in 2024; Germany starts in 2021 (earlier years not reported, so the 2020-21 EU27 jump is a reporting break).</t>
        </is>
      </c>
    </row>
    <row r="18">
      <c r="A18" t="inlineStr">
        <is>
          <t>Italy: Eurostat annual only (3.2 TWh in 2024) - GSE blocks GitHub (HTTP 403) and Snam's portal is JavaScript-only.</t>
        </is>
      </c>
    </row>
    <row r="19"/>
    <row r="20">
      <c r="A20" s="1" t="inlineStr">
        <is>
          <t>Method</t>
        </is>
      </c>
    </row>
    <row r="21">
      <c r="A21" t="inlineStr">
        <is>
          <t>Incremental: DESNZ whole file is downloaded only when a new release URL appears (recorded below); AGGM re-fetched from two months before the last month saved; Eurostat refreshed in full.</t>
        </is>
      </c>
    </row>
    <row r="22"/>
    <row r="23">
      <c r="A23" s="1" t="inlineStr">
        <is>
          <t>Last pull</t>
        </is>
      </c>
    </row>
    <row r="24">
      <c r="A24" t="inlineStr">
        <is>
          <t>2026-10-28 00:51 UTC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4"/>
  <sheetViews>
    <sheetView workbookViewId="0">
      <selection activeCell="A1" sqref="A1"/>
    </sheetView>
  </sheetViews>
  <sheetFormatPr baseColWidth="8" defaultRowHeight="15"/>
  <cols>
    <col width="11" customWidth="1" min="1" max="1"/>
  </cols>
  <sheetData>
    <row r="1">
      <c r="A1" t="inlineStr">
        <is>
          <t>Date</t>
        </is>
      </c>
      <c r="B1" t="inlineStr">
        <is>
          <t>Great Britain (DESNZ)</t>
        </is>
      </c>
      <c r="C1" t="inlineStr">
        <is>
          <t>Austria (AGGM)</t>
        </is>
      </c>
    </row>
    <row r="2">
      <c r="A2" s="3" t="n">
        <v>43466</v>
      </c>
      <c r="B2" t="n">
        <v>0.3998</v>
      </c>
      <c r="C2" t="n">
        <v>0.009787000000000001</v>
      </c>
    </row>
    <row r="3">
      <c r="A3" s="3" t="n">
        <v>43497</v>
      </c>
      <c r="B3" t="n">
        <v>0.36111</v>
      </c>
      <c r="C3" t="n">
        <v>0.011407</v>
      </c>
    </row>
    <row r="4">
      <c r="A4" s="3" t="n">
        <v>43525</v>
      </c>
      <c r="B4" t="n">
        <v>0.3998</v>
      </c>
    </row>
    <row r="5">
      <c r="A5" s="3" t="n">
        <v>43556</v>
      </c>
      <c r="B5" t="n">
        <v>0.3869</v>
      </c>
      <c r="C5" t="n">
        <v>0.01036</v>
      </c>
    </row>
    <row r="6">
      <c r="A6" s="3" t="n">
        <v>43586</v>
      </c>
      <c r="B6" t="n">
        <v>0.3998</v>
      </c>
      <c r="C6" t="n">
        <v>0.008859000000000001</v>
      </c>
    </row>
    <row r="7">
      <c r="A7" s="3" t="n">
        <v>43617</v>
      </c>
      <c r="B7" t="n">
        <v>0.3869</v>
      </c>
      <c r="C7" t="n">
        <v>0.008834</v>
      </c>
    </row>
    <row r="8">
      <c r="A8" s="3" t="n">
        <v>43647</v>
      </c>
      <c r="B8" t="n">
        <v>0.3998</v>
      </c>
      <c r="C8" t="n">
        <v>0.011383</v>
      </c>
    </row>
    <row r="9">
      <c r="A9" s="3" t="n">
        <v>43678</v>
      </c>
      <c r="B9" t="n">
        <v>0.3998</v>
      </c>
      <c r="C9" t="n">
        <v>0.011274</v>
      </c>
    </row>
    <row r="10">
      <c r="A10" s="3" t="n">
        <v>43709</v>
      </c>
      <c r="B10" t="n">
        <v>0.3869</v>
      </c>
      <c r="C10" t="n">
        <v>0.010384</v>
      </c>
    </row>
    <row r="11">
      <c r="A11" s="3" t="n">
        <v>43739</v>
      </c>
      <c r="B11" t="n">
        <v>0.3998</v>
      </c>
      <c r="C11" t="n">
        <v>0.010746</v>
      </c>
    </row>
    <row r="12">
      <c r="A12" s="3" t="n">
        <v>43770</v>
      </c>
      <c r="B12" t="n">
        <v>0.3869</v>
      </c>
      <c r="C12" t="n">
        <v>0.010996</v>
      </c>
    </row>
    <row r="13">
      <c r="A13" s="3" t="n">
        <v>43800</v>
      </c>
      <c r="B13" t="n">
        <v>0.3998</v>
      </c>
      <c r="C13" t="n">
        <v>0.012397</v>
      </c>
    </row>
    <row r="14">
      <c r="A14" s="3" t="n">
        <v>43831</v>
      </c>
      <c r="B14" t="n">
        <v>0.41268</v>
      </c>
      <c r="C14" t="n">
        <v>0.0117</v>
      </c>
    </row>
    <row r="15">
      <c r="A15" s="3" t="n">
        <v>43862</v>
      </c>
      <c r="B15" t="n">
        <v>0.38605</v>
      </c>
      <c r="C15" t="n">
        <v>0.008784</v>
      </c>
    </row>
    <row r="16">
      <c r="A16" s="3" t="n">
        <v>43891</v>
      </c>
      <c r="B16" t="n">
        <v>0.41268</v>
      </c>
      <c r="C16" t="n">
        <v>0.007318</v>
      </c>
    </row>
    <row r="17">
      <c r="A17" s="3" t="n">
        <v>43922</v>
      </c>
      <c r="B17" t="n">
        <v>0.39936</v>
      </c>
      <c r="C17" t="n">
        <v>0.006906</v>
      </c>
    </row>
    <row r="18">
      <c r="A18" s="3" t="n">
        <v>43952</v>
      </c>
      <c r="B18" t="n">
        <v>0.41268</v>
      </c>
      <c r="C18" t="n">
        <v>0.007242</v>
      </c>
    </row>
    <row r="19">
      <c r="A19" s="3" t="n">
        <v>43983</v>
      </c>
      <c r="B19" t="n">
        <v>0.39936</v>
      </c>
      <c r="C19" t="n">
        <v>0.00721</v>
      </c>
    </row>
    <row r="20">
      <c r="A20" s="3" t="n">
        <v>44013</v>
      </c>
      <c r="B20" t="n">
        <v>0.41268</v>
      </c>
      <c r="C20" t="n">
        <v>0.007662</v>
      </c>
    </row>
    <row r="21">
      <c r="A21" s="3" t="n">
        <v>44044</v>
      </c>
      <c r="B21" t="n">
        <v>0.41268</v>
      </c>
      <c r="C21" t="n">
        <v>0.00717</v>
      </c>
    </row>
    <row r="22">
      <c r="A22" s="3" t="n">
        <v>44075</v>
      </c>
      <c r="B22" t="n">
        <v>0.39936</v>
      </c>
      <c r="C22" t="n">
        <v>0.00661</v>
      </c>
    </row>
    <row r="23">
      <c r="A23" s="3" t="n">
        <v>44105</v>
      </c>
      <c r="B23" t="n">
        <v>0.41268</v>
      </c>
      <c r="C23" t="n">
        <v>0.007795</v>
      </c>
    </row>
    <row r="24">
      <c r="A24" s="3" t="n">
        <v>44136</v>
      </c>
      <c r="B24" t="n">
        <v>0.39936</v>
      </c>
      <c r="C24" t="n">
        <v>0.007320999999999999</v>
      </c>
    </row>
    <row r="25">
      <c r="A25" s="3" t="n">
        <v>44166</v>
      </c>
      <c r="B25" t="n">
        <v>0.41268</v>
      </c>
      <c r="C25" t="n">
        <v>0.007541</v>
      </c>
    </row>
    <row r="26">
      <c r="A26" s="3" t="n">
        <v>44197</v>
      </c>
      <c r="B26" t="n">
        <v>0.41911</v>
      </c>
      <c r="C26" t="n">
        <v>0.009179</v>
      </c>
    </row>
    <row r="27">
      <c r="A27" s="3" t="n">
        <v>44228</v>
      </c>
      <c r="B27" t="n">
        <v>0.37855</v>
      </c>
      <c r="C27" t="n">
        <v>0.008053000000000001</v>
      </c>
    </row>
    <row r="28">
      <c r="A28" s="3" t="n">
        <v>44256</v>
      </c>
      <c r="B28" t="n">
        <v>0.41911</v>
      </c>
      <c r="C28" t="n">
        <v>0.008931</v>
      </c>
    </row>
    <row r="29">
      <c r="A29" s="3" t="n">
        <v>44287</v>
      </c>
      <c r="B29" t="n">
        <v>0.40559</v>
      </c>
      <c r="C29" t="n">
        <v>0.008073</v>
      </c>
    </row>
    <row r="30">
      <c r="A30" s="3" t="n">
        <v>44317</v>
      </c>
      <c r="B30" t="n">
        <v>0.41911</v>
      </c>
      <c r="C30" t="n">
        <v>0.009285999999999999</v>
      </c>
    </row>
    <row r="31">
      <c r="A31" s="3" t="n">
        <v>44348</v>
      </c>
      <c r="B31" t="n">
        <v>0.40559</v>
      </c>
      <c r="C31" t="n">
        <v>0.008775</v>
      </c>
    </row>
    <row r="32">
      <c r="A32" s="3" t="n">
        <v>44378</v>
      </c>
      <c r="B32" t="n">
        <v>0.41911</v>
      </c>
      <c r="C32" t="n">
        <v>0.009069000000000001</v>
      </c>
    </row>
    <row r="33">
      <c r="A33" s="3" t="n">
        <v>44409</v>
      </c>
      <c r="B33" t="n">
        <v>0.41911</v>
      </c>
      <c r="C33" t="n">
        <v>0.009167</v>
      </c>
    </row>
    <row r="34">
      <c r="A34" s="3" t="n">
        <v>44440</v>
      </c>
      <c r="B34" t="n">
        <v>0.40559</v>
      </c>
      <c r="C34" t="n">
        <v>0.008846</v>
      </c>
    </row>
    <row r="35">
      <c r="A35" s="3" t="n">
        <v>44470</v>
      </c>
      <c r="B35" t="n">
        <v>0.41911</v>
      </c>
      <c r="C35" t="n">
        <v>0.008496</v>
      </c>
    </row>
    <row r="36">
      <c r="A36" s="3" t="n">
        <v>44501</v>
      </c>
      <c r="B36" t="n">
        <v>0.40559</v>
      </c>
      <c r="C36" t="n">
        <v>0.007985000000000001</v>
      </c>
    </row>
    <row r="37">
      <c r="A37" s="3" t="n">
        <v>44531</v>
      </c>
      <c r="B37" t="n">
        <v>0.41911</v>
      </c>
      <c r="C37" t="n">
        <v>0.008196999999999999</v>
      </c>
    </row>
    <row r="38">
      <c r="A38" s="3" t="n">
        <v>44562</v>
      </c>
      <c r="B38" t="n">
        <v>0.43027</v>
      </c>
      <c r="C38" t="n">
        <v>0.006974</v>
      </c>
    </row>
    <row r="39">
      <c r="A39" s="3" t="n">
        <v>44593</v>
      </c>
      <c r="B39" t="n">
        <v>0.38863</v>
      </c>
      <c r="C39" t="n">
        <v>0.006551</v>
      </c>
    </row>
    <row r="40">
      <c r="A40" s="3" t="n">
        <v>44621</v>
      </c>
      <c r="B40" t="n">
        <v>0.43027</v>
      </c>
      <c r="C40" t="n">
        <v>0.007659</v>
      </c>
    </row>
    <row r="41">
      <c r="A41" s="3" t="n">
        <v>44652</v>
      </c>
      <c r="B41" t="n">
        <v>0.41639</v>
      </c>
      <c r="C41" t="n">
        <v>0.007019</v>
      </c>
    </row>
    <row r="42">
      <c r="A42" s="3" t="n">
        <v>44682</v>
      </c>
      <c r="B42" t="n">
        <v>0.43027</v>
      </c>
      <c r="C42" t="n">
        <v>0.00661</v>
      </c>
    </row>
    <row r="43">
      <c r="A43" s="3" t="n">
        <v>44713</v>
      </c>
      <c r="B43" t="n">
        <v>0.41639</v>
      </c>
      <c r="C43" t="n">
        <v>0.005093</v>
      </c>
    </row>
    <row r="44">
      <c r="A44" s="3" t="n">
        <v>44743</v>
      </c>
      <c r="B44" t="n">
        <v>0.43027</v>
      </c>
      <c r="C44" t="n">
        <v>0.005558</v>
      </c>
    </row>
    <row r="45">
      <c r="A45" s="3" t="n">
        <v>44774</v>
      </c>
      <c r="B45" t="n">
        <v>0.43027</v>
      </c>
      <c r="C45" t="n">
        <v>0.007788000000000001</v>
      </c>
    </row>
    <row r="46">
      <c r="A46" s="3" t="n">
        <v>44805</v>
      </c>
      <c r="B46" t="n">
        <v>0.41639</v>
      </c>
      <c r="C46" t="n">
        <v>0.007522999999999999</v>
      </c>
    </row>
    <row r="47">
      <c r="A47" s="3" t="n">
        <v>44835</v>
      </c>
      <c r="B47" t="n">
        <v>0.43027</v>
      </c>
      <c r="C47" t="n">
        <v>0.008118999999999999</v>
      </c>
    </row>
    <row r="48">
      <c r="A48" s="3" t="n">
        <v>44866</v>
      </c>
      <c r="B48" t="n">
        <v>0.41639</v>
      </c>
      <c r="C48" t="n">
        <v>0.007660999999999999</v>
      </c>
    </row>
    <row r="49">
      <c r="A49" s="3" t="n">
        <v>44896</v>
      </c>
      <c r="B49" t="n">
        <v>0.43027</v>
      </c>
      <c r="C49" t="n">
        <v>0.0083</v>
      </c>
    </row>
    <row r="50">
      <c r="A50" s="3" t="n">
        <v>44927</v>
      </c>
      <c r="B50" t="n">
        <v>0.44083</v>
      </c>
      <c r="C50" t="n">
        <v>0.012043</v>
      </c>
    </row>
    <row r="51">
      <c r="A51" s="3" t="n">
        <v>44958</v>
      </c>
      <c r="B51" t="n">
        <v>0.39817</v>
      </c>
      <c r="C51" t="n">
        <v>0.010894</v>
      </c>
    </row>
    <row r="52">
      <c r="A52" s="3" t="n">
        <v>44986</v>
      </c>
      <c r="B52" t="n">
        <v>0.44083</v>
      </c>
      <c r="C52" t="n">
        <v>0.0149</v>
      </c>
    </row>
    <row r="53">
      <c r="A53" s="3" t="n">
        <v>45017</v>
      </c>
      <c r="B53" t="n">
        <v>0.42661</v>
      </c>
      <c r="C53" t="n">
        <v>0.013049</v>
      </c>
    </row>
    <row r="54">
      <c r="A54" s="3" t="n">
        <v>45047</v>
      </c>
      <c r="B54" t="n">
        <v>0.44083</v>
      </c>
      <c r="C54" t="n">
        <v>0.013182</v>
      </c>
    </row>
    <row r="55">
      <c r="A55" s="3" t="n">
        <v>45078</v>
      </c>
      <c r="B55" t="n">
        <v>0.42661</v>
      </c>
      <c r="C55" t="n">
        <v>0.012831</v>
      </c>
    </row>
    <row r="56">
      <c r="A56" s="3" t="n">
        <v>45108</v>
      </c>
      <c r="B56" t="n">
        <v>0.44083</v>
      </c>
      <c r="C56" t="n">
        <v>0.012193</v>
      </c>
    </row>
    <row r="57">
      <c r="A57" s="3" t="n">
        <v>45139</v>
      </c>
      <c r="B57" t="n">
        <v>0.44083</v>
      </c>
      <c r="C57" t="n">
        <v>0.011479</v>
      </c>
    </row>
    <row r="58">
      <c r="A58" s="3" t="n">
        <v>45170</v>
      </c>
      <c r="B58" t="n">
        <v>0.42661</v>
      </c>
      <c r="C58" t="n">
        <v>0.013806</v>
      </c>
    </row>
    <row r="59">
      <c r="A59" s="3" t="n">
        <v>45200</v>
      </c>
      <c r="B59" t="n">
        <v>0.44083</v>
      </c>
      <c r="C59" t="n">
        <v>0.014709</v>
      </c>
    </row>
    <row r="60">
      <c r="A60" s="3" t="n">
        <v>45231</v>
      </c>
      <c r="B60" t="n">
        <v>0.42661</v>
      </c>
      <c r="C60" t="n">
        <v>0.013623</v>
      </c>
    </row>
    <row r="61">
      <c r="A61" s="3" t="n">
        <v>45261</v>
      </c>
      <c r="B61" t="n">
        <v>0.44083</v>
      </c>
      <c r="C61" t="n">
        <v>0.01236</v>
      </c>
    </row>
    <row r="62">
      <c r="A62" s="3" t="n">
        <v>45292</v>
      </c>
      <c r="B62" t="n">
        <v>0.46094</v>
      </c>
      <c r="C62" t="n">
        <v>0.009767</v>
      </c>
    </row>
    <row r="63">
      <c r="A63" s="3" t="n">
        <v>45323</v>
      </c>
      <c r="B63" t="n">
        <v>0.4312</v>
      </c>
      <c r="C63" t="n">
        <v>0.008661</v>
      </c>
    </row>
    <row r="64">
      <c r="A64" s="3" t="n">
        <v>45352</v>
      </c>
      <c r="B64" t="n">
        <v>0.46094</v>
      </c>
      <c r="C64" t="n">
        <v>0.010498</v>
      </c>
    </row>
    <row r="65">
      <c r="A65" s="3" t="n">
        <v>45383</v>
      </c>
      <c r="B65" t="n">
        <v>0.44607</v>
      </c>
      <c r="C65" t="n">
        <v>0.010132</v>
      </c>
    </row>
    <row r="66">
      <c r="A66" s="3" t="n">
        <v>45413</v>
      </c>
      <c r="B66" t="n">
        <v>0.46094</v>
      </c>
      <c r="C66" t="n">
        <v>0.010769</v>
      </c>
    </row>
    <row r="67">
      <c r="A67" s="3" t="n">
        <v>45444</v>
      </c>
      <c r="B67" t="n">
        <v>0.44607</v>
      </c>
      <c r="C67" t="n">
        <v>0.011395</v>
      </c>
    </row>
    <row r="68">
      <c r="A68" s="3" t="n">
        <v>45474</v>
      </c>
      <c r="B68" t="n">
        <v>0.46094</v>
      </c>
      <c r="C68" t="n">
        <v>0.010638</v>
      </c>
    </row>
    <row r="69">
      <c r="A69" s="3" t="n">
        <v>45505</v>
      </c>
      <c r="B69" t="n">
        <v>0.46094</v>
      </c>
      <c r="C69" t="n">
        <v>0.010203</v>
      </c>
    </row>
    <row r="70">
      <c r="A70" s="3" t="n">
        <v>45536</v>
      </c>
      <c r="B70" t="n">
        <v>0.44607</v>
      </c>
      <c r="C70" t="n">
        <v>0.01028</v>
      </c>
    </row>
    <row r="71">
      <c r="A71" s="3" t="n">
        <v>45566</v>
      </c>
      <c r="B71" t="n">
        <v>0.46094</v>
      </c>
      <c r="C71" t="n">
        <v>0.010621</v>
      </c>
    </row>
    <row r="72">
      <c r="A72" s="3" t="n">
        <v>45597</v>
      </c>
      <c r="B72" t="n">
        <v>0.44607</v>
      </c>
      <c r="C72" t="n">
        <v>0.009244</v>
      </c>
    </row>
    <row r="73">
      <c r="A73" s="3" t="n">
        <v>45627</v>
      </c>
      <c r="B73" t="n">
        <v>0.46094</v>
      </c>
      <c r="C73" t="n">
        <v>0.010772</v>
      </c>
    </row>
    <row r="74">
      <c r="A74" s="3" t="n">
        <v>45658</v>
      </c>
      <c r="B74" t="n">
        <v>0.48923</v>
      </c>
      <c r="C74" t="n">
        <v>0.01101</v>
      </c>
    </row>
    <row r="75">
      <c r="A75" s="3" t="n">
        <v>45689</v>
      </c>
      <c r="B75" t="n">
        <v>0.44189</v>
      </c>
      <c r="C75" t="n">
        <v>0.011602</v>
      </c>
    </row>
    <row r="76">
      <c r="A76" s="3" t="n">
        <v>45717</v>
      </c>
      <c r="B76" t="n">
        <v>0.48923</v>
      </c>
      <c r="C76" t="n">
        <v>0.013016</v>
      </c>
    </row>
    <row r="77">
      <c r="A77" s="3" t="n">
        <v>45748</v>
      </c>
      <c r="B77" t="n">
        <v>0.47345</v>
      </c>
      <c r="C77" t="n">
        <v>0.012175</v>
      </c>
    </row>
    <row r="78">
      <c r="A78" s="3" t="n">
        <v>45778</v>
      </c>
      <c r="B78" t="n">
        <v>0.48923</v>
      </c>
      <c r="C78" t="n">
        <v>0.01296</v>
      </c>
    </row>
    <row r="79">
      <c r="A79" s="3" t="n">
        <v>45809</v>
      </c>
      <c r="B79" t="n">
        <v>0.47345</v>
      </c>
      <c r="C79" t="n">
        <v>0.013278</v>
      </c>
    </row>
    <row r="80">
      <c r="A80" s="3" t="n">
        <v>45839</v>
      </c>
      <c r="B80" t="n">
        <v>0.48923</v>
      </c>
      <c r="C80" t="n">
        <v>0.013305</v>
      </c>
    </row>
    <row r="81">
      <c r="A81" s="3" t="n">
        <v>45870</v>
      </c>
      <c r="B81" t="n">
        <v>0.48923</v>
      </c>
      <c r="C81" t="n">
        <v>0.014494</v>
      </c>
    </row>
    <row r="82">
      <c r="A82" s="3" t="n">
        <v>45901</v>
      </c>
      <c r="B82" t="n">
        <v>0.47345</v>
      </c>
      <c r="C82" t="n">
        <v>0.015244</v>
      </c>
    </row>
    <row r="83">
      <c r="A83" s="3" t="n">
        <v>45931</v>
      </c>
      <c r="B83" t="n">
        <v>0.48923</v>
      </c>
      <c r="C83" t="n">
        <v>0.018855</v>
      </c>
    </row>
    <row r="84">
      <c r="A84" s="3" t="n">
        <v>45962</v>
      </c>
      <c r="B84" t="n">
        <v>0.47345</v>
      </c>
      <c r="C84" t="n">
        <v>0.00146</v>
      </c>
    </row>
    <row r="85">
      <c r="A85" s="3" t="n">
        <v>45992</v>
      </c>
      <c r="B85" t="n">
        <v>0.48923</v>
      </c>
      <c r="C85" t="n">
        <v>0.017021</v>
      </c>
    </row>
    <row r="86">
      <c r="A86" s="3" t="n">
        <v>46023</v>
      </c>
      <c r="B86" t="n">
        <v>0.48924</v>
      </c>
      <c r="C86" t="n">
        <v>0.016295</v>
      </c>
    </row>
    <row r="87">
      <c r="A87" s="3" t="n">
        <v>46054</v>
      </c>
      <c r="B87" t="n">
        <v>0.44189</v>
      </c>
      <c r="C87" t="n">
        <v>0.016161</v>
      </c>
    </row>
    <row r="88">
      <c r="A88" s="3" t="n">
        <v>46082</v>
      </c>
      <c r="B88" t="n">
        <v>0.48924</v>
      </c>
      <c r="C88" t="n">
        <v>0.01998</v>
      </c>
    </row>
    <row r="89">
      <c r="A89" s="3" t="n">
        <v>46113</v>
      </c>
      <c r="B89" t="n">
        <v>0.47345</v>
      </c>
      <c r="C89" t="n">
        <v>0.018245</v>
      </c>
    </row>
    <row r="90">
      <c r="A90" s="3" t="n">
        <v>46143</v>
      </c>
      <c r="B90" t="n">
        <v>0.48924</v>
      </c>
      <c r="C90" t="n">
        <v>0.020164</v>
      </c>
    </row>
    <row r="91">
      <c r="A91" s="3" t="n">
        <v>46174</v>
      </c>
      <c r="B91" t="n">
        <v>0.47345</v>
      </c>
      <c r="C91" t="n">
        <v>0.019538</v>
      </c>
    </row>
    <row r="92">
      <c r="A92" s="3" t="n">
        <v>46204</v>
      </c>
      <c r="B92" t="n">
        <v>0.48924</v>
      </c>
      <c r="C92" t="n">
        <v>0.018066</v>
      </c>
    </row>
    <row r="93">
      <c r="A93" s="3" t="n">
        <v>46235</v>
      </c>
      <c r="C93" t="n">
        <v>0.019812</v>
      </c>
    </row>
    <row r="94">
      <c r="A94" s="3" t="n">
        <v>46266</v>
      </c>
      <c r="C94" t="n">
        <v>0.021155</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1" customWidth="1" min="1" max="1"/>
  </cols>
  <sheetData>
    <row r="1">
      <c r="A1" t="inlineStr">
        <is>
          <t>Date</t>
        </is>
      </c>
      <c r="B1" t="inlineStr">
        <is>
          <t>United Kingdom</t>
        </is>
      </c>
      <c r="C1" t="inlineStr">
        <is>
          <t>Germany</t>
        </is>
      </c>
      <c r="D1" t="inlineStr">
        <is>
          <t>Denmark</t>
        </is>
      </c>
      <c r="E1" t="inlineStr">
        <is>
          <t>France</t>
        </is>
      </c>
      <c r="F1" t="inlineStr">
        <is>
          <t>Netherlands</t>
        </is>
      </c>
      <c r="G1" t="inlineStr">
        <is>
          <t>Italy</t>
        </is>
      </c>
      <c r="H1" t="inlineStr">
        <is>
          <t>Other EU27</t>
        </is>
      </c>
      <c r="I1" t="inlineStr">
        <is>
          <t>Other</t>
        </is>
      </c>
    </row>
    <row r="2">
      <c r="A2" s="4" t="n">
        <v>40909</v>
      </c>
      <c r="B2" t="n">
        <v>0</v>
      </c>
      <c r="C2" t="n">
        <v>0</v>
      </c>
      <c r="D2" t="n">
        <v>0</v>
      </c>
      <c r="E2" t="n">
        <v>0.0051</v>
      </c>
      <c r="F2" t="n">
        <v>0.2431</v>
      </c>
      <c r="G2" t="n">
        <v>0</v>
      </c>
      <c r="H2" t="n">
        <v>0.04679999999999998</v>
      </c>
      <c r="I2" t="n">
        <v>0</v>
      </c>
    </row>
    <row r="3">
      <c r="A3" s="4" t="n">
        <v>41275</v>
      </c>
      <c r="B3" t="n">
        <v>0</v>
      </c>
      <c r="C3" t="n">
        <v>0</v>
      </c>
      <c r="D3" t="n">
        <v>0</v>
      </c>
      <c r="E3" t="n">
        <v>0.0126</v>
      </c>
      <c r="F3" t="n">
        <v>0.4144</v>
      </c>
      <c r="G3" t="n">
        <v>0</v>
      </c>
      <c r="H3" t="n">
        <v>0.07580000000000003</v>
      </c>
      <c r="I3" t="n">
        <v>0</v>
      </c>
    </row>
    <row r="4">
      <c r="A4" s="4" t="n">
        <v>41640</v>
      </c>
      <c r="B4" t="n">
        <v>0.1225</v>
      </c>
      <c r="C4" t="n">
        <v>0</v>
      </c>
      <c r="D4" t="n">
        <v>0.093</v>
      </c>
      <c r="E4" t="n">
        <v>0.0284</v>
      </c>
      <c r="F4" t="n">
        <v>0.5422</v>
      </c>
      <c r="G4" t="n">
        <v>0</v>
      </c>
      <c r="H4" t="n">
        <v>0.08150000000000002</v>
      </c>
      <c r="I4" t="n">
        <v>0</v>
      </c>
    </row>
    <row r="5">
      <c r="A5" s="4" t="n">
        <v>42005</v>
      </c>
      <c r="B5" t="n">
        <v>0.828</v>
      </c>
      <c r="C5" t="n">
        <v>0</v>
      </c>
      <c r="D5" t="n">
        <v>0.2807</v>
      </c>
      <c r="E5" t="n">
        <v>0.074</v>
      </c>
      <c r="F5" t="n">
        <v>0.7009</v>
      </c>
      <c r="G5" t="n">
        <v>0</v>
      </c>
      <c r="H5" t="n">
        <v>0.1312</v>
      </c>
      <c r="I5" t="n">
        <v>0</v>
      </c>
    </row>
    <row r="6">
      <c r="A6" s="4" t="n">
        <v>42370</v>
      </c>
      <c r="B6" t="n">
        <v>3.5963</v>
      </c>
      <c r="C6" t="n">
        <v>0</v>
      </c>
      <c r="D6" t="n">
        <v>0.8628</v>
      </c>
      <c r="E6" t="n">
        <v>0.1936</v>
      </c>
      <c r="F6" t="n">
        <v>0.7279</v>
      </c>
      <c r="G6" t="n">
        <v>0</v>
      </c>
      <c r="H6" t="n">
        <v>0.1362000000000001</v>
      </c>
      <c r="I6" t="n">
        <v>0</v>
      </c>
    </row>
    <row r="7">
      <c r="A7" s="4" t="n">
        <v>42736</v>
      </c>
      <c r="B7" t="n">
        <v>3.5963</v>
      </c>
      <c r="C7" t="n">
        <v>0</v>
      </c>
      <c r="D7" t="n">
        <v>1.4249</v>
      </c>
      <c r="E7" t="n">
        <v>0.3654</v>
      </c>
      <c r="F7" t="n">
        <v>0.8612</v>
      </c>
      <c r="G7" t="n">
        <v>0.0838</v>
      </c>
      <c r="H7" t="n">
        <v>0.2135999999999996</v>
      </c>
      <c r="I7" t="n">
        <v>0.0828</v>
      </c>
    </row>
    <row r="8">
      <c r="A8" s="4" t="n">
        <v>43101</v>
      </c>
      <c r="B8" t="n">
        <v>4.3046</v>
      </c>
      <c r="C8" t="n">
        <v>0</v>
      </c>
      <c r="D8" t="n">
        <v>1.9611</v>
      </c>
      <c r="E8" t="n">
        <v>0.6424</v>
      </c>
      <c r="F8" t="n">
        <v>0.9375</v>
      </c>
      <c r="G8" t="n">
        <v>0.2691</v>
      </c>
      <c r="H8" t="n">
        <v>0.2323999999999997</v>
      </c>
      <c r="I8" t="n">
        <v>0.0849</v>
      </c>
    </row>
    <row r="9">
      <c r="A9" s="4" t="n">
        <v>43466</v>
      </c>
      <c r="B9" t="n">
        <v>4.8878</v>
      </c>
      <c r="C9" t="n">
        <v>0</v>
      </c>
      <c r="D9" t="n">
        <v>2.6685</v>
      </c>
      <c r="E9" t="n">
        <v>1.1106</v>
      </c>
      <c r="F9" t="n">
        <v>1.2507</v>
      </c>
      <c r="G9" t="n">
        <v>0.4758</v>
      </c>
      <c r="H9" t="n">
        <v>0.2217000000000011</v>
      </c>
      <c r="I9" t="n">
        <v>0.2306</v>
      </c>
    </row>
    <row r="10">
      <c r="A10" s="4" t="n">
        <v>43831</v>
      </c>
      <c r="B10" t="n">
        <v>4.87225</v>
      </c>
      <c r="C10" t="n">
        <v>0</v>
      </c>
      <c r="D10" t="n">
        <v>4.0078</v>
      </c>
      <c r="E10" t="n">
        <v>1.9874</v>
      </c>
      <c r="F10" t="n">
        <v>1.7675</v>
      </c>
      <c r="G10" t="n">
        <v>0.9544</v>
      </c>
      <c r="H10" t="n">
        <v>0.270999999999999</v>
      </c>
      <c r="I10" t="n">
        <v>0.5845</v>
      </c>
    </row>
    <row r="11">
      <c r="A11" s="4" t="n">
        <v>44197</v>
      </c>
      <c r="B11" t="n">
        <v>4.934679999999999</v>
      </c>
      <c r="C11" t="n">
        <v>10.1011</v>
      </c>
      <c r="D11" t="n">
        <v>5.467</v>
      </c>
      <c r="E11" t="n">
        <v>3.9044</v>
      </c>
      <c r="F11" t="n">
        <v>1.9889</v>
      </c>
      <c r="G11" t="n">
        <v>1.5877</v>
      </c>
      <c r="H11" t="n">
        <v>0.3338000000000001</v>
      </c>
      <c r="I11" t="n">
        <v>0.6596</v>
      </c>
    </row>
    <row r="12">
      <c r="A12" s="4" t="n">
        <v>44562</v>
      </c>
      <c r="B12" t="n">
        <v>5.06608</v>
      </c>
      <c r="C12" t="n">
        <v>9.142799999999999</v>
      </c>
      <c r="D12" t="n">
        <v>6.3089</v>
      </c>
      <c r="E12" t="n">
        <v>6.2777</v>
      </c>
      <c r="F12" t="n">
        <v>2.2369</v>
      </c>
      <c r="G12" t="n">
        <v>2.15</v>
      </c>
      <c r="H12" t="n">
        <v>0.3802000000000021</v>
      </c>
      <c r="I12" t="n">
        <v>0.7641</v>
      </c>
    </row>
    <row r="13">
      <c r="A13" s="4" t="n">
        <v>44927</v>
      </c>
      <c r="B13" t="n">
        <v>5.19042</v>
      </c>
      <c r="C13" t="n">
        <v>11.1153</v>
      </c>
      <c r="D13" t="n">
        <v>7.2167</v>
      </c>
      <c r="E13" t="n">
        <v>8.222300000000001</v>
      </c>
      <c r="F13" t="n">
        <v>2.6839</v>
      </c>
      <c r="G13" t="n">
        <v>2.6191</v>
      </c>
      <c r="H13" t="n">
        <v>0.5106999999999999</v>
      </c>
      <c r="I13" t="n">
        <v>0.8111</v>
      </c>
    </row>
    <row r="14">
      <c r="A14" s="4" t="n">
        <v>45292</v>
      </c>
      <c r="B14" t="n">
        <v>5.44206</v>
      </c>
      <c r="C14" t="n">
        <v>11.5425</v>
      </c>
      <c r="D14" t="n">
        <v>7.3539</v>
      </c>
      <c r="E14" t="n">
        <v>10.4526</v>
      </c>
      <c r="F14" t="n">
        <v>2.8213</v>
      </c>
      <c r="G14" t="n">
        <v>3.2156</v>
      </c>
      <c r="H14" t="n">
        <v>0.6957000000000022</v>
      </c>
      <c r="I14" t="n">
        <v>0.999</v>
      </c>
    </row>
    <row r="15">
      <c r="A15" s="4" t="n">
        <v>45658</v>
      </c>
      <c r="B15" t="n">
        <v>5.760299999999999</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154"/>
  <sheetViews>
    <sheetView workbookViewId="0">
      <selection activeCell="A1" sqref="A1"/>
    </sheetView>
  </sheetViews>
  <sheetFormatPr baseColWidth="8" defaultRowHeight="15"/>
  <sheetData>
    <row r="1">
      <c r="A1" t="inlineStr">
        <is>
          <t>month</t>
        </is>
      </c>
      <c r="B1" t="inlineStr">
        <is>
          <t>GB_biomethane_GWh</t>
        </is>
      </c>
      <c r="C1" t="inlineStr">
        <is>
          <t>AT_biomethane_GWh</t>
        </is>
      </c>
    </row>
    <row r="2">
      <c r="A2" s="5" t="n">
        <v>41640</v>
      </c>
      <c r="B2" t="n">
        <v>6</v>
      </c>
    </row>
    <row r="3">
      <c r="A3" s="5" t="n">
        <v>41671</v>
      </c>
      <c r="B3" t="n">
        <v>5.15</v>
      </c>
    </row>
    <row r="4">
      <c r="A4" s="5" t="n">
        <v>41699</v>
      </c>
      <c r="B4" t="n">
        <v>6.72</v>
      </c>
    </row>
    <row r="5">
      <c r="A5" s="5" t="n">
        <v>41730</v>
      </c>
      <c r="B5" t="n">
        <v>7.03</v>
      </c>
    </row>
    <row r="6">
      <c r="A6" s="5" t="n">
        <v>41760</v>
      </c>
      <c r="B6" t="n">
        <v>7.65</v>
      </c>
    </row>
    <row r="7">
      <c r="A7" s="5" t="n">
        <v>41791</v>
      </c>
      <c r="B7" t="n">
        <v>6.72</v>
      </c>
    </row>
    <row r="8">
      <c r="A8" s="5" t="n">
        <v>41821</v>
      </c>
      <c r="B8" t="n">
        <v>7.9</v>
      </c>
    </row>
    <row r="9">
      <c r="A9" s="5" t="n">
        <v>41852</v>
      </c>
      <c r="B9" t="n">
        <v>9.17</v>
      </c>
    </row>
    <row r="10">
      <c r="A10" s="5" t="n">
        <v>41883</v>
      </c>
      <c r="B10" t="n">
        <v>9.529999999999999</v>
      </c>
    </row>
    <row r="11">
      <c r="A11" s="5" t="n">
        <v>41913</v>
      </c>
      <c r="B11" t="n">
        <v>16.75</v>
      </c>
    </row>
    <row r="12">
      <c r="A12" s="5" t="n">
        <v>41944</v>
      </c>
      <c r="B12" t="n">
        <v>23.27</v>
      </c>
    </row>
    <row r="13">
      <c r="A13" s="5" t="n">
        <v>41974</v>
      </c>
      <c r="B13" t="n">
        <v>30.15</v>
      </c>
    </row>
    <row r="14">
      <c r="A14" s="5" t="n">
        <v>42005</v>
      </c>
      <c r="B14" t="n">
        <v>36.39</v>
      </c>
    </row>
    <row r="15">
      <c r="A15" s="5" t="n">
        <v>42036</v>
      </c>
      <c r="B15" t="n">
        <v>44.75</v>
      </c>
    </row>
    <row r="16">
      <c r="A16" s="5" t="n">
        <v>42064</v>
      </c>
      <c r="B16" t="n">
        <v>63.54</v>
      </c>
    </row>
    <row r="17">
      <c r="A17" s="5" t="n">
        <v>42095</v>
      </c>
      <c r="B17" t="n">
        <v>65.84999999999999</v>
      </c>
    </row>
    <row r="18">
      <c r="A18" s="5" t="n">
        <v>42125</v>
      </c>
      <c r="B18" t="n">
        <v>77.06999999999999</v>
      </c>
    </row>
    <row r="19">
      <c r="A19" s="5" t="n">
        <v>42156</v>
      </c>
      <c r="B19" t="n">
        <v>87.89</v>
      </c>
    </row>
    <row r="20">
      <c r="A20" s="5" t="n">
        <v>42186</v>
      </c>
      <c r="B20" t="n">
        <v>92.5</v>
      </c>
    </row>
    <row r="21">
      <c r="A21" s="5" t="n">
        <v>42217</v>
      </c>
      <c r="B21" t="n">
        <v>96.88</v>
      </c>
    </row>
    <row r="22">
      <c r="A22" s="5" t="n">
        <v>42248</v>
      </c>
      <c r="B22" t="n">
        <v>92.26000000000001</v>
      </c>
    </row>
    <row r="23">
      <c r="A23" s="5" t="n">
        <v>42278</v>
      </c>
      <c r="B23" t="n">
        <v>104.94</v>
      </c>
    </row>
    <row r="24">
      <c r="A24" s="5" t="n">
        <v>42309</v>
      </c>
      <c r="B24" t="n">
        <v>104.08</v>
      </c>
    </row>
    <row r="25">
      <c r="A25" s="5" t="n">
        <v>42339</v>
      </c>
      <c r="B25" t="n">
        <v>113.46</v>
      </c>
    </row>
    <row r="26">
      <c r="A26" s="5" t="n">
        <v>42370</v>
      </c>
      <c r="B26" t="n">
        <v>323.89</v>
      </c>
    </row>
    <row r="27">
      <c r="A27" s="5" t="n">
        <v>42401</v>
      </c>
      <c r="B27" t="n">
        <v>302.99</v>
      </c>
    </row>
    <row r="28">
      <c r="A28" s="5" t="n">
        <v>42430</v>
      </c>
      <c r="B28" t="n">
        <v>323.89</v>
      </c>
    </row>
    <row r="29">
      <c r="A29" s="5" t="n">
        <v>42461</v>
      </c>
      <c r="B29" t="n">
        <v>313.44</v>
      </c>
    </row>
    <row r="30">
      <c r="A30" s="5" t="n">
        <v>42491</v>
      </c>
      <c r="B30" t="n">
        <v>323.89</v>
      </c>
    </row>
    <row r="31">
      <c r="A31" s="5" t="n">
        <v>42522</v>
      </c>
      <c r="B31" t="n">
        <v>313.44</v>
      </c>
    </row>
    <row r="32">
      <c r="A32" s="5" t="n">
        <v>42552</v>
      </c>
      <c r="B32" t="n">
        <v>323.89</v>
      </c>
    </row>
    <row r="33">
      <c r="A33" s="5" t="n">
        <v>42583</v>
      </c>
      <c r="B33" t="n">
        <v>323.89</v>
      </c>
    </row>
    <row r="34">
      <c r="A34" s="5" t="n">
        <v>42614</v>
      </c>
      <c r="B34" t="n">
        <v>313.44</v>
      </c>
    </row>
    <row r="35">
      <c r="A35" s="5" t="n">
        <v>42644</v>
      </c>
      <c r="B35" t="n">
        <v>323.89</v>
      </c>
    </row>
    <row r="36">
      <c r="A36" s="5" t="n">
        <v>42675</v>
      </c>
      <c r="B36" t="n">
        <v>313.44</v>
      </c>
    </row>
    <row r="37">
      <c r="A37" s="5" t="n">
        <v>42705</v>
      </c>
      <c r="B37" t="n">
        <v>323.89</v>
      </c>
    </row>
    <row r="38">
      <c r="A38" s="5" t="n">
        <v>42736</v>
      </c>
      <c r="B38" t="n">
        <v>363.59</v>
      </c>
    </row>
    <row r="39">
      <c r="A39" s="5" t="n">
        <v>42767</v>
      </c>
      <c r="B39" t="n">
        <v>328.41</v>
      </c>
    </row>
    <row r="40">
      <c r="A40" s="5" t="n">
        <v>42795</v>
      </c>
      <c r="B40" t="n">
        <v>363.59</v>
      </c>
    </row>
    <row r="41">
      <c r="A41" s="5" t="n">
        <v>42826</v>
      </c>
      <c r="B41" t="n">
        <v>351.86</v>
      </c>
    </row>
    <row r="42">
      <c r="A42" s="5" t="n">
        <v>42856</v>
      </c>
      <c r="B42" t="n">
        <v>363.59</v>
      </c>
    </row>
    <row r="43">
      <c r="A43" s="5" t="n">
        <v>42887</v>
      </c>
      <c r="B43" t="n">
        <v>351.86</v>
      </c>
    </row>
    <row r="44">
      <c r="A44" s="5" t="n">
        <v>42917</v>
      </c>
      <c r="B44" t="n">
        <v>363.59</v>
      </c>
    </row>
    <row r="45">
      <c r="A45" s="5" t="n">
        <v>42948</v>
      </c>
      <c r="B45" t="n">
        <v>363.59</v>
      </c>
    </row>
    <row r="46">
      <c r="A46" s="5" t="n">
        <v>42979</v>
      </c>
      <c r="B46" t="n">
        <v>351.86</v>
      </c>
    </row>
    <row r="47">
      <c r="A47" s="5" t="n">
        <v>43009</v>
      </c>
      <c r="B47" t="n">
        <v>363.59</v>
      </c>
    </row>
    <row r="48">
      <c r="A48" s="5" t="n">
        <v>43040</v>
      </c>
      <c r="B48" t="n">
        <v>351.86</v>
      </c>
    </row>
    <row r="49">
      <c r="A49" s="5" t="n">
        <v>43070</v>
      </c>
      <c r="B49" t="n">
        <v>363.59</v>
      </c>
    </row>
    <row r="50">
      <c r="A50" s="5" t="n">
        <v>43101</v>
      </c>
      <c r="B50" t="n">
        <v>383.42</v>
      </c>
    </row>
    <row r="51">
      <c r="A51" s="5" t="n">
        <v>43132</v>
      </c>
      <c r="B51" t="n">
        <v>346.32</v>
      </c>
    </row>
    <row r="52">
      <c r="A52" s="5" t="n">
        <v>43160</v>
      </c>
      <c r="B52" t="n">
        <v>383.42</v>
      </c>
    </row>
    <row r="53">
      <c r="A53" s="5" t="n">
        <v>43191</v>
      </c>
      <c r="B53" t="n">
        <v>371.05</v>
      </c>
    </row>
    <row r="54">
      <c r="A54" s="5" t="n">
        <v>43221</v>
      </c>
      <c r="B54" t="n">
        <v>383.42</v>
      </c>
    </row>
    <row r="55">
      <c r="A55" s="5" t="n">
        <v>43252</v>
      </c>
      <c r="B55" t="n">
        <v>371.05</v>
      </c>
    </row>
    <row r="56">
      <c r="A56" s="5" t="n">
        <v>43282</v>
      </c>
      <c r="B56" t="n">
        <v>383.42</v>
      </c>
    </row>
    <row r="57">
      <c r="A57" s="5" t="n">
        <v>43313</v>
      </c>
      <c r="B57" t="n">
        <v>383.42</v>
      </c>
    </row>
    <row r="58">
      <c r="A58" s="5" t="n">
        <v>43344</v>
      </c>
      <c r="B58" t="n">
        <v>371.05</v>
      </c>
    </row>
    <row r="59">
      <c r="A59" s="5" t="n">
        <v>43374</v>
      </c>
      <c r="B59" t="n">
        <v>383.42</v>
      </c>
    </row>
    <row r="60">
      <c r="A60" s="5" t="n">
        <v>43405</v>
      </c>
      <c r="B60" t="n">
        <v>371.05</v>
      </c>
    </row>
    <row r="61">
      <c r="A61" s="5" t="n">
        <v>43435</v>
      </c>
      <c r="B61" t="n">
        <v>383.42</v>
      </c>
    </row>
    <row r="62">
      <c r="A62" s="5" t="n">
        <v>43466</v>
      </c>
      <c r="B62" t="n">
        <v>399.8</v>
      </c>
      <c r="C62" t="n">
        <v>9.787000000000001</v>
      </c>
    </row>
    <row r="63">
      <c r="A63" s="5" t="n">
        <v>43497</v>
      </c>
      <c r="B63" t="n">
        <v>361.11</v>
      </c>
      <c r="C63" t="n">
        <v>11.407</v>
      </c>
    </row>
    <row r="64">
      <c r="A64" s="5" t="n">
        <v>43525</v>
      </c>
      <c r="B64" t="n">
        <v>399.8</v>
      </c>
    </row>
    <row r="65">
      <c r="A65" s="5" t="n">
        <v>43556</v>
      </c>
      <c r="B65" t="n">
        <v>386.9</v>
      </c>
      <c r="C65" t="n">
        <v>10.36</v>
      </c>
    </row>
    <row r="66">
      <c r="A66" s="5" t="n">
        <v>43586</v>
      </c>
      <c r="B66" t="n">
        <v>399.8</v>
      </c>
      <c r="C66" t="n">
        <v>8.859</v>
      </c>
    </row>
    <row r="67">
      <c r="A67" s="5" t="n">
        <v>43617</v>
      </c>
      <c r="B67" t="n">
        <v>386.9</v>
      </c>
      <c r="C67" t="n">
        <v>8.834</v>
      </c>
    </row>
    <row r="68">
      <c r="A68" s="5" t="n">
        <v>43647</v>
      </c>
      <c r="B68" t="n">
        <v>399.8</v>
      </c>
      <c r="C68" t="n">
        <v>11.383</v>
      </c>
    </row>
    <row r="69">
      <c r="A69" s="5" t="n">
        <v>43678</v>
      </c>
      <c r="B69" t="n">
        <v>399.8</v>
      </c>
      <c r="C69" t="n">
        <v>11.274</v>
      </c>
    </row>
    <row r="70">
      <c r="A70" s="5" t="n">
        <v>43709</v>
      </c>
      <c r="B70" t="n">
        <v>386.9</v>
      </c>
      <c r="C70" t="n">
        <v>10.384</v>
      </c>
    </row>
    <row r="71">
      <c r="A71" s="5" t="n">
        <v>43739</v>
      </c>
      <c r="B71" t="n">
        <v>399.8</v>
      </c>
      <c r="C71" t="n">
        <v>10.746</v>
      </c>
    </row>
    <row r="72">
      <c r="A72" s="5" t="n">
        <v>43770</v>
      </c>
      <c r="B72" t="n">
        <v>386.9</v>
      </c>
      <c r="C72" t="n">
        <v>10.996</v>
      </c>
    </row>
    <row r="73">
      <c r="A73" s="5" t="n">
        <v>43800</v>
      </c>
      <c r="B73" t="n">
        <v>399.8</v>
      </c>
      <c r="C73" t="n">
        <v>12.397</v>
      </c>
    </row>
    <row r="74">
      <c r="A74" s="5" t="n">
        <v>43831</v>
      </c>
      <c r="B74" t="n">
        <v>412.68</v>
      </c>
      <c r="C74" t="n">
        <v>11.7</v>
      </c>
    </row>
    <row r="75">
      <c r="A75" s="5" t="n">
        <v>43862</v>
      </c>
      <c r="B75" t="n">
        <v>386.05</v>
      </c>
      <c r="C75" t="n">
        <v>8.784000000000001</v>
      </c>
    </row>
    <row r="76">
      <c r="A76" s="5" t="n">
        <v>43891</v>
      </c>
      <c r="B76" t="n">
        <v>412.68</v>
      </c>
      <c r="C76" t="n">
        <v>7.318</v>
      </c>
    </row>
    <row r="77">
      <c r="A77" s="5" t="n">
        <v>43922</v>
      </c>
      <c r="B77" t="n">
        <v>399.36</v>
      </c>
      <c r="C77" t="n">
        <v>6.906</v>
      </c>
    </row>
    <row r="78">
      <c r="A78" s="5" t="n">
        <v>43952</v>
      </c>
      <c r="B78" t="n">
        <v>412.68</v>
      </c>
      <c r="C78" t="n">
        <v>7.242</v>
      </c>
    </row>
    <row r="79">
      <c r="A79" s="5" t="n">
        <v>43983</v>
      </c>
      <c r="B79" t="n">
        <v>399.36</v>
      </c>
      <c r="C79" t="n">
        <v>7.21</v>
      </c>
    </row>
    <row r="80">
      <c r="A80" s="5" t="n">
        <v>44013</v>
      </c>
      <c r="B80" t="n">
        <v>412.68</v>
      </c>
      <c r="C80" t="n">
        <v>7.662</v>
      </c>
    </row>
    <row r="81">
      <c r="A81" s="5" t="n">
        <v>44044</v>
      </c>
      <c r="B81" t="n">
        <v>412.68</v>
      </c>
      <c r="C81" t="n">
        <v>7.17</v>
      </c>
    </row>
    <row r="82">
      <c r="A82" s="5" t="n">
        <v>44075</v>
      </c>
      <c r="B82" t="n">
        <v>399.36</v>
      </c>
      <c r="C82" t="n">
        <v>6.61</v>
      </c>
    </row>
    <row r="83">
      <c r="A83" s="5" t="n">
        <v>44105</v>
      </c>
      <c r="B83" t="n">
        <v>412.68</v>
      </c>
      <c r="C83" t="n">
        <v>7.795</v>
      </c>
    </row>
    <row r="84">
      <c r="A84" s="5" t="n">
        <v>44136</v>
      </c>
      <c r="B84" t="n">
        <v>399.36</v>
      </c>
      <c r="C84" t="n">
        <v>7.321</v>
      </c>
    </row>
    <row r="85">
      <c r="A85" s="5" t="n">
        <v>44166</v>
      </c>
      <c r="B85" t="n">
        <v>412.68</v>
      </c>
      <c r="C85" t="n">
        <v>7.541</v>
      </c>
    </row>
    <row r="86">
      <c r="A86" s="5" t="n">
        <v>44197</v>
      </c>
      <c r="B86" t="n">
        <v>419.11</v>
      </c>
      <c r="C86" t="n">
        <v>9.179</v>
      </c>
    </row>
    <row r="87">
      <c r="A87" s="5" t="n">
        <v>44228</v>
      </c>
      <c r="B87" t="n">
        <v>378.55</v>
      </c>
      <c r="C87" t="n">
        <v>8.053000000000001</v>
      </c>
    </row>
    <row r="88">
      <c r="A88" s="5" t="n">
        <v>44256</v>
      </c>
      <c r="B88" t="n">
        <v>419.11</v>
      </c>
      <c r="C88" t="n">
        <v>8.930999999999999</v>
      </c>
    </row>
    <row r="89">
      <c r="A89" s="5" t="n">
        <v>44287</v>
      </c>
      <c r="B89" t="n">
        <v>405.59</v>
      </c>
      <c r="C89" t="n">
        <v>8.073</v>
      </c>
    </row>
    <row r="90">
      <c r="A90" s="5" t="n">
        <v>44317</v>
      </c>
      <c r="B90" t="n">
        <v>419.11</v>
      </c>
      <c r="C90" t="n">
        <v>9.286</v>
      </c>
    </row>
    <row r="91">
      <c r="A91" s="5" t="n">
        <v>44348</v>
      </c>
      <c r="B91" t="n">
        <v>405.59</v>
      </c>
      <c r="C91" t="n">
        <v>8.775</v>
      </c>
    </row>
    <row r="92">
      <c r="A92" s="5" t="n">
        <v>44378</v>
      </c>
      <c r="B92" t="n">
        <v>419.11</v>
      </c>
      <c r="C92" t="n">
        <v>9.069000000000001</v>
      </c>
    </row>
    <row r="93">
      <c r="A93" s="5" t="n">
        <v>44409</v>
      </c>
      <c r="B93" t="n">
        <v>419.11</v>
      </c>
      <c r="C93" t="n">
        <v>9.167</v>
      </c>
    </row>
    <row r="94">
      <c r="A94" s="5" t="n">
        <v>44440</v>
      </c>
      <c r="B94" t="n">
        <v>405.59</v>
      </c>
      <c r="C94" t="n">
        <v>8.846</v>
      </c>
    </row>
    <row r="95">
      <c r="A95" s="5" t="n">
        <v>44470</v>
      </c>
      <c r="B95" t="n">
        <v>419.11</v>
      </c>
      <c r="C95" t="n">
        <v>8.496</v>
      </c>
    </row>
    <row r="96">
      <c r="A96" s="5" t="n">
        <v>44501</v>
      </c>
      <c r="B96" t="n">
        <v>405.59</v>
      </c>
      <c r="C96" t="n">
        <v>7.985</v>
      </c>
    </row>
    <row r="97">
      <c r="A97" s="5" t="n">
        <v>44531</v>
      </c>
      <c r="B97" t="n">
        <v>419.11</v>
      </c>
      <c r="C97" t="n">
        <v>8.196999999999999</v>
      </c>
    </row>
    <row r="98">
      <c r="A98" s="5" t="n">
        <v>44562</v>
      </c>
      <c r="B98" t="n">
        <v>430.27</v>
      </c>
      <c r="C98" t="n">
        <v>6.974</v>
      </c>
    </row>
    <row r="99">
      <c r="A99" s="5" t="n">
        <v>44593</v>
      </c>
      <c r="B99" t="n">
        <v>388.63</v>
      </c>
      <c r="C99" t="n">
        <v>6.551</v>
      </c>
    </row>
    <row r="100">
      <c r="A100" s="5" t="n">
        <v>44621</v>
      </c>
      <c r="B100" t="n">
        <v>430.27</v>
      </c>
      <c r="C100" t="n">
        <v>7.659</v>
      </c>
    </row>
    <row r="101">
      <c r="A101" s="5" t="n">
        <v>44652</v>
      </c>
      <c r="B101" t="n">
        <v>416.39</v>
      </c>
      <c r="C101" t="n">
        <v>7.019</v>
      </c>
    </row>
    <row r="102">
      <c r="A102" s="5" t="n">
        <v>44682</v>
      </c>
      <c r="B102" t="n">
        <v>430.27</v>
      </c>
      <c r="C102" t="n">
        <v>6.61</v>
      </c>
    </row>
    <row r="103">
      <c r="A103" s="5" t="n">
        <v>44713</v>
      </c>
      <c r="B103" t="n">
        <v>416.39</v>
      </c>
      <c r="C103" t="n">
        <v>5.093</v>
      </c>
    </row>
    <row r="104">
      <c r="A104" s="5" t="n">
        <v>44743</v>
      </c>
      <c r="B104" t="n">
        <v>430.27</v>
      </c>
      <c r="C104" t="n">
        <v>5.558</v>
      </c>
    </row>
    <row r="105">
      <c r="A105" s="5" t="n">
        <v>44774</v>
      </c>
      <c r="B105" t="n">
        <v>430.27</v>
      </c>
      <c r="C105" t="n">
        <v>7.788</v>
      </c>
    </row>
    <row r="106">
      <c r="A106" s="5" t="n">
        <v>44805</v>
      </c>
      <c r="B106" t="n">
        <v>416.39</v>
      </c>
      <c r="C106" t="n">
        <v>7.523</v>
      </c>
    </row>
    <row r="107">
      <c r="A107" s="5" t="n">
        <v>44835</v>
      </c>
      <c r="B107" t="n">
        <v>430.27</v>
      </c>
      <c r="C107" t="n">
        <v>8.119</v>
      </c>
    </row>
    <row r="108">
      <c r="A108" s="5" t="n">
        <v>44866</v>
      </c>
      <c r="B108" t="n">
        <v>416.39</v>
      </c>
      <c r="C108" t="n">
        <v>7.661</v>
      </c>
    </row>
    <row r="109">
      <c r="A109" s="5" t="n">
        <v>44896</v>
      </c>
      <c r="B109" t="n">
        <v>430.27</v>
      </c>
      <c r="C109" t="n">
        <v>8.300000000000001</v>
      </c>
    </row>
    <row r="110">
      <c r="A110" s="5" t="n">
        <v>44927</v>
      </c>
      <c r="B110" t="n">
        <v>440.83</v>
      </c>
      <c r="C110" t="n">
        <v>12.043</v>
      </c>
    </row>
    <row r="111">
      <c r="A111" s="5" t="n">
        <v>44958</v>
      </c>
      <c r="B111" t="n">
        <v>398.17</v>
      </c>
      <c r="C111" t="n">
        <v>10.894</v>
      </c>
    </row>
    <row r="112">
      <c r="A112" s="5" t="n">
        <v>44986</v>
      </c>
      <c r="B112" t="n">
        <v>440.83</v>
      </c>
      <c r="C112" t="n">
        <v>14.9</v>
      </c>
    </row>
    <row r="113">
      <c r="A113" s="5" t="n">
        <v>45017</v>
      </c>
      <c r="B113" t="n">
        <v>426.61</v>
      </c>
      <c r="C113" t="n">
        <v>13.049</v>
      </c>
    </row>
    <row r="114">
      <c r="A114" s="5" t="n">
        <v>45047</v>
      </c>
      <c r="B114" t="n">
        <v>440.83</v>
      </c>
      <c r="C114" t="n">
        <v>13.182</v>
      </c>
    </row>
    <row r="115">
      <c r="A115" s="5" t="n">
        <v>45078</v>
      </c>
      <c r="B115" t="n">
        <v>426.61</v>
      </c>
      <c r="C115" t="n">
        <v>12.831</v>
      </c>
    </row>
    <row r="116">
      <c r="A116" s="5" t="n">
        <v>45108</v>
      </c>
      <c r="B116" t="n">
        <v>440.83</v>
      </c>
      <c r="C116" t="n">
        <v>12.193</v>
      </c>
    </row>
    <row r="117">
      <c r="A117" s="5" t="n">
        <v>45139</v>
      </c>
      <c r="B117" t="n">
        <v>440.83</v>
      </c>
      <c r="C117" t="n">
        <v>11.479</v>
      </c>
    </row>
    <row r="118">
      <c r="A118" s="5" t="n">
        <v>45170</v>
      </c>
      <c r="B118" t="n">
        <v>426.61</v>
      </c>
      <c r="C118" t="n">
        <v>13.806</v>
      </c>
    </row>
    <row r="119">
      <c r="A119" s="5" t="n">
        <v>45200</v>
      </c>
      <c r="B119" t="n">
        <v>440.83</v>
      </c>
      <c r="C119" t="n">
        <v>14.709</v>
      </c>
    </row>
    <row r="120">
      <c r="A120" s="5" t="n">
        <v>45231</v>
      </c>
      <c r="B120" t="n">
        <v>426.61</v>
      </c>
      <c r="C120" t="n">
        <v>13.623</v>
      </c>
    </row>
    <row r="121">
      <c r="A121" s="5" t="n">
        <v>45261</v>
      </c>
      <c r="B121" t="n">
        <v>440.83</v>
      </c>
      <c r="C121" t="n">
        <v>12.36</v>
      </c>
    </row>
    <row r="122">
      <c r="A122" s="5" t="n">
        <v>45292</v>
      </c>
      <c r="B122" t="n">
        <v>460.94</v>
      </c>
      <c r="C122" t="n">
        <v>9.766999999999999</v>
      </c>
    </row>
    <row r="123">
      <c r="A123" s="5" t="n">
        <v>45323</v>
      </c>
      <c r="B123" t="n">
        <v>431.2</v>
      </c>
      <c r="C123" t="n">
        <v>8.661</v>
      </c>
    </row>
    <row r="124">
      <c r="A124" s="5" t="n">
        <v>45352</v>
      </c>
      <c r="B124" t="n">
        <v>460.94</v>
      </c>
      <c r="C124" t="n">
        <v>10.498</v>
      </c>
    </row>
    <row r="125">
      <c r="A125" s="5" t="n">
        <v>45383</v>
      </c>
      <c r="B125" t="n">
        <v>446.07</v>
      </c>
      <c r="C125" t="n">
        <v>10.132</v>
      </c>
    </row>
    <row r="126">
      <c r="A126" s="5" t="n">
        <v>45413</v>
      </c>
      <c r="B126" t="n">
        <v>460.94</v>
      </c>
      <c r="C126" t="n">
        <v>10.769</v>
      </c>
    </row>
    <row r="127">
      <c r="A127" s="5" t="n">
        <v>45444</v>
      </c>
      <c r="B127" t="n">
        <v>446.07</v>
      </c>
      <c r="C127" t="n">
        <v>11.395</v>
      </c>
    </row>
    <row r="128">
      <c r="A128" s="5" t="n">
        <v>45474</v>
      </c>
      <c r="B128" t="n">
        <v>460.94</v>
      </c>
      <c r="C128" t="n">
        <v>10.638</v>
      </c>
    </row>
    <row r="129">
      <c r="A129" s="5" t="n">
        <v>45505</v>
      </c>
      <c r="B129" t="n">
        <v>460.94</v>
      </c>
      <c r="C129" t="n">
        <v>10.203</v>
      </c>
    </row>
    <row r="130">
      <c r="A130" s="5" t="n">
        <v>45536</v>
      </c>
      <c r="B130" t="n">
        <v>446.07</v>
      </c>
      <c r="C130" t="n">
        <v>10.28</v>
      </c>
    </row>
    <row r="131">
      <c r="A131" s="5" t="n">
        <v>45566</v>
      </c>
      <c r="B131" t="n">
        <v>460.94</v>
      </c>
      <c r="C131" t="n">
        <v>10.621</v>
      </c>
    </row>
    <row r="132">
      <c r="A132" s="5" t="n">
        <v>45597</v>
      </c>
      <c r="B132" t="n">
        <v>446.07</v>
      </c>
      <c r="C132" t="n">
        <v>9.244</v>
      </c>
    </row>
    <row r="133">
      <c r="A133" s="5" t="n">
        <v>45627</v>
      </c>
      <c r="B133" t="n">
        <v>460.94</v>
      </c>
      <c r="C133" t="n">
        <v>10.772</v>
      </c>
    </row>
    <row r="134">
      <c r="A134" s="5" t="n">
        <v>45658</v>
      </c>
      <c r="B134" t="n">
        <v>489.23</v>
      </c>
      <c r="C134" t="n">
        <v>11.01</v>
      </c>
    </row>
    <row r="135">
      <c r="A135" s="5" t="n">
        <v>45689</v>
      </c>
      <c r="B135" t="n">
        <v>441.89</v>
      </c>
      <c r="C135" t="n">
        <v>11.602</v>
      </c>
    </row>
    <row r="136">
      <c r="A136" s="5" t="n">
        <v>45717</v>
      </c>
      <c r="B136" t="n">
        <v>489.23</v>
      </c>
      <c r="C136" t="n">
        <v>13.016</v>
      </c>
    </row>
    <row r="137">
      <c r="A137" s="5" t="n">
        <v>45748</v>
      </c>
      <c r="B137" t="n">
        <v>473.45</v>
      </c>
      <c r="C137" t="n">
        <v>12.175</v>
      </c>
    </row>
    <row r="138">
      <c r="A138" s="5" t="n">
        <v>45778</v>
      </c>
      <c r="B138" t="n">
        <v>489.23</v>
      </c>
      <c r="C138" t="n">
        <v>12.96</v>
      </c>
    </row>
    <row r="139">
      <c r="A139" s="5" t="n">
        <v>45809</v>
      </c>
      <c r="B139" t="n">
        <v>473.45</v>
      </c>
      <c r="C139" t="n">
        <v>13.278</v>
      </c>
    </row>
    <row r="140">
      <c r="A140" s="5" t="n">
        <v>45839</v>
      </c>
      <c r="B140" t="n">
        <v>489.23</v>
      </c>
      <c r="C140" t="n">
        <v>13.305</v>
      </c>
    </row>
    <row r="141">
      <c r="A141" s="5" t="n">
        <v>45870</v>
      </c>
      <c r="B141" t="n">
        <v>489.23</v>
      </c>
      <c r="C141" t="n">
        <v>14.494</v>
      </c>
    </row>
    <row r="142">
      <c r="A142" s="5" t="n">
        <v>45901</v>
      </c>
      <c r="B142" t="n">
        <v>473.45</v>
      </c>
      <c r="C142" t="n">
        <v>15.244</v>
      </c>
    </row>
    <row r="143">
      <c r="A143" s="5" t="n">
        <v>45931</v>
      </c>
      <c r="B143" t="n">
        <v>489.23</v>
      </c>
      <c r="C143" t="n">
        <v>18.855</v>
      </c>
    </row>
    <row r="144">
      <c r="A144" s="5" t="n">
        <v>45962</v>
      </c>
      <c r="B144" t="n">
        <v>473.45</v>
      </c>
      <c r="C144" t="n">
        <v>1.46</v>
      </c>
    </row>
    <row r="145">
      <c r="A145" s="5" t="n">
        <v>45992</v>
      </c>
      <c r="B145" t="n">
        <v>489.23</v>
      </c>
      <c r="C145" t="n">
        <v>17.021</v>
      </c>
    </row>
    <row r="146">
      <c r="A146" s="5" t="n">
        <v>46023</v>
      </c>
      <c r="B146" t="n">
        <v>489.24</v>
      </c>
      <c r="C146" t="n">
        <v>16.295</v>
      </c>
    </row>
    <row r="147">
      <c r="A147" s="5" t="n">
        <v>46054</v>
      </c>
      <c r="B147" t="n">
        <v>441.89</v>
      </c>
      <c r="C147" t="n">
        <v>16.161</v>
      </c>
    </row>
    <row r="148">
      <c r="A148" s="5" t="n">
        <v>46082</v>
      </c>
      <c r="B148" t="n">
        <v>489.24</v>
      </c>
      <c r="C148" t="n">
        <v>19.98</v>
      </c>
    </row>
    <row r="149">
      <c r="A149" s="5" t="n">
        <v>46113</v>
      </c>
      <c r="B149" t="n">
        <v>473.45</v>
      </c>
      <c r="C149" t="n">
        <v>18.245</v>
      </c>
    </row>
    <row r="150">
      <c r="A150" s="5" t="n">
        <v>46143</v>
      </c>
      <c r="B150" t="n">
        <v>489.24</v>
      </c>
      <c r="C150" t="n">
        <v>20.164</v>
      </c>
    </row>
    <row r="151">
      <c r="A151" s="5" t="n">
        <v>46174</v>
      </c>
      <c r="B151" t="n">
        <v>473.45</v>
      </c>
      <c r="C151" t="n">
        <v>19.538</v>
      </c>
    </row>
    <row r="152">
      <c r="A152" s="5" t="n">
        <v>46204</v>
      </c>
      <c r="B152" t="n">
        <v>489.24</v>
      </c>
      <c r="C152" t="n">
        <v>18.066</v>
      </c>
    </row>
    <row r="153">
      <c r="A153" s="5" t="n">
        <v>46235</v>
      </c>
      <c r="C153" t="n">
        <v>19.812</v>
      </c>
    </row>
    <row r="154">
      <c r="A154" s="5" t="n">
        <v>46266</v>
      </c>
      <c r="C154" t="n">
        <v>21.155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16"/>
  <sheetViews>
    <sheetView workbookViewId="0">
      <selection activeCell="A1" sqref="A1"/>
    </sheetView>
  </sheetViews>
  <sheetFormatPr baseColWidth="8" defaultRowHeight="15"/>
  <sheetData>
    <row r="1">
      <c r="A1" t="inlineStr">
        <is>
          <t>year</t>
        </is>
      </c>
      <c r="B1" t="inlineStr">
        <is>
          <t>AT_biomethane_TWh</t>
        </is>
      </c>
      <c r="C1" t="inlineStr">
        <is>
          <t>BE_biomethane_TWh</t>
        </is>
      </c>
      <c r="D1" t="inlineStr">
        <is>
          <t>BG_biomethane_TWh</t>
        </is>
      </c>
      <c r="E1" t="inlineStr">
        <is>
          <t>CY_biomethane_TWh</t>
        </is>
      </c>
      <c r="F1" t="inlineStr">
        <is>
          <t>CZ_biomethane_TWh</t>
        </is>
      </c>
      <c r="G1" t="inlineStr">
        <is>
          <t>DE_biomethane_TWh</t>
        </is>
      </c>
      <c r="H1" t="inlineStr">
        <is>
          <t>DK_biomethane_TWh</t>
        </is>
      </c>
      <c r="I1" t="inlineStr">
        <is>
          <t>EE_biomethane_TWh</t>
        </is>
      </c>
      <c r="J1" t="inlineStr">
        <is>
          <t>GR_biomethane_TWh</t>
        </is>
      </c>
      <c r="K1" t="inlineStr">
        <is>
          <t>ES_biomethane_TWh</t>
        </is>
      </c>
      <c r="L1" t="inlineStr">
        <is>
          <t>EU27_biomethane_TWh</t>
        </is>
      </c>
      <c r="M1" t="inlineStr">
        <is>
          <t>FI_biomethane_TWh</t>
        </is>
      </c>
      <c r="N1" t="inlineStr">
        <is>
          <t>FR_biomethane_TWh</t>
        </is>
      </c>
      <c r="O1" t="inlineStr">
        <is>
          <t>HR_biomethane_TWh</t>
        </is>
      </c>
      <c r="P1" t="inlineStr">
        <is>
          <t>HU_biomethane_TWh</t>
        </is>
      </c>
      <c r="Q1" t="inlineStr">
        <is>
          <t>IE_biomethane_TWh</t>
        </is>
      </c>
      <c r="R1" t="inlineStr">
        <is>
          <t>IT_biomethane_TWh</t>
        </is>
      </c>
      <c r="S1" t="inlineStr">
        <is>
          <t>LT_biomethane_TWh</t>
        </is>
      </c>
      <c r="T1" t="inlineStr">
        <is>
          <t>LU_biomethane_TWh</t>
        </is>
      </c>
      <c r="U1" t="inlineStr">
        <is>
          <t>LV_biomethane_TWh</t>
        </is>
      </c>
      <c r="V1" t="inlineStr">
        <is>
          <t>MT_biomethane_TWh</t>
        </is>
      </c>
      <c r="W1" t="inlineStr">
        <is>
          <t>NL_biomethane_TWh</t>
        </is>
      </c>
      <c r="X1" t="inlineStr">
        <is>
          <t>NO_biomethane_TWh</t>
        </is>
      </c>
      <c r="Y1" t="inlineStr">
        <is>
          <t>PL_biomethane_TWh</t>
        </is>
      </c>
      <c r="Z1" t="inlineStr">
        <is>
          <t>PT_biomethane_TWh</t>
        </is>
      </c>
      <c r="AA1" t="inlineStr">
        <is>
          <t>RO_biomethane_TWh</t>
        </is>
      </c>
      <c r="AB1" t="inlineStr">
        <is>
          <t>SE_biomethane_TWh</t>
        </is>
      </c>
      <c r="AC1" t="inlineStr">
        <is>
          <t>SI_biomethane_TWh</t>
        </is>
      </c>
      <c r="AD1" t="inlineStr">
        <is>
          <t>SK_biomethane_TWh</t>
        </is>
      </c>
      <c r="AE1" t="inlineStr">
        <is>
          <t>UK_biomethane_TWh</t>
        </is>
      </c>
      <c r="AF1" t="inlineStr">
        <is>
          <t>EU27_sum_of_countries_TWh</t>
        </is>
      </c>
    </row>
    <row r="2">
      <c r="A2" t="n">
        <v>2010</v>
      </c>
      <c r="B2" t="n">
        <v>0</v>
      </c>
      <c r="C2" t="n">
        <v>0</v>
      </c>
      <c r="D2" t="n">
        <v>0</v>
      </c>
      <c r="E2" t="n">
        <v>0</v>
      </c>
      <c r="F2" t="n">
        <v>0</v>
      </c>
      <c r="G2" t="n">
        <v>0</v>
      </c>
      <c r="H2" t="n">
        <v>0</v>
      </c>
      <c r="I2" t="n">
        <v>0</v>
      </c>
      <c r="J2" t="n">
        <v>0</v>
      </c>
      <c r="K2" t="n">
        <v>0</v>
      </c>
      <c r="L2" t="n">
        <v>0.0958</v>
      </c>
      <c r="M2" t="n">
        <v>0</v>
      </c>
      <c r="N2" t="n">
        <v>0</v>
      </c>
      <c r="O2" t="n">
        <v>0</v>
      </c>
      <c r="P2" t="n">
        <v>0</v>
      </c>
      <c r="Q2" t="n">
        <v>0</v>
      </c>
      <c r="R2" t="n">
        <v>0</v>
      </c>
      <c r="S2" t="n">
        <v>0</v>
      </c>
      <c r="T2" t="n">
        <v>0</v>
      </c>
      <c r="U2" t="n">
        <v>0</v>
      </c>
      <c r="V2" t="n">
        <v>0</v>
      </c>
      <c r="W2" t="n">
        <v>0.0958</v>
      </c>
      <c r="X2" t="n">
        <v>0</v>
      </c>
      <c r="Y2" t="n">
        <v>0</v>
      </c>
      <c r="Z2" t="n">
        <v>0</v>
      </c>
      <c r="AA2" t="n">
        <v>0</v>
      </c>
      <c r="AB2" t="n">
        <v>0</v>
      </c>
      <c r="AC2" t="n">
        <v>0</v>
      </c>
      <c r="AD2" t="n">
        <v>0</v>
      </c>
      <c r="AE2" t="n">
        <v>0</v>
      </c>
      <c r="AF2" t="n">
        <v>0.0958</v>
      </c>
    </row>
    <row r="3">
      <c r="A3" t="n">
        <v>2011</v>
      </c>
      <c r="B3" t="n">
        <v>0</v>
      </c>
      <c r="C3" t="n">
        <v>0</v>
      </c>
      <c r="D3" t="n">
        <v>0</v>
      </c>
      <c r="E3" t="n">
        <v>0</v>
      </c>
      <c r="F3" t="n">
        <v>0</v>
      </c>
      <c r="G3" t="n">
        <v>0</v>
      </c>
      <c r="H3" t="n">
        <v>0</v>
      </c>
      <c r="I3" t="n">
        <v>0</v>
      </c>
      <c r="J3" t="n">
        <v>0</v>
      </c>
      <c r="K3" t="n">
        <v>0</v>
      </c>
      <c r="L3" t="n">
        <v>0.1593</v>
      </c>
      <c r="M3" t="n">
        <v>0.0005999999999999999</v>
      </c>
      <c r="N3" t="n">
        <v>0</v>
      </c>
      <c r="O3" t="n">
        <v>0</v>
      </c>
      <c r="P3" t="n">
        <v>0</v>
      </c>
      <c r="Q3" t="n">
        <v>0</v>
      </c>
      <c r="R3" t="n">
        <v>0</v>
      </c>
      <c r="S3" t="n">
        <v>0</v>
      </c>
      <c r="T3" t="n">
        <v>0.0074</v>
      </c>
      <c r="U3" t="n">
        <v>0</v>
      </c>
      <c r="V3" t="n">
        <v>0</v>
      </c>
      <c r="W3" t="n">
        <v>0.1514</v>
      </c>
      <c r="X3" t="n">
        <v>0</v>
      </c>
      <c r="Y3" t="n">
        <v>0</v>
      </c>
      <c r="Z3" t="n">
        <v>0</v>
      </c>
      <c r="AA3" t="n">
        <v>0</v>
      </c>
      <c r="AB3" t="n">
        <v>0</v>
      </c>
      <c r="AC3" t="n">
        <v>0</v>
      </c>
      <c r="AD3" t="n">
        <v>0</v>
      </c>
      <c r="AE3" t="n">
        <v>0</v>
      </c>
      <c r="AF3" t="n">
        <v>0.1593</v>
      </c>
    </row>
    <row r="4">
      <c r="A4" t="n">
        <v>2012</v>
      </c>
      <c r="B4" t="n">
        <v>0</v>
      </c>
      <c r="C4" t="n">
        <v>0</v>
      </c>
      <c r="D4" t="n">
        <v>0</v>
      </c>
      <c r="E4" t="n">
        <v>0</v>
      </c>
      <c r="F4" t="n">
        <v>0</v>
      </c>
      <c r="G4" t="n">
        <v>0</v>
      </c>
      <c r="H4" t="n">
        <v>0</v>
      </c>
      <c r="I4" t="n">
        <v>0</v>
      </c>
      <c r="J4" t="n">
        <v>0</v>
      </c>
      <c r="K4" t="n">
        <v>0</v>
      </c>
      <c r="L4" t="n">
        <v>0.295</v>
      </c>
      <c r="M4" t="n">
        <v>0.0047</v>
      </c>
      <c r="N4" t="n">
        <v>0.0051</v>
      </c>
      <c r="O4" t="n">
        <v>0</v>
      </c>
      <c r="P4" t="n">
        <v>0</v>
      </c>
      <c r="Q4" t="n">
        <v>0</v>
      </c>
      <c r="R4" t="n">
        <v>0</v>
      </c>
      <c r="S4" t="n">
        <v>0</v>
      </c>
      <c r="T4" t="n">
        <v>0.0421</v>
      </c>
      <c r="U4" t="n">
        <v>0</v>
      </c>
      <c r="V4" t="n">
        <v>0</v>
      </c>
      <c r="W4" t="n">
        <v>0.2431</v>
      </c>
      <c r="X4" t="n">
        <v>0</v>
      </c>
      <c r="Y4" t="n">
        <v>0</v>
      </c>
      <c r="Z4" t="n">
        <v>0</v>
      </c>
      <c r="AA4" t="n">
        <v>0</v>
      </c>
      <c r="AB4" t="n">
        <v>0</v>
      </c>
      <c r="AC4" t="n">
        <v>0</v>
      </c>
      <c r="AD4" t="n">
        <v>0</v>
      </c>
      <c r="AE4" t="n">
        <v>0</v>
      </c>
      <c r="AF4" t="n">
        <v>0.295</v>
      </c>
    </row>
    <row r="5">
      <c r="A5" t="n">
        <v>2013</v>
      </c>
      <c r="B5" t="n">
        <v>0</v>
      </c>
      <c r="C5" t="n">
        <v>0</v>
      </c>
      <c r="D5" t="n">
        <v>0</v>
      </c>
      <c r="E5" t="n">
        <v>0</v>
      </c>
      <c r="F5" t="n">
        <v>0</v>
      </c>
      <c r="G5" t="n">
        <v>0</v>
      </c>
      <c r="H5" t="n">
        <v>0</v>
      </c>
      <c r="I5" t="n">
        <v>0</v>
      </c>
      <c r="J5" t="n">
        <v>0</v>
      </c>
      <c r="K5" t="n">
        <v>0</v>
      </c>
      <c r="L5" t="n">
        <v>0.5028</v>
      </c>
      <c r="M5" t="n">
        <v>0.0317</v>
      </c>
      <c r="N5" t="n">
        <v>0.0126</v>
      </c>
      <c r="O5" t="n">
        <v>0</v>
      </c>
      <c r="P5" t="n">
        <v>0</v>
      </c>
      <c r="Q5" t="n">
        <v>0</v>
      </c>
      <c r="R5" t="n">
        <v>0</v>
      </c>
      <c r="S5" t="n">
        <v>0</v>
      </c>
      <c r="T5" t="n">
        <v>0.0441</v>
      </c>
      <c r="U5" t="n">
        <v>0</v>
      </c>
      <c r="V5" t="n">
        <v>0</v>
      </c>
      <c r="W5" t="n">
        <v>0.4144</v>
      </c>
      <c r="X5" t="n">
        <v>0</v>
      </c>
      <c r="Y5" t="n">
        <v>0</v>
      </c>
      <c r="Z5" t="n">
        <v>0</v>
      </c>
      <c r="AA5" t="n">
        <v>0</v>
      </c>
      <c r="AB5" t="n">
        <v>0</v>
      </c>
      <c r="AC5" t="n">
        <v>0</v>
      </c>
      <c r="AD5" t="n">
        <v>0</v>
      </c>
      <c r="AE5" t="n">
        <v>0</v>
      </c>
      <c r="AF5" t="n">
        <v>0.5028</v>
      </c>
    </row>
    <row r="6">
      <c r="A6" t="n">
        <v>2014</v>
      </c>
      <c r="B6" t="n">
        <v>0</v>
      </c>
      <c r="C6" t="n">
        <v>0</v>
      </c>
      <c r="D6" t="n">
        <v>0</v>
      </c>
      <c r="E6" t="n">
        <v>0</v>
      </c>
      <c r="F6" t="n">
        <v>0</v>
      </c>
      <c r="G6" t="n">
        <v>0</v>
      </c>
      <c r="H6" t="n">
        <v>0.093</v>
      </c>
      <c r="I6" t="n">
        <v>0</v>
      </c>
      <c r="J6" t="n">
        <v>0</v>
      </c>
      <c r="K6" t="n">
        <v>0</v>
      </c>
      <c r="L6" t="n">
        <v>0.7451</v>
      </c>
      <c r="M6" t="n">
        <v>0.0339</v>
      </c>
      <c r="N6" t="n">
        <v>0.0284</v>
      </c>
      <c r="O6" t="n">
        <v>0</v>
      </c>
      <c r="P6" t="n">
        <v>0</v>
      </c>
      <c r="Q6" t="n">
        <v>0</v>
      </c>
      <c r="R6" t="n">
        <v>0</v>
      </c>
      <c r="S6" t="n">
        <v>0</v>
      </c>
      <c r="T6" t="n">
        <v>0.0476</v>
      </c>
      <c r="U6" t="n">
        <v>0</v>
      </c>
      <c r="V6" t="n">
        <v>0</v>
      </c>
      <c r="W6" t="n">
        <v>0.5422</v>
      </c>
      <c r="X6" t="n">
        <v>0</v>
      </c>
      <c r="Y6" t="n">
        <v>0</v>
      </c>
      <c r="Z6" t="n">
        <v>0</v>
      </c>
      <c r="AA6" t="n">
        <v>0</v>
      </c>
      <c r="AB6" t="n">
        <v>0</v>
      </c>
      <c r="AC6" t="n">
        <v>0</v>
      </c>
      <c r="AD6" t="n">
        <v>0</v>
      </c>
      <c r="AE6" t="n">
        <v>0.1225</v>
      </c>
      <c r="AF6" t="n">
        <v>0.7451</v>
      </c>
    </row>
    <row r="7">
      <c r="A7" t="n">
        <v>2015</v>
      </c>
      <c r="B7" t="n">
        <v>0</v>
      </c>
      <c r="C7" t="n">
        <v>0</v>
      </c>
      <c r="D7" t="n">
        <v>0</v>
      </c>
      <c r="E7" t="n">
        <v>0</v>
      </c>
      <c r="F7" t="n">
        <v>0</v>
      </c>
      <c r="G7" t="n">
        <v>0</v>
      </c>
      <c r="H7" t="n">
        <v>0.2807</v>
      </c>
      <c r="I7" t="n">
        <v>0</v>
      </c>
      <c r="J7" t="n">
        <v>0</v>
      </c>
      <c r="K7" t="n">
        <v>0</v>
      </c>
      <c r="L7" t="n">
        <v>1.1868</v>
      </c>
      <c r="M7" t="n">
        <v>0.0756</v>
      </c>
      <c r="N7" t="n">
        <v>0.074</v>
      </c>
      <c r="O7" t="n">
        <v>0</v>
      </c>
      <c r="P7" t="n">
        <v>0</v>
      </c>
      <c r="Q7" t="n">
        <v>0</v>
      </c>
      <c r="R7" t="n">
        <v>0</v>
      </c>
      <c r="S7" t="n">
        <v>0</v>
      </c>
      <c r="T7" t="n">
        <v>0.0555</v>
      </c>
      <c r="U7" t="n">
        <v>0</v>
      </c>
      <c r="V7" t="n">
        <v>0</v>
      </c>
      <c r="W7" t="n">
        <v>0.7009</v>
      </c>
      <c r="X7" t="n">
        <v>0</v>
      </c>
      <c r="Y7" t="n">
        <v>0</v>
      </c>
      <c r="Z7" t="n">
        <v>0</v>
      </c>
      <c r="AA7" t="n">
        <v>0</v>
      </c>
      <c r="AB7" t="n">
        <v>0</v>
      </c>
      <c r="AC7" t="n">
        <v>0</v>
      </c>
      <c r="AD7" t="n">
        <v>0</v>
      </c>
      <c r="AE7" t="n">
        <v>0.828</v>
      </c>
      <c r="AF7" t="n">
        <v>1.1868</v>
      </c>
    </row>
    <row r="8">
      <c r="A8" t="n">
        <v>2016</v>
      </c>
      <c r="B8" t="n">
        <v>0</v>
      </c>
      <c r="C8" t="n">
        <v>0</v>
      </c>
      <c r="D8" t="n">
        <v>0</v>
      </c>
      <c r="E8" t="n">
        <v>0</v>
      </c>
      <c r="F8" t="n">
        <v>0</v>
      </c>
      <c r="G8" t="n">
        <v>0</v>
      </c>
      <c r="H8" t="n">
        <v>0.8628</v>
      </c>
      <c r="I8" t="n">
        <v>0</v>
      </c>
      <c r="J8" t="n">
        <v>0</v>
      </c>
      <c r="K8" t="n">
        <v>0</v>
      </c>
      <c r="L8" t="n">
        <v>1.9205</v>
      </c>
      <c r="M8" t="n">
        <v>0.08169999999999999</v>
      </c>
      <c r="N8" t="n">
        <v>0.1936</v>
      </c>
      <c r="O8" t="n">
        <v>0</v>
      </c>
      <c r="P8" t="n">
        <v>0</v>
      </c>
      <c r="Q8" t="n">
        <v>0</v>
      </c>
      <c r="R8" t="n">
        <v>0</v>
      </c>
      <c r="S8" t="n">
        <v>0</v>
      </c>
      <c r="T8" t="n">
        <v>0.0545</v>
      </c>
      <c r="U8" t="n">
        <v>0</v>
      </c>
      <c r="V8" t="n">
        <v>0</v>
      </c>
      <c r="W8" t="n">
        <v>0.7279</v>
      </c>
      <c r="X8" t="n">
        <v>0</v>
      </c>
      <c r="Y8" t="n">
        <v>0</v>
      </c>
      <c r="Z8" t="n">
        <v>0</v>
      </c>
      <c r="AA8" t="n">
        <v>0</v>
      </c>
      <c r="AB8" t="n">
        <v>0</v>
      </c>
      <c r="AC8" t="n">
        <v>0</v>
      </c>
      <c r="AD8" t="n">
        <v>0</v>
      </c>
      <c r="AE8" t="n">
        <v>3.5963</v>
      </c>
      <c r="AF8" t="n">
        <v>1.9205</v>
      </c>
    </row>
    <row r="9">
      <c r="A9" t="n">
        <v>2017</v>
      </c>
      <c r="B9" t="n">
        <v>0</v>
      </c>
      <c r="C9" t="n">
        <v>0</v>
      </c>
      <c r="D9" t="n">
        <v>0</v>
      </c>
      <c r="E9" t="n">
        <v>0</v>
      </c>
      <c r="F9" t="n">
        <v>0</v>
      </c>
      <c r="G9" t="n">
        <v>0</v>
      </c>
      <c r="H9" t="n">
        <v>1.4249</v>
      </c>
      <c r="I9" t="n">
        <v>0</v>
      </c>
      <c r="J9" t="n">
        <v>0</v>
      </c>
      <c r="K9" t="n">
        <v>0.0828</v>
      </c>
      <c r="L9" t="n">
        <v>3.0317</v>
      </c>
      <c r="M9" t="n">
        <v>0.1</v>
      </c>
      <c r="N9" t="n">
        <v>0.3654</v>
      </c>
      <c r="O9" t="n">
        <v>0</v>
      </c>
      <c r="P9" t="n">
        <v>0.0517</v>
      </c>
      <c r="Q9" t="n">
        <v>0</v>
      </c>
      <c r="R9" t="n">
        <v>0.0838</v>
      </c>
      <c r="S9" t="n">
        <v>0</v>
      </c>
      <c r="T9" t="n">
        <v>0.0619</v>
      </c>
      <c r="U9" t="n">
        <v>0</v>
      </c>
      <c r="V9" t="n">
        <v>0</v>
      </c>
      <c r="W9" t="n">
        <v>0.8612</v>
      </c>
      <c r="X9" t="n">
        <v>0</v>
      </c>
      <c r="Y9" t="n">
        <v>0</v>
      </c>
      <c r="Z9" t="n">
        <v>0</v>
      </c>
      <c r="AA9" t="n">
        <v>0</v>
      </c>
      <c r="AB9" t="n">
        <v>0</v>
      </c>
      <c r="AC9" t="n">
        <v>0</v>
      </c>
      <c r="AD9" t="n">
        <v>0</v>
      </c>
      <c r="AE9" t="n">
        <v>3.5963</v>
      </c>
      <c r="AF9" t="n">
        <v>3.0317</v>
      </c>
    </row>
    <row r="10">
      <c r="A10" t="n">
        <v>2018</v>
      </c>
      <c r="B10" t="n">
        <v>0</v>
      </c>
      <c r="C10" t="n">
        <v>0.0005</v>
      </c>
      <c r="D10" t="n">
        <v>0</v>
      </c>
      <c r="E10" t="n">
        <v>0</v>
      </c>
      <c r="F10" t="n">
        <v>0</v>
      </c>
      <c r="G10" t="n">
        <v>0</v>
      </c>
      <c r="H10" t="n">
        <v>1.9611</v>
      </c>
      <c r="I10" t="n">
        <v>0.0216</v>
      </c>
      <c r="J10" t="n">
        <v>0</v>
      </c>
      <c r="K10" t="n">
        <v>0.0844</v>
      </c>
      <c r="L10" t="n">
        <v>4.1274</v>
      </c>
      <c r="M10" t="n">
        <v>0.1019</v>
      </c>
      <c r="N10" t="n">
        <v>0.6424</v>
      </c>
      <c r="O10" t="n">
        <v>0</v>
      </c>
      <c r="P10" t="n">
        <v>0.0511</v>
      </c>
      <c r="Q10" t="n">
        <v>0</v>
      </c>
      <c r="R10" t="n">
        <v>0.2691</v>
      </c>
      <c r="S10" t="n">
        <v>0</v>
      </c>
      <c r="T10" t="n">
        <v>0.0578</v>
      </c>
      <c r="U10" t="n">
        <v>0</v>
      </c>
      <c r="V10" t="n">
        <v>0</v>
      </c>
      <c r="W10" t="n">
        <v>0.9375</v>
      </c>
      <c r="X10" t="n">
        <v>0</v>
      </c>
      <c r="Y10" t="n">
        <v>0</v>
      </c>
      <c r="Z10" t="n">
        <v>0</v>
      </c>
      <c r="AA10" t="n">
        <v>0</v>
      </c>
      <c r="AB10" t="n">
        <v>0</v>
      </c>
      <c r="AC10" t="n">
        <v>0</v>
      </c>
      <c r="AD10" t="n">
        <v>0</v>
      </c>
      <c r="AE10" t="n">
        <v>4.3046</v>
      </c>
      <c r="AF10" t="n">
        <v>4.1274</v>
      </c>
    </row>
    <row r="11">
      <c r="A11" t="n">
        <v>2019</v>
      </c>
      <c r="B11" t="n">
        <v>0.137</v>
      </c>
      <c r="C11" t="n">
        <v>0.0033</v>
      </c>
      <c r="D11" t="n">
        <v>0</v>
      </c>
      <c r="E11" t="n">
        <v>0</v>
      </c>
      <c r="F11" t="n">
        <v>0</v>
      </c>
      <c r="G11" t="n">
        <v>0</v>
      </c>
      <c r="H11" t="n">
        <v>2.6685</v>
      </c>
      <c r="I11" t="n">
        <v>0.0341</v>
      </c>
      <c r="J11" t="n">
        <v>0</v>
      </c>
      <c r="K11" t="n">
        <v>0.09030000000000001</v>
      </c>
      <c r="L11" t="n">
        <v>5.9579</v>
      </c>
      <c r="M11" t="n">
        <v>0.0956</v>
      </c>
      <c r="N11" t="n">
        <v>1.1106</v>
      </c>
      <c r="O11" t="n">
        <v>0</v>
      </c>
      <c r="P11" t="n">
        <v>0.0561</v>
      </c>
      <c r="Q11" t="n">
        <v>0</v>
      </c>
      <c r="R11" t="n">
        <v>0.4758</v>
      </c>
      <c r="S11" t="n">
        <v>0</v>
      </c>
      <c r="T11" t="n">
        <v>0.036</v>
      </c>
      <c r="U11" t="n">
        <v>0</v>
      </c>
      <c r="V11" t="n">
        <v>0</v>
      </c>
      <c r="W11" t="n">
        <v>1.2507</v>
      </c>
      <c r="X11" t="n">
        <v>0</v>
      </c>
      <c r="Y11" t="n">
        <v>0</v>
      </c>
      <c r="Z11" t="n">
        <v>0</v>
      </c>
      <c r="AA11" t="n">
        <v>0</v>
      </c>
      <c r="AB11" t="n">
        <v>0</v>
      </c>
      <c r="AC11" t="n">
        <v>0</v>
      </c>
      <c r="AD11" t="n">
        <v>0</v>
      </c>
      <c r="AE11" t="n">
        <v>4.8878</v>
      </c>
      <c r="AF11" t="n">
        <v>5.9579</v>
      </c>
    </row>
    <row r="12">
      <c r="A12" t="n">
        <v>2020</v>
      </c>
      <c r="B12" t="n">
        <v>0.1239</v>
      </c>
      <c r="C12" t="n">
        <v>0.0137</v>
      </c>
      <c r="D12" t="n">
        <v>0</v>
      </c>
      <c r="E12" t="n">
        <v>0</v>
      </c>
      <c r="F12" t="n">
        <v>0.0069</v>
      </c>
      <c r="G12" t="n">
        <v>0</v>
      </c>
      <c r="H12" t="n">
        <v>4.0078</v>
      </c>
      <c r="I12" t="n">
        <v>0.0526</v>
      </c>
      <c r="J12" t="n">
        <v>0</v>
      </c>
      <c r="K12" t="n">
        <v>0.095</v>
      </c>
      <c r="L12" t="n">
        <v>9.5726</v>
      </c>
      <c r="M12" t="n">
        <v>0.0989</v>
      </c>
      <c r="N12" t="n">
        <v>1.9874</v>
      </c>
      <c r="O12" t="n">
        <v>0</v>
      </c>
      <c r="P12" t="n">
        <v>0.0556</v>
      </c>
      <c r="Q12" t="n">
        <v>0.0009</v>
      </c>
      <c r="R12" t="n">
        <v>0.9544</v>
      </c>
      <c r="S12" t="n">
        <v>0</v>
      </c>
      <c r="T12" t="n">
        <v>0.0561</v>
      </c>
      <c r="U12" t="n">
        <v>0</v>
      </c>
      <c r="V12" t="n">
        <v>0</v>
      </c>
      <c r="W12" t="n">
        <v>1.7675</v>
      </c>
      <c r="X12" t="n">
        <v>0</v>
      </c>
      <c r="Y12" t="n">
        <v>0</v>
      </c>
      <c r="Z12" t="n">
        <v>0</v>
      </c>
      <c r="AA12" t="n">
        <v>0</v>
      </c>
      <c r="AB12" t="n">
        <v>0.3519</v>
      </c>
      <c r="AC12" t="n">
        <v>0</v>
      </c>
      <c r="AD12" t="n">
        <v>0</v>
      </c>
      <c r="AF12" t="n">
        <v>9.5726</v>
      </c>
    </row>
    <row r="13">
      <c r="A13" t="n">
        <v>2021</v>
      </c>
      <c r="B13" t="n">
        <v>0.1225</v>
      </c>
      <c r="C13" t="n">
        <v>0.07820000000000001</v>
      </c>
      <c r="D13" t="n">
        <v>0</v>
      </c>
      <c r="E13" t="n">
        <v>0</v>
      </c>
      <c r="F13" t="n">
        <v>0.0108</v>
      </c>
      <c r="G13" t="n">
        <v>10.1011</v>
      </c>
      <c r="H13" t="n">
        <v>5.467</v>
      </c>
      <c r="I13" t="n">
        <v>0.0823</v>
      </c>
      <c r="J13" t="n">
        <v>0</v>
      </c>
      <c r="K13" t="n">
        <v>0.09</v>
      </c>
      <c r="L13" t="n">
        <v>24.0425</v>
      </c>
      <c r="M13" t="n">
        <v>0.1358</v>
      </c>
      <c r="N13" t="n">
        <v>3.9044</v>
      </c>
      <c r="O13" t="n">
        <v>0</v>
      </c>
      <c r="P13" t="n">
        <v>0.0522</v>
      </c>
      <c r="Q13" t="n">
        <v>0.0045</v>
      </c>
      <c r="R13" t="n">
        <v>1.5877</v>
      </c>
      <c r="S13" t="n">
        <v>0</v>
      </c>
      <c r="T13" t="n">
        <v>0.0481</v>
      </c>
      <c r="U13" t="n">
        <v>0</v>
      </c>
      <c r="V13" t="n">
        <v>0</v>
      </c>
      <c r="W13" t="n">
        <v>1.9889</v>
      </c>
      <c r="X13" t="n">
        <v>0</v>
      </c>
      <c r="Y13" t="n">
        <v>0</v>
      </c>
      <c r="Z13" t="n">
        <v>0</v>
      </c>
      <c r="AA13" t="n">
        <v>0</v>
      </c>
      <c r="AB13" t="n">
        <v>0.3689</v>
      </c>
      <c r="AC13" t="n">
        <v>0</v>
      </c>
      <c r="AD13" t="n">
        <v>0</v>
      </c>
      <c r="AF13" t="n">
        <v>24.0425</v>
      </c>
    </row>
    <row r="14">
      <c r="A14" t="n">
        <v>2022</v>
      </c>
      <c r="B14" t="n">
        <v>0.1231</v>
      </c>
      <c r="C14" t="n">
        <v>0.1424</v>
      </c>
      <c r="D14" t="n">
        <v>0</v>
      </c>
      <c r="E14" t="n">
        <v>0</v>
      </c>
      <c r="F14" t="n">
        <v>0.012</v>
      </c>
      <c r="G14" t="n">
        <v>9.142799999999999</v>
      </c>
      <c r="H14" t="n">
        <v>6.3089</v>
      </c>
      <c r="I14" t="n">
        <v>0.09089999999999999</v>
      </c>
      <c r="J14" t="n">
        <v>0</v>
      </c>
      <c r="K14" t="n">
        <v>0.1336</v>
      </c>
      <c r="L14" t="n">
        <v>27.2606</v>
      </c>
      <c r="M14" t="n">
        <v>0.1408</v>
      </c>
      <c r="N14" t="n">
        <v>6.2777</v>
      </c>
      <c r="O14" t="n">
        <v>0</v>
      </c>
      <c r="P14" t="n">
        <v>0.0522</v>
      </c>
      <c r="Q14" t="n">
        <v>0.0414</v>
      </c>
      <c r="R14" t="n">
        <v>2.15</v>
      </c>
      <c r="S14" t="n">
        <v>0</v>
      </c>
      <c r="T14" t="n">
        <v>0.0428</v>
      </c>
      <c r="U14" t="n">
        <v>0</v>
      </c>
      <c r="V14" t="n">
        <v>0</v>
      </c>
      <c r="W14" t="n">
        <v>2.2369</v>
      </c>
      <c r="X14" t="n">
        <v>0</v>
      </c>
      <c r="Y14" t="n">
        <v>0</v>
      </c>
      <c r="Z14" t="n">
        <v>0</v>
      </c>
      <c r="AA14" t="n">
        <v>0</v>
      </c>
      <c r="AB14" t="n">
        <v>0.365</v>
      </c>
      <c r="AC14" t="n">
        <v>0</v>
      </c>
      <c r="AD14" t="n">
        <v>0</v>
      </c>
      <c r="AF14" t="n">
        <v>27.2606</v>
      </c>
    </row>
    <row r="15">
      <c r="A15" t="n">
        <v>2023</v>
      </c>
      <c r="B15" t="n">
        <v>0.1206</v>
      </c>
      <c r="C15" t="n">
        <v>0.1219</v>
      </c>
      <c r="D15" t="n">
        <v>0</v>
      </c>
      <c r="E15" t="n">
        <v>0</v>
      </c>
      <c r="F15" t="n">
        <v>0.0262</v>
      </c>
      <c r="G15" t="n">
        <v>11.1153</v>
      </c>
      <c r="H15" t="n">
        <v>7.2167</v>
      </c>
      <c r="I15" t="n">
        <v>0.1212</v>
      </c>
      <c r="J15" t="n">
        <v>0</v>
      </c>
      <c r="K15" t="n">
        <v>0.2136</v>
      </c>
      <c r="L15" t="n">
        <v>33.1791</v>
      </c>
      <c r="M15" t="n">
        <v>0.1258</v>
      </c>
      <c r="N15" t="n">
        <v>8.222300000000001</v>
      </c>
      <c r="O15" t="n">
        <v>0</v>
      </c>
      <c r="P15" t="n">
        <v>0.0953</v>
      </c>
      <c r="Q15" t="n">
        <v>0.0577</v>
      </c>
      <c r="R15" t="n">
        <v>2.6191</v>
      </c>
      <c r="S15" t="n">
        <v>0.0422</v>
      </c>
      <c r="T15" t="n">
        <v>0.0422</v>
      </c>
      <c r="U15" t="n">
        <v>0</v>
      </c>
      <c r="V15" t="n">
        <v>0</v>
      </c>
      <c r="W15" t="n">
        <v>2.6839</v>
      </c>
      <c r="X15" t="n">
        <v>0</v>
      </c>
      <c r="Y15" t="n">
        <v>0</v>
      </c>
      <c r="Z15" t="n">
        <v>0</v>
      </c>
      <c r="AA15" t="n">
        <v>0</v>
      </c>
      <c r="AB15" t="n">
        <v>0.355</v>
      </c>
      <c r="AC15" t="n">
        <v>0</v>
      </c>
      <c r="AD15" t="n">
        <v>0</v>
      </c>
      <c r="AF15" t="n">
        <v>33.1791</v>
      </c>
    </row>
    <row r="16">
      <c r="A16" t="n">
        <v>2024</v>
      </c>
      <c r="B16" t="n">
        <v>0.1112</v>
      </c>
      <c r="C16" t="n">
        <v>0.2258</v>
      </c>
      <c r="D16" t="n">
        <v>0</v>
      </c>
      <c r="E16" t="n">
        <v>0</v>
      </c>
      <c r="F16" t="n">
        <v>0.065</v>
      </c>
      <c r="G16" t="n">
        <v>11.5425</v>
      </c>
      <c r="H16" t="n">
        <v>7.3539</v>
      </c>
      <c r="I16" t="n">
        <v>0.0851</v>
      </c>
      <c r="J16" t="n">
        <v>0</v>
      </c>
      <c r="K16" t="n">
        <v>0.2881</v>
      </c>
      <c r="L16" t="n">
        <v>37.0806</v>
      </c>
      <c r="M16" t="n">
        <v>0.1389</v>
      </c>
      <c r="N16" t="n">
        <v>10.4526</v>
      </c>
      <c r="O16" t="n">
        <v>0</v>
      </c>
      <c r="P16" t="n">
        <v>0.1444</v>
      </c>
      <c r="Q16" t="n">
        <v>0.0468</v>
      </c>
      <c r="R16" t="n">
        <v>3.2156</v>
      </c>
      <c r="S16" t="n">
        <v>0.1142</v>
      </c>
      <c r="T16" t="n">
        <v>0.0384</v>
      </c>
      <c r="U16" t="n">
        <v>0.063</v>
      </c>
      <c r="V16" t="n">
        <v>0</v>
      </c>
      <c r="W16" t="n">
        <v>2.8213</v>
      </c>
      <c r="X16" t="n">
        <v>0</v>
      </c>
      <c r="Y16" t="n">
        <v>0</v>
      </c>
      <c r="Z16" t="n">
        <v>0</v>
      </c>
      <c r="AA16" t="n">
        <v>0</v>
      </c>
      <c r="AB16" t="n">
        <v>0.3739</v>
      </c>
      <c r="AC16" t="n">
        <v>0</v>
      </c>
      <c r="AD16" t="n">
        <v>0</v>
      </c>
      <c r="AF16" t="n">
        <v>37.0806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year</t>
        </is>
      </c>
      <c r="B1" t="inlineStr">
        <is>
          <t>SE_upgraded_biogas_all_uses_TWh</t>
        </is>
      </c>
      <c r="C1" t="inlineStr">
        <is>
          <t>SE_fed_into_gas_networks_TWh</t>
        </is>
      </c>
    </row>
    <row r="2">
      <c r="A2" t="n">
        <v>2005</v>
      </c>
      <c r="B2" t="n">
        <v>0.112</v>
      </c>
    </row>
    <row r="3">
      <c r="A3" t="n">
        <v>2006</v>
      </c>
      <c r="B3" t="n">
        <v>0.218</v>
      </c>
    </row>
    <row r="4">
      <c r="A4" t="n">
        <v>2007</v>
      </c>
      <c r="B4" t="n">
        <v>0.303</v>
      </c>
    </row>
    <row r="5">
      <c r="A5" t="n">
        <v>2008</v>
      </c>
      <c r="B5" t="n">
        <v>0.355</v>
      </c>
    </row>
    <row r="6">
      <c r="A6" t="n">
        <v>2009</v>
      </c>
      <c r="B6" t="n">
        <v>0.488</v>
      </c>
    </row>
    <row r="7">
      <c r="A7" t="n">
        <v>2010</v>
      </c>
      <c r="B7" t="n">
        <v>0.608</v>
      </c>
    </row>
    <row r="8">
      <c r="A8" t="n">
        <v>2011</v>
      </c>
      <c r="B8" t="n">
        <v>0.734</v>
      </c>
    </row>
    <row r="9">
      <c r="A9" t="n">
        <v>2012</v>
      </c>
      <c r="B9" t="n">
        <v>0.845</v>
      </c>
    </row>
    <row r="10">
      <c r="A10" t="n">
        <v>2013</v>
      </c>
      <c r="B10" t="n">
        <v>0.907</v>
      </c>
    </row>
    <row r="11">
      <c r="A11" t="n">
        <v>2014</v>
      </c>
      <c r="B11" t="n">
        <v>1.017</v>
      </c>
    </row>
    <row r="12">
      <c r="A12" t="n">
        <v>2015</v>
      </c>
      <c r="B12" t="n">
        <v>1.219</v>
      </c>
    </row>
    <row r="13">
      <c r="A13" t="n">
        <v>2016</v>
      </c>
      <c r="B13" t="n">
        <v>1.296</v>
      </c>
    </row>
    <row r="14">
      <c r="A14" t="n">
        <v>2017</v>
      </c>
      <c r="B14" t="n">
        <v>1.312</v>
      </c>
    </row>
    <row r="15">
      <c r="A15" t="n">
        <v>2018</v>
      </c>
      <c r="B15" t="n">
        <v>1.296</v>
      </c>
    </row>
    <row r="16">
      <c r="A16" t="n">
        <v>2019</v>
      </c>
      <c r="B16" t="n">
        <v>1.351</v>
      </c>
    </row>
    <row r="17">
      <c r="A17" t="n">
        <v>2020</v>
      </c>
      <c r="B17" t="n">
        <v>1.401</v>
      </c>
    </row>
    <row r="18">
      <c r="A18" t="n">
        <v>2021</v>
      </c>
      <c r="B18" t="n">
        <v>1.508</v>
      </c>
    </row>
    <row r="19">
      <c r="A19" t="n">
        <v>2022</v>
      </c>
      <c r="B19" t="n">
        <v>1.535</v>
      </c>
    </row>
    <row r="20">
      <c r="A20" t="n">
        <v>2023</v>
      </c>
      <c r="B20" t="n">
        <v>1.542</v>
      </c>
      <c r="C20" t="n">
        <v>0.5347</v>
      </c>
    </row>
    <row r="21">
      <c r="A21" t="n">
        <v>2024</v>
      </c>
      <c r="B21" t="n">
        <v>1.63</v>
      </c>
      <c r="C21" t="n">
        <v>0.547</v>
      </c>
    </row>
    <row r="22">
      <c r="A22" t="n">
        <v>2025</v>
      </c>
      <c r="B22" t="n">
        <v>1.805</v>
      </c>
      <c r="C22" t="n">
        <v>0.531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year</t>
        </is>
      </c>
      <c r="B1" t="inlineStr">
        <is>
          <t>GB_national_monthly_sum_TWh</t>
        </is>
      </c>
      <c r="C1" t="inlineStr">
        <is>
          <t>GB_Eurostat_TWh</t>
        </is>
      </c>
      <c r="D1" t="inlineStr">
        <is>
          <t>AT_national_monthly_sum_TWh</t>
        </is>
      </c>
      <c r="E1" t="inlineStr">
        <is>
          <t>AT_Eurostat_TWh</t>
        </is>
      </c>
    </row>
    <row r="2">
      <c r="A2" t="n">
        <v>2010</v>
      </c>
      <c r="C2" t="n">
        <v>0</v>
      </c>
      <c r="E2" t="n">
        <v>0</v>
      </c>
    </row>
    <row r="3">
      <c r="A3" t="n">
        <v>2011</v>
      </c>
      <c r="C3" t="n">
        <v>0</v>
      </c>
      <c r="E3" t="n">
        <v>0</v>
      </c>
    </row>
    <row r="4">
      <c r="A4" t="n">
        <v>2012</v>
      </c>
      <c r="C4" t="n">
        <v>0</v>
      </c>
      <c r="E4" t="n">
        <v>0</v>
      </c>
    </row>
    <row r="5">
      <c r="A5" t="n">
        <v>2013</v>
      </c>
      <c r="C5" t="n">
        <v>0</v>
      </c>
      <c r="E5" t="n">
        <v>0</v>
      </c>
    </row>
    <row r="6">
      <c r="A6" t="n">
        <v>2014</v>
      </c>
      <c r="B6" t="n">
        <v>0.136</v>
      </c>
      <c r="C6" t="n">
        <v>0.122</v>
      </c>
      <c r="E6" t="n">
        <v>0</v>
      </c>
    </row>
    <row r="7">
      <c r="A7" t="n">
        <v>2015</v>
      </c>
      <c r="B7" t="n">
        <v>0.98</v>
      </c>
      <c r="C7" t="n">
        <v>0.828</v>
      </c>
      <c r="E7" t="n">
        <v>0</v>
      </c>
    </row>
    <row r="8">
      <c r="A8" t="n">
        <v>2016</v>
      </c>
      <c r="B8" t="n">
        <v>3.824</v>
      </c>
      <c r="C8" t="n">
        <v>3.596</v>
      </c>
      <c r="E8" t="n">
        <v>0</v>
      </c>
    </row>
    <row r="9">
      <c r="A9" t="n">
        <v>2017</v>
      </c>
      <c r="B9" t="n">
        <v>4.281</v>
      </c>
      <c r="C9" t="n">
        <v>3.596</v>
      </c>
      <c r="E9" t="n">
        <v>0</v>
      </c>
    </row>
    <row r="10">
      <c r="A10" t="n">
        <v>2018</v>
      </c>
      <c r="B10" t="n">
        <v>4.514</v>
      </c>
      <c r="C10" t="n">
        <v>4.305</v>
      </c>
      <c r="E10" t="n">
        <v>0</v>
      </c>
    </row>
    <row r="11">
      <c r="A11" t="n">
        <v>2019</v>
      </c>
      <c r="B11" t="n">
        <v>4.707</v>
      </c>
      <c r="C11" t="n">
        <v>4.888</v>
      </c>
      <c r="E11" t="n">
        <v>0.137</v>
      </c>
    </row>
    <row r="12">
      <c r="A12" t="n">
        <v>2020</v>
      </c>
      <c r="B12" t="n">
        <v>4.872</v>
      </c>
      <c r="D12" t="n">
        <v>0.093</v>
      </c>
      <c r="E12" t="n">
        <v>0.124</v>
      </c>
    </row>
    <row r="13">
      <c r="A13" t="n">
        <v>2021</v>
      </c>
      <c r="B13" t="n">
        <v>4.935</v>
      </c>
      <c r="D13" t="n">
        <v>0.104</v>
      </c>
      <c r="E13" t="n">
        <v>0.122</v>
      </c>
    </row>
    <row r="14">
      <c r="A14" t="n">
        <v>2022</v>
      </c>
      <c r="B14" t="n">
        <v>5.066</v>
      </c>
      <c r="D14" t="n">
        <v>0.08500000000000001</v>
      </c>
      <c r="E14" t="n">
        <v>0.123</v>
      </c>
    </row>
    <row r="15">
      <c r="A15" t="n">
        <v>2023</v>
      </c>
      <c r="B15" t="n">
        <v>5.19</v>
      </c>
      <c r="D15" t="n">
        <v>0.155</v>
      </c>
      <c r="E15" t="n">
        <v>0.121</v>
      </c>
    </row>
    <row r="16">
      <c r="A16" t="n">
        <v>2024</v>
      </c>
      <c r="B16" t="n">
        <v>5.442</v>
      </c>
      <c r="D16" t="n">
        <v>0.123</v>
      </c>
      <c r="E16" t="n">
        <v>0.111</v>
      </c>
    </row>
    <row r="17">
      <c r="A17" t="n">
        <v>2025</v>
      </c>
      <c r="B17" t="n">
        <v>5.76</v>
      </c>
      <c r="D17" t="n">
        <v>0.154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2026-10-28T00:51:43Z</dcterms:created>
  <dcterms:modified xsi:type="dcterms:W3CDTF">2026-10-28T00:51:44Z</dcterms:modified>
</cp:coreProperties>
</file>