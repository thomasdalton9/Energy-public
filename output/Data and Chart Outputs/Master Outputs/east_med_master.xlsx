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- Gas" sheetId="1" state="visible" r:id="rId1"/>
    <sheet name="Dashboard - Power" sheetId="2" state="visible" r:id="rId2"/>
    <sheet name="Dashboard - Long-term" sheetId="3" state="visible" r:id="rId3"/>
    <sheet name="IL By field data" sheetId="4" state="visible" r:id="rId4"/>
    <sheet name="IL Leviathan by destination dat" sheetId="5" state="visible" r:id="rId5"/>
    <sheet name="IL Exports data" sheetId="6" state="visible" r:id="rId6"/>
    <sheet name="IL Quarterly raw" sheetId="7" state="visible" r:id="rId7"/>
    <sheet name="IL Leviathan raw" sheetId="8" state="visible" r:id="rId8"/>
    <sheet name="IL Tamar raw" sheetId="9" state="visible" r:id="rId9"/>
    <sheet name="IL Karish YTD raw" sheetId="10" state="visible" r:id="rId10"/>
    <sheet name="EG Grid load data" sheetId="11" state="visible" r:id="rId11"/>
    <sheet name="EG grid load raw" sheetId="12" state="visible" r:id="rId12"/>
    <sheet name="Long gen by fuel data" sheetId="13" state="visible" r:id="rId13"/>
    <sheet name="Long gen shares data" sheetId="14" state="visible" r:id="rId14"/>
    <sheet name="Long demand vs GDP data" sheetId="15" state="visible" r:id="rId15"/>
    <sheet name="Long gas balance data" sheetId="16" state="visible" r:id="rId16"/>
    <sheet name="Long demand by country data" sheetId="17" state="visible" r:id="rId17"/>
    <sheet name="Long demand per head data" sheetId="18" state="visible" r:id="rId18"/>
    <sheet name="Long wind solar share data" sheetId="19" state="visible" r:id="rId19"/>
    <sheet name="Long gas by country data" sheetId="20" state="visible" r:id="rId20"/>
    <sheet name="Long GDP growth data" sheetId="21" state="visible" r:id="rId21"/>
    <sheet name="Long CDD data" sheetId="22" state="visible" r:id="rId22"/>
    <sheet name="Long HDD data" sheetId="23" state="visible" r:id="rId23"/>
    <sheet name="Long capacity data" sheetId="24" state="visible" r:id="rId24"/>
    <sheet name="Source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/yy"/>
    <numFmt numFmtId="166" formatCode="0.0"/>
    <numFmt numFmtId="167" formatCode="+0;-0;0"/>
    <numFmt numFmtId="168" formatCode="#,##0.0"/>
    <numFmt numFmtId="169" formatCode="yyyy"/>
  </numFmts>
  <fonts count="10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color rgb="00E34948"/>
    </font>
    <font>
      <i val="1"/>
      <color rgb="006B6B6B"/>
      <sz val="8"/>
      <u val="single"/>
    </font>
    <font>
      <i val="1"/>
      <color rgb="006B6B6B"/>
      <sz val="9"/>
    </font>
    <font>
      <i val="1"/>
      <color rgb="006B6B6B"/>
      <sz val="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applyAlignment="1" pivotButton="0" quotePrefix="0" xfId="0">
      <alignment vertical="center" wrapText="1"/>
    </xf>
    <xf numFmtId="0" fontId="1" fillId="0" borderId="0" pivotButton="0" quotePrefix="0" xfId="0"/>
    <xf numFmtId="1" fontId="1" fillId="0" borderId="0" pivotButton="0" quotePrefix="0" xfId="0"/>
    <xf numFmtId="3" fontId="1" fillId="0" borderId="0" pivotButton="0" quotePrefix="0" xfId="0"/>
    <xf numFmtId="166" fontId="1" fillId="0" borderId="0" pivotButton="0" quotePrefix="0" xfId="0"/>
    <xf numFmtId="2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9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By field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By field data'!$A$2:$A$11</f>
            </numRef>
          </cat>
          <val>
            <numRef>
              <f>'IL By field data'!$B$2:$B$11</f>
            </numRef>
          </val>
        </ser>
        <ser>
          <idx val="1"/>
          <order val="1"/>
          <tx>
            <strRef>
              <f>'IL By field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By field data'!$A$2:$A$11</f>
            </numRef>
          </cat>
          <val>
            <numRef>
              <f>'IL By field data'!$C$2:$C$11</f>
            </numRef>
          </val>
        </ser>
        <ser>
          <idx val="2"/>
          <order val="2"/>
          <tx>
            <strRef>
              <f>'IL By field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By field data'!$A$2:$A$11</f>
            </numRef>
          </cat>
          <val>
            <numRef>
              <f>'IL By field data'!$D$2:$D$11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Leviathan by destination dat'!B1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dat'!$B$2:$B$27</f>
            </numRef>
          </val>
        </ser>
        <ser>
          <idx val="1"/>
          <order val="1"/>
          <tx>
            <strRef>
              <f>'IL Leviathan by destination dat'!C1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dat'!$C$2:$C$27</f>
            </numRef>
          </val>
        </ser>
        <ser>
          <idx val="2"/>
          <order val="2"/>
          <tx>
            <strRef>
              <f>'IL Leviathan by destination dat'!D1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Exports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Exports data'!$A$2:$A$11</f>
            </numRef>
          </cat>
          <val>
            <numRef>
              <f>'IL Exports data'!$B$2:$B$11</f>
            </numRef>
          </val>
        </ser>
        <ser>
          <idx val="1"/>
          <order val="1"/>
          <tx>
            <strRef>
              <f>'IL Exports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Exports data'!$A$2:$A$11</f>
            </numRef>
          </cat>
          <val>
            <numRef>
              <f>'IL Exports data'!$C$2:$C$11</f>
            </numRef>
          </val>
        </ser>
        <ser>
          <idx val="2"/>
          <order val="2"/>
          <tx>
            <strRef>
              <f>'IL Exports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Exports data'!$A$2:$A$11</f>
            </numRef>
          </cat>
          <val>
            <numRef>
              <f>'IL Exports data'!$D$2:$D$11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'EG Grid load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data'!$B$2:$B$3</f>
            </numRef>
          </val>
          <smooth val="0"/>
        </ser>
        <ser>
          <idx val="1"/>
          <order val="1"/>
          <tx>
            <strRef>
              <f>'EG Grid load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data'!$C$2:$C$3</f>
            </numRef>
          </val>
          <smooth val="0"/>
        </ser>
        <ser>
          <idx val="2"/>
          <order val="2"/>
          <tx>
            <strRef>
              <f>'EG Grid load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data'!$D$2:$D$3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power generation by source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'Long gen by fuel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data'!$B$2:$B$26</f>
            </numRef>
          </val>
        </ser>
        <ser>
          <idx val="1"/>
          <order val="1"/>
          <tx>
            <strRef>
              <f>'Long gen by fuel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data'!$C$2:$C$26</f>
            </numRef>
          </val>
        </ser>
        <ser>
          <idx val="2"/>
          <order val="2"/>
          <tx>
            <strRef>
              <f>'Long gen by fuel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data'!$D$2:$D$26</f>
            </numRef>
          </val>
        </ser>
        <ser>
          <idx val="3"/>
          <order val="3"/>
          <tx>
            <strRef>
              <f>'Long gen by fuel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data'!$E$2:$E$26</f>
            </numRef>
          </val>
        </ser>
        <ser>
          <idx val="4"/>
          <order val="4"/>
          <tx>
            <strRef>
              <f>'Long gen by fuel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data'!$F$2:$F$26</f>
            </numRef>
          </val>
        </ser>
        <ser>
          <idx val="5"/>
          <order val="5"/>
          <tx>
            <strRef>
              <f>'Long gen by fuel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data'!$G$2:$G$26</f>
            </numRef>
          </val>
        </ser>
        <ser>
          <idx val="6"/>
          <order val="6"/>
          <tx>
            <strRef>
              <f>'Long gen by fuel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(annual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generation mix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gen shares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data'!$B$2:$B$26</f>
            </numRef>
          </val>
          <smooth val="0"/>
        </ser>
        <ser>
          <idx val="1"/>
          <order val="1"/>
          <tx>
            <strRef>
              <f>'Long gen shares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data'!$C$2:$C$26</f>
            </numRef>
          </val>
          <smooth val="0"/>
        </ser>
        <ser>
          <idx val="2"/>
          <order val="2"/>
          <tx>
            <strRef>
              <f>'Long gen shares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data'!$D$2:$D$26</f>
            </numRef>
          </val>
          <smooth val="0"/>
        </ser>
        <ser>
          <idx val="3"/>
          <order val="3"/>
          <tx>
            <strRef>
              <f>'Long gen shares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data'!$E$2:$E$26</f>
            </numRef>
          </val>
          <smooth val="0"/>
        </ser>
        <ser>
          <idx val="4"/>
          <order val="4"/>
          <tx>
            <strRef>
              <f>'Long gen shares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data'!$F$2:$F$26</f>
            </numRef>
          </val>
          <smooth val="0"/>
        </ser>
        <ser>
          <idx val="5"/>
          <order val="5"/>
          <tx>
            <strRef>
              <f>'Long gen shares data'!G1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data'!$G$2:$G$26</f>
            </numRef>
          </val>
          <smooth val="0"/>
        </ser>
        <ser>
          <idx val="6"/>
          <order val="6"/>
          <tx>
            <strRef>
              <f>'Long gen shares data'!H1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data'!$H$2:$H$26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power demand vs real GDP and population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vs GDP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data'!$B$2:$B$26</f>
            </numRef>
          </val>
          <smooth val="0"/>
        </ser>
        <ser>
          <idx val="1"/>
          <order val="1"/>
          <tx>
            <strRef>
              <f>'Long demand vs GDP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data'!$C$2:$C$26</f>
            </numRef>
          </val>
          <smooth val="0"/>
        </ser>
        <ser>
          <idx val="2"/>
          <order val="2"/>
          <tx>
            <strRef>
              <f>'Long demand vs GDP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data'!$D$2:$D$26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index, 2000 = 100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natural gas production vs consumption (gap = net imports)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gas balance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balance data'!$A$2:$A$36</f>
            </numRef>
          </cat>
          <val>
            <numRef>
              <f>'Long gas balance data'!$B$2:$B$36</f>
            </numRef>
          </val>
          <smooth val="0"/>
        </ser>
        <ser>
          <idx val="1"/>
          <order val="1"/>
          <tx>
            <strRef>
              <f>'Long gas balance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balance data'!$A$2:$A$36</f>
            </numRef>
          </cat>
          <val>
            <numRef>
              <f>'Long gas balance data'!$C$2:$C$36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Power demand by country (largest 5)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by country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data'!$B$2:$B$27</f>
            </numRef>
          </val>
          <smooth val="0"/>
        </ser>
        <ser>
          <idx val="1"/>
          <order val="1"/>
          <tx>
            <strRef>
              <f>'Long demand by country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data'!$C$2:$C$27</f>
            </numRef>
          </val>
          <smooth val="0"/>
        </ser>
        <ser>
          <idx val="2"/>
          <order val="2"/>
          <tx>
            <strRef>
              <f>'Long demand by country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data'!$D$2:$D$27</f>
            </numRef>
          </val>
          <smooth val="0"/>
        </ser>
        <ser>
          <idx val="3"/>
          <order val="3"/>
          <tx>
            <strRef>
              <f>'Long demand by country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data'!$E$2:$E$27</f>
            </numRef>
          </val>
          <smooth val="0"/>
        </ser>
        <ser>
          <idx val="4"/>
          <order val="4"/>
          <tx>
            <strRef>
              <f>'Long demand by country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Power demand per head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per head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data'!$B$2:$B$27</f>
            </numRef>
          </val>
          <smooth val="0"/>
        </ser>
        <ser>
          <idx val="1"/>
          <order val="1"/>
          <tx>
            <strRef>
              <f>'Long demand per head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data'!$C$2:$C$27</f>
            </numRef>
          </val>
          <smooth val="0"/>
        </ser>
        <ser>
          <idx val="2"/>
          <order val="2"/>
          <tx>
            <strRef>
              <f>'Long demand per head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data'!$D$2:$D$27</f>
            </numRef>
          </val>
          <smooth val="0"/>
        </ser>
        <ser>
          <idx val="3"/>
          <order val="3"/>
          <tx>
            <strRef>
              <f>'Long demand per head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data'!$E$2:$E$27</f>
            </numRef>
          </val>
          <smooth val="0"/>
        </ser>
        <ser>
          <idx val="4"/>
          <order val="4"/>
          <tx>
            <strRef>
              <f>'Long demand per head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kWh per person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Wind + solar share of generation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wind solar share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data'!$B$2:$B$27</f>
            </numRef>
          </val>
          <smooth val="0"/>
        </ser>
        <ser>
          <idx val="1"/>
          <order val="1"/>
          <tx>
            <strRef>
              <f>'Long wind solar share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data'!$C$2:$C$27</f>
            </numRef>
          </val>
          <smooth val="0"/>
        </ser>
        <ser>
          <idx val="2"/>
          <order val="2"/>
          <tx>
            <strRef>
              <f>'Long wind solar share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data'!$D$2:$D$27</f>
            </numRef>
          </val>
          <smooth val="0"/>
        </ser>
        <ser>
          <idx val="3"/>
          <order val="3"/>
          <tx>
            <strRef>
              <f>'Long wind solar share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data'!$E$2:$E$27</f>
            </numRef>
          </val>
          <smooth val="0"/>
        </ser>
        <ser>
          <idx val="4"/>
          <order val="4"/>
          <tx>
            <strRef>
              <f>'Long wind solar share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Natural gas consumption by country (largest 3)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gas by country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data'!$B$2:$B$36</f>
            </numRef>
          </val>
          <smooth val="0"/>
        </ser>
        <ser>
          <idx val="1"/>
          <order val="1"/>
          <tx>
            <strRef>
              <f>'Long gas by country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data'!$C$2:$C$36</f>
            </numRef>
          </val>
          <smooth val="0"/>
        </ser>
        <ser>
          <idx val="2"/>
          <order val="2"/>
          <tx>
            <strRef>
              <f>'Long gas by country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data'!$D$2:$D$36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Real GDP growth, history and IMF forecast (to 2031)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GDP growth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data'!$B$2:$B$23</f>
            </numRef>
          </val>
          <smooth val="0"/>
        </ser>
        <ser>
          <idx val="1"/>
          <order val="1"/>
          <tx>
            <strRef>
              <f>'Long GDP growth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data'!$C$2:$C$23</f>
            </numRef>
          </val>
          <smooth val="0"/>
        </ser>
        <ser>
          <idx val="2"/>
          <order val="2"/>
          <tx>
            <strRef>
              <f>'Long GDP growth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data'!$D$2:$D$23</f>
            </numRef>
          </val>
          <smooth val="0"/>
        </ser>
        <ser>
          <idx val="3"/>
          <order val="3"/>
          <tx>
            <strRef>
              <f>'Long GDP growth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data'!$E$2:$E$23</f>
            </numRef>
          </val>
          <smooth val="0"/>
        </ser>
        <ser>
          <idx val="4"/>
          <order val="4"/>
          <tx>
            <strRef>
              <f>'Long GDP growth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data'!$F$2:$F$23</f>
            </numRef>
          </val>
          <smooth val="0"/>
        </ser>
        <ser>
          <idx val="5"/>
          <order val="5"/>
          <tx>
            <strRef>
              <f>'Long GDP growth data'!G1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data'!$G$2:$G$23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Cooling degree days (base 18°C), population-weighted cities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CDD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CDD data'!$A$2:$A$36</f>
            </numRef>
          </cat>
          <val>
            <numRef>
              <f>'Long CDD data'!$B$2:$B$36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Heating degree days (base 18°C), population-weighted cities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HDD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HDD data'!$A$2:$A$36</f>
            </numRef>
          </cat>
          <val>
            <numRef>
              <f>'Long HDD data'!$B$2:$B$36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installed capacity by source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'Long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data'!$B$2:$B$26</f>
            </numRef>
          </val>
        </ser>
        <ser>
          <idx val="1"/>
          <order val="1"/>
          <tx>
            <strRef>
              <f>'Long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data'!$C$2:$C$26</f>
            </numRef>
          </val>
        </ser>
        <ser>
          <idx val="2"/>
          <order val="2"/>
          <tx>
            <strRef>
              <f>'Long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data'!$D$2:$D$26</f>
            </numRef>
          </val>
        </ser>
        <ser>
          <idx val="3"/>
          <order val="3"/>
          <tx>
            <strRef>
              <f>'Long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data'!$E$2:$E$26</f>
            </numRef>
          </val>
        </ser>
        <ser>
          <idx val="4"/>
          <order val="4"/>
          <tx>
            <strRef>
              <f>'Long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data'!$F$2:$F$26</f>
            </numRef>
          </val>
        </ser>
        <ser>
          <idx val="5"/>
          <order val="5"/>
          <tx>
            <strRef>
              <f>'Long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data'!$G$2:$G$26</f>
            </numRef>
          </val>
        </ser>
        <ser>
          <idx val="6"/>
          <order val="6"/>
          <tx>
            <strRef>
              <f>'Long capacity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10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34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12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36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60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60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84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84</row>
      <rowOff>0</rowOff>
    </from>
    <ext cx="756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108</row>
      <rowOff>0</rowOff>
    </from>
    <ext cx="7560000" cy="39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108</row>
      <rowOff>0</rowOff>
    </from>
    <ext cx="7560000" cy="39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132</row>
      <rowOff>0</rowOff>
    </from>
    <ext cx="7560000" cy="39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132</row>
      <rowOff>0</rowOff>
    </from>
    <ext cx="7560000" cy="39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L By field data'!A1" TargetMode="External" Id="rId1" /><Relationship Type="http://schemas.openxmlformats.org/officeDocument/2006/relationships/hyperlink" Target="https://newmedenergy.com/investor-relations/financial-reports/" TargetMode="External" Id="rId2" /><Relationship Type="http://schemas.openxmlformats.org/officeDocument/2006/relationships/hyperlink" Target="#'IL Leviathan by destination dat'!A1" TargetMode="External" Id="rId3" /><Relationship Type="http://schemas.openxmlformats.org/officeDocument/2006/relationships/hyperlink" Target="https://newmedenergy.com/investor-relations/financial-reports/" TargetMode="External" Id="rId4" /><Relationship Type="http://schemas.openxmlformats.org/officeDocument/2006/relationships/hyperlink" Target="#'IL Exports data'!A1" TargetMode="External" Id="rId5" /><Relationship Type="http://schemas.openxmlformats.org/officeDocument/2006/relationships/hyperlink" Target="https://newmedenergy.com/investor-relations/financial-reports/" TargetMode="External" Id="rId6" /><Relationship Type="http://schemas.openxmlformats.org/officeDocument/2006/relationships/hyperlink" Target="https://newmedenergy.com/investor-relations/financial-reports/" TargetMode="External" Id="rId7" /><Relationship Type="http://schemas.openxmlformats.org/officeDocument/2006/relationships/hyperlink" Target="https://newmedenergy.com/investor-relations/financial-reports/" TargetMode="External" Id="rId8" /><Relationship Type="http://schemas.openxmlformats.org/officeDocument/2006/relationships/hyperlink" Target="https://newmedenergy.com/investor-relations/financial-reports/" TargetMode="External" Id="rId9" /><Relationship Type="http://schemas.openxmlformats.org/officeDocument/2006/relationships/drawing" Target="/xl/drawings/drawing1.xm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EG Grid load data'!A1" TargetMode="External" Id="rId1" /><Relationship Type="http://schemas.openxmlformats.org/officeDocument/2006/relationships/hyperlink" Target="http://www.moee.gov.eg/english_new/home.aspx" TargetMode="External" Id="rId2" /><Relationship Type="http://schemas.openxmlformats.org/officeDocument/2006/relationships/hyperlink" Target="http://www.moee.gov.eg/english_new/home.aspx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https://newmedenergy.com/investor-relations/financial-reports/" TargetMode="External" Id="rId1" /><Relationship Type="http://schemas.openxmlformats.org/officeDocument/2006/relationships/hyperlink" Target="http://www.moee.gov.eg/english_new/home.asp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7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East Mediterranean - gas (Israel by field, exports to Egypt and Jordan)</t>
        </is>
      </c>
    </row>
    <row r="2">
      <c r="B2" s="2" t="inlineStr">
        <is>
          <t>Built 11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Israel</t>
        </is>
      </c>
      <c r="C5" t="inlineStr">
        <is>
          <t>Israel gas sales by field (company reports, 100% of field)</t>
        </is>
      </c>
      <c r="D5" t="inlineStr">
        <is>
          <t>Apr/26</t>
        </is>
      </c>
      <c r="E5" s="4" t="inlineStr">
        <is>
          <t>IL By field data</t>
        </is>
      </c>
      <c r="F5" s="4" t="inlineStr">
        <is>
          <t>Field owners' reports: NewMed Energy (Leviathan), Tamar Petroleum (Tamar), Energean plc via investegate.co.uk (Karish) - gas sold, 100% of each field, quarterly</t>
        </is>
      </c>
    </row>
    <row r="6">
      <c r="B6" t="inlineStr">
        <is>
          <t>Israel</t>
        </is>
      </c>
      <c r="C6" t="inlineStr">
        <is>
          <t>Leviathan gas sales by destination (NewMed)</t>
        </is>
      </c>
      <c r="D6" t="inlineStr">
        <is>
          <t>Apr/26</t>
        </is>
      </c>
      <c r="E6" s="4" t="inlineStr">
        <is>
          <t>IL Leviathan by destination dat</t>
        </is>
      </c>
      <c r="F6" s="4" t="inlineStr">
        <is>
          <t>Field owners' reports: NewMed Energy (Leviathan), Tamar Petroleum (Tamar), Energean plc via investegate.co.uk (Karish) - gas sold, 100% of each field, quarterly</t>
        </is>
      </c>
    </row>
    <row r="7">
      <c r="B7" t="inlineStr">
        <is>
          <t>Israel</t>
        </is>
      </c>
      <c r="C7" t="inlineStr">
        <is>
          <t>Israel gas exports: Leviathan by country and Tamar (company reports)</t>
        </is>
      </c>
      <c r="D7" t="inlineStr">
        <is>
          <t>Apr/26</t>
        </is>
      </c>
      <c r="E7" s="4" t="inlineStr">
        <is>
          <t>IL Exports data</t>
        </is>
      </c>
      <c r="F7" s="4" t="inlineStr">
        <is>
          <t>Field owners' reports: NewMed Energy (Leviathan), Tamar Petroleum (Tamar), Energean plc via investegate.co.uk (Karish) - gas sold, 100% of each field, quarterly</t>
        </is>
      </c>
    </row>
    <row r="9">
      <c r="B9" s="5" t="inlineStr">
        <is>
          <t>Not available / notes this run: Israel: quarterly SALES from the field owners' reports (100% of field); the national total is only for quarters all three fields report; no monthly Israeli gas source is reachable (gov.il is Cloudflare-blocked)</t>
        </is>
      </c>
    </row>
    <row r="33">
      <c r="B33" s="6" t="inlineStr">
        <is>
          <t>Source: Field owners' reports: NewMed Energy (Leviathan), Tamar Petroleum (Tamar), Energean plc via investegate.co.uk (Karish) - gas sold, 100% of each field, quarterly</t>
        </is>
      </c>
      <c r="F33" s="6" t="inlineStr">
        <is>
          <t>Source: Field owners' reports: NewMed Energy (Leviathan), Tamar Petroleum (Tamar), Energean plc via investegate.co.uk (Karish) - gas sold, 100% of each field, quarterly</t>
        </is>
      </c>
    </row>
    <row r="57">
      <c r="B57" s="6" t="inlineStr">
        <is>
          <t>Source: Field owners' reports: NewMed Energy (Leviathan), Tamar Petroleum (Tamar), Energean plc via investegate.co.uk (Karish) - gas sold, 100% of each field, quarterly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B33" r:id="rId7"/>
    <hyperlink xmlns:r="http://schemas.openxmlformats.org/officeDocument/2006/relationships" ref="F33" r:id="rId8"/>
    <hyperlink xmlns:r="http://schemas.openxmlformats.org/officeDocument/2006/relationships" ref="B57" r:id="rId9"/>
  </hyperlinks>
  <pageMargins left="0.75" right="0.75" top="1" bottom="1" header="0.5" footer="0.5"/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1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East Mediterranean - power (Egypt grid load, Cyprus generation)</t>
        </is>
      </c>
    </row>
    <row r="2">
      <c r="B2" s="2" t="inlineStr">
        <is>
          <t>Built 11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Egypt</t>
        </is>
      </c>
      <c r="C5" t="inlineStr">
        <is>
          <t>Egypt daily peak and minimum grid load (Ministry of Electricity)</t>
        </is>
      </c>
      <c r="D5" t="inlineStr">
        <is>
          <t>Oct/26</t>
        </is>
      </c>
      <c r="E5" s="4" t="inlineStr">
        <is>
          <t>EG Grid load data</t>
        </is>
      </c>
      <c r="F5" s="4" t="inlineStr">
        <is>
          <t>Ministry of Electricity and Renewable Energy (MOEE), Egypt: home-page 'Grid Loads' panel (no history at source; series from Oct 2026)</t>
        </is>
      </c>
    </row>
    <row r="7">
      <c r="B7" s="5" t="inlineStr">
        <is>
          <t>Not available / notes this run: Cyprus power (cyprus_generation_mix_daily.xlsx); Egypt: grid load only (daily peak and minimum); Egypt's generation by type and gas balance are annual (MOEE, CAPMAS) and not yet built</t>
        </is>
      </c>
    </row>
    <row r="31">
      <c r="B31" s="6" t="inlineStr">
        <is>
          <t>Source: Ministry of Electricity and Renewable Energy (MOEE), Egypt: home-page 'Grid Loads' panel (no history at source; series from Oct 2026)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B31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1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7" customWidth="1" min="3" max="3"/>
    <col width="10" customWidth="1" min="4" max="4"/>
    <col width="11" customWidth="1" min="5" max="5"/>
    <col width="10" customWidth="1" min="6" max="6"/>
    <col width="12" customWidth="1" min="7" max="7"/>
    <col width="10" customWidth="1" min="8" max="8"/>
    <col width="10" customWidth="1" min="9" max="9"/>
    <col width="7" customWidth="1" min="10" max="10"/>
    <col width="7" customWidth="1" min="11" max="11"/>
    <col width="8" customWidth="1" min="12" max="12"/>
    <col width="9" customWidth="1" min="13" max="13"/>
    <col width="7" customWidth="1" min="14" max="14"/>
    <col width="8" customWidth="1" min="15" max="15"/>
    <col width="9" customWidth="1" min="16" max="16"/>
    <col width="9" customWidth="1" min="17" max="17"/>
    <col width="9" customWidth="1" min="18" max="18"/>
    <col width="11" customWidth="1" min="19" max="19"/>
    <col width="10" customWidth="1" min="20" max="20"/>
    <col width="10" customWidth="1" min="21" max="21"/>
    <col width="11" customWidth="1" min="22" max="22"/>
    <col width="10" customWidth="1" min="23" max="23"/>
    <col width="11" customWidth="1" min="24" max="24"/>
    <col width="9" customWidth="1" min="25" max="25"/>
    <col width="9" customWidth="1" min="26" max="26"/>
  </cols>
  <sheetData>
    <row r="1">
      <c r="B1" s="1" t="inlineStr">
        <is>
          <t>East Med - long-term fundamentals (annual)</t>
        </is>
      </c>
    </row>
    <row r="2">
      <c r="B2" s="2" t="inlineStr">
        <is>
          <t>Annual statistics compiled from national sources: power from Ember's yearly data (2000-), fuels from the Energy Institute Statistical Review, GDP and population from the World Bank, outlook from the IMF World Economic Outlook, degree days from NASA POWER (population-weighted cities). These give the long consistent history; the raw monthly/daily feeds are on the other dashboards.</t>
        </is>
      </c>
    </row>
    <row r="3">
      <c r="B3" s="7" t="inlineStr">
        <is>
          <t>Growth = compound annual rate over 10 years to the latest year. Elasticity = demand growth / GDP growth. Fleet utilisation = generation / (capacity x 8,760 h). Gas import dependence = (consumption - production) / consumption. Region row: countries summed (years where all report).</t>
        </is>
      </c>
    </row>
    <row r="5" ht="45" customHeight="1">
      <c r="B5" s="8" t="inlineStr">
        <is>
          <t>Country</t>
        </is>
      </c>
      <c r="C5" s="8" t="inlineStr">
        <is>
          <t>Year</t>
        </is>
      </c>
      <c r="D5" s="8" t="inlineStr">
        <is>
          <t>Demand TWh</t>
        </is>
      </c>
      <c r="E5" s="8" t="inlineStr">
        <is>
          <t>Demand growth 10y %/yr</t>
        </is>
      </c>
      <c r="F5" s="8" t="inlineStr">
        <is>
          <t>GDP growth 10y %/yr</t>
        </is>
      </c>
      <c r="G5" s="8" t="inlineStr">
        <is>
          <t>Elasticity (demand / GDP growth)</t>
        </is>
      </c>
      <c r="H5" s="8" t="inlineStr">
        <is>
          <t>Demand per head kWh</t>
        </is>
      </c>
      <c r="I5" s="8" t="inlineStr">
        <is>
          <t>GDP per head PPP $k</t>
        </is>
      </c>
      <c r="J5" s="8" t="inlineStr">
        <is>
          <t>Coal %</t>
        </is>
      </c>
      <c r="K5" s="8" t="inlineStr">
        <is>
          <t>Gas %</t>
        </is>
      </c>
      <c r="L5" s="8" t="inlineStr">
        <is>
          <t>Wind + solar %</t>
        </is>
      </c>
      <c r="M5" s="8" t="inlineStr">
        <is>
          <t>Wind + solar change 5y pp</t>
        </is>
      </c>
      <c r="N5" s="8" t="inlineStr">
        <is>
          <t>Hydro %</t>
        </is>
      </c>
      <c r="O5" s="8" t="inlineStr">
        <is>
          <t>Nuclear %</t>
        </is>
      </c>
      <c r="P5" s="8" t="inlineStr">
        <is>
          <t>Net imports % of demand</t>
        </is>
      </c>
      <c r="Q5" s="8" t="inlineStr">
        <is>
          <t>Capacity GW</t>
        </is>
      </c>
      <c r="R5" s="8" t="inlineStr">
        <is>
          <t>Fleet utilisation %</t>
        </is>
      </c>
      <c r="S5" s="8" t="inlineStr">
        <is>
          <t>Gas consumption bcm</t>
        </is>
      </c>
      <c r="T5" s="8" t="inlineStr">
        <is>
          <t>Gas production bcm</t>
        </is>
      </c>
      <c r="U5" s="8" t="inlineStr">
        <is>
          <t>Gas import dependence %</t>
        </is>
      </c>
      <c r="V5" s="8" t="inlineStr">
        <is>
          <t>Gas demand growth 10y %/yr</t>
        </is>
      </c>
      <c r="W5" s="8" t="inlineStr">
        <is>
          <t>IMF GDP growth next 5y %/yr</t>
        </is>
      </c>
      <c r="X5" s="8" t="inlineStr">
        <is>
          <t>Population growth next 5y %/yr</t>
        </is>
      </c>
      <c r="Y5" s="8" t="inlineStr">
        <is>
          <t>CDD (18°C) 10y avg</t>
        </is>
      </c>
      <c r="Z5" s="8" t="inlineStr">
        <is>
          <t>HDD (18°C) 10y avg</t>
        </is>
      </c>
    </row>
    <row r="6">
      <c r="B6" s="9" t="inlineStr">
        <is>
          <t>East Med (total)</t>
        </is>
      </c>
      <c r="C6" s="10" t="n">
        <v>2024</v>
      </c>
      <c r="D6" s="11" t="n">
        <v>344.85</v>
      </c>
      <c r="E6" s="12" t="n">
        <v>2.565913672740794</v>
      </c>
      <c r="F6" s="12" t="n">
        <v>3.203368548798946</v>
      </c>
      <c r="G6" s="13" t="n">
        <v>0.8010048277781974</v>
      </c>
      <c r="H6" s="11" t="n">
        <v>2374.056590459576</v>
      </c>
      <c r="I6" s="12" t="n">
        <v>18.34520235416091</v>
      </c>
      <c r="J6" s="10" t="n">
        <v>3.261578604044357</v>
      </c>
      <c r="K6" s="10" t="n">
        <v>75.17229643495278</v>
      </c>
      <c r="L6" s="10" t="n">
        <v>9.021810034317479</v>
      </c>
      <c r="M6" s="14" t="n">
        <v>4.841494950867158</v>
      </c>
      <c r="N6" s="10" t="n">
        <v>4.282594514875634</v>
      </c>
      <c r="O6" s="10" t="n">
        <v>0</v>
      </c>
      <c r="P6" s="12" t="n">
        <v>-2.261852979556329</v>
      </c>
      <c r="Q6" s="11" t="n">
        <v>100.2</v>
      </c>
      <c r="R6" s="10" t="n">
        <v>40.16966067864273</v>
      </c>
      <c r="S6" s="15" t="n">
        <v>70.1618</v>
      </c>
      <c r="T6" s="15" t="n">
        <v>68.9469</v>
      </c>
      <c r="U6" s="10" t="n">
        <v>1.731569030441066</v>
      </c>
      <c r="V6" s="12" t="n">
        <v>2.766920826990238</v>
      </c>
      <c r="W6" s="12" t="n">
        <v>4.231014749374704</v>
      </c>
      <c r="X6" s="9" t="n"/>
      <c r="Y6" s="11" t="n">
        <v>1678.1</v>
      </c>
      <c r="Z6" s="11" t="n">
        <v>755.7</v>
      </c>
    </row>
    <row r="7">
      <c r="B7" t="inlineStr">
        <is>
          <t>Egypt</t>
        </is>
      </c>
      <c r="C7" s="16" t="n">
        <v>2025</v>
      </c>
      <c r="D7" s="17" t="n">
        <v>244.31</v>
      </c>
      <c r="E7" s="18" t="n">
        <v>3.036877256063764</v>
      </c>
      <c r="F7" s="18" t="n">
        <v>4.332729697157056</v>
      </c>
      <c r="G7" s="19" t="n">
        <v>0.7009154663067089</v>
      </c>
      <c r="H7" s="17" t="n">
        <v>2064.021763006269</v>
      </c>
      <c r="I7" s="18" t="n">
        <v>17.2651479309937</v>
      </c>
      <c r="J7" s="16" t="n">
        <v>0</v>
      </c>
      <c r="K7" s="16" t="n">
        <v>79.62638883236335</v>
      </c>
      <c r="L7" s="16" t="n">
        <v>6.882096780757803</v>
      </c>
      <c r="M7" s="20" t="n">
        <v>2.007977948935044</v>
      </c>
      <c r="N7" s="16" t="n">
        <v>6.133246510113548</v>
      </c>
      <c r="P7" s="18" t="n">
        <v>-0.5730424460726126</v>
      </c>
      <c r="Q7" s="17" t="n">
        <v>63.48</v>
      </c>
      <c r="R7" s="16" t="n">
        <v>44.18570692815197</v>
      </c>
      <c r="S7" s="21" t="n">
        <v>59.7829</v>
      </c>
      <c r="T7" s="21" t="n">
        <v>47.5192</v>
      </c>
      <c r="U7" s="16" t="n">
        <v>20.51372549675576</v>
      </c>
      <c r="V7" s="18" t="n">
        <v>2.606748442492912</v>
      </c>
      <c r="W7" s="18" t="n">
        <v>4.9</v>
      </c>
      <c r="X7" s="19" t="n">
        <v>2.199175587952062</v>
      </c>
    </row>
    <row r="8">
      <c r="B8" t="inlineStr">
        <is>
          <t>Israel</t>
        </is>
      </c>
      <c r="C8" s="16" t="n">
        <v>2025</v>
      </c>
      <c r="D8" s="17" t="n">
        <v>75.7</v>
      </c>
      <c r="E8" s="18" t="n">
        <v>2.518515686335898</v>
      </c>
      <c r="F8" s="18" t="n">
        <v>3.596607412446096</v>
      </c>
      <c r="G8" s="19" t="n">
        <v>0.7002475937797797</v>
      </c>
      <c r="H8" s="17" t="n">
        <v>7478.168095783775</v>
      </c>
      <c r="I8" s="18" t="n">
        <v>48.19663531829138</v>
      </c>
      <c r="J8" s="16" t="n">
        <v>3.41047503045067</v>
      </c>
      <c r="K8" s="16" t="n">
        <v>79.65895249695495</v>
      </c>
      <c r="L8" s="16" t="n">
        <v>16.73568818514007</v>
      </c>
      <c r="M8" s="20" t="n">
        <v>10.82422269160144</v>
      </c>
      <c r="N8" s="16" t="n">
        <v>0</v>
      </c>
      <c r="O8" s="16" t="n">
        <v>0</v>
      </c>
      <c r="P8" s="18" t="n">
        <v>-8.454425363276091</v>
      </c>
      <c r="Q8" s="17" t="n">
        <v>25.83</v>
      </c>
      <c r="R8" s="16" t="n">
        <v>36.28395709919265</v>
      </c>
      <c r="S8" s="21" t="n">
        <v>10.3789</v>
      </c>
      <c r="T8" s="21" t="n">
        <v>21.4277</v>
      </c>
      <c r="U8" s="16" t="n">
        <v>-106.4544412220948</v>
      </c>
      <c r="V8" s="18" t="n">
        <v>3.746983410752636</v>
      </c>
      <c r="W8" s="18" t="n">
        <v>3.7</v>
      </c>
      <c r="X8" s="19" t="n">
        <v>1.830401484032396</v>
      </c>
    </row>
    <row r="9">
      <c r="B9" t="inlineStr">
        <is>
          <t>Jordan</t>
        </is>
      </c>
      <c r="C9" s="16" t="n">
        <v>2024</v>
      </c>
      <c r="D9" s="17" t="n">
        <v>23.73</v>
      </c>
      <c r="E9" s="18" t="n">
        <v>2.443682863672381</v>
      </c>
      <c r="F9" s="18" t="n">
        <v>2.210984068864286</v>
      </c>
      <c r="G9" s="19" t="n">
        <v>1.105246708054131</v>
      </c>
      <c r="H9" s="17" t="n">
        <v>2054.029724138528</v>
      </c>
      <c r="I9" s="18" t="n">
        <v>10.4682460680868</v>
      </c>
      <c r="J9" s="16" t="n">
        <v>0</v>
      </c>
      <c r="K9" s="16" t="n">
        <v>61.97718631178708</v>
      </c>
      <c r="L9" s="16" t="n">
        <v>23.99662019433883</v>
      </c>
      <c r="M9" s="20" t="n">
        <v>9.676113618596011</v>
      </c>
      <c r="N9" s="16" t="n">
        <v>0.08449514152936208</v>
      </c>
      <c r="O9" s="16" t="n">
        <v>0</v>
      </c>
      <c r="P9" s="18" t="n">
        <v>0.2528445006321112</v>
      </c>
      <c r="Q9" s="17" t="n">
        <v>7.36</v>
      </c>
      <c r="R9" s="16" t="n">
        <v>36.71270101250744</v>
      </c>
      <c r="W9" s="18" t="n">
        <v>2.96</v>
      </c>
      <c r="X9" s="19" t="n">
        <v>1.561441900247384</v>
      </c>
    </row>
    <row r="10">
      <c r="B10" t="inlineStr">
        <is>
          <t>Cyprus</t>
        </is>
      </c>
      <c r="C10" s="16" t="n">
        <v>2025</v>
      </c>
      <c r="D10" s="17" t="n">
        <v>5.91</v>
      </c>
      <c r="E10" s="18" t="n">
        <v>2.672269711115582</v>
      </c>
      <c r="F10" s="18" t="n">
        <v>5.208402404769252</v>
      </c>
      <c r="G10" s="19" t="n">
        <v>0.5130689803592416</v>
      </c>
      <c r="H10" s="17" t="n">
        <v>4311.35103589145</v>
      </c>
      <c r="I10" s="18" t="n">
        <v>38.9419317187044</v>
      </c>
      <c r="J10" s="16" t="n">
        <v>0</v>
      </c>
      <c r="K10" s="16" t="n">
        <v>0</v>
      </c>
      <c r="L10" s="16" t="n">
        <v>26.73434856175973</v>
      </c>
      <c r="M10" s="20" t="n">
        <v>15.60032794320303</v>
      </c>
      <c r="N10" s="16" t="n">
        <v>0</v>
      </c>
      <c r="O10" s="16" t="n">
        <v>0</v>
      </c>
      <c r="P10" s="18" t="n">
        <v>0</v>
      </c>
      <c r="Q10" s="17" t="n">
        <v>2.89</v>
      </c>
      <c r="R10" s="16" t="n">
        <v>23.34455135801299</v>
      </c>
      <c r="S10" s="21" t="n">
        <v>0</v>
      </c>
      <c r="W10" s="18" t="n">
        <v>3</v>
      </c>
      <c r="X10" s="19" t="n">
        <v>0.622913366057265</v>
      </c>
      <c r="Y10" s="17" t="n">
        <v>1678.1</v>
      </c>
      <c r="Z10" s="17" t="n">
        <v>755.7</v>
      </c>
    </row>
    <row r="11">
      <c r="B11" t="inlineStr">
        <is>
          <t>Lebanon</t>
        </is>
      </c>
      <c r="C11" s="16" t="n">
        <v>2024</v>
      </c>
      <c r="D11" s="17" t="n">
        <v>5.34</v>
      </c>
      <c r="E11" s="18" t="n">
        <v>-11.49612608596909</v>
      </c>
      <c r="F11" s="18" t="n">
        <v>-4.518122934270452</v>
      </c>
      <c r="G11" s="19" t="n">
        <v>2.544447385167352</v>
      </c>
      <c r="H11" s="17" t="n">
        <v>919.7382018601446</v>
      </c>
      <c r="I11" s="18" t="n">
        <v>10.46915260075784</v>
      </c>
      <c r="J11" s="16" t="n">
        <v>0</v>
      </c>
      <c r="K11" s="16" t="n">
        <v>0</v>
      </c>
      <c r="L11" s="16" t="n">
        <v>30.1498127340824</v>
      </c>
      <c r="M11" s="20" t="n">
        <v>29.54768211805646</v>
      </c>
      <c r="N11" s="16" t="n">
        <v>13.10861423220974</v>
      </c>
      <c r="O11" s="16" t="n">
        <v>0</v>
      </c>
      <c r="P11" s="18" t="n">
        <v>0</v>
      </c>
      <c r="Q11" s="17" t="n">
        <v>4.06</v>
      </c>
      <c r="R11" s="16" t="n">
        <v>15.01450840137661</v>
      </c>
      <c r="W11" s="18" t="n">
        <v>4</v>
      </c>
      <c r="X11" s="19" t="n">
        <v>0</v>
      </c>
    </row>
    <row r="35">
      <c r="B35" s="22" t="inlineStr">
        <is>
          <t>Source: Ember yearly electricity data (compiled from national statistics) (data tab 'Long gen by fuel data')</t>
        </is>
      </c>
      <c r="M35" s="22" t="inlineStr">
        <is>
          <t>Source: Ember yearly electricity data (compiled from national statistics) (data tab 'Long gen shares data')</t>
        </is>
      </c>
    </row>
    <row r="59">
      <c r="B59" s="22" t="inlineStr">
        <is>
          <t>Source: Ember (demand); World Bank (GDP at constant 2015 US$, population) (data tab 'Long demand vs GDP data')</t>
        </is>
      </c>
      <c r="M59" s="22" t="inlineStr">
        <is>
          <t>Source: Energy Institute Statistical Review of World Energy (data tab 'Long gas balance data')</t>
        </is>
      </c>
    </row>
    <row r="83">
      <c r="B83" s="22" t="inlineStr">
        <is>
          <t>Source: Ember yearly electricity data (compiled from national statistics) (data tab 'Long demand by country data')</t>
        </is>
      </c>
      <c r="M83" s="22" t="inlineStr">
        <is>
          <t>Source: Ember (demand); World Bank (population) (data tab 'Long demand per head data')</t>
        </is>
      </c>
    </row>
    <row r="107">
      <c r="B107" s="22" t="inlineStr">
        <is>
          <t>Source: Ember yearly electricity data (compiled from national statistics) (data tab 'Long wind solar share data')</t>
        </is>
      </c>
      <c r="M107" s="22" t="inlineStr">
        <is>
          <t>Source: Energy Institute Statistical Review of World Energy (data tab 'Long gas by country data')</t>
        </is>
      </c>
    </row>
    <row r="131">
      <c r="B131" s="22" t="inlineStr">
        <is>
          <t>Source: IMF World Economic Outlook (DataMapper) (data tab 'Long GDP growth data')</t>
        </is>
      </c>
      <c r="M131" s="22" t="inlineStr">
        <is>
          <t>Source: NASA POWER daily temperature (MERRA-2), population-weighted largest cities (data tab 'Long CDD data')</t>
        </is>
      </c>
    </row>
    <row r="155">
      <c r="B155" s="22" t="inlineStr">
        <is>
          <t>Source: NASA POWER daily temperature (MERRA-2), population-weighted largest cities (data tab 'Long HDD data')</t>
        </is>
      </c>
      <c r="M155" s="22" t="inlineStr">
        <is>
          <t>Source: Ember yearly electricity data (compiled from national statistics) (data tab 'Long capacity data')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23" t="n">
        <v>45292</v>
      </c>
      <c r="B2" t="n">
        <v>1.008991428571429</v>
      </c>
      <c r="C2" t="n">
        <v>1.024514373626374</v>
      </c>
      <c r="D2" t="n">
        <v>0.4656883516483517</v>
      </c>
    </row>
    <row r="3">
      <c r="A3" s="23" t="n">
        <v>45383</v>
      </c>
      <c r="B3" t="n">
        <v>1.086606153846154</v>
      </c>
      <c r="C3" t="n">
        <v>0.8770463956043956</v>
      </c>
      <c r="D3" t="n">
        <v>0.5044957142857144</v>
      </c>
    </row>
    <row r="4">
      <c r="A4" s="23" t="n">
        <v>45474</v>
      </c>
      <c r="B4" t="n">
        <v>1.189951847826087</v>
      </c>
      <c r="C4" t="n">
        <v>1.044086782608696</v>
      </c>
      <c r="D4" t="n">
        <v>0.6525542391304348</v>
      </c>
    </row>
    <row r="5">
      <c r="A5" s="23" t="n">
        <v>45566</v>
      </c>
      <c r="B5" t="n">
        <v>1.036409673913044</v>
      </c>
      <c r="C5" t="n">
        <v>0.9481229239130435</v>
      </c>
      <c r="D5" t="n">
        <v>0.4990120652173914</v>
      </c>
    </row>
    <row r="6">
      <c r="A6" s="23" t="n">
        <v>45658</v>
      </c>
      <c r="B6" t="n">
        <v>1.137918111111111</v>
      </c>
      <c r="C6" t="n">
        <v>1.0241263</v>
      </c>
      <c r="D6" t="n">
        <v>0.4669388111111111</v>
      </c>
    </row>
    <row r="7">
      <c r="A7" s="23" t="n">
        <v>45748</v>
      </c>
      <c r="B7" t="n">
        <v>0.7761472527472528</v>
      </c>
      <c r="C7" t="n">
        <v>1.005110692307692</v>
      </c>
      <c r="D7" t="n">
        <v>0.4268809890109891</v>
      </c>
    </row>
    <row r="8">
      <c r="A8" s="23" t="n">
        <v>45839</v>
      </c>
      <c r="B8" t="n">
        <v>1.189951847826087</v>
      </c>
      <c r="C8" t="n">
        <v>1.036409673913044</v>
      </c>
      <c r="D8" t="n">
        <v>0.6563927934782608</v>
      </c>
    </row>
    <row r="9">
      <c r="A9" s="23" t="n">
        <v>45931</v>
      </c>
      <c r="B9" t="n">
        <v>1.074795217391304</v>
      </c>
      <c r="C9" t="n">
        <v>0.8252891847826086</v>
      </c>
      <c r="D9" t="n">
        <v>0.614168695652174</v>
      </c>
    </row>
    <row r="10">
      <c r="A10" s="23" t="n">
        <v>46023</v>
      </c>
      <c r="B10" t="n">
        <v>0.7455325555555556</v>
      </c>
      <c r="C10" t="n">
        <v>1.082984133333333</v>
      </c>
      <c r="D10" t="n">
        <v>0.3766901333333333</v>
      </c>
    </row>
    <row r="11">
      <c r="A11" s="23" t="n">
        <v>46113</v>
      </c>
      <c r="B11" t="n">
        <v>1.047798791208791</v>
      </c>
      <c r="C11" t="n">
        <v>1.051679527472527</v>
      </c>
      <c r="D11" t="n">
        <v>0.4540461428571428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2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2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2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2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2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2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2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2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2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2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2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2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2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2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2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2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2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2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2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2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2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2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2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2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2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2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23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23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23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23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23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23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23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23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23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23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Leviathan_bcm</t>
        </is>
      </c>
      <c r="C1" s="9" t="inlineStr">
        <is>
          <t>Leviathan_Israel_bcm</t>
        </is>
      </c>
      <c r="D1" s="9" t="inlineStr">
        <is>
          <t>Leviathan_Jordan_bcm</t>
        </is>
      </c>
      <c r="E1" s="9" t="inlineStr">
        <is>
          <t>Leviathan_Egypt_bcm</t>
        </is>
      </c>
      <c r="F1" s="9" t="inlineStr">
        <is>
          <t>Tamar_bcm</t>
        </is>
      </c>
      <c r="G1" s="9" t="inlineStr">
        <is>
          <t>Tamar_Domestic_bcm</t>
        </is>
      </c>
      <c r="H1" s="9" t="inlineStr">
        <is>
          <t>Tamar_Export_bcm</t>
        </is>
      </c>
      <c r="I1" s="9" t="inlineStr">
        <is>
          <t>Karish_bcm</t>
        </is>
      </c>
      <c r="J1" s="9" t="inlineStr">
        <is>
          <t>Total_bcm</t>
        </is>
      </c>
      <c r="K1" s="9" t="inlineStr">
        <is>
          <t>Leviathan_Bcf_d</t>
        </is>
      </c>
      <c r="L1" s="9" t="inlineStr">
        <is>
          <t>Tamar_Bcf_d</t>
        </is>
      </c>
      <c r="M1" s="9" t="inlineStr">
        <is>
          <t>Karish_Bcf_d</t>
        </is>
      </c>
      <c r="N1" s="9" t="inlineStr">
        <is>
          <t>Total_Bcf_d</t>
        </is>
      </c>
    </row>
    <row r="2">
      <c r="A2" s="2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2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2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2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2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2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2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2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2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2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2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2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24" t="n">
        <v>44927</v>
      </c>
      <c r="B14" t="n">
        <v>2.8</v>
      </c>
      <c r="C14" t="n">
        <v>0.6</v>
      </c>
      <c r="D14" t="n">
        <v>0.7</v>
      </c>
      <c r="E14" t="n">
        <v>1.5</v>
      </c>
      <c r="I14" t="n">
        <v>0.7</v>
      </c>
      <c r="K14" t="n">
        <v>1.099</v>
      </c>
      <c r="M14" t="n">
        <v>0.275</v>
      </c>
    </row>
    <row r="15">
      <c r="A15" s="24" t="n">
        <v>45017</v>
      </c>
      <c r="B15" t="n">
        <v>2.5</v>
      </c>
      <c r="C15" t="n">
        <v>0.3</v>
      </c>
      <c r="D15" t="n">
        <v>0.6</v>
      </c>
      <c r="E15" t="n">
        <v>1.6</v>
      </c>
      <c r="I15" t="n">
        <v>1.1</v>
      </c>
      <c r="K15" t="n">
        <v>0.97</v>
      </c>
      <c r="M15" t="n">
        <v>0.427</v>
      </c>
    </row>
    <row r="16">
      <c r="A16" s="2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2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2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I18" t="n">
        <v>1.2</v>
      </c>
      <c r="J18" t="n">
        <v>6.44</v>
      </c>
      <c r="K18" t="n">
        <v>1.009</v>
      </c>
      <c r="L18" t="n">
        <v>1.025</v>
      </c>
      <c r="M18" t="n">
        <v>0.466</v>
      </c>
      <c r="N18" t="n">
        <v>2.499</v>
      </c>
    </row>
    <row r="19">
      <c r="A19" s="2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I19" t="n">
        <v>1.3</v>
      </c>
      <c r="J19" t="n">
        <v>6.359999999999999</v>
      </c>
      <c r="K19" t="n">
        <v>1.087</v>
      </c>
      <c r="L19" t="n">
        <v>0.877</v>
      </c>
      <c r="M19" t="n">
        <v>0.504</v>
      </c>
      <c r="N19" t="n">
        <v>2.468</v>
      </c>
    </row>
    <row r="20">
      <c r="A20" s="2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2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2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I22" t="n">
        <v>1.19</v>
      </c>
      <c r="J22" t="n">
        <v>6.699999999999999</v>
      </c>
      <c r="K22" t="n">
        <v>1.138</v>
      </c>
      <c r="L22" t="n">
        <v>1.024</v>
      </c>
      <c r="M22" t="n">
        <v>0.467</v>
      </c>
      <c r="N22" t="n">
        <v>2.629</v>
      </c>
    </row>
    <row r="23">
      <c r="A23" s="2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I23" t="n">
        <v>1.1</v>
      </c>
      <c r="J23" t="n">
        <v>5.69</v>
      </c>
      <c r="K23" t="n">
        <v>0.776</v>
      </c>
      <c r="L23" t="n">
        <v>1.005</v>
      </c>
      <c r="M23" t="n">
        <v>0.427</v>
      </c>
      <c r="N23" t="n">
        <v>2.208</v>
      </c>
    </row>
    <row r="24">
      <c r="A24" s="2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2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2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I26" t="n">
        <v>0.96</v>
      </c>
      <c r="J26" t="n">
        <v>5.62</v>
      </c>
      <c r="K26" t="n">
        <v>0.746</v>
      </c>
      <c r="L26" t="n">
        <v>1.083</v>
      </c>
      <c r="M26" t="n">
        <v>0.377</v>
      </c>
      <c r="N26" t="n">
        <v>2.205</v>
      </c>
    </row>
    <row r="27">
      <c r="A27" s="2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I27" t="n">
        <v>1.17</v>
      </c>
      <c r="J27" t="n">
        <v>6.58</v>
      </c>
      <c r="K27" t="n">
        <v>1.048</v>
      </c>
      <c r="L27" t="n">
        <v>1.052</v>
      </c>
      <c r="M27" t="n">
        <v>0.454</v>
      </c>
      <c r="N27" t="n">
        <v>2.554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Israel_bcm</t>
        </is>
      </c>
      <c r="C1" s="9" t="inlineStr">
        <is>
          <t>Jordan_bcm</t>
        </is>
      </c>
      <c r="D1" s="9" t="inlineStr">
        <is>
          <t>Egypt_bcm</t>
        </is>
      </c>
      <c r="E1" s="9" t="inlineStr">
        <is>
          <t>Total_bcm</t>
        </is>
      </c>
      <c r="F1" s="9" t="inlineStr">
        <is>
          <t>Source</t>
        </is>
      </c>
    </row>
    <row r="2">
      <c r="A2" s="2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2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2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2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2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2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2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2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2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2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2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2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2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2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2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2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2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2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2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2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2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2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2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2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2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2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Domestic_bcm</t>
        </is>
      </c>
      <c r="C1" s="9" t="inlineStr">
        <is>
          <t>Export_bcm</t>
        </is>
      </c>
      <c r="D1" s="9" t="inlineStr">
        <is>
          <t>Total_bcm</t>
        </is>
      </c>
      <c r="E1" s="9" t="inlineStr">
        <is>
          <t>Source</t>
        </is>
      </c>
    </row>
    <row r="2">
      <c r="A2" s="24" t="n">
        <v>45292</v>
      </c>
      <c r="B2" t="n">
        <v>1.77</v>
      </c>
      <c r="C2" t="n">
        <v>0.87</v>
      </c>
      <c r="D2" t="n">
        <v>2.64</v>
      </c>
      <c r="E2" t="inlineStr">
        <is>
          <t>https://www.tamarpetroleum.co.il/wp-content/uploads/2026/03/Tamar-Petroleum-Financial-Information-2025-Final.pdf</t>
        </is>
      </c>
    </row>
    <row r="3">
      <c r="A3" s="24" t="n">
        <v>45383</v>
      </c>
      <c r="B3" t="n">
        <v>1.48</v>
      </c>
      <c r="C3" t="n">
        <v>0.78</v>
      </c>
      <c r="D3" t="n">
        <v>2.26</v>
      </c>
      <c r="E3" t="inlineStr">
        <is>
          <t>https://www.tamarpetroleum.co.il/wp-content/uploads/2026/03/Tamar-Petroleum-Financial-Information-2025-Final.pdf</t>
        </is>
      </c>
    </row>
    <row r="4">
      <c r="A4" s="24" t="n">
        <v>45474</v>
      </c>
      <c r="B4" t="n">
        <v>2</v>
      </c>
      <c r="C4" t="n">
        <v>0.72</v>
      </c>
      <c r="D4" t="n">
        <v>2.72</v>
      </c>
      <c r="E4" t="inlineStr">
        <is>
          <t>https://www.tamarpetroleum.co.il/wp-content/uploads/2026/03/Tamar-Petroleum-Financial-Information-2025-Final.pdf</t>
        </is>
      </c>
    </row>
    <row r="5">
      <c r="A5" s="24" t="n">
        <v>45566</v>
      </c>
      <c r="B5" t="n">
        <v>1.43</v>
      </c>
      <c r="C5" t="n">
        <v>1.04</v>
      </c>
      <c r="D5" t="n">
        <v>2.47</v>
      </c>
      <c r="E5" t="inlineStr">
        <is>
          <t>https://www.tamarpetroleum.co.il/wp-content/uploads/2026/03/Tamar-Petroleum-Financial-Information-2025-Final.pdf</t>
        </is>
      </c>
    </row>
    <row r="6">
      <c r="A6" s="24" t="n">
        <v>45658</v>
      </c>
      <c r="B6" t="n">
        <v>1.67</v>
      </c>
      <c r="C6" t="n">
        <v>0.9399999999999999</v>
      </c>
      <c r="D6" t="n">
        <v>2.61</v>
      </c>
      <c r="E6" t="inlineStr">
        <is>
          <t>https://www.tamarpetroleum.co.il/wp-content/uploads/2026/09/Tamar-Petroleum-FS-Q2_2026.pdf</t>
        </is>
      </c>
    </row>
    <row r="7">
      <c r="A7" s="24" t="n">
        <v>45748</v>
      </c>
      <c r="B7" t="n">
        <v>1.7</v>
      </c>
      <c r="C7" t="n">
        <v>0.89</v>
      </c>
      <c r="D7" t="n">
        <v>2.59</v>
      </c>
      <c r="E7" t="inlineStr">
        <is>
          <t>https://www.tamarpetroleum.co.il/wp-content/uploads/2026/09/Tamar-Petroleum-FS-Q2_2026.pdf</t>
        </is>
      </c>
    </row>
    <row r="8">
      <c r="A8" s="24" t="n">
        <v>45839</v>
      </c>
      <c r="B8" t="n">
        <v>2.11</v>
      </c>
      <c r="C8" t="n">
        <v>0.59</v>
      </c>
      <c r="D8" t="n">
        <v>2.7</v>
      </c>
      <c r="E8" t="inlineStr">
        <is>
          <t>https://www.tamarpetroleum.co.il/wp-content/uploads/2026/03/Tamar-Petroleum-Financial-Information-2025-Final.pdf</t>
        </is>
      </c>
    </row>
    <row r="9">
      <c r="A9" s="24" t="n">
        <v>45931</v>
      </c>
      <c r="B9" t="n">
        <v>1.3</v>
      </c>
      <c r="C9" t="n">
        <v>0.85</v>
      </c>
      <c r="D9" t="n">
        <v>2.15</v>
      </c>
      <c r="E9" t="inlineStr">
        <is>
          <t>https://www.tamarpetroleum.co.il/wp-content/uploads/2026/03/Tamar-Petroleum-Financial-Information-2025-Final.pdf</t>
        </is>
      </c>
    </row>
    <row r="10">
      <c r="A10" s="24" t="n">
        <v>46023</v>
      </c>
      <c r="B10" t="n">
        <v>2.07</v>
      </c>
      <c r="C10" t="n">
        <v>0.6899999999999999</v>
      </c>
      <c r="D10" t="n">
        <v>2.76</v>
      </c>
      <c r="E10" t="inlineStr">
        <is>
          <t>https://www.tamarpetroleum.co.il/wp-content/uploads/2026/09/Tamar-Petroleum-FS-Q2_2026.pdf</t>
        </is>
      </c>
    </row>
    <row r="11">
      <c r="A11" s="24" t="n">
        <v>46113</v>
      </c>
      <c r="B11" t="n">
        <v>1.71</v>
      </c>
      <c r="C11" t="n">
        <v>1</v>
      </c>
      <c r="D11" t="n">
        <v>2.71</v>
      </c>
      <c r="E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Months</t>
        </is>
      </c>
      <c r="C1" s="9" t="inlineStr">
        <is>
          <t>Israel_kboed</t>
        </is>
      </c>
      <c r="D1" s="9" t="inlineStr">
        <is>
          <t>Gas_bcm</t>
        </is>
      </c>
      <c r="E1" s="9" t="inlineStr">
        <is>
          <t>Source</t>
        </is>
      </c>
    </row>
    <row r="2">
      <c r="A2" t="n">
        <v>2022</v>
      </c>
      <c r="B2" t="n">
        <v>6</v>
      </c>
      <c r="C2" t="n">
        <v>34.4</v>
      </c>
      <c r="E2" t="inlineStr">
        <is>
          <t>https://www.investegate.co.uk/announcement/rns/energean--enog/results-for-half-year-ended-30-june-2022/7269438</t>
        </is>
      </c>
    </row>
    <row r="3">
      <c r="A3" t="n">
        <v>2023</v>
      </c>
      <c r="B3" t="n">
        <v>3</v>
      </c>
      <c r="C3" t="n">
        <v>59</v>
      </c>
      <c r="D3" t="n">
        <v>0.7</v>
      </c>
      <c r="E3" t="inlineStr">
        <is>
          <t>https://www.investegate.co.uk/announcement/rns/energean--enog/trading-statement-operational-update/8215919</t>
        </is>
      </c>
    </row>
    <row r="4">
      <c r="A4" t="n">
        <v>2023</v>
      </c>
      <c r="B4" t="n">
        <v>6</v>
      </c>
      <c r="C4" t="n">
        <v>70</v>
      </c>
      <c r="D4" t="n">
        <v>1.8</v>
      </c>
      <c r="E4" t="inlineStr">
        <is>
          <t>https://www.investegate.co.uk/announcement/rns/energean--enog/results-for-half-year-ended-30-june-2024/8409918</t>
        </is>
      </c>
    </row>
    <row r="5">
      <c r="A5" t="n">
        <v>2023</v>
      </c>
      <c r="B5" t="n">
        <v>9</v>
      </c>
      <c r="C5" t="n">
        <v>83</v>
      </c>
      <c r="E5" t="inlineStr">
        <is>
          <t>https://www.investegate.co.uk/announcement/rns/energean--enog/trading-statement-operational-update/8577177</t>
        </is>
      </c>
    </row>
    <row r="6">
      <c r="A6" t="n">
        <v>2023</v>
      </c>
      <c r="B6" t="n">
        <v>12</v>
      </c>
      <c r="C6" t="n">
        <v>87</v>
      </c>
      <c r="E6" t="inlineStr">
        <is>
          <t>https://www.investegate.co.uk/announcement/rns/energean--enog/trading-statement-operational-update/8701793</t>
        </is>
      </c>
    </row>
    <row r="7">
      <c r="A7" t="n">
        <v>2024</v>
      </c>
      <c r="B7" t="n">
        <v>3</v>
      </c>
      <c r="C7" t="n">
        <v>99</v>
      </c>
      <c r="D7" t="n">
        <v>1.2</v>
      </c>
      <c r="E7" t="inlineStr">
        <is>
          <t>https://www.investegate.co.uk/announcement/rns/energean--enog/trading-statement-operational-update/8215919</t>
        </is>
      </c>
    </row>
    <row r="8">
      <c r="A8" t="n">
        <v>2024</v>
      </c>
      <c r="B8" t="n">
        <v>6</v>
      </c>
      <c r="C8" t="n">
        <v>104</v>
      </c>
      <c r="D8" t="n">
        <v>2.5</v>
      </c>
      <c r="E8" t="inlineStr">
        <is>
          <t>https://www.investegate.co.uk/announcement/rns/energean--enog/results-for-half-year-ended-30-june-2025/9100543</t>
        </is>
      </c>
    </row>
    <row r="9">
      <c r="A9" t="n">
        <v>2024</v>
      </c>
      <c r="B9" t="n">
        <v>9</v>
      </c>
      <c r="C9" t="n">
        <v>115</v>
      </c>
      <c r="D9" t="n">
        <v>4.2</v>
      </c>
      <c r="E9" t="inlineStr">
        <is>
          <t>https://www.investegate.co.uk/announcement/rns/energean--enog/9-months-2025-production-and-adjusted-ebitdax/9196364</t>
        </is>
      </c>
    </row>
    <row r="10">
      <c r="A10" t="n">
        <v>2024</v>
      </c>
      <c r="B10" t="n">
        <v>12</v>
      </c>
      <c r="C10" t="n">
        <v>112</v>
      </c>
      <c r="D10" t="n">
        <v>5.5</v>
      </c>
      <c r="E10" t="inlineStr">
        <is>
          <t>https://www.investegate.co.uk/announcement/rns/energean--enog/trading-statement-operational-update/9388069</t>
        </is>
      </c>
    </row>
    <row r="11">
      <c r="A11" t="n">
        <v>2025</v>
      </c>
      <c r="B11" t="n">
        <v>3</v>
      </c>
      <c r="C11" t="n">
        <v>98</v>
      </c>
      <c r="D11" t="n">
        <v>1.19</v>
      </c>
      <c r="E11" t="inlineStr">
        <is>
          <t>https://www.investegate.co.uk/announcement/rns/energean--enog/trading-statement-operational-update/9576511</t>
        </is>
      </c>
    </row>
    <row r="12">
      <c r="A12" t="n">
        <v>2025</v>
      </c>
      <c r="B12" t="n">
        <v>6</v>
      </c>
      <c r="C12" t="n">
        <v>94</v>
      </c>
      <c r="D12" t="n">
        <v>2.29</v>
      </c>
      <c r="E12" t="inlineStr">
        <is>
          <t>https://www.investegate.co.uk/announcement/rns/energean--enog/results-for-half-year-ended-30-june-2026/9761841</t>
        </is>
      </c>
    </row>
    <row r="13">
      <c r="A13" t="n">
        <v>2025</v>
      </c>
      <c r="B13" t="n">
        <v>9</v>
      </c>
      <c r="C13" t="n">
        <v>109</v>
      </c>
      <c r="D13" t="n">
        <v>4</v>
      </c>
      <c r="E13" t="inlineStr">
        <is>
          <t>https://www.investegate.co.uk/announcement/rns/energean--enog/9-months-2025-production-and-adjusted-ebitdax/9196364</t>
        </is>
      </c>
    </row>
    <row r="14">
      <c r="A14" t="n">
        <v>2025</v>
      </c>
      <c r="B14" t="n">
        <v>12</v>
      </c>
      <c r="C14" t="n">
        <v>113</v>
      </c>
      <c r="D14" t="n">
        <v>5.6</v>
      </c>
      <c r="E14" t="inlineStr">
        <is>
          <t>https://www.investegate.co.uk/announcement/rns/energean--enog/trading-statement-operational-update/9388069</t>
        </is>
      </c>
    </row>
    <row r="15">
      <c r="A15" t="n">
        <v>2026</v>
      </c>
      <c r="B15" t="n">
        <v>3</v>
      </c>
      <c r="C15" t="n">
        <v>78</v>
      </c>
      <c r="D15" t="n">
        <v>0.96</v>
      </c>
      <c r="E15" t="inlineStr">
        <is>
          <t>https://www.investegate.co.uk/announcement/rns/energean--enog/trading-statement-operational-update/9576511</t>
        </is>
      </c>
    </row>
    <row r="16">
      <c r="A16" t="n">
        <v>2026</v>
      </c>
      <c r="B16" t="n">
        <v>6</v>
      </c>
      <c r="C16" t="n">
        <v>87</v>
      </c>
      <c r="D16" t="n">
        <v>2.13</v>
      </c>
      <c r="E16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2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23" t="n">
        <v>46306</v>
      </c>
      <c r="D3" t="n">
        <v>33100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Peak_Load_MW</t>
        </is>
      </c>
      <c r="C1" s="9" t="inlineStr">
        <is>
          <t>Min_Load_MW</t>
        </is>
      </c>
      <c r="D1" s="9" t="inlineStr">
        <is>
          <t>Temperature_C</t>
        </is>
      </c>
      <c r="E1" s="9" t="inlineStr">
        <is>
          <t>Expected_Peak_MW</t>
        </is>
      </c>
      <c r="F1" s="9" t="inlineStr">
        <is>
          <t>Page_date_peak</t>
        </is>
      </c>
      <c r="G1" s="9" t="inlineStr">
        <is>
          <t>Page_date_expected</t>
        </is>
      </c>
    </row>
    <row r="2">
      <c r="A2" s="2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24" t="n">
        <v>46306</v>
      </c>
      <c r="E3" t="n">
        <v>33100</v>
      </c>
      <c r="G3" t="inlineStr">
        <is>
          <t>2026-10-11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1.67235883424408</v>
      </c>
      <c r="C2" t="n">
        <v>4.888433515482696</v>
      </c>
      <c r="D2" t="n">
        <v>0.009107468123861567</v>
      </c>
      <c r="E2" t="n">
        <v>0</v>
      </c>
      <c r="F2" t="n">
        <v>3.326502732240437</v>
      </c>
      <c r="G2" t="n">
        <v>0</v>
      </c>
      <c r="H2" t="n">
        <v>5.662568306010929</v>
      </c>
    </row>
    <row r="3">
      <c r="A3" s="25" t="n">
        <v>36892</v>
      </c>
      <c r="B3" t="n">
        <v>1.688356164383561</v>
      </c>
      <c r="C3" t="n">
        <v>5.622146118721461</v>
      </c>
      <c r="D3" t="n">
        <v>0.02168949771689498</v>
      </c>
      <c r="E3" t="n">
        <v>0</v>
      </c>
      <c r="F3" t="n">
        <v>3.759132420091324</v>
      </c>
      <c r="G3" t="n">
        <v>0</v>
      </c>
      <c r="H3" t="n">
        <v>5.541095890410959</v>
      </c>
    </row>
    <row r="4">
      <c r="A4" s="25" t="n">
        <v>37257</v>
      </c>
      <c r="B4" t="n">
        <v>1.681506849315068</v>
      </c>
      <c r="C4" t="n">
        <v>6.639269406392694</v>
      </c>
      <c r="D4" t="n">
        <v>0.02511415525114155</v>
      </c>
      <c r="E4" t="n">
        <v>0</v>
      </c>
      <c r="F4" t="n">
        <v>4.006849315068494</v>
      </c>
      <c r="G4" t="n">
        <v>0</v>
      </c>
      <c r="H4" t="n">
        <v>5.363013698630137</v>
      </c>
    </row>
    <row r="5">
      <c r="A5" s="25" t="n">
        <v>37622</v>
      </c>
      <c r="B5" t="n">
        <v>1.639269406392694</v>
      </c>
      <c r="C5" t="n">
        <v>7.397260273972602</v>
      </c>
      <c r="D5" t="n">
        <v>0.03424657534246575</v>
      </c>
      <c r="E5" t="n">
        <v>0</v>
      </c>
      <c r="F5" t="n">
        <v>4.11986301369863</v>
      </c>
      <c r="G5" t="n">
        <v>0</v>
      </c>
      <c r="H5" t="n">
        <v>5.558219178082192</v>
      </c>
    </row>
    <row r="6">
      <c r="A6" s="25" t="n">
        <v>37987</v>
      </c>
      <c r="B6" t="n">
        <v>1.59608378870674</v>
      </c>
      <c r="C6" t="n">
        <v>9.480874316939891</v>
      </c>
      <c r="D6" t="n">
        <v>0.05806010928961749</v>
      </c>
      <c r="E6" t="n">
        <v>0</v>
      </c>
      <c r="F6" t="n">
        <v>4.154143897996357</v>
      </c>
      <c r="G6" t="n">
        <v>0</v>
      </c>
      <c r="H6" t="n">
        <v>4.079007285974499</v>
      </c>
    </row>
    <row r="7">
      <c r="A7" s="25" t="n">
        <v>38353</v>
      </c>
      <c r="B7" t="n">
        <v>1.571917808219178</v>
      </c>
      <c r="C7" t="n">
        <v>10.01369863013699</v>
      </c>
      <c r="D7" t="n">
        <v>0.05936073059360731</v>
      </c>
      <c r="E7" t="n">
        <v>0</v>
      </c>
      <c r="F7" t="n">
        <v>4.127853881278539</v>
      </c>
      <c r="G7" t="n">
        <v>0</v>
      </c>
      <c r="H7" t="n">
        <v>4.69634703196347</v>
      </c>
    </row>
    <row r="8">
      <c r="A8" s="25" t="n">
        <v>38718</v>
      </c>
      <c r="B8" t="n">
        <v>1.544520547945206</v>
      </c>
      <c r="C8" t="n">
        <v>11.41095890410959</v>
      </c>
      <c r="D8" t="n">
        <v>0.07077625570776255</v>
      </c>
      <c r="E8" t="n">
        <v>0</v>
      </c>
      <c r="F8" t="n">
        <v>4.07648401826484</v>
      </c>
      <c r="G8" t="n">
        <v>0</v>
      </c>
      <c r="H8" t="n">
        <v>4.509132420091325</v>
      </c>
    </row>
    <row r="9">
      <c r="A9" s="25" t="n">
        <v>39083</v>
      </c>
      <c r="B9" t="n">
        <v>1.697488584474886</v>
      </c>
      <c r="C9" t="n">
        <v>12.59817351598173</v>
      </c>
      <c r="D9" t="n">
        <v>0.07648401826484018</v>
      </c>
      <c r="E9" t="n">
        <v>0</v>
      </c>
      <c r="F9" t="n">
        <v>4.255707762557077</v>
      </c>
      <c r="G9" t="n">
        <v>0</v>
      </c>
      <c r="H9" t="n">
        <v>4.422374429223745</v>
      </c>
    </row>
    <row r="10">
      <c r="A10" s="25" t="n">
        <v>39448</v>
      </c>
      <c r="B10" t="n">
        <v>1.770264116575592</v>
      </c>
      <c r="C10" t="n">
        <v>13.90027322404372</v>
      </c>
      <c r="D10" t="n">
        <v>0.1070127504553734</v>
      </c>
      <c r="E10" t="n">
        <v>0</v>
      </c>
      <c r="F10" t="n">
        <v>4.02436247723133</v>
      </c>
      <c r="G10" t="n">
        <v>0</v>
      </c>
      <c r="H10" t="n">
        <v>4.931693989071039</v>
      </c>
    </row>
    <row r="11">
      <c r="A11" s="25" t="n">
        <v>39814</v>
      </c>
      <c r="B11" t="n">
        <v>1.651826484018265</v>
      </c>
      <c r="C11" t="n">
        <v>14.83333333333333</v>
      </c>
      <c r="D11" t="n">
        <v>0.1198630136986301</v>
      </c>
      <c r="E11" t="n">
        <v>0.00228310502283105</v>
      </c>
      <c r="F11" t="n">
        <v>3.921232876712329</v>
      </c>
      <c r="G11" t="n">
        <v>0</v>
      </c>
      <c r="H11" t="n">
        <v>4.753424657534246</v>
      </c>
    </row>
    <row r="12">
      <c r="A12" s="25" t="n">
        <v>40179</v>
      </c>
      <c r="B12" t="n">
        <v>1.583333333333333</v>
      </c>
      <c r="C12" t="n">
        <v>16.38812785388128</v>
      </c>
      <c r="D12" t="n">
        <v>0.1655251141552511</v>
      </c>
      <c r="E12" t="n">
        <v>0.01255707762557078</v>
      </c>
      <c r="F12" t="n">
        <v>3.908675799086758</v>
      </c>
      <c r="G12" t="n">
        <v>0</v>
      </c>
      <c r="H12" t="n">
        <v>5.202054794520548</v>
      </c>
    </row>
    <row r="13">
      <c r="A13" s="25" t="n">
        <v>40544</v>
      </c>
      <c r="B13" t="n">
        <v>1.583333333333333</v>
      </c>
      <c r="C13" t="n">
        <v>16.11529680365297</v>
      </c>
      <c r="D13" t="n">
        <v>0.1837899543378995</v>
      </c>
      <c r="E13" t="n">
        <v>0.05022831050228311</v>
      </c>
      <c r="F13" t="n">
        <v>4.012557077625571</v>
      </c>
      <c r="G13" t="n">
        <v>0</v>
      </c>
      <c r="H13" t="n">
        <v>6.025114155251142</v>
      </c>
    </row>
    <row r="14">
      <c r="A14" s="25" t="n">
        <v>40909</v>
      </c>
      <c r="B14" t="n">
        <v>1.607468123861566</v>
      </c>
      <c r="C14" t="n">
        <v>15.96197632058288</v>
      </c>
      <c r="D14" t="n">
        <v>0.1753187613843352</v>
      </c>
      <c r="E14" t="n">
        <v>0.1013205828779599</v>
      </c>
      <c r="F14" t="n">
        <v>4.408014571948998</v>
      </c>
      <c r="G14" t="n">
        <v>0</v>
      </c>
      <c r="H14" t="n">
        <v>7.757285974499087</v>
      </c>
    </row>
    <row r="15">
      <c r="A15" s="25" t="n">
        <v>41275</v>
      </c>
      <c r="B15" t="n">
        <v>1.664383561643836</v>
      </c>
      <c r="C15" t="n">
        <v>17.56735159817352</v>
      </c>
      <c r="D15" t="n">
        <v>0.2077625570776256</v>
      </c>
      <c r="E15" t="n">
        <v>0.06506849315068494</v>
      </c>
      <c r="F15" t="n">
        <v>3.662100456621004</v>
      </c>
      <c r="G15" t="n">
        <v>0</v>
      </c>
      <c r="H15" t="n">
        <v>7.284246575342465</v>
      </c>
    </row>
    <row r="16">
      <c r="A16" s="25" t="n">
        <v>41640</v>
      </c>
      <c r="B16" t="n">
        <v>1.581050228310502</v>
      </c>
      <c r="C16" t="n">
        <v>17.73972602739726</v>
      </c>
      <c r="D16" t="n">
        <v>0.1404109589041096</v>
      </c>
      <c r="E16" t="n">
        <v>0.1267123287671233</v>
      </c>
      <c r="F16" t="n">
        <v>3.436073059360731</v>
      </c>
      <c r="G16" t="n">
        <v>0</v>
      </c>
      <c r="H16" t="n">
        <v>8.103881278538815</v>
      </c>
    </row>
    <row r="17">
      <c r="A17" s="25" t="n">
        <v>42005</v>
      </c>
      <c r="B17" t="n">
        <v>1.623287671232877</v>
      </c>
      <c r="C17" t="n">
        <v>19.6541095890411</v>
      </c>
      <c r="D17" t="n">
        <v>0.2568493150684931</v>
      </c>
      <c r="E17" t="n">
        <v>0.1552511415525114</v>
      </c>
      <c r="F17" t="n">
        <v>3.328767123287671</v>
      </c>
      <c r="G17" t="n">
        <v>0</v>
      </c>
      <c r="H17" t="n">
        <v>7.892694063926941</v>
      </c>
    </row>
    <row r="18">
      <c r="A18" s="25" t="n">
        <v>42370</v>
      </c>
      <c r="B18" t="n">
        <v>1.550546448087432</v>
      </c>
      <c r="C18" t="n">
        <v>22.30532786885246</v>
      </c>
      <c r="D18" t="n">
        <v>0.3506375227686703</v>
      </c>
      <c r="E18" t="n">
        <v>0.2720856102003643</v>
      </c>
      <c r="F18" t="n">
        <v>2.750455373406193</v>
      </c>
      <c r="G18" t="n">
        <v>0</v>
      </c>
      <c r="H18" t="n">
        <v>6.829462659380691</v>
      </c>
    </row>
    <row r="19">
      <c r="A19" s="25" t="n">
        <v>42736</v>
      </c>
      <c r="B19" t="n">
        <v>1.511415525114155</v>
      </c>
      <c r="C19" t="n">
        <v>24.11986301369863</v>
      </c>
      <c r="D19" t="n">
        <v>0.3378995433789955</v>
      </c>
      <c r="E19" t="n">
        <v>0.3710045662100457</v>
      </c>
      <c r="F19" t="n">
        <v>2.514840182648402</v>
      </c>
      <c r="G19" t="n">
        <v>0</v>
      </c>
      <c r="H19" t="n">
        <v>6.268264840182648</v>
      </c>
    </row>
    <row r="20">
      <c r="A20" s="25" t="n">
        <v>43101</v>
      </c>
      <c r="B20" t="n">
        <v>1.515981735159817</v>
      </c>
      <c r="C20" t="n">
        <v>26.27511415525114</v>
      </c>
      <c r="D20" t="n">
        <v>0.4691780821917808</v>
      </c>
      <c r="E20" t="n">
        <v>0.4383561643835616</v>
      </c>
      <c r="F20" t="n">
        <v>2.351598173515982</v>
      </c>
      <c r="G20" t="n">
        <v>0</v>
      </c>
      <c r="H20" t="n">
        <v>4.922374429223744</v>
      </c>
    </row>
    <row r="21">
      <c r="A21" s="25" t="n">
        <v>43466</v>
      </c>
      <c r="B21" t="n">
        <v>1.60958904109589</v>
      </c>
      <c r="C21" t="n">
        <v>26.77853881278538</v>
      </c>
      <c r="D21" t="n">
        <v>0.7191780821917809</v>
      </c>
      <c r="E21" t="n">
        <v>0.8105022831050229</v>
      </c>
      <c r="F21" t="n">
        <v>2.5</v>
      </c>
      <c r="G21" t="n">
        <v>0</v>
      </c>
      <c r="H21" t="n">
        <v>4.174657534246575</v>
      </c>
    </row>
    <row r="22">
      <c r="A22" s="25" t="n">
        <v>43831</v>
      </c>
      <c r="B22" t="n">
        <v>1.72700364298725</v>
      </c>
      <c r="C22" t="n">
        <v>26.36725865209472</v>
      </c>
      <c r="D22" t="n">
        <v>0.8037340619307832</v>
      </c>
      <c r="E22" t="n">
        <v>1.310336976320583</v>
      </c>
      <c r="F22" t="n">
        <v>2.163023679417122</v>
      </c>
      <c r="G22" t="n">
        <v>0</v>
      </c>
      <c r="H22" t="n">
        <v>3.50523679417122</v>
      </c>
    </row>
    <row r="23">
      <c r="A23" s="25" t="n">
        <v>44197</v>
      </c>
      <c r="B23" t="n">
        <v>1.775114155251142</v>
      </c>
      <c r="C23" t="n">
        <v>28.07876712328767</v>
      </c>
      <c r="D23" t="n">
        <v>0.8595890410958904</v>
      </c>
      <c r="E23" t="n">
        <v>1.662100456621005</v>
      </c>
      <c r="F23" t="n">
        <v>1.929223744292237</v>
      </c>
      <c r="G23" t="n">
        <v>0</v>
      </c>
      <c r="H23" t="n">
        <v>2.29337899543379</v>
      </c>
    </row>
    <row r="24">
      <c r="A24" s="25" t="n">
        <v>44562</v>
      </c>
      <c r="B24" t="n">
        <v>1.762557077625571</v>
      </c>
      <c r="C24" t="n">
        <v>28.75114155251142</v>
      </c>
      <c r="D24" t="n">
        <v>0.932648401826484</v>
      </c>
      <c r="E24" t="n">
        <v>1.981735159817352</v>
      </c>
      <c r="F24" t="n">
        <v>1.906392694063927</v>
      </c>
      <c r="G24" t="n">
        <v>0</v>
      </c>
      <c r="H24" t="n">
        <v>1.856164383561643</v>
      </c>
    </row>
    <row r="25">
      <c r="A25" s="25" t="n">
        <v>44927</v>
      </c>
      <c r="B25" t="n">
        <v>1.800228310502283</v>
      </c>
      <c r="C25" t="n">
        <v>28.39497716894977</v>
      </c>
      <c r="D25" t="n">
        <v>0.9611872146118722</v>
      </c>
      <c r="E25" t="n">
        <v>2.188356164383561</v>
      </c>
      <c r="F25" t="n">
        <v>1.495433789954338</v>
      </c>
      <c r="G25" t="n">
        <v>0</v>
      </c>
      <c r="H25" t="n">
        <v>3.371004566210045</v>
      </c>
    </row>
    <row r="26">
      <c r="A26" s="25" t="n">
        <v>45292</v>
      </c>
      <c r="B26" t="n">
        <v>1.71903460837887</v>
      </c>
      <c r="C26" t="n">
        <v>30.17418032786886</v>
      </c>
      <c r="D26" t="n">
        <v>0.976775956284153</v>
      </c>
      <c r="E26" t="n">
        <v>2.644581056466302</v>
      </c>
      <c r="F26" t="n">
        <v>1.3091985428051</v>
      </c>
      <c r="G26" t="n">
        <v>0</v>
      </c>
      <c r="H26" t="n">
        <v>3.316256830601093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10.7</v>
      </c>
      <c r="C2" t="n">
        <v>31.4</v>
      </c>
      <c r="D2" t="n">
        <v>0.1</v>
      </c>
      <c r="E2" t="n">
        <v>0</v>
      </c>
      <c r="F2" t="n">
        <v>21.4</v>
      </c>
      <c r="G2" t="n">
        <v>0</v>
      </c>
      <c r="H2" t="n">
        <v>36.4</v>
      </c>
    </row>
    <row r="3">
      <c r="A3" s="25" t="n">
        <v>36892</v>
      </c>
      <c r="B3" t="n">
        <v>10.2</v>
      </c>
      <c r="C3" t="n">
        <v>33.8</v>
      </c>
      <c r="D3" t="n">
        <v>0.1</v>
      </c>
      <c r="E3" t="n">
        <v>0</v>
      </c>
      <c r="F3" t="n">
        <v>22.6</v>
      </c>
      <c r="G3" t="n">
        <v>0</v>
      </c>
      <c r="H3" t="n">
        <v>33.3</v>
      </c>
    </row>
    <row r="4">
      <c r="A4" s="25" t="n">
        <v>37257</v>
      </c>
      <c r="B4" t="n">
        <v>9.5</v>
      </c>
      <c r="C4" t="n">
        <v>37.5</v>
      </c>
      <c r="D4" t="n">
        <v>0.1</v>
      </c>
      <c r="E4" t="n">
        <v>0</v>
      </c>
      <c r="F4" t="n">
        <v>22.6</v>
      </c>
      <c r="G4" t="n">
        <v>0</v>
      </c>
      <c r="H4" t="n">
        <v>30.3</v>
      </c>
    </row>
    <row r="5">
      <c r="A5" s="25" t="n">
        <v>37622</v>
      </c>
      <c r="B5" t="n">
        <v>8.699999999999999</v>
      </c>
      <c r="C5" t="n">
        <v>39.5</v>
      </c>
      <c r="D5" t="n">
        <v>0.2</v>
      </c>
      <c r="E5" t="n">
        <v>0</v>
      </c>
      <c r="F5" t="n">
        <v>22</v>
      </c>
      <c r="G5" t="n">
        <v>0</v>
      </c>
      <c r="H5" t="n">
        <v>29.6</v>
      </c>
    </row>
    <row r="6">
      <c r="A6" s="25" t="n">
        <v>37987</v>
      </c>
      <c r="B6" t="n">
        <v>8.199999999999999</v>
      </c>
      <c r="C6" t="n">
        <v>49</v>
      </c>
      <c r="D6" t="n">
        <v>0.3</v>
      </c>
      <c r="E6" t="n">
        <v>0</v>
      </c>
      <c r="F6" t="n">
        <v>21.4</v>
      </c>
      <c r="G6" t="n">
        <v>0</v>
      </c>
      <c r="H6" t="n">
        <v>21.1</v>
      </c>
    </row>
    <row r="7">
      <c r="A7" s="25" t="n">
        <v>38353</v>
      </c>
      <c r="B7" t="n">
        <v>7.7</v>
      </c>
      <c r="C7" t="n">
        <v>48.9</v>
      </c>
      <c r="D7" t="n">
        <v>0.3</v>
      </c>
      <c r="E7" t="n">
        <v>0</v>
      </c>
      <c r="F7" t="n">
        <v>20.2</v>
      </c>
      <c r="G7" t="n">
        <v>0</v>
      </c>
      <c r="H7" t="n">
        <v>22.9</v>
      </c>
    </row>
    <row r="8">
      <c r="A8" s="25" t="n">
        <v>38718</v>
      </c>
      <c r="B8" t="n">
        <v>7.1</v>
      </c>
      <c r="C8" t="n">
        <v>52.8</v>
      </c>
      <c r="D8" t="n">
        <v>0.3</v>
      </c>
      <c r="E8" t="n">
        <v>0</v>
      </c>
      <c r="F8" t="n">
        <v>18.9</v>
      </c>
      <c r="G8" t="n">
        <v>0</v>
      </c>
      <c r="H8" t="n">
        <v>20.9</v>
      </c>
    </row>
    <row r="9">
      <c r="A9" s="25" t="n">
        <v>39083</v>
      </c>
      <c r="B9" t="n">
        <v>7.4</v>
      </c>
      <c r="C9" t="n">
        <v>54.7</v>
      </c>
      <c r="D9" t="n">
        <v>0.3</v>
      </c>
      <c r="E9" t="n">
        <v>0</v>
      </c>
      <c r="F9" t="n">
        <v>18.5</v>
      </c>
      <c r="G9" t="n">
        <v>0</v>
      </c>
      <c r="H9" t="n">
        <v>19.2</v>
      </c>
    </row>
    <row r="10">
      <c r="A10" s="25" t="n">
        <v>39448</v>
      </c>
      <c r="B10" t="n">
        <v>7.2</v>
      </c>
      <c r="C10" t="n">
        <v>56.2</v>
      </c>
      <c r="D10" t="n">
        <v>0.4</v>
      </c>
      <c r="E10" t="n">
        <v>0</v>
      </c>
      <c r="F10" t="n">
        <v>16.3</v>
      </c>
      <c r="G10" t="n">
        <v>0</v>
      </c>
      <c r="H10" t="n">
        <v>19.9</v>
      </c>
    </row>
    <row r="11">
      <c r="A11" s="25" t="n">
        <v>39814</v>
      </c>
      <c r="B11" t="n">
        <v>6.5</v>
      </c>
      <c r="C11" t="n">
        <v>58.7</v>
      </c>
      <c r="D11" t="n">
        <v>0.5</v>
      </c>
      <c r="E11" t="n">
        <v>0</v>
      </c>
      <c r="F11" t="n">
        <v>15.5</v>
      </c>
      <c r="G11" t="n">
        <v>0</v>
      </c>
      <c r="H11" t="n">
        <v>18.8</v>
      </c>
    </row>
    <row r="12">
      <c r="A12" s="25" t="n">
        <v>40179</v>
      </c>
      <c r="B12" t="n">
        <v>5.8</v>
      </c>
      <c r="C12" t="n">
        <v>60.1</v>
      </c>
      <c r="D12" t="n">
        <v>0.6</v>
      </c>
      <c r="E12" t="n">
        <v>0</v>
      </c>
      <c r="F12" t="n">
        <v>14.3</v>
      </c>
      <c r="G12" t="n">
        <v>0</v>
      </c>
      <c r="H12" t="n">
        <v>19.1</v>
      </c>
    </row>
    <row r="13">
      <c r="A13" s="25" t="n">
        <v>40544</v>
      </c>
      <c r="B13" t="n">
        <v>5.7</v>
      </c>
      <c r="C13" t="n">
        <v>57.6</v>
      </c>
      <c r="D13" t="n">
        <v>0.7</v>
      </c>
      <c r="E13" t="n">
        <v>0.2</v>
      </c>
      <c r="F13" t="n">
        <v>14.3</v>
      </c>
      <c r="G13" t="n">
        <v>0</v>
      </c>
      <c r="H13" t="n">
        <v>21.5</v>
      </c>
    </row>
    <row r="14">
      <c r="A14" s="25" t="n">
        <v>40909</v>
      </c>
      <c r="B14" t="n">
        <v>5.4</v>
      </c>
      <c r="C14" t="n">
        <v>53.2</v>
      </c>
      <c r="D14" t="n">
        <v>0.6</v>
      </c>
      <c r="E14" t="n">
        <v>0.3</v>
      </c>
      <c r="F14" t="n">
        <v>14.7</v>
      </c>
      <c r="G14" t="n">
        <v>0</v>
      </c>
      <c r="H14" t="n">
        <v>25.8</v>
      </c>
    </row>
    <row r="15">
      <c r="A15" s="25" t="n">
        <v>41275</v>
      </c>
      <c r="B15" t="n">
        <v>5.5</v>
      </c>
      <c r="C15" t="n">
        <v>57.7</v>
      </c>
      <c r="D15" t="n">
        <v>0.7</v>
      </c>
      <c r="E15" t="n">
        <v>0.2</v>
      </c>
      <c r="F15" t="n">
        <v>12</v>
      </c>
      <c r="G15" t="n">
        <v>0</v>
      </c>
      <c r="H15" t="n">
        <v>23.9</v>
      </c>
    </row>
    <row r="16">
      <c r="A16" s="25" t="n">
        <v>41640</v>
      </c>
      <c r="B16" t="n">
        <v>5.1</v>
      </c>
      <c r="C16" t="n">
        <v>57</v>
      </c>
      <c r="D16" t="n">
        <v>0.5</v>
      </c>
      <c r="E16" t="n">
        <v>0.4</v>
      </c>
      <c r="F16" t="n">
        <v>11</v>
      </c>
      <c r="G16" t="n">
        <v>0</v>
      </c>
      <c r="H16" t="n">
        <v>26</v>
      </c>
    </row>
    <row r="17">
      <c r="A17" s="25" t="n">
        <v>42005</v>
      </c>
      <c r="B17" t="n">
        <v>4.9</v>
      </c>
      <c r="C17" t="n">
        <v>59.7</v>
      </c>
      <c r="D17" t="n">
        <v>0.8</v>
      </c>
      <c r="E17" t="n">
        <v>0.5</v>
      </c>
      <c r="F17" t="n">
        <v>10.1</v>
      </c>
      <c r="G17" t="n">
        <v>0</v>
      </c>
      <c r="H17" t="n">
        <v>24</v>
      </c>
    </row>
    <row r="18">
      <c r="A18" s="25" t="n">
        <v>42370</v>
      </c>
      <c r="B18" t="n">
        <v>4.6</v>
      </c>
      <c r="C18" t="n">
        <v>65.5</v>
      </c>
      <c r="D18" t="n">
        <v>1</v>
      </c>
      <c r="E18" t="n">
        <v>0.8</v>
      </c>
      <c r="F18" t="n">
        <v>8.1</v>
      </c>
      <c r="G18" t="n">
        <v>0</v>
      </c>
      <c r="H18" t="n">
        <v>20.1</v>
      </c>
    </row>
    <row r="19">
      <c r="A19" s="25" t="n">
        <v>42736</v>
      </c>
      <c r="B19" t="n">
        <v>4.3</v>
      </c>
      <c r="C19" t="n">
        <v>68.7</v>
      </c>
      <c r="D19" t="n">
        <v>1</v>
      </c>
      <c r="E19" t="n">
        <v>1.1</v>
      </c>
      <c r="F19" t="n">
        <v>7.2</v>
      </c>
      <c r="G19" t="n">
        <v>0</v>
      </c>
      <c r="H19" t="n">
        <v>17.8</v>
      </c>
    </row>
    <row r="20">
      <c r="A20" s="25" t="n">
        <v>43101</v>
      </c>
      <c r="B20" t="n">
        <v>4.2</v>
      </c>
      <c r="C20" t="n">
        <v>73</v>
      </c>
      <c r="D20" t="n">
        <v>1.3</v>
      </c>
      <c r="E20" t="n">
        <v>1.2</v>
      </c>
      <c r="F20" t="n">
        <v>6.5</v>
      </c>
      <c r="G20" t="n">
        <v>0</v>
      </c>
      <c r="H20" t="n">
        <v>13.7</v>
      </c>
    </row>
    <row r="21">
      <c r="A21" s="25" t="n">
        <v>43466</v>
      </c>
      <c r="B21" t="n">
        <v>4.4</v>
      </c>
      <c r="C21" t="n">
        <v>73.2</v>
      </c>
      <c r="D21" t="n">
        <v>2</v>
      </c>
      <c r="E21" t="n">
        <v>2.2</v>
      </c>
      <c r="F21" t="n">
        <v>6.8</v>
      </c>
      <c r="G21" t="n">
        <v>0</v>
      </c>
      <c r="H21" t="n">
        <v>11.4</v>
      </c>
    </row>
    <row r="22">
      <c r="A22" s="25" t="n">
        <v>43831</v>
      </c>
      <c r="B22" t="n">
        <v>4.8</v>
      </c>
      <c r="C22" t="n">
        <v>73.5</v>
      </c>
      <c r="D22" t="n">
        <v>2.2</v>
      </c>
      <c r="E22" t="n">
        <v>3.7</v>
      </c>
      <c r="F22" t="n">
        <v>6</v>
      </c>
      <c r="G22" t="n">
        <v>0</v>
      </c>
      <c r="H22" t="n">
        <v>9.800000000000001</v>
      </c>
    </row>
    <row r="23">
      <c r="A23" s="25" t="n">
        <v>44197</v>
      </c>
      <c r="B23" t="n">
        <v>4.9</v>
      </c>
      <c r="C23" t="n">
        <v>76.7</v>
      </c>
      <c r="D23" t="n">
        <v>2.3</v>
      </c>
      <c r="E23" t="n">
        <v>4.5</v>
      </c>
      <c r="F23" t="n">
        <v>5.3</v>
      </c>
      <c r="G23" t="n">
        <v>0</v>
      </c>
      <c r="H23" t="n">
        <v>6.3</v>
      </c>
    </row>
    <row r="24">
      <c r="A24" s="25" t="n">
        <v>44562</v>
      </c>
      <c r="B24" t="n">
        <v>4.7</v>
      </c>
      <c r="C24" t="n">
        <v>77.3</v>
      </c>
      <c r="D24" t="n">
        <v>2.5</v>
      </c>
      <c r="E24" t="n">
        <v>5.3</v>
      </c>
      <c r="F24" t="n">
        <v>5.1</v>
      </c>
      <c r="G24" t="n">
        <v>0</v>
      </c>
      <c r="H24" t="n">
        <v>5</v>
      </c>
    </row>
    <row r="25">
      <c r="A25" s="25" t="n">
        <v>44927</v>
      </c>
      <c r="B25" t="n">
        <v>4.7</v>
      </c>
      <c r="C25" t="n">
        <v>74.3</v>
      </c>
      <c r="D25" t="n">
        <v>2.5</v>
      </c>
      <c r="E25" t="n">
        <v>5.7</v>
      </c>
      <c r="F25" t="n">
        <v>3.9</v>
      </c>
      <c r="G25" t="n">
        <v>0</v>
      </c>
      <c r="H25" t="n">
        <v>8.800000000000001</v>
      </c>
    </row>
    <row r="26">
      <c r="A26" s="25" t="n">
        <v>45292</v>
      </c>
      <c r="B26" t="n">
        <v>4.3</v>
      </c>
      <c r="C26" t="n">
        <v>75.2</v>
      </c>
      <c r="D26" t="n">
        <v>2.4</v>
      </c>
      <c r="E26" t="n">
        <v>6.6</v>
      </c>
      <c r="F26" t="n">
        <v>3.3</v>
      </c>
      <c r="G26" t="n">
        <v>0</v>
      </c>
      <c r="H26" t="n">
        <v>8.300000000000001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demand</t>
        </is>
      </c>
      <c r="C1" t="inlineStr">
        <is>
          <t>Real GDP</t>
        </is>
      </c>
      <c r="D1" t="inlineStr">
        <is>
          <t>Population</t>
        </is>
      </c>
    </row>
    <row r="2">
      <c r="A2" s="25" t="n">
        <v>36526</v>
      </c>
      <c r="B2" t="n">
        <v>100</v>
      </c>
      <c r="C2" t="n">
        <v>100</v>
      </c>
      <c r="D2" t="n">
        <v>100</v>
      </c>
    </row>
    <row r="3">
      <c r="A3" s="25" t="n">
        <v>36892</v>
      </c>
      <c r="B3" t="n">
        <v>106.4</v>
      </c>
      <c r="C3" t="n">
        <v>102.2</v>
      </c>
      <c r="D3" t="n">
        <v>102.1</v>
      </c>
    </row>
    <row r="4">
      <c r="A4" s="25" t="n">
        <v>37257</v>
      </c>
      <c r="B4" t="n">
        <v>112.4</v>
      </c>
      <c r="C4" t="n">
        <v>103.9</v>
      </c>
      <c r="D4" t="n">
        <v>104.3</v>
      </c>
    </row>
    <row r="5">
      <c r="A5" s="25" t="n">
        <v>37622</v>
      </c>
      <c r="B5" t="n">
        <v>119</v>
      </c>
      <c r="C5" t="n">
        <v>106.4</v>
      </c>
      <c r="D5" t="n">
        <v>106.4</v>
      </c>
    </row>
    <row r="6">
      <c r="A6" s="25" t="n">
        <v>37987</v>
      </c>
      <c r="B6" t="n">
        <v>123.5</v>
      </c>
      <c r="C6" t="n">
        <v>111.5</v>
      </c>
      <c r="D6" t="n">
        <v>108.6</v>
      </c>
    </row>
    <row r="7">
      <c r="A7" s="25" t="n">
        <v>38353</v>
      </c>
      <c r="B7" t="n">
        <v>130.1</v>
      </c>
      <c r="C7" t="n">
        <v>116.5</v>
      </c>
      <c r="D7" t="n">
        <v>110.8</v>
      </c>
    </row>
    <row r="8">
      <c r="A8" s="25" t="n">
        <v>38718</v>
      </c>
      <c r="B8" t="n">
        <v>137.7</v>
      </c>
      <c r="C8" t="n">
        <v>123.5</v>
      </c>
      <c r="D8" t="n">
        <v>113.3</v>
      </c>
    </row>
    <row r="9">
      <c r="A9" s="25" t="n">
        <v>39083</v>
      </c>
      <c r="B9" t="n">
        <v>146.3</v>
      </c>
      <c r="C9" t="n">
        <v>132</v>
      </c>
      <c r="D9" t="n">
        <v>115.7</v>
      </c>
    </row>
    <row r="10">
      <c r="A10" s="25" t="n">
        <v>39448</v>
      </c>
      <c r="B10" t="n">
        <v>156</v>
      </c>
      <c r="C10" t="n">
        <v>139.3</v>
      </c>
      <c r="D10" t="n">
        <v>117.9</v>
      </c>
    </row>
    <row r="11">
      <c r="A11" s="25" t="n">
        <v>39814</v>
      </c>
      <c r="B11" t="n">
        <v>159.4</v>
      </c>
      <c r="C11" t="n">
        <v>144.1</v>
      </c>
      <c r="D11" t="n">
        <v>120.2</v>
      </c>
    </row>
    <row r="12">
      <c r="A12" s="25" t="n">
        <v>40179</v>
      </c>
      <c r="B12" t="n">
        <v>171.9</v>
      </c>
      <c r="C12" t="n">
        <v>151.7</v>
      </c>
      <c r="D12" t="n">
        <v>122.5</v>
      </c>
    </row>
    <row r="13">
      <c r="A13" s="25" t="n">
        <v>40544</v>
      </c>
      <c r="B13" t="n">
        <v>176.6</v>
      </c>
      <c r="C13" t="n">
        <v>156.5</v>
      </c>
      <c r="D13" t="n">
        <v>125</v>
      </c>
    </row>
    <row r="14">
      <c r="A14" s="25" t="n">
        <v>40909</v>
      </c>
      <c r="B14" t="n">
        <v>189.8</v>
      </c>
      <c r="C14" t="n">
        <v>159.9</v>
      </c>
      <c r="D14" t="n">
        <v>127.8</v>
      </c>
    </row>
    <row r="15">
      <c r="A15" s="25" t="n">
        <v>41275</v>
      </c>
      <c r="B15" t="n">
        <v>191.8</v>
      </c>
      <c r="C15" t="n">
        <v>164.4</v>
      </c>
      <c r="D15" t="n">
        <v>131.4</v>
      </c>
    </row>
    <row r="16">
      <c r="A16" s="25" t="n">
        <v>41640</v>
      </c>
      <c r="B16" t="n">
        <v>195.6</v>
      </c>
      <c r="C16" t="n">
        <v>169.5</v>
      </c>
      <c r="D16" t="n">
        <v>135.6</v>
      </c>
    </row>
    <row r="17">
      <c r="A17" s="25" t="n">
        <v>42005</v>
      </c>
      <c r="B17" t="n">
        <v>206.9</v>
      </c>
      <c r="C17" t="n">
        <v>174.7</v>
      </c>
      <c r="D17" t="n">
        <v>139.1</v>
      </c>
    </row>
    <row r="18">
      <c r="A18" s="25" t="n">
        <v>42370</v>
      </c>
      <c r="B18" t="n">
        <v>214.6</v>
      </c>
      <c r="C18" t="n">
        <v>182</v>
      </c>
      <c r="D18" t="n">
        <v>141.9</v>
      </c>
    </row>
    <row r="19">
      <c r="A19" s="25" t="n">
        <v>42736</v>
      </c>
      <c r="B19" t="n">
        <v>220.8</v>
      </c>
      <c r="C19" t="n">
        <v>189.3</v>
      </c>
      <c r="D19" t="n">
        <v>144.5</v>
      </c>
    </row>
    <row r="20">
      <c r="A20" s="25" t="n">
        <v>43101</v>
      </c>
      <c r="B20" t="n">
        <v>225.6</v>
      </c>
      <c r="C20" t="n">
        <v>197.2</v>
      </c>
      <c r="D20" t="n">
        <v>146.9</v>
      </c>
    </row>
    <row r="21">
      <c r="A21" s="25" t="n">
        <v>43466</v>
      </c>
      <c r="B21" t="n">
        <v>229.2</v>
      </c>
      <c r="C21" t="n">
        <v>204.7</v>
      </c>
      <c r="D21" t="n">
        <v>149.2</v>
      </c>
    </row>
    <row r="22">
      <c r="A22" s="25" t="n">
        <v>43831</v>
      </c>
      <c r="B22" t="n">
        <v>224.8</v>
      </c>
      <c r="C22" t="n">
        <v>203.8</v>
      </c>
      <c r="D22" t="n">
        <v>151.5</v>
      </c>
    </row>
    <row r="23">
      <c r="A23" s="25" t="n">
        <v>44197</v>
      </c>
      <c r="B23" t="n">
        <v>229.1</v>
      </c>
      <c r="C23" t="n">
        <v>215.1</v>
      </c>
      <c r="D23" t="n">
        <v>153.7</v>
      </c>
    </row>
    <row r="24">
      <c r="A24" s="25" t="n">
        <v>44562</v>
      </c>
      <c r="B24" t="n">
        <v>231.9</v>
      </c>
      <c r="C24" t="n">
        <v>228.2</v>
      </c>
      <c r="D24" t="n">
        <v>156.1</v>
      </c>
    </row>
    <row r="25">
      <c r="A25" s="25" t="n">
        <v>44927</v>
      </c>
      <c r="B25" t="n">
        <v>238.5</v>
      </c>
      <c r="C25" t="n">
        <v>234.8</v>
      </c>
      <c r="D25" t="n">
        <v>158.8</v>
      </c>
    </row>
    <row r="26">
      <c r="A26" s="25" t="n">
        <v>45292</v>
      </c>
      <c r="B26" t="n">
        <v>251.9</v>
      </c>
      <c r="C26" t="n">
        <v>238.4</v>
      </c>
      <c r="D26" t="n">
        <v>161.3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Consumption</t>
        </is>
      </c>
      <c r="C1" t="inlineStr">
        <is>
          <t>Production</t>
        </is>
      </c>
    </row>
    <row r="2">
      <c r="A2" s="25" t="n">
        <v>32874</v>
      </c>
      <c r="B2" t="n">
        <v>7.8</v>
      </c>
      <c r="C2" t="n">
        <v>7.8</v>
      </c>
    </row>
    <row r="3">
      <c r="A3" s="25" t="n">
        <v>33239</v>
      </c>
      <c r="B3" t="n">
        <v>8.800000000000001</v>
      </c>
      <c r="C3" t="n">
        <v>8.800000000000001</v>
      </c>
    </row>
    <row r="4">
      <c r="A4" s="25" t="n">
        <v>33604</v>
      </c>
      <c r="B4" t="n">
        <v>9.5</v>
      </c>
      <c r="C4" t="n">
        <v>9.5</v>
      </c>
    </row>
    <row r="5">
      <c r="A5" s="25" t="n">
        <v>33970</v>
      </c>
      <c r="B5" t="n">
        <v>10.9</v>
      </c>
      <c r="C5" t="n">
        <v>10.9</v>
      </c>
    </row>
    <row r="6">
      <c r="A6" s="25" t="n">
        <v>34335</v>
      </c>
      <c r="B6" t="n">
        <v>11.6</v>
      </c>
      <c r="C6" t="n">
        <v>11.7</v>
      </c>
    </row>
    <row r="7">
      <c r="A7" s="25" t="n">
        <v>34700</v>
      </c>
      <c r="B7" t="n">
        <v>12.2</v>
      </c>
      <c r="C7" t="n">
        <v>12.1</v>
      </c>
    </row>
    <row r="8">
      <c r="A8" s="25" t="n">
        <v>35065</v>
      </c>
      <c r="B8" t="n">
        <v>12.5</v>
      </c>
      <c r="C8" t="n">
        <v>12.8</v>
      </c>
    </row>
    <row r="9">
      <c r="A9" s="25" t="n">
        <v>35431</v>
      </c>
      <c r="B9" t="n">
        <v>12.9</v>
      </c>
      <c r="C9" t="n">
        <v>13.1</v>
      </c>
    </row>
    <row r="10">
      <c r="A10" s="25" t="n">
        <v>35796</v>
      </c>
      <c r="B10" t="n">
        <v>13.2</v>
      </c>
      <c r="C10" t="n">
        <v>13.5</v>
      </c>
    </row>
    <row r="11">
      <c r="A11" s="25" t="n">
        <v>36161</v>
      </c>
      <c r="B11" t="n">
        <v>15.8</v>
      </c>
      <c r="C11" t="n">
        <v>16.2</v>
      </c>
    </row>
    <row r="12">
      <c r="A12" s="25" t="n">
        <v>36526</v>
      </c>
      <c r="B12" t="n">
        <v>19.3</v>
      </c>
      <c r="C12" t="n">
        <v>20.2</v>
      </c>
    </row>
    <row r="13">
      <c r="A13" s="25" t="n">
        <v>36892</v>
      </c>
      <c r="B13" t="n">
        <v>23.6</v>
      </c>
      <c r="C13" t="n">
        <v>24.3</v>
      </c>
    </row>
    <row r="14">
      <c r="A14" s="25" t="n">
        <v>37257</v>
      </c>
      <c r="B14" t="n">
        <v>25.5</v>
      </c>
      <c r="C14" t="n">
        <v>26.3</v>
      </c>
    </row>
    <row r="15">
      <c r="A15" s="25" t="n">
        <v>37622</v>
      </c>
      <c r="B15" t="n">
        <v>28.6</v>
      </c>
      <c r="C15" t="n">
        <v>29</v>
      </c>
    </row>
    <row r="16">
      <c r="A16" s="25" t="n">
        <v>37987</v>
      </c>
      <c r="B16" t="n">
        <v>31.6</v>
      </c>
      <c r="C16" t="n">
        <v>32.9</v>
      </c>
    </row>
    <row r="17">
      <c r="A17" s="25" t="n">
        <v>38353</v>
      </c>
      <c r="B17" t="n">
        <v>32</v>
      </c>
      <c r="C17" t="n">
        <v>42.5</v>
      </c>
    </row>
    <row r="18">
      <c r="A18" s="25" t="n">
        <v>38718</v>
      </c>
      <c r="B18" t="n">
        <v>37.3</v>
      </c>
      <c r="C18" t="n">
        <v>54.8</v>
      </c>
    </row>
    <row r="19">
      <c r="A19" s="25" t="n">
        <v>39083</v>
      </c>
      <c r="B19" t="n">
        <v>39.5</v>
      </c>
      <c r="C19" t="n">
        <v>56.2</v>
      </c>
    </row>
    <row r="20">
      <c r="A20" s="25" t="n">
        <v>39448</v>
      </c>
      <c r="B20" t="n">
        <v>42.9</v>
      </c>
      <c r="C20" t="n">
        <v>60</v>
      </c>
    </row>
    <row r="21">
      <c r="A21" s="25" t="n">
        <v>39814</v>
      </c>
      <c r="B21" t="n">
        <v>44.9</v>
      </c>
      <c r="C21" t="n">
        <v>62.9</v>
      </c>
    </row>
    <row r="22">
      <c r="A22" s="25" t="n">
        <v>40179</v>
      </c>
      <c r="B22" t="n">
        <v>48.5</v>
      </c>
      <c r="C22" t="n">
        <v>62.1</v>
      </c>
    </row>
    <row r="23">
      <c r="A23" s="25" t="n">
        <v>40544</v>
      </c>
      <c r="B23" t="n">
        <v>52.5</v>
      </c>
      <c r="C23" t="n">
        <v>63.2</v>
      </c>
    </row>
    <row r="24">
      <c r="A24" s="25" t="n">
        <v>40909</v>
      </c>
      <c r="B24" t="n">
        <v>53.1</v>
      </c>
      <c r="C24" t="n">
        <v>61</v>
      </c>
    </row>
    <row r="25">
      <c r="A25" s="25" t="n">
        <v>41275</v>
      </c>
      <c r="B25" t="n">
        <v>56.1</v>
      </c>
      <c r="C25" t="n">
        <v>60</v>
      </c>
    </row>
    <row r="26">
      <c r="A26" s="25" t="n">
        <v>41640</v>
      </c>
      <c r="B26" t="n">
        <v>53.4</v>
      </c>
      <c r="C26" t="n">
        <v>54.1</v>
      </c>
    </row>
    <row r="27">
      <c r="A27" s="25" t="n">
        <v>42005</v>
      </c>
      <c r="B27" t="n">
        <v>54</v>
      </c>
      <c r="C27" t="n">
        <v>50.5</v>
      </c>
    </row>
    <row r="28">
      <c r="A28" s="25" t="n">
        <v>42370</v>
      </c>
      <c r="B28" t="n">
        <v>58.5</v>
      </c>
      <c r="C28" t="n">
        <v>49.1</v>
      </c>
    </row>
    <row r="29">
      <c r="A29" s="25" t="n">
        <v>42736</v>
      </c>
      <c r="B29" t="n">
        <v>65.7</v>
      </c>
      <c r="C29" t="n">
        <v>58.2</v>
      </c>
    </row>
    <row r="30">
      <c r="A30" s="25" t="n">
        <v>43101</v>
      </c>
      <c r="B30" t="n">
        <v>70.2</v>
      </c>
      <c r="C30" t="n">
        <v>68.5</v>
      </c>
    </row>
    <row r="31">
      <c r="A31" s="25" t="n">
        <v>43466</v>
      </c>
      <c r="B31" t="n">
        <v>69.8</v>
      </c>
      <c r="C31" t="n">
        <v>74.90000000000001</v>
      </c>
    </row>
    <row r="32">
      <c r="A32" s="25" t="n">
        <v>43831</v>
      </c>
      <c r="B32" t="n">
        <v>69.59999999999999</v>
      </c>
      <c r="C32" t="n">
        <v>73.09999999999999</v>
      </c>
    </row>
    <row r="33">
      <c r="A33" s="25" t="n">
        <v>44197</v>
      </c>
      <c r="B33" t="n">
        <v>73.90000000000001</v>
      </c>
      <c r="C33" t="n">
        <v>86.09999999999999</v>
      </c>
    </row>
    <row r="34">
      <c r="A34" s="25" t="n">
        <v>44562</v>
      </c>
      <c r="B34" t="n">
        <v>72.7</v>
      </c>
      <c r="C34" t="n">
        <v>85.3</v>
      </c>
    </row>
    <row r="35">
      <c r="A35" s="25" t="n">
        <v>44927</v>
      </c>
      <c r="B35" t="n">
        <v>70.5</v>
      </c>
      <c r="C35" t="n">
        <v>76.90000000000001</v>
      </c>
    </row>
    <row r="36">
      <c r="A36" s="25" t="n">
        <v>45292</v>
      </c>
      <c r="B36" t="n">
        <v>70.2</v>
      </c>
      <c r="C36" t="n">
        <v>68.90000000000001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73.17</v>
      </c>
      <c r="C2" t="n">
        <v>41.2</v>
      </c>
      <c r="D2" t="n">
        <v>7.79</v>
      </c>
      <c r="E2" t="n">
        <v>3.37</v>
      </c>
      <c r="F2" t="n">
        <v>11.35</v>
      </c>
    </row>
    <row r="3">
      <c r="A3" s="25" t="n">
        <v>36892</v>
      </c>
      <c r="B3" t="n">
        <v>80.5</v>
      </c>
      <c r="C3" t="n">
        <v>42.55</v>
      </c>
      <c r="D3" t="n">
        <v>7.8</v>
      </c>
      <c r="E3" t="n">
        <v>3.55</v>
      </c>
      <c r="F3" t="n">
        <v>11.21</v>
      </c>
    </row>
    <row r="4">
      <c r="A4" s="25" t="n">
        <v>37257</v>
      </c>
      <c r="B4" t="n">
        <v>85.45</v>
      </c>
      <c r="C4" t="n">
        <v>44.11</v>
      </c>
      <c r="D4" t="n">
        <v>8.44</v>
      </c>
      <c r="E4" t="n">
        <v>3.79</v>
      </c>
      <c r="F4" t="n">
        <v>12.08</v>
      </c>
    </row>
    <row r="5">
      <c r="A5" s="25" t="n">
        <v>37622</v>
      </c>
      <c r="B5" t="n">
        <v>91.27</v>
      </c>
      <c r="C5" t="n">
        <v>45.57</v>
      </c>
      <c r="D5" t="n">
        <v>9</v>
      </c>
      <c r="E5" t="n">
        <v>4.05</v>
      </c>
      <c r="F5" t="n">
        <v>12.93</v>
      </c>
    </row>
    <row r="6">
      <c r="A6" s="25" t="n">
        <v>37987</v>
      </c>
      <c r="B6" t="n">
        <v>97.55</v>
      </c>
      <c r="C6" t="n">
        <v>45.82</v>
      </c>
      <c r="D6" t="n">
        <v>9.75</v>
      </c>
      <c r="E6" t="n">
        <v>4.2</v>
      </c>
      <c r="F6" t="n">
        <v>11.66</v>
      </c>
    </row>
    <row r="7">
      <c r="A7" s="25" t="n">
        <v>38353</v>
      </c>
      <c r="B7" t="n">
        <v>104.16</v>
      </c>
      <c r="C7" t="n">
        <v>46.94</v>
      </c>
      <c r="D7" t="n">
        <v>10.39</v>
      </c>
      <c r="E7" t="n">
        <v>4.38</v>
      </c>
      <c r="F7" t="n">
        <v>12.19</v>
      </c>
    </row>
    <row r="8">
      <c r="A8" s="25" t="n">
        <v>38718</v>
      </c>
      <c r="B8" t="n">
        <v>111.31</v>
      </c>
      <c r="C8" t="n">
        <v>48.72</v>
      </c>
      <c r="D8" t="n">
        <v>11.58</v>
      </c>
      <c r="E8" t="n">
        <v>4.65</v>
      </c>
      <c r="F8" t="n">
        <v>12.26</v>
      </c>
    </row>
    <row r="9">
      <c r="A9" s="25" t="n">
        <v>39083</v>
      </c>
      <c r="B9" t="n">
        <v>119.3</v>
      </c>
      <c r="C9" t="n">
        <v>51.71</v>
      </c>
      <c r="D9" t="n">
        <v>12.86</v>
      </c>
      <c r="E9" t="n">
        <v>4.87</v>
      </c>
      <c r="F9" t="n">
        <v>11.54</v>
      </c>
    </row>
    <row r="10">
      <c r="A10" s="25" t="n">
        <v>39448</v>
      </c>
      <c r="B10" t="n">
        <v>127.9</v>
      </c>
      <c r="C10" t="n">
        <v>53.12</v>
      </c>
      <c r="D10" t="n">
        <v>14.37</v>
      </c>
      <c r="E10" t="n">
        <v>5.07</v>
      </c>
      <c r="F10" t="n">
        <v>13.01</v>
      </c>
    </row>
    <row r="11">
      <c r="A11" s="25" t="n">
        <v>39814</v>
      </c>
      <c r="B11" t="n">
        <v>133.33</v>
      </c>
      <c r="C11" t="n">
        <v>50.95</v>
      </c>
      <c r="D11" t="n">
        <v>14.52</v>
      </c>
      <c r="E11" t="n">
        <v>5.21</v>
      </c>
      <c r="F11" t="n">
        <v>14.13</v>
      </c>
    </row>
    <row r="12">
      <c r="A12" s="25" t="n">
        <v>40179</v>
      </c>
      <c r="B12" t="n">
        <v>142.99</v>
      </c>
      <c r="C12" t="n">
        <v>54.58</v>
      </c>
      <c r="D12" t="n">
        <v>15.39</v>
      </c>
      <c r="E12" t="n">
        <v>5.33</v>
      </c>
      <c r="F12" t="n">
        <v>16.96</v>
      </c>
    </row>
    <row r="13">
      <c r="A13" s="25" t="n">
        <v>40544</v>
      </c>
      <c r="B13" t="n">
        <v>147.98</v>
      </c>
      <c r="C13" t="n">
        <v>55.38</v>
      </c>
      <c r="D13" t="n">
        <v>16.29</v>
      </c>
      <c r="E13" t="n">
        <v>4.92</v>
      </c>
      <c r="F13" t="n">
        <v>17.14</v>
      </c>
    </row>
    <row r="14">
      <c r="A14" s="25" t="n">
        <v>40909</v>
      </c>
      <c r="B14" t="n">
        <v>162.44</v>
      </c>
      <c r="C14" t="n">
        <v>58.58</v>
      </c>
      <c r="D14" t="n">
        <v>17.27</v>
      </c>
      <c r="E14" t="n">
        <v>4.72</v>
      </c>
      <c r="F14" t="n">
        <v>16.78</v>
      </c>
    </row>
    <row r="15">
      <c r="A15" s="25" t="n">
        <v>41275</v>
      </c>
      <c r="B15" t="n">
        <v>164.68</v>
      </c>
      <c r="C15" t="n">
        <v>56.64</v>
      </c>
      <c r="D15" t="n">
        <v>17.58</v>
      </c>
      <c r="E15" t="n">
        <v>4.29</v>
      </c>
      <c r="F15" t="n">
        <v>19.32</v>
      </c>
    </row>
    <row r="16">
      <c r="A16" s="25" t="n">
        <v>41640</v>
      </c>
      <c r="B16" t="n">
        <v>170.56</v>
      </c>
      <c r="C16" t="n">
        <v>56.02</v>
      </c>
      <c r="D16" t="n">
        <v>18.64</v>
      </c>
      <c r="E16" t="n">
        <v>4.34</v>
      </c>
      <c r="F16" t="n">
        <v>18.11</v>
      </c>
    </row>
    <row r="17">
      <c r="A17" s="25" t="n">
        <v>42005</v>
      </c>
      <c r="B17" t="n">
        <v>181.14</v>
      </c>
      <c r="C17" t="n">
        <v>59.03</v>
      </c>
      <c r="D17" t="n">
        <v>19.61</v>
      </c>
      <c r="E17" t="n">
        <v>4.54</v>
      </c>
      <c r="F17" t="n">
        <v>18.91</v>
      </c>
    </row>
    <row r="18">
      <c r="A18" s="25" t="n">
        <v>42370</v>
      </c>
      <c r="B18" t="n">
        <v>187.92</v>
      </c>
      <c r="C18" t="n">
        <v>61.46</v>
      </c>
      <c r="D18" t="n">
        <v>19.96</v>
      </c>
      <c r="E18" t="n">
        <v>4.89</v>
      </c>
      <c r="F18" t="n">
        <v>19.48</v>
      </c>
    </row>
    <row r="19">
      <c r="A19" s="25" t="n">
        <v>42736</v>
      </c>
      <c r="B19" t="n">
        <v>192.87</v>
      </c>
      <c r="C19" t="n">
        <v>61.79</v>
      </c>
      <c r="D19" t="n">
        <v>20.77</v>
      </c>
      <c r="E19" t="n">
        <v>5</v>
      </c>
      <c r="F19" t="n">
        <v>21.78</v>
      </c>
    </row>
    <row r="20">
      <c r="A20" s="25" t="n">
        <v>43101</v>
      </c>
      <c r="B20" t="n">
        <v>198.82</v>
      </c>
      <c r="C20" t="n">
        <v>63.16</v>
      </c>
      <c r="D20" t="n">
        <v>20.46</v>
      </c>
      <c r="E20" t="n">
        <v>5.06</v>
      </c>
      <c r="F20" t="n">
        <v>21.29</v>
      </c>
    </row>
    <row r="21">
      <c r="A21" s="25" t="n">
        <v>43466</v>
      </c>
      <c r="B21" t="n">
        <v>199.78</v>
      </c>
      <c r="C21" t="n">
        <v>66.40000000000001</v>
      </c>
      <c r="D21" t="n">
        <v>20.67</v>
      </c>
      <c r="E21" t="n">
        <v>5.15</v>
      </c>
      <c r="F21" t="n">
        <v>21.68</v>
      </c>
    </row>
    <row r="22">
      <c r="A22" s="25" t="n">
        <v>43831</v>
      </c>
      <c r="B22" t="n">
        <v>197.18</v>
      </c>
      <c r="C22" t="n">
        <v>66.5</v>
      </c>
      <c r="D22" t="n">
        <v>20.89</v>
      </c>
      <c r="E22" t="n">
        <v>4.85</v>
      </c>
      <c r="F22" t="n">
        <v>18.25</v>
      </c>
    </row>
    <row r="23">
      <c r="A23" s="25" t="n">
        <v>44197</v>
      </c>
      <c r="B23" t="n">
        <v>208.19</v>
      </c>
      <c r="C23" t="n">
        <v>67.59999999999999</v>
      </c>
      <c r="D23" t="n">
        <v>21.58</v>
      </c>
      <c r="E23" t="n">
        <v>5.12</v>
      </c>
      <c r="F23" t="n">
        <v>11.14</v>
      </c>
    </row>
    <row r="24">
      <c r="A24" s="25" t="n">
        <v>44562</v>
      </c>
      <c r="B24" t="n">
        <v>215.15</v>
      </c>
      <c r="C24" t="n">
        <v>69.95</v>
      </c>
      <c r="D24" t="n">
        <v>22.64</v>
      </c>
      <c r="E24" t="n">
        <v>5.26</v>
      </c>
      <c r="F24" t="n">
        <v>4.37</v>
      </c>
    </row>
    <row r="25">
      <c r="A25" s="25" t="n">
        <v>44927</v>
      </c>
      <c r="B25" t="n">
        <v>220.53</v>
      </c>
      <c r="C25" t="n">
        <v>70.5</v>
      </c>
      <c r="D25" t="n">
        <v>23.84</v>
      </c>
      <c r="E25" t="n">
        <v>5.33</v>
      </c>
      <c r="F25" t="n">
        <v>6.28</v>
      </c>
    </row>
    <row r="26">
      <c r="A26" s="25" t="n">
        <v>45292</v>
      </c>
      <c r="B26" t="n">
        <v>235.99</v>
      </c>
      <c r="C26" t="n">
        <v>74</v>
      </c>
      <c r="D26" t="n">
        <v>23.73</v>
      </c>
      <c r="E26" t="n">
        <v>5.79</v>
      </c>
      <c r="F26" t="n">
        <v>5.34</v>
      </c>
    </row>
    <row r="27">
      <c r="A27" s="25" t="n">
        <v>45658</v>
      </c>
      <c r="B27" t="n">
        <v>244.31</v>
      </c>
      <c r="C27" t="n">
        <v>75.7</v>
      </c>
      <c r="E27" t="n">
        <v>5.91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1001</v>
      </c>
      <c r="C2" t="n">
        <v>6551</v>
      </c>
      <c r="D2" t="n">
        <v>1446</v>
      </c>
      <c r="E2" t="n">
        <v>3556</v>
      </c>
      <c r="F2" t="n">
        <v>2622</v>
      </c>
    </row>
    <row r="3">
      <c r="A3" s="25" t="n">
        <v>36892</v>
      </c>
      <c r="B3" t="n">
        <v>1078</v>
      </c>
      <c r="C3" t="n">
        <v>6608</v>
      </c>
      <c r="D3" t="n">
        <v>1418</v>
      </c>
      <c r="E3" t="n">
        <v>3682</v>
      </c>
      <c r="F3" t="n">
        <v>2547</v>
      </c>
    </row>
    <row r="4">
      <c r="A4" s="25" t="n">
        <v>37257</v>
      </c>
      <c r="B4" t="n">
        <v>1121</v>
      </c>
      <c r="C4" t="n">
        <v>6714</v>
      </c>
      <c r="D4" t="n">
        <v>1503</v>
      </c>
      <c r="E4" t="n">
        <v>3862</v>
      </c>
      <c r="F4" t="n">
        <v>2706</v>
      </c>
    </row>
    <row r="5">
      <c r="A5" s="25" t="n">
        <v>37622</v>
      </c>
      <c r="B5" t="n">
        <v>1172</v>
      </c>
      <c r="C5" t="n">
        <v>6812</v>
      </c>
      <c r="D5" t="n">
        <v>1567</v>
      </c>
      <c r="E5" t="n">
        <v>4052</v>
      </c>
      <c r="F5" t="n">
        <v>2857</v>
      </c>
    </row>
    <row r="6">
      <c r="A6" s="25" t="n">
        <v>37987</v>
      </c>
      <c r="B6" t="n">
        <v>1227</v>
      </c>
      <c r="C6" t="n">
        <v>6729</v>
      </c>
      <c r="D6" t="n">
        <v>1658</v>
      </c>
      <c r="E6" t="n">
        <v>4126</v>
      </c>
      <c r="F6" t="n">
        <v>2535</v>
      </c>
    </row>
    <row r="7">
      <c r="A7" s="25" t="n">
        <v>38353</v>
      </c>
      <c r="B7" t="n">
        <v>1284</v>
      </c>
      <c r="C7" t="n">
        <v>6773</v>
      </c>
      <c r="D7" t="n">
        <v>1723</v>
      </c>
      <c r="E7" t="n">
        <v>4227</v>
      </c>
      <c r="F7" t="n">
        <v>2610</v>
      </c>
    </row>
    <row r="8">
      <c r="A8" s="25" t="n">
        <v>38718</v>
      </c>
      <c r="B8" t="n">
        <v>1346</v>
      </c>
      <c r="C8" t="n">
        <v>6907</v>
      </c>
      <c r="D8" t="n">
        <v>1802</v>
      </c>
      <c r="E8" t="n">
        <v>4410</v>
      </c>
      <c r="F8" t="n">
        <v>2580</v>
      </c>
    </row>
    <row r="9">
      <c r="A9" s="25" t="n">
        <v>39083</v>
      </c>
      <c r="B9" t="n">
        <v>1416</v>
      </c>
      <c r="C9" t="n">
        <v>7202</v>
      </c>
      <c r="D9" t="n">
        <v>1884</v>
      </c>
      <c r="E9" t="n">
        <v>4540</v>
      </c>
      <c r="F9" t="n">
        <v>2382</v>
      </c>
    </row>
    <row r="10">
      <c r="A10" s="25" t="n">
        <v>39448</v>
      </c>
      <c r="B10" t="n">
        <v>1490</v>
      </c>
      <c r="C10" t="n">
        <v>7268</v>
      </c>
      <c r="D10" t="n">
        <v>2056</v>
      </c>
      <c r="E10" t="n">
        <v>4647</v>
      </c>
      <c r="F10" t="n">
        <v>2641</v>
      </c>
    </row>
    <row r="11">
      <c r="A11" s="25" t="n">
        <v>39814</v>
      </c>
      <c r="B11" t="n">
        <v>1524</v>
      </c>
      <c r="C11" t="n">
        <v>6806</v>
      </c>
      <c r="D11" t="n">
        <v>2033</v>
      </c>
      <c r="E11" t="n">
        <v>4696</v>
      </c>
      <c r="F11" t="n">
        <v>2830</v>
      </c>
    </row>
    <row r="12">
      <c r="A12" s="25" t="n">
        <v>40179</v>
      </c>
      <c r="B12" t="n">
        <v>1603</v>
      </c>
      <c r="C12" t="n">
        <v>7159</v>
      </c>
      <c r="D12" t="n">
        <v>2109</v>
      </c>
      <c r="E12" t="n">
        <v>4726</v>
      </c>
      <c r="F12" t="n">
        <v>3364</v>
      </c>
    </row>
    <row r="13">
      <c r="A13" s="25" t="n">
        <v>40544</v>
      </c>
      <c r="B13" t="n">
        <v>1624</v>
      </c>
      <c r="C13" t="n">
        <v>7131</v>
      </c>
      <c r="D13" t="n">
        <v>2178</v>
      </c>
      <c r="E13" t="n">
        <v>4291</v>
      </c>
      <c r="F13" t="n">
        <v>3363</v>
      </c>
    </row>
    <row r="14">
      <c r="A14" s="25" t="n">
        <v>40909</v>
      </c>
      <c r="B14" t="n">
        <v>1744</v>
      </c>
      <c r="C14" t="n">
        <v>7405</v>
      </c>
      <c r="D14" t="n">
        <v>2276</v>
      </c>
      <c r="E14" t="n">
        <v>4050</v>
      </c>
      <c r="F14" t="n">
        <v>3205</v>
      </c>
    </row>
    <row r="15">
      <c r="A15" s="25" t="n">
        <v>41275</v>
      </c>
      <c r="B15" t="n">
        <v>1727</v>
      </c>
      <c r="C15" t="n">
        <v>7028</v>
      </c>
      <c r="D15" t="n">
        <v>2200</v>
      </c>
      <c r="E15" t="n">
        <v>3624</v>
      </c>
      <c r="F15" t="n">
        <v>3364</v>
      </c>
    </row>
    <row r="16">
      <c r="A16" s="25" t="n">
        <v>41640</v>
      </c>
      <c r="B16" t="n">
        <v>1749</v>
      </c>
      <c r="C16" t="n">
        <v>6819</v>
      </c>
      <c r="D16" t="n">
        <v>2120</v>
      </c>
      <c r="E16" t="n">
        <v>3611</v>
      </c>
      <c r="F16" t="n">
        <v>2853</v>
      </c>
    </row>
    <row r="17">
      <c r="A17" s="25" t="n">
        <v>42005</v>
      </c>
      <c r="B17" t="n">
        <v>1819</v>
      </c>
      <c r="C17" t="n">
        <v>7044</v>
      </c>
      <c r="D17" t="n">
        <v>2055</v>
      </c>
      <c r="E17" t="n">
        <v>3723</v>
      </c>
      <c r="F17" t="n">
        <v>2922</v>
      </c>
    </row>
    <row r="18">
      <c r="A18" s="25" t="n">
        <v>42370</v>
      </c>
      <c r="B18" t="n">
        <v>1849</v>
      </c>
      <c r="C18" t="n">
        <v>7192</v>
      </c>
      <c r="D18" t="n">
        <v>1995</v>
      </c>
      <c r="E18" t="n">
        <v>3953</v>
      </c>
      <c r="F18" t="n">
        <v>3081</v>
      </c>
    </row>
    <row r="19">
      <c r="A19" s="25" t="n">
        <v>42736</v>
      </c>
      <c r="B19" t="n">
        <v>1860</v>
      </c>
      <c r="C19" t="n">
        <v>7091</v>
      </c>
      <c r="D19" t="n">
        <v>2029</v>
      </c>
      <c r="E19" t="n">
        <v>3986</v>
      </c>
      <c r="F19" t="n">
        <v>3536</v>
      </c>
    </row>
    <row r="20">
      <c r="A20" s="25" t="n">
        <v>43101</v>
      </c>
      <c r="B20" t="n">
        <v>1881</v>
      </c>
      <c r="C20" t="n">
        <v>7110</v>
      </c>
      <c r="D20" t="n">
        <v>1956</v>
      </c>
      <c r="E20" t="n">
        <v>3982</v>
      </c>
      <c r="F20" t="n">
        <v>3558</v>
      </c>
    </row>
    <row r="21">
      <c r="A21" s="25" t="n">
        <v>43466</v>
      </c>
      <c r="B21" t="n">
        <v>1857</v>
      </c>
      <c r="C21" t="n">
        <v>7334</v>
      </c>
      <c r="D21" t="n">
        <v>1937</v>
      </c>
      <c r="E21" t="n">
        <v>4002</v>
      </c>
      <c r="F21" t="n">
        <v>3741</v>
      </c>
    </row>
    <row r="22">
      <c r="A22" s="25" t="n">
        <v>43831</v>
      </c>
      <c r="B22" t="n">
        <v>1804</v>
      </c>
      <c r="C22" t="n">
        <v>7216</v>
      </c>
      <c r="D22" t="n">
        <v>1923</v>
      </c>
      <c r="E22" t="n">
        <v>3724</v>
      </c>
      <c r="F22" t="n">
        <v>3200</v>
      </c>
    </row>
    <row r="23">
      <c r="A23" s="25" t="n">
        <v>44197</v>
      </c>
      <c r="B23" t="n">
        <v>1876</v>
      </c>
      <c r="C23" t="n">
        <v>7213</v>
      </c>
      <c r="D23" t="n">
        <v>1950</v>
      </c>
      <c r="E23" t="n">
        <v>3887</v>
      </c>
      <c r="F23" t="n">
        <v>1948</v>
      </c>
    </row>
    <row r="24">
      <c r="A24" s="25" t="n">
        <v>44562</v>
      </c>
      <c r="B24" t="n">
        <v>1910</v>
      </c>
      <c r="C24" t="n">
        <v>7319</v>
      </c>
      <c r="D24" t="n">
        <v>2011</v>
      </c>
      <c r="E24" t="n">
        <v>3951</v>
      </c>
      <c r="F24" t="n">
        <v>761</v>
      </c>
    </row>
    <row r="25">
      <c r="A25" s="25" t="n">
        <v>44927</v>
      </c>
      <c r="B25" t="n">
        <v>1925</v>
      </c>
      <c r="C25" t="n">
        <v>7158</v>
      </c>
      <c r="D25" t="n">
        <v>2084</v>
      </c>
      <c r="E25" t="n">
        <v>3963</v>
      </c>
      <c r="F25" t="n">
        <v>1088</v>
      </c>
    </row>
    <row r="26">
      <c r="A26" s="25" t="n">
        <v>45292</v>
      </c>
      <c r="B26" t="n">
        <v>2025</v>
      </c>
      <c r="C26" t="n">
        <v>7398</v>
      </c>
      <c r="D26" t="n">
        <v>2054</v>
      </c>
      <c r="E26" t="n">
        <v>4263</v>
      </c>
      <c r="F26" t="n">
        <v>920</v>
      </c>
    </row>
    <row r="27">
      <c r="A27" s="25" t="n">
        <v>45658</v>
      </c>
      <c r="B27" t="n">
        <v>2064</v>
      </c>
      <c r="C27" t="n">
        <v>7478</v>
      </c>
      <c r="E27" t="n">
        <v>4311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0.1</v>
      </c>
      <c r="C2" t="n">
        <v>0</v>
      </c>
      <c r="D2" t="n">
        <v>0</v>
      </c>
      <c r="E2" t="n">
        <v>0</v>
      </c>
      <c r="F2" t="n">
        <v>0</v>
      </c>
    </row>
    <row r="3">
      <c r="A3" s="25" t="n">
        <v>36892</v>
      </c>
      <c r="B3" t="n">
        <v>0.2</v>
      </c>
      <c r="C3" t="n">
        <v>0</v>
      </c>
      <c r="D3" t="n">
        <v>0</v>
      </c>
      <c r="E3" t="n">
        <v>0</v>
      </c>
      <c r="F3" t="n">
        <v>0</v>
      </c>
    </row>
    <row r="4">
      <c r="A4" s="25" t="n">
        <v>37257</v>
      </c>
      <c r="B4" t="n">
        <v>0.2</v>
      </c>
      <c r="C4" t="n">
        <v>0</v>
      </c>
      <c r="D4" t="n">
        <v>0</v>
      </c>
      <c r="E4" t="n">
        <v>0</v>
      </c>
      <c r="F4" t="n">
        <v>0</v>
      </c>
    </row>
    <row r="5">
      <c r="A5" s="25" t="n">
        <v>37622</v>
      </c>
      <c r="B5" t="n">
        <v>0.3</v>
      </c>
      <c r="C5" t="n">
        <v>0</v>
      </c>
      <c r="D5" t="n">
        <v>0</v>
      </c>
      <c r="E5" t="n">
        <v>0</v>
      </c>
      <c r="F5" t="n">
        <v>0</v>
      </c>
    </row>
    <row r="6">
      <c r="A6" s="25" t="n">
        <v>37987</v>
      </c>
      <c r="B6" t="n">
        <v>0.5</v>
      </c>
      <c r="C6" t="n">
        <v>0</v>
      </c>
      <c r="D6" t="n">
        <v>0</v>
      </c>
      <c r="E6" t="n">
        <v>0</v>
      </c>
      <c r="F6" t="n">
        <v>0</v>
      </c>
    </row>
    <row r="7">
      <c r="A7" s="25" t="n">
        <v>38353</v>
      </c>
      <c r="B7" t="n">
        <v>0.5</v>
      </c>
      <c r="C7" t="n">
        <v>0</v>
      </c>
      <c r="D7" t="n">
        <v>0</v>
      </c>
      <c r="E7" t="n">
        <v>0</v>
      </c>
      <c r="F7" t="n">
        <v>0</v>
      </c>
    </row>
    <row r="8">
      <c r="A8" s="25" t="n">
        <v>38718</v>
      </c>
      <c r="B8" t="n">
        <v>0.5</v>
      </c>
      <c r="C8" t="n">
        <v>0</v>
      </c>
      <c r="D8" t="n">
        <v>0</v>
      </c>
      <c r="E8" t="n">
        <v>0</v>
      </c>
      <c r="F8" t="n">
        <v>0</v>
      </c>
    </row>
    <row r="9">
      <c r="A9" s="25" t="n">
        <v>39083</v>
      </c>
      <c r="B9" t="n">
        <v>0.6</v>
      </c>
      <c r="C9" t="n">
        <v>0</v>
      </c>
      <c r="D9" t="n">
        <v>0</v>
      </c>
      <c r="E9" t="n">
        <v>0</v>
      </c>
      <c r="F9" t="n">
        <v>0</v>
      </c>
    </row>
    <row r="10">
      <c r="A10" s="25" t="n">
        <v>39448</v>
      </c>
      <c r="B10" t="n">
        <v>0.7</v>
      </c>
      <c r="C10" t="n">
        <v>0</v>
      </c>
      <c r="D10" t="n">
        <v>0</v>
      </c>
      <c r="E10" t="n">
        <v>0</v>
      </c>
      <c r="F10" t="n">
        <v>0</v>
      </c>
    </row>
    <row r="11">
      <c r="A11" s="25" t="n">
        <v>39814</v>
      </c>
      <c r="B11" t="n">
        <v>0.8</v>
      </c>
      <c r="C11" t="n">
        <v>0.1</v>
      </c>
      <c r="D11" t="n">
        <v>0</v>
      </c>
      <c r="E11" t="n">
        <v>0</v>
      </c>
      <c r="F11" t="n">
        <v>0</v>
      </c>
    </row>
    <row r="12">
      <c r="A12" s="25" t="n">
        <v>40179</v>
      </c>
      <c r="B12" t="n">
        <v>1</v>
      </c>
      <c r="C12" t="n">
        <v>0.1</v>
      </c>
      <c r="D12" t="n">
        <v>0</v>
      </c>
      <c r="E12" t="n">
        <v>0.8</v>
      </c>
      <c r="F12" t="n">
        <v>0</v>
      </c>
    </row>
    <row r="13">
      <c r="A13" s="25" t="n">
        <v>40544</v>
      </c>
      <c r="B13" t="n">
        <v>1.2</v>
      </c>
      <c r="C13" t="n">
        <v>0.3</v>
      </c>
      <c r="D13" t="n">
        <v>0</v>
      </c>
      <c r="E13" t="n">
        <v>2.4</v>
      </c>
      <c r="F13" t="n">
        <v>0</v>
      </c>
    </row>
    <row r="14">
      <c r="A14" s="25" t="n">
        <v>40909</v>
      </c>
      <c r="B14" t="n">
        <v>1.1</v>
      </c>
      <c r="C14" t="n">
        <v>0.6</v>
      </c>
      <c r="D14" t="n">
        <v>0</v>
      </c>
      <c r="E14" t="n">
        <v>4.4</v>
      </c>
      <c r="F14" t="n">
        <v>0</v>
      </c>
    </row>
    <row r="15">
      <c r="A15" s="25" t="n">
        <v>41275</v>
      </c>
      <c r="B15" t="n">
        <v>1</v>
      </c>
      <c r="C15" t="n">
        <v>0.8</v>
      </c>
      <c r="D15" t="n">
        <v>0</v>
      </c>
      <c r="E15" t="n">
        <v>6.5</v>
      </c>
      <c r="F15" t="n">
        <v>0</v>
      </c>
    </row>
    <row r="16">
      <c r="A16" s="25" t="n">
        <v>41640</v>
      </c>
      <c r="B16" t="n">
        <v>0.7</v>
      </c>
      <c r="C16" t="n">
        <v>1.5</v>
      </c>
      <c r="D16" t="n">
        <v>0</v>
      </c>
      <c r="E16" t="n">
        <v>6</v>
      </c>
      <c r="F16" t="n">
        <v>0.1</v>
      </c>
    </row>
    <row r="17">
      <c r="A17" s="25" t="n">
        <v>42005</v>
      </c>
      <c r="B17" t="n">
        <v>1.1</v>
      </c>
      <c r="C17" t="n">
        <v>1.8</v>
      </c>
      <c r="D17" t="n">
        <v>0.9</v>
      </c>
      <c r="E17" t="n">
        <v>7.7</v>
      </c>
      <c r="F17" t="n">
        <v>0.2</v>
      </c>
    </row>
    <row r="18">
      <c r="A18" s="25" t="n">
        <v>42370</v>
      </c>
      <c r="B18" t="n">
        <v>1.4</v>
      </c>
      <c r="C18" t="n">
        <v>2.4</v>
      </c>
      <c r="D18" t="n">
        <v>4.2</v>
      </c>
      <c r="E18" t="n">
        <v>7.8</v>
      </c>
      <c r="F18" t="n">
        <v>0.3</v>
      </c>
    </row>
    <row r="19">
      <c r="A19" s="25" t="n">
        <v>42736</v>
      </c>
      <c r="B19" t="n">
        <v>1.4</v>
      </c>
      <c r="C19" t="n">
        <v>2.5</v>
      </c>
      <c r="D19" t="n">
        <v>6.5</v>
      </c>
      <c r="E19" t="n">
        <v>7.6</v>
      </c>
      <c r="F19" t="n">
        <v>0.3</v>
      </c>
    </row>
    <row r="20">
      <c r="A20" s="25" t="n">
        <v>43101</v>
      </c>
      <c r="B20" t="n">
        <v>1.8</v>
      </c>
      <c r="C20" t="n">
        <v>2.5</v>
      </c>
      <c r="D20" t="n">
        <v>10.5</v>
      </c>
      <c r="E20" t="n">
        <v>8.300000000000001</v>
      </c>
      <c r="F20" t="n">
        <v>0.5</v>
      </c>
    </row>
    <row r="21">
      <c r="A21" s="25" t="n">
        <v>43466</v>
      </c>
      <c r="B21" t="n">
        <v>3.2</v>
      </c>
      <c r="C21" t="n">
        <v>4.7</v>
      </c>
      <c r="D21" t="n">
        <v>14.3</v>
      </c>
      <c r="E21" t="n">
        <v>8.9</v>
      </c>
      <c r="F21" t="n">
        <v>0.6</v>
      </c>
    </row>
    <row r="22">
      <c r="A22" s="25" t="n">
        <v>43831</v>
      </c>
      <c r="B22" t="n">
        <v>4.9</v>
      </c>
      <c r="C22" t="n">
        <v>5.9</v>
      </c>
      <c r="D22" t="n">
        <v>18.8</v>
      </c>
      <c r="E22" t="n">
        <v>11.1</v>
      </c>
      <c r="F22" t="n">
        <v>0.8</v>
      </c>
    </row>
    <row r="23">
      <c r="A23" s="25" t="n">
        <v>44197</v>
      </c>
      <c r="B23" t="n">
        <v>5</v>
      </c>
      <c r="C23" t="n">
        <v>7.7</v>
      </c>
      <c r="D23" t="n">
        <v>22.9</v>
      </c>
      <c r="E23" t="n">
        <v>14.1</v>
      </c>
      <c r="F23" t="n">
        <v>3.1</v>
      </c>
    </row>
    <row r="24">
      <c r="A24" s="25" t="n">
        <v>44562</v>
      </c>
      <c r="B24" t="n">
        <v>5</v>
      </c>
      <c r="C24" t="n">
        <v>9.5</v>
      </c>
      <c r="D24" t="n">
        <v>23</v>
      </c>
      <c r="E24" t="n">
        <v>15.6</v>
      </c>
      <c r="F24" t="n">
        <v>29.1</v>
      </c>
    </row>
    <row r="25">
      <c r="A25" s="25" t="n">
        <v>44927</v>
      </c>
      <c r="B25" t="n">
        <v>4.9</v>
      </c>
      <c r="C25" t="n">
        <v>11.6</v>
      </c>
      <c r="D25" t="n">
        <v>21.9</v>
      </c>
      <c r="E25" t="n">
        <v>19.5</v>
      </c>
      <c r="F25" t="n">
        <v>22.5</v>
      </c>
    </row>
    <row r="26">
      <c r="A26" s="25" t="n">
        <v>45292</v>
      </c>
      <c r="B26" t="n">
        <v>5.1</v>
      </c>
      <c r="C26" t="n">
        <v>13.7</v>
      </c>
      <c r="D26" t="n">
        <v>24</v>
      </c>
      <c r="E26" t="n">
        <v>23</v>
      </c>
      <c r="F26" t="n">
        <v>30.1</v>
      </c>
    </row>
    <row r="27">
      <c r="A27" s="25" t="n">
        <v>45658</v>
      </c>
      <c r="B27" t="n">
        <v>6.9</v>
      </c>
      <c r="C27" t="n">
        <v>16.7</v>
      </c>
      <c r="E27" t="n">
        <v>26.7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Cyprus</t>
        </is>
      </c>
    </row>
    <row r="2">
      <c r="A2" s="25" t="n">
        <v>32874</v>
      </c>
      <c r="B2" t="n">
        <v>7.8</v>
      </c>
      <c r="C2" t="n">
        <v>0</v>
      </c>
      <c r="D2" t="n">
        <v>0</v>
      </c>
    </row>
    <row r="3">
      <c r="A3" s="25" t="n">
        <v>33239</v>
      </c>
      <c r="B3" t="n">
        <v>8.699999999999999</v>
      </c>
      <c r="C3" t="n">
        <v>0</v>
      </c>
      <c r="D3" t="n">
        <v>0</v>
      </c>
    </row>
    <row r="4">
      <c r="A4" s="25" t="n">
        <v>33604</v>
      </c>
      <c r="B4" t="n">
        <v>9.5</v>
      </c>
      <c r="C4" t="n">
        <v>0</v>
      </c>
      <c r="D4" t="n">
        <v>0</v>
      </c>
    </row>
    <row r="5">
      <c r="A5" s="25" t="n">
        <v>33970</v>
      </c>
      <c r="B5" t="n">
        <v>10.9</v>
      </c>
      <c r="C5" t="n">
        <v>0</v>
      </c>
      <c r="D5" t="n">
        <v>0</v>
      </c>
    </row>
    <row r="6">
      <c r="A6" s="25" t="n">
        <v>34335</v>
      </c>
      <c r="B6" t="n">
        <v>11.6</v>
      </c>
      <c r="C6" t="n">
        <v>0</v>
      </c>
      <c r="D6" t="n">
        <v>0</v>
      </c>
    </row>
    <row r="7">
      <c r="A7" s="25" t="n">
        <v>34700</v>
      </c>
      <c r="B7" t="n">
        <v>12.1</v>
      </c>
      <c r="C7" t="n">
        <v>0</v>
      </c>
      <c r="D7" t="n">
        <v>0</v>
      </c>
    </row>
    <row r="8">
      <c r="A8" s="25" t="n">
        <v>35065</v>
      </c>
      <c r="B8" t="n">
        <v>12.5</v>
      </c>
      <c r="C8" t="n">
        <v>0</v>
      </c>
      <c r="D8" t="n">
        <v>0</v>
      </c>
    </row>
    <row r="9">
      <c r="A9" s="25" t="n">
        <v>35431</v>
      </c>
      <c r="B9" t="n">
        <v>12.9</v>
      </c>
      <c r="C9" t="n">
        <v>0</v>
      </c>
      <c r="D9" t="n">
        <v>0</v>
      </c>
    </row>
    <row r="10">
      <c r="A10" s="25" t="n">
        <v>35796</v>
      </c>
      <c r="B10" t="n">
        <v>13.2</v>
      </c>
      <c r="C10" t="n">
        <v>0</v>
      </c>
      <c r="D10" t="n">
        <v>0</v>
      </c>
    </row>
    <row r="11">
      <c r="A11" s="25" t="n">
        <v>36161</v>
      </c>
      <c r="B11" t="n">
        <v>15.8</v>
      </c>
      <c r="C11" t="n">
        <v>0</v>
      </c>
      <c r="D11" t="n">
        <v>0</v>
      </c>
    </row>
    <row r="12">
      <c r="A12" s="25" t="n">
        <v>36526</v>
      </c>
      <c r="B12" t="n">
        <v>19.2</v>
      </c>
      <c r="C12" t="n">
        <v>0</v>
      </c>
      <c r="D12" t="n">
        <v>0</v>
      </c>
    </row>
    <row r="13">
      <c r="A13" s="25" t="n">
        <v>36892</v>
      </c>
      <c r="B13" t="n">
        <v>23.6</v>
      </c>
      <c r="C13" t="n">
        <v>0</v>
      </c>
      <c r="D13" t="n">
        <v>0</v>
      </c>
    </row>
    <row r="14">
      <c r="A14" s="25" t="n">
        <v>37257</v>
      </c>
      <c r="B14" t="n">
        <v>25.5</v>
      </c>
      <c r="C14" t="n">
        <v>0</v>
      </c>
      <c r="D14" t="n">
        <v>0</v>
      </c>
    </row>
    <row r="15">
      <c r="A15" s="25" t="n">
        <v>37622</v>
      </c>
      <c r="B15" t="n">
        <v>28.6</v>
      </c>
      <c r="C15" t="n">
        <v>0</v>
      </c>
      <c r="D15" t="n">
        <v>0</v>
      </c>
    </row>
    <row r="16">
      <c r="A16" s="25" t="n">
        <v>37987</v>
      </c>
      <c r="B16" t="n">
        <v>30.5</v>
      </c>
      <c r="C16" t="n">
        <v>1.1</v>
      </c>
      <c r="D16" t="n">
        <v>0</v>
      </c>
    </row>
    <row r="17">
      <c r="A17" s="25" t="n">
        <v>38353</v>
      </c>
      <c r="B17" t="n">
        <v>30.4</v>
      </c>
      <c r="C17" t="n">
        <v>1.6</v>
      </c>
      <c r="D17" t="n">
        <v>0</v>
      </c>
    </row>
    <row r="18">
      <c r="A18" s="25" t="n">
        <v>38718</v>
      </c>
      <c r="B18" t="n">
        <v>35.1</v>
      </c>
      <c r="C18" t="n">
        <v>2.2</v>
      </c>
      <c r="D18" t="n">
        <v>0</v>
      </c>
    </row>
    <row r="19">
      <c r="A19" s="25" t="n">
        <v>39083</v>
      </c>
      <c r="B19" t="n">
        <v>36.9</v>
      </c>
      <c r="C19" t="n">
        <v>2.6</v>
      </c>
      <c r="D19" t="n">
        <v>0</v>
      </c>
    </row>
    <row r="20">
      <c r="A20" s="25" t="n">
        <v>39448</v>
      </c>
      <c r="B20" t="n">
        <v>39.3</v>
      </c>
      <c r="C20" t="n">
        <v>3.6</v>
      </c>
      <c r="D20" t="n">
        <v>0</v>
      </c>
    </row>
    <row r="21">
      <c r="A21" s="25" t="n">
        <v>39814</v>
      </c>
      <c r="B21" t="n">
        <v>40.9</v>
      </c>
      <c r="C21" t="n">
        <v>4</v>
      </c>
      <c r="D21" t="n">
        <v>0</v>
      </c>
    </row>
    <row r="22">
      <c r="A22" s="25" t="n">
        <v>40179</v>
      </c>
      <c r="B22" t="n">
        <v>43.4</v>
      </c>
      <c r="C22" t="n">
        <v>5.1</v>
      </c>
      <c r="D22" t="n">
        <v>0</v>
      </c>
    </row>
    <row r="23">
      <c r="A23" s="25" t="n">
        <v>40544</v>
      </c>
      <c r="B23" t="n">
        <v>47.8</v>
      </c>
      <c r="C23" t="n">
        <v>4.7</v>
      </c>
      <c r="D23" t="n">
        <v>0</v>
      </c>
    </row>
    <row r="24">
      <c r="A24" s="25" t="n">
        <v>40909</v>
      </c>
      <c r="B24" t="n">
        <v>50.6</v>
      </c>
      <c r="C24" t="n">
        <v>2.4</v>
      </c>
      <c r="D24" t="n">
        <v>0</v>
      </c>
    </row>
    <row r="25">
      <c r="A25" s="25" t="n">
        <v>41275</v>
      </c>
      <c r="B25" t="n">
        <v>49.5</v>
      </c>
      <c r="C25" t="n">
        <v>6.6</v>
      </c>
      <c r="D25" t="n">
        <v>0</v>
      </c>
    </row>
    <row r="26">
      <c r="A26" s="25" t="n">
        <v>41640</v>
      </c>
      <c r="B26" t="n">
        <v>46.2</v>
      </c>
      <c r="C26" t="n">
        <v>7.2</v>
      </c>
      <c r="D26" t="n">
        <v>0</v>
      </c>
    </row>
    <row r="27">
      <c r="A27" s="25" t="n">
        <v>42005</v>
      </c>
      <c r="B27" t="n">
        <v>46</v>
      </c>
      <c r="C27" t="n">
        <v>8</v>
      </c>
      <c r="D27" t="n">
        <v>0</v>
      </c>
    </row>
    <row r="28">
      <c r="A28" s="25" t="n">
        <v>42370</v>
      </c>
      <c r="B28" t="n">
        <v>49.4</v>
      </c>
      <c r="C28" t="n">
        <v>9.199999999999999</v>
      </c>
      <c r="D28" t="n">
        <v>0</v>
      </c>
    </row>
    <row r="29">
      <c r="A29" s="25" t="n">
        <v>42736</v>
      </c>
      <c r="B29" t="n">
        <v>55.9</v>
      </c>
      <c r="C29" t="n">
        <v>9.800000000000001</v>
      </c>
      <c r="D29" t="n">
        <v>0</v>
      </c>
    </row>
    <row r="30">
      <c r="A30" s="25" t="n">
        <v>43101</v>
      </c>
      <c r="B30" t="n">
        <v>59.6</v>
      </c>
      <c r="C30" t="n">
        <v>10.6</v>
      </c>
      <c r="D30" t="n">
        <v>0</v>
      </c>
    </row>
    <row r="31">
      <c r="A31" s="25" t="n">
        <v>43466</v>
      </c>
      <c r="B31" t="n">
        <v>59</v>
      </c>
      <c r="C31" t="n">
        <v>10.7</v>
      </c>
      <c r="D31" t="n">
        <v>0</v>
      </c>
    </row>
    <row r="32">
      <c r="A32" s="25" t="n">
        <v>43831</v>
      </c>
      <c r="B32" t="n">
        <v>58.3</v>
      </c>
      <c r="C32" t="n">
        <v>11.3</v>
      </c>
      <c r="D32" t="n">
        <v>0</v>
      </c>
    </row>
    <row r="33">
      <c r="A33" s="25" t="n">
        <v>44197</v>
      </c>
      <c r="B33" t="n">
        <v>62.1</v>
      </c>
      <c r="C33" t="n">
        <v>11.7</v>
      </c>
      <c r="D33" t="n">
        <v>0</v>
      </c>
    </row>
    <row r="34">
      <c r="A34" s="25" t="n">
        <v>44562</v>
      </c>
      <c r="B34" t="n">
        <v>60.6</v>
      </c>
      <c r="C34" t="n">
        <v>12.1</v>
      </c>
      <c r="D34" t="n">
        <v>0</v>
      </c>
    </row>
    <row r="35">
      <c r="A35" s="25" t="n">
        <v>44927</v>
      </c>
      <c r="B35" t="n">
        <v>60</v>
      </c>
      <c r="C35" t="n">
        <v>10.5</v>
      </c>
      <c r="D35" t="n">
        <v>0</v>
      </c>
    </row>
    <row r="36">
      <c r="A36" s="25" t="n">
        <v>45292</v>
      </c>
      <c r="B36" t="n">
        <v>59.8</v>
      </c>
      <c r="C36" t="n">
        <v>10.4</v>
      </c>
      <c r="D36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 Med (GDP-weighted)</t>
        </is>
      </c>
      <c r="C1" t="inlineStr">
        <is>
          <t>Egypt</t>
        </is>
      </c>
      <c r="D1" t="inlineStr">
        <is>
          <t>Israel</t>
        </is>
      </c>
      <c r="E1" t="inlineStr">
        <is>
          <t>Jordan</t>
        </is>
      </c>
      <c r="F1" t="inlineStr">
        <is>
          <t>Cyprus</t>
        </is>
      </c>
      <c r="G1" t="inlineStr">
        <is>
          <t>Lebanon</t>
        </is>
      </c>
      <c r="J1" t="inlineStr">
        <is>
          <t>IMF World Economic Outlook: years after the latest actual are forecasts</t>
        </is>
      </c>
    </row>
    <row r="2">
      <c r="A2" s="25" t="n">
        <v>40179</v>
      </c>
      <c r="B2" t="n">
        <v>5.1</v>
      </c>
      <c r="C2" t="n">
        <v>5.1</v>
      </c>
      <c r="D2" t="n">
        <v>5.5</v>
      </c>
      <c r="E2" t="n">
        <v>2.6</v>
      </c>
      <c r="F2" t="n">
        <v>2.3</v>
      </c>
      <c r="G2" t="n">
        <v>8</v>
      </c>
    </row>
    <row r="3">
      <c r="A3" s="25" t="n">
        <v>40544</v>
      </c>
      <c r="B3" t="n">
        <v>3.3</v>
      </c>
      <c r="C3" t="n">
        <v>1.8</v>
      </c>
      <c r="D3" t="n">
        <v>5.5</v>
      </c>
      <c r="E3" t="n">
        <v>2.9</v>
      </c>
      <c r="F3" t="n">
        <v>0.4</v>
      </c>
      <c r="G3" t="n">
        <v>0.9</v>
      </c>
    </row>
    <row r="4">
      <c r="A4" s="25" t="n">
        <v>40909</v>
      </c>
      <c r="B4" t="n">
        <v>2.1</v>
      </c>
      <c r="C4" t="n">
        <v>2.2</v>
      </c>
      <c r="D4" t="n">
        <v>2.4</v>
      </c>
      <c r="E4" t="n">
        <v>2.4</v>
      </c>
      <c r="F4" t="n">
        <v>-3.4</v>
      </c>
      <c r="G4" t="n">
        <v>2.8</v>
      </c>
    </row>
    <row r="5">
      <c r="A5" s="25" t="n">
        <v>41275</v>
      </c>
      <c r="B5" t="n">
        <v>3.3</v>
      </c>
      <c r="C5" t="n">
        <v>3.3</v>
      </c>
      <c r="D5" t="n">
        <v>4.1</v>
      </c>
      <c r="E5" t="n">
        <v>2.7</v>
      </c>
      <c r="F5" t="n">
        <v>-6.6</v>
      </c>
      <c r="G5" t="n">
        <v>3.8</v>
      </c>
    </row>
    <row r="6">
      <c r="A6" s="25" t="n">
        <v>41640</v>
      </c>
      <c r="B6" t="n">
        <v>3.1</v>
      </c>
      <c r="C6" t="n">
        <v>2.9</v>
      </c>
      <c r="D6" t="n">
        <v>3.7</v>
      </c>
      <c r="E6" t="n">
        <v>3.3</v>
      </c>
      <c r="F6" t="n">
        <v>-1.8</v>
      </c>
      <c r="G6" t="n">
        <v>2.4</v>
      </c>
    </row>
    <row r="7">
      <c r="A7" s="25" t="n">
        <v>42005</v>
      </c>
      <c r="B7" t="n">
        <v>3.3</v>
      </c>
      <c r="C7" t="n">
        <v>4.4</v>
      </c>
      <c r="D7" t="n">
        <v>2.2</v>
      </c>
      <c r="E7" t="n">
        <v>2.5</v>
      </c>
      <c r="F7" t="n">
        <v>3.4</v>
      </c>
      <c r="G7" t="n">
        <v>0.5</v>
      </c>
    </row>
    <row r="8">
      <c r="A8" s="25" t="n">
        <v>42370</v>
      </c>
      <c r="B8" t="n">
        <v>4.3</v>
      </c>
      <c r="C8" t="n">
        <v>4.3</v>
      </c>
      <c r="D8" t="n">
        <v>4.5</v>
      </c>
      <c r="E8" t="n">
        <v>2.1</v>
      </c>
      <c r="F8" t="n">
        <v>6.6</v>
      </c>
      <c r="G8" t="n">
        <v>1.6</v>
      </c>
    </row>
    <row r="9">
      <c r="A9" s="25" t="n">
        <v>42736</v>
      </c>
      <c r="B9" t="n">
        <v>4.1</v>
      </c>
      <c r="C9" t="n">
        <v>4.2</v>
      </c>
      <c r="D9" t="n">
        <v>4.3</v>
      </c>
      <c r="E9" t="n">
        <v>2.5</v>
      </c>
      <c r="F9" t="n">
        <v>5.7</v>
      </c>
      <c r="G9" t="n">
        <v>0.8</v>
      </c>
    </row>
    <row r="10">
      <c r="A10" s="25" t="n">
        <v>43101</v>
      </c>
      <c r="B10" t="n">
        <v>4.5</v>
      </c>
      <c r="C10" t="n">
        <v>5.3</v>
      </c>
      <c r="D10" t="n">
        <v>4.1</v>
      </c>
      <c r="E10" t="n">
        <v>1.9</v>
      </c>
      <c r="F10" t="n">
        <v>6.3</v>
      </c>
      <c r="G10" t="n">
        <v>-1.9</v>
      </c>
    </row>
    <row r="11">
      <c r="A11" s="25" t="n">
        <v>43466</v>
      </c>
      <c r="B11" t="n">
        <v>4.2</v>
      </c>
      <c r="C11" t="n">
        <v>5.5</v>
      </c>
      <c r="D11" t="n">
        <v>3.6</v>
      </c>
      <c r="E11" t="n">
        <v>1.9</v>
      </c>
      <c r="F11" t="n">
        <v>5.9</v>
      </c>
      <c r="G11" t="n">
        <v>-6.6</v>
      </c>
    </row>
    <row r="12">
      <c r="A12" s="25" t="n">
        <v>43831</v>
      </c>
      <c r="B12" t="n">
        <v>0</v>
      </c>
      <c r="C12" t="n">
        <v>3.6</v>
      </c>
      <c r="D12" t="n">
        <v>-1.8</v>
      </c>
      <c r="E12" t="n">
        <v>-1.2</v>
      </c>
      <c r="F12" t="n">
        <v>-3.2</v>
      </c>
      <c r="G12" t="n">
        <v>-26.8</v>
      </c>
    </row>
    <row r="13">
      <c r="A13" s="25" t="n">
        <v>44197</v>
      </c>
      <c r="B13" t="n">
        <v>6</v>
      </c>
      <c r="C13" t="n">
        <v>3.3</v>
      </c>
      <c r="D13" t="n">
        <v>9.300000000000001</v>
      </c>
      <c r="E13" t="n">
        <v>3.8</v>
      </c>
      <c r="F13" t="n">
        <v>11.4</v>
      </c>
      <c r="G13" t="n">
        <v>2.1</v>
      </c>
    </row>
    <row r="14">
      <c r="A14" s="25" t="n">
        <v>44562</v>
      </c>
      <c r="B14" t="n">
        <v>6.3</v>
      </c>
      <c r="C14" t="n">
        <v>6.7</v>
      </c>
      <c r="D14" t="n">
        <v>6.4</v>
      </c>
      <c r="E14" t="n">
        <v>2.7</v>
      </c>
      <c r="F14" t="n">
        <v>8.300000000000001</v>
      </c>
      <c r="G14" t="n">
        <v>1</v>
      </c>
    </row>
    <row r="15">
      <c r="A15" s="25" t="n">
        <v>44927</v>
      </c>
      <c r="B15" t="n">
        <v>2.9</v>
      </c>
      <c r="C15" t="n">
        <v>3.8</v>
      </c>
      <c r="D15" t="n">
        <v>2.1</v>
      </c>
      <c r="E15" t="n">
        <v>3.1</v>
      </c>
      <c r="F15" t="n">
        <v>3.6</v>
      </c>
      <c r="G15" t="n">
        <v>-0.7</v>
      </c>
    </row>
    <row r="16">
      <c r="A16" s="25" t="n">
        <v>45292</v>
      </c>
      <c r="B16" t="n">
        <v>1.6</v>
      </c>
      <c r="C16" t="n">
        <v>2.4</v>
      </c>
      <c r="D16" t="n">
        <v>1</v>
      </c>
      <c r="E16" t="n">
        <v>2.6</v>
      </c>
      <c r="F16" t="n">
        <v>3.9</v>
      </c>
      <c r="G16" t="n">
        <v>-7.5</v>
      </c>
    </row>
    <row r="17">
      <c r="A17" s="25" t="n">
        <v>45658</v>
      </c>
      <c r="B17" t="n">
        <v>3.7</v>
      </c>
      <c r="C17" t="n">
        <v>4.4</v>
      </c>
      <c r="D17" t="n">
        <v>2.9</v>
      </c>
      <c r="E17" t="n">
        <v>2.7</v>
      </c>
      <c r="F17" t="n">
        <v>3.8</v>
      </c>
      <c r="G17" t="n">
        <v>4</v>
      </c>
    </row>
    <row r="18">
      <c r="A18" s="25" t="n">
        <v>46023</v>
      </c>
      <c r="B18" t="n">
        <v>3.8</v>
      </c>
      <c r="C18" t="n">
        <v>4.2</v>
      </c>
      <c r="D18" t="n">
        <v>3.5</v>
      </c>
      <c r="E18" t="n">
        <v>2.7</v>
      </c>
      <c r="F18" t="n">
        <v>3</v>
      </c>
    </row>
    <row r="19">
      <c r="A19" s="25" t="n">
        <v>46388</v>
      </c>
      <c r="B19" t="n">
        <v>4.5</v>
      </c>
      <c r="C19" t="n">
        <v>4.8</v>
      </c>
      <c r="D19" t="n">
        <v>4.4</v>
      </c>
      <c r="E19" t="n">
        <v>3.1</v>
      </c>
      <c r="F19" t="n">
        <v>3</v>
      </c>
    </row>
    <row r="20">
      <c r="A20" s="25" t="n">
        <v>46753</v>
      </c>
      <c r="B20" t="n">
        <v>4.5</v>
      </c>
      <c r="C20" t="n">
        <v>5.5</v>
      </c>
      <c r="D20" t="n">
        <v>3.7</v>
      </c>
      <c r="E20" t="n">
        <v>3</v>
      </c>
      <c r="F20" t="n">
        <v>3</v>
      </c>
    </row>
    <row r="21">
      <c r="A21" s="25" t="n">
        <v>47119</v>
      </c>
      <c r="B21" t="n">
        <v>4.3</v>
      </c>
      <c r="C21" t="n">
        <v>5.2</v>
      </c>
      <c r="D21" t="n">
        <v>3.5</v>
      </c>
      <c r="E21" t="n">
        <v>3</v>
      </c>
      <c r="F21" t="n">
        <v>3</v>
      </c>
    </row>
    <row r="22">
      <c r="A22" s="25" t="n">
        <v>47484</v>
      </c>
      <c r="B22" t="n">
        <v>4.1</v>
      </c>
      <c r="C22" t="n">
        <v>4.8</v>
      </c>
      <c r="D22" t="n">
        <v>3.4</v>
      </c>
      <c r="E22" t="n">
        <v>3</v>
      </c>
      <c r="F22" t="n">
        <v>3</v>
      </c>
    </row>
    <row r="23">
      <c r="A23" s="25" t="n">
        <v>47849</v>
      </c>
      <c r="B23" t="n">
        <v>4.1</v>
      </c>
      <c r="C23" t="n">
        <v>4.8</v>
      </c>
      <c r="D23" t="n">
        <v>3.4</v>
      </c>
      <c r="E23" t="n">
        <v>3</v>
      </c>
      <c r="F23" t="n">
        <v>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Cyprus</t>
        </is>
      </c>
    </row>
    <row r="2">
      <c r="A2" s="25" t="n">
        <v>33239</v>
      </c>
      <c r="B2" t="n">
        <v>1334</v>
      </c>
    </row>
    <row r="3">
      <c r="A3" s="25" t="n">
        <v>33604</v>
      </c>
      <c r="B3" t="n">
        <v>1313</v>
      </c>
    </row>
    <row r="4">
      <c r="A4" s="25" t="n">
        <v>33970</v>
      </c>
      <c r="B4" t="n">
        <v>1476</v>
      </c>
    </row>
    <row r="5">
      <c r="A5" s="25" t="n">
        <v>34335</v>
      </c>
      <c r="B5" t="n">
        <v>1646</v>
      </c>
    </row>
    <row r="6">
      <c r="A6" s="25" t="n">
        <v>34700</v>
      </c>
      <c r="B6" t="n">
        <v>1438</v>
      </c>
    </row>
    <row r="7">
      <c r="A7" s="25" t="n">
        <v>35065</v>
      </c>
      <c r="B7" t="n">
        <v>1462</v>
      </c>
    </row>
    <row r="8">
      <c r="A8" s="25" t="n">
        <v>35431</v>
      </c>
      <c r="B8" t="n">
        <v>1374</v>
      </c>
    </row>
    <row r="9">
      <c r="A9" s="25" t="n">
        <v>35796</v>
      </c>
      <c r="B9" t="n">
        <v>1606</v>
      </c>
    </row>
    <row r="10">
      <c r="A10" s="25" t="n">
        <v>36161</v>
      </c>
      <c r="B10" t="n">
        <v>1624</v>
      </c>
    </row>
    <row r="11">
      <c r="A11" s="25" t="n">
        <v>36526</v>
      </c>
      <c r="B11" t="n">
        <v>1549</v>
      </c>
    </row>
    <row r="12">
      <c r="A12" s="25" t="n">
        <v>36892</v>
      </c>
      <c r="B12" t="n">
        <v>1574</v>
      </c>
    </row>
    <row r="13">
      <c r="A13" s="25" t="n">
        <v>37257</v>
      </c>
      <c r="B13" t="n">
        <v>1498</v>
      </c>
    </row>
    <row r="14">
      <c r="A14" s="25" t="n">
        <v>37622</v>
      </c>
      <c r="B14" t="n">
        <v>1587</v>
      </c>
    </row>
    <row r="15">
      <c r="A15" s="25" t="n">
        <v>37987</v>
      </c>
      <c r="B15" t="n">
        <v>1528</v>
      </c>
    </row>
    <row r="16">
      <c r="A16" s="25" t="n">
        <v>38353</v>
      </c>
      <c r="B16" t="n">
        <v>1421</v>
      </c>
    </row>
    <row r="17">
      <c r="A17" s="25" t="n">
        <v>38718</v>
      </c>
      <c r="B17" t="n">
        <v>1528</v>
      </c>
    </row>
    <row r="18">
      <c r="A18" s="25" t="n">
        <v>39083</v>
      </c>
      <c r="B18" t="n">
        <v>1613</v>
      </c>
    </row>
    <row r="19">
      <c r="A19" s="25" t="n">
        <v>39448</v>
      </c>
      <c r="B19" t="n">
        <v>1630</v>
      </c>
    </row>
    <row r="20">
      <c r="A20" s="25" t="n">
        <v>39814</v>
      </c>
      <c r="B20" t="n">
        <v>1533</v>
      </c>
    </row>
    <row r="21">
      <c r="A21" s="25" t="n">
        <v>40179</v>
      </c>
      <c r="B21" t="n">
        <v>1660</v>
      </c>
    </row>
    <row r="22">
      <c r="A22" s="25" t="n">
        <v>40544</v>
      </c>
      <c r="B22" t="n">
        <v>1441</v>
      </c>
    </row>
    <row r="23">
      <c r="A23" s="25" t="n">
        <v>40909</v>
      </c>
      <c r="B23" t="n">
        <v>1641</v>
      </c>
    </row>
    <row r="24">
      <c r="A24" s="25" t="n">
        <v>41275</v>
      </c>
      <c r="B24" t="n">
        <v>1510</v>
      </c>
    </row>
    <row r="25">
      <c r="A25" s="25" t="n">
        <v>41640</v>
      </c>
      <c r="B25" t="n">
        <v>1449</v>
      </c>
    </row>
    <row r="26">
      <c r="A26" s="25" t="n">
        <v>42005</v>
      </c>
      <c r="B26" t="n">
        <v>1517</v>
      </c>
    </row>
    <row r="27">
      <c r="A27" s="25" t="n">
        <v>42370</v>
      </c>
      <c r="B27" t="n">
        <v>1655</v>
      </c>
    </row>
    <row r="28">
      <c r="A28" s="25" t="n">
        <v>42736</v>
      </c>
      <c r="B28" t="n">
        <v>1593</v>
      </c>
    </row>
    <row r="29">
      <c r="A29" s="25" t="n">
        <v>43101</v>
      </c>
      <c r="B29" t="n">
        <v>1705</v>
      </c>
    </row>
    <row r="30">
      <c r="A30" s="25" t="n">
        <v>43466</v>
      </c>
      <c r="B30" t="n">
        <v>1637</v>
      </c>
    </row>
    <row r="31">
      <c r="A31" s="25" t="n">
        <v>43831</v>
      </c>
      <c r="B31" t="n">
        <v>1693</v>
      </c>
    </row>
    <row r="32">
      <c r="A32" s="25" t="n">
        <v>44197</v>
      </c>
      <c r="B32" t="n">
        <v>1678</v>
      </c>
    </row>
    <row r="33">
      <c r="A33" s="25" t="n">
        <v>44562</v>
      </c>
      <c r="B33" t="n">
        <v>1583</v>
      </c>
    </row>
    <row r="34">
      <c r="A34" s="25" t="n">
        <v>44927</v>
      </c>
      <c r="B34" t="n">
        <v>1677</v>
      </c>
    </row>
    <row r="35">
      <c r="A35" s="25" t="n">
        <v>45292</v>
      </c>
      <c r="B35" t="n">
        <v>1832</v>
      </c>
    </row>
    <row r="36">
      <c r="A36" s="25" t="n">
        <v>45658</v>
      </c>
      <c r="B36" t="n">
        <v>1728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Cyprus</t>
        </is>
      </c>
    </row>
    <row r="2">
      <c r="A2" s="25" t="n">
        <v>33239</v>
      </c>
      <c r="B2" t="n">
        <v>922</v>
      </c>
    </row>
    <row r="3">
      <c r="A3" s="25" t="n">
        <v>33604</v>
      </c>
      <c r="B3" t="n">
        <v>1310</v>
      </c>
    </row>
    <row r="4">
      <c r="A4" s="25" t="n">
        <v>33970</v>
      </c>
      <c r="B4" t="n">
        <v>1082</v>
      </c>
    </row>
    <row r="5">
      <c r="A5" s="25" t="n">
        <v>34335</v>
      </c>
      <c r="B5" t="n">
        <v>931</v>
      </c>
    </row>
    <row r="6">
      <c r="A6" s="25" t="n">
        <v>34700</v>
      </c>
      <c r="B6" t="n">
        <v>1003</v>
      </c>
    </row>
    <row r="7">
      <c r="A7" s="25" t="n">
        <v>35065</v>
      </c>
      <c r="B7" t="n">
        <v>926</v>
      </c>
    </row>
    <row r="8">
      <c r="A8" s="25" t="n">
        <v>35431</v>
      </c>
      <c r="B8" t="n">
        <v>1015</v>
      </c>
    </row>
    <row r="9">
      <c r="A9" s="25" t="n">
        <v>35796</v>
      </c>
      <c r="B9" t="n">
        <v>855</v>
      </c>
    </row>
    <row r="10">
      <c r="A10" s="25" t="n">
        <v>36161</v>
      </c>
      <c r="B10" t="n">
        <v>738</v>
      </c>
    </row>
    <row r="11">
      <c r="A11" s="25" t="n">
        <v>36526</v>
      </c>
      <c r="B11" t="n">
        <v>931</v>
      </c>
    </row>
    <row r="12">
      <c r="A12" s="25" t="n">
        <v>36892</v>
      </c>
      <c r="B12" t="n">
        <v>769</v>
      </c>
    </row>
    <row r="13">
      <c r="A13" s="25" t="n">
        <v>37257</v>
      </c>
      <c r="B13" t="n">
        <v>848</v>
      </c>
    </row>
    <row r="14">
      <c r="A14" s="25" t="n">
        <v>37622</v>
      </c>
      <c r="B14" t="n">
        <v>955</v>
      </c>
    </row>
    <row r="15">
      <c r="A15" s="25" t="n">
        <v>37987</v>
      </c>
      <c r="B15" t="n">
        <v>973</v>
      </c>
    </row>
    <row r="16">
      <c r="A16" s="25" t="n">
        <v>38353</v>
      </c>
      <c r="B16" t="n">
        <v>900</v>
      </c>
    </row>
    <row r="17">
      <c r="A17" s="25" t="n">
        <v>38718</v>
      </c>
      <c r="B17" t="n">
        <v>911</v>
      </c>
    </row>
    <row r="18">
      <c r="A18" s="25" t="n">
        <v>39083</v>
      </c>
      <c r="B18" t="n">
        <v>877</v>
      </c>
    </row>
    <row r="19">
      <c r="A19" s="25" t="n">
        <v>39448</v>
      </c>
      <c r="B19" t="n">
        <v>838</v>
      </c>
    </row>
    <row r="20">
      <c r="A20" s="25" t="n">
        <v>39814</v>
      </c>
      <c r="B20" t="n">
        <v>818</v>
      </c>
    </row>
    <row r="21">
      <c r="A21" s="25" t="n">
        <v>40179</v>
      </c>
      <c r="B21" t="n">
        <v>633</v>
      </c>
    </row>
    <row r="22">
      <c r="A22" s="25" t="n">
        <v>40544</v>
      </c>
      <c r="B22" t="n">
        <v>888</v>
      </c>
    </row>
    <row r="23">
      <c r="A23" s="25" t="n">
        <v>40909</v>
      </c>
      <c r="B23" t="n">
        <v>924</v>
      </c>
    </row>
    <row r="24">
      <c r="A24" s="25" t="n">
        <v>41275</v>
      </c>
      <c r="B24" t="n">
        <v>813</v>
      </c>
    </row>
    <row r="25">
      <c r="A25" s="25" t="n">
        <v>41640</v>
      </c>
      <c r="B25" t="n">
        <v>642</v>
      </c>
    </row>
    <row r="26">
      <c r="A26" s="25" t="n">
        <v>42005</v>
      </c>
      <c r="B26" t="n">
        <v>891</v>
      </c>
    </row>
    <row r="27">
      <c r="A27" s="25" t="n">
        <v>42370</v>
      </c>
      <c r="B27" t="n">
        <v>787</v>
      </c>
    </row>
    <row r="28">
      <c r="A28" s="25" t="n">
        <v>42736</v>
      </c>
      <c r="B28" t="n">
        <v>859</v>
      </c>
    </row>
    <row r="29">
      <c r="A29" s="25" t="n">
        <v>43101</v>
      </c>
      <c r="B29" t="n">
        <v>617</v>
      </c>
    </row>
    <row r="30">
      <c r="A30" s="25" t="n">
        <v>43466</v>
      </c>
      <c r="B30" t="n">
        <v>824</v>
      </c>
    </row>
    <row r="31">
      <c r="A31" s="25" t="n">
        <v>43831</v>
      </c>
      <c r="B31" t="n">
        <v>804</v>
      </c>
    </row>
    <row r="32">
      <c r="A32" s="25" t="n">
        <v>44197</v>
      </c>
      <c r="B32" t="n">
        <v>752</v>
      </c>
    </row>
    <row r="33">
      <c r="A33" s="25" t="n">
        <v>44562</v>
      </c>
      <c r="B33" t="n">
        <v>874</v>
      </c>
    </row>
    <row r="34">
      <c r="A34" s="25" t="n">
        <v>44927</v>
      </c>
      <c r="B34" t="n">
        <v>704</v>
      </c>
    </row>
    <row r="35">
      <c r="A35" s="25" t="n">
        <v>45292</v>
      </c>
      <c r="B35" t="n">
        <v>636</v>
      </c>
    </row>
    <row r="36">
      <c r="A36" s="25" t="n">
        <v>45658</v>
      </c>
      <c r="B36" t="n">
        <v>700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3.09</v>
      </c>
      <c r="C2" t="n">
        <v>13.55</v>
      </c>
      <c r="D2" t="n">
        <v>0.07000000000000001</v>
      </c>
      <c r="E2" t="n">
        <v>0</v>
      </c>
      <c r="F2" t="n">
        <v>4.35</v>
      </c>
      <c r="G2" t="n">
        <v>0</v>
      </c>
      <c r="H2" t="n">
        <v>1.79</v>
      </c>
    </row>
    <row r="3">
      <c r="A3" s="25" t="n">
        <v>36892</v>
      </c>
      <c r="B3" t="n">
        <v>3.09</v>
      </c>
      <c r="C3" t="n">
        <v>14.72</v>
      </c>
      <c r="D3" t="n">
        <v>0.07000000000000001</v>
      </c>
      <c r="E3" t="n">
        <v>0</v>
      </c>
      <c r="F3" t="n">
        <v>4.9</v>
      </c>
      <c r="G3" t="n">
        <v>0</v>
      </c>
      <c r="H3" t="n">
        <v>1.79</v>
      </c>
    </row>
    <row r="4">
      <c r="A4" s="25" t="n">
        <v>37257</v>
      </c>
      <c r="B4" t="n">
        <v>3.09</v>
      </c>
      <c r="C4" t="n">
        <v>16.07</v>
      </c>
      <c r="D4" t="n">
        <v>0.08</v>
      </c>
      <c r="E4" t="n">
        <v>0</v>
      </c>
      <c r="F4" t="n">
        <v>4.9</v>
      </c>
      <c r="G4" t="n">
        <v>0</v>
      </c>
      <c r="H4" t="n">
        <v>2.51</v>
      </c>
    </row>
    <row r="5">
      <c r="A5" s="25" t="n">
        <v>37622</v>
      </c>
      <c r="B5" t="n">
        <v>3.09</v>
      </c>
      <c r="C5" t="n">
        <v>17.43</v>
      </c>
      <c r="D5" t="n">
        <v>0.08</v>
      </c>
      <c r="E5" t="n">
        <v>0</v>
      </c>
      <c r="F5" t="n">
        <v>4.9</v>
      </c>
      <c r="G5" t="n">
        <v>0</v>
      </c>
      <c r="H5" t="n">
        <v>2.58</v>
      </c>
    </row>
    <row r="6">
      <c r="A6" s="25" t="n">
        <v>37987</v>
      </c>
      <c r="B6" t="n">
        <v>3.09</v>
      </c>
      <c r="C6" t="n">
        <v>17.43</v>
      </c>
      <c r="D6" t="n">
        <v>0.16</v>
      </c>
      <c r="E6" t="n">
        <v>0</v>
      </c>
      <c r="F6" t="n">
        <v>4.9</v>
      </c>
      <c r="G6" t="n">
        <v>0</v>
      </c>
      <c r="H6" t="n">
        <v>2.58</v>
      </c>
    </row>
    <row r="7">
      <c r="A7" s="25" t="n">
        <v>38353</v>
      </c>
      <c r="B7" t="n">
        <v>3.09</v>
      </c>
      <c r="C7" t="n">
        <v>18.1</v>
      </c>
      <c r="D7" t="n">
        <v>0.16</v>
      </c>
      <c r="E7" t="n">
        <v>0</v>
      </c>
      <c r="F7" t="n">
        <v>4.9</v>
      </c>
      <c r="G7" t="n">
        <v>0</v>
      </c>
      <c r="H7" t="n">
        <v>2.71</v>
      </c>
    </row>
    <row r="8">
      <c r="A8" s="25" t="n">
        <v>38718</v>
      </c>
      <c r="B8" t="n">
        <v>3.09</v>
      </c>
      <c r="C8" t="n">
        <v>19.9</v>
      </c>
      <c r="D8" t="n">
        <v>0.24</v>
      </c>
      <c r="E8" t="n">
        <v>0</v>
      </c>
      <c r="F8" t="n">
        <v>4.9</v>
      </c>
      <c r="G8" t="n">
        <v>0</v>
      </c>
      <c r="H8" t="n">
        <v>2.71</v>
      </c>
    </row>
    <row r="9">
      <c r="A9" s="25" t="n">
        <v>39083</v>
      </c>
      <c r="B9" t="n">
        <v>3.09</v>
      </c>
      <c r="C9" t="n">
        <v>20.92</v>
      </c>
      <c r="D9" t="n">
        <v>0.32</v>
      </c>
      <c r="E9" t="n">
        <v>0</v>
      </c>
      <c r="F9" t="n">
        <v>4.9</v>
      </c>
      <c r="G9" t="n">
        <v>0</v>
      </c>
      <c r="H9" t="n">
        <v>2.71</v>
      </c>
    </row>
    <row r="10">
      <c r="A10" s="25" t="n">
        <v>39448</v>
      </c>
      <c r="B10" t="n">
        <v>3.1</v>
      </c>
      <c r="C10" t="n">
        <v>23.25</v>
      </c>
      <c r="D10" t="n">
        <v>0.41</v>
      </c>
      <c r="E10" t="n">
        <v>0.01</v>
      </c>
      <c r="F10" t="n">
        <v>4.9</v>
      </c>
      <c r="G10" t="n">
        <v>0</v>
      </c>
      <c r="H10" t="n">
        <v>2.94</v>
      </c>
    </row>
    <row r="11">
      <c r="A11" s="25" t="n">
        <v>39814</v>
      </c>
      <c r="B11" t="n">
        <v>3.1</v>
      </c>
      <c r="C11" t="n">
        <v>24.52</v>
      </c>
      <c r="D11" t="n">
        <v>0.45</v>
      </c>
      <c r="E11" t="n">
        <v>0.03</v>
      </c>
      <c r="F11" t="n">
        <v>4.9</v>
      </c>
      <c r="G11" t="n">
        <v>0</v>
      </c>
      <c r="H11" t="n">
        <v>3.07</v>
      </c>
    </row>
    <row r="12">
      <c r="A12" s="25" t="n">
        <v>40179</v>
      </c>
      <c r="B12" t="n">
        <v>3.1</v>
      </c>
      <c r="C12" t="n">
        <v>29.01</v>
      </c>
      <c r="D12" t="n">
        <v>0.65</v>
      </c>
      <c r="E12" t="n">
        <v>0.09999999999999999</v>
      </c>
      <c r="F12" t="n">
        <v>4.9</v>
      </c>
      <c r="G12" t="n">
        <v>0</v>
      </c>
      <c r="H12" t="n">
        <v>3.13</v>
      </c>
    </row>
    <row r="13">
      <c r="A13" s="25" t="n">
        <v>40544</v>
      </c>
      <c r="B13" t="n">
        <v>3.1</v>
      </c>
      <c r="C13" t="n">
        <v>32.18</v>
      </c>
      <c r="D13" t="n">
        <v>0.7000000000000001</v>
      </c>
      <c r="E13" t="n">
        <v>0.24</v>
      </c>
      <c r="F13" t="n">
        <v>4.9</v>
      </c>
      <c r="G13" t="n">
        <v>0</v>
      </c>
      <c r="H13" t="n">
        <v>3.18</v>
      </c>
    </row>
    <row r="14">
      <c r="A14" s="25" t="n">
        <v>40909</v>
      </c>
      <c r="B14" t="n">
        <v>3.1</v>
      </c>
      <c r="C14" t="n">
        <v>33.86</v>
      </c>
      <c r="D14" t="n">
        <v>0.7200000000000001</v>
      </c>
      <c r="E14" t="n">
        <v>0.34</v>
      </c>
      <c r="F14" t="n">
        <v>4.9</v>
      </c>
      <c r="G14" t="n">
        <v>0</v>
      </c>
      <c r="H14" t="n">
        <v>3.61</v>
      </c>
    </row>
    <row r="15">
      <c r="A15" s="25" t="n">
        <v>41275</v>
      </c>
      <c r="B15" t="n">
        <v>3.1</v>
      </c>
      <c r="C15" t="n">
        <v>36.11</v>
      </c>
      <c r="D15" t="n">
        <v>0.7200000000000001</v>
      </c>
      <c r="E15" t="n">
        <v>0.52</v>
      </c>
      <c r="F15" t="n">
        <v>4.9</v>
      </c>
      <c r="G15" t="n">
        <v>0</v>
      </c>
      <c r="H15" t="n">
        <v>3.61</v>
      </c>
    </row>
    <row r="16">
      <c r="A16" s="25" t="n">
        <v>41640</v>
      </c>
      <c r="B16" t="n">
        <v>3.1</v>
      </c>
      <c r="C16" t="n">
        <v>39.06</v>
      </c>
      <c r="D16" t="n">
        <v>0.7200000000000001</v>
      </c>
      <c r="E16" t="n">
        <v>0.75</v>
      </c>
      <c r="F16" t="n">
        <v>4.9</v>
      </c>
      <c r="G16" t="n">
        <v>0</v>
      </c>
      <c r="H16" t="n">
        <v>3.61</v>
      </c>
    </row>
    <row r="17">
      <c r="A17" s="25" t="n">
        <v>42005</v>
      </c>
      <c r="B17" t="n">
        <v>3.1</v>
      </c>
      <c r="C17" t="n">
        <v>44.87</v>
      </c>
      <c r="D17" t="n">
        <v>1.04</v>
      </c>
      <c r="E17" t="n">
        <v>0.99</v>
      </c>
      <c r="F17" t="n">
        <v>4.9</v>
      </c>
      <c r="G17" t="n">
        <v>0</v>
      </c>
      <c r="H17" t="n">
        <v>4.26</v>
      </c>
    </row>
    <row r="18">
      <c r="A18" s="25" t="n">
        <v>42370</v>
      </c>
      <c r="B18" t="n">
        <v>3.1</v>
      </c>
      <c r="C18" t="n">
        <v>45.35</v>
      </c>
      <c r="D18" t="n">
        <v>1.12</v>
      </c>
      <c r="E18" t="n">
        <v>1.38</v>
      </c>
      <c r="F18" t="n">
        <v>4.9</v>
      </c>
      <c r="G18" t="n">
        <v>0</v>
      </c>
      <c r="H18" t="n">
        <v>4.57</v>
      </c>
    </row>
    <row r="19">
      <c r="A19" s="25" t="n">
        <v>42736</v>
      </c>
      <c r="B19" t="n">
        <v>3.1</v>
      </c>
      <c r="C19" t="n">
        <v>49.31</v>
      </c>
      <c r="D19" t="n">
        <v>1.14</v>
      </c>
      <c r="E19" t="n">
        <v>1.76</v>
      </c>
      <c r="F19" t="n">
        <v>4.9</v>
      </c>
      <c r="G19" t="n">
        <v>0</v>
      </c>
      <c r="H19" t="n">
        <v>4.77</v>
      </c>
    </row>
    <row r="20">
      <c r="A20" s="25" t="n">
        <v>43101</v>
      </c>
      <c r="B20" t="n">
        <v>3.13</v>
      </c>
      <c r="C20" t="n">
        <v>66.03</v>
      </c>
      <c r="D20" t="n">
        <v>1.61</v>
      </c>
      <c r="E20" t="n">
        <v>3.05</v>
      </c>
      <c r="F20" t="n">
        <v>4.9</v>
      </c>
      <c r="G20" t="n">
        <v>0</v>
      </c>
      <c r="H20" t="n">
        <v>4.77</v>
      </c>
    </row>
    <row r="21">
      <c r="A21" s="25" t="n">
        <v>43466</v>
      </c>
      <c r="B21" t="n">
        <v>3.13</v>
      </c>
      <c r="C21" t="n">
        <v>69.07000000000001</v>
      </c>
      <c r="D21" t="n">
        <v>1.7</v>
      </c>
      <c r="E21" t="n">
        <v>4.99</v>
      </c>
      <c r="F21" t="n">
        <v>4.9</v>
      </c>
      <c r="G21" t="n">
        <v>0</v>
      </c>
      <c r="H21" t="n">
        <v>4.78</v>
      </c>
    </row>
    <row r="22">
      <c r="A22" s="25" t="n">
        <v>43831</v>
      </c>
      <c r="B22" t="n">
        <v>3.13</v>
      </c>
      <c r="C22" t="n">
        <v>69.97</v>
      </c>
      <c r="D22" t="n">
        <v>2.1</v>
      </c>
      <c r="E22" t="n">
        <v>6.15</v>
      </c>
      <c r="F22" t="n">
        <v>4.9</v>
      </c>
      <c r="G22" t="n">
        <v>0</v>
      </c>
      <c r="H22" t="n">
        <v>4.78</v>
      </c>
    </row>
    <row r="23">
      <c r="A23" s="25" t="n">
        <v>44197</v>
      </c>
      <c r="B23" t="n">
        <v>3.12</v>
      </c>
      <c r="C23" t="n">
        <v>71.05</v>
      </c>
      <c r="D23" t="n">
        <v>2.46</v>
      </c>
      <c r="E23" t="n">
        <v>7.579999999999999</v>
      </c>
      <c r="F23" t="n">
        <v>4.9</v>
      </c>
      <c r="G23" t="n">
        <v>0</v>
      </c>
      <c r="H23" t="n">
        <v>5.29</v>
      </c>
    </row>
    <row r="24">
      <c r="A24" s="25" t="n">
        <v>44562</v>
      </c>
      <c r="B24" t="n">
        <v>3.12</v>
      </c>
      <c r="C24" t="n">
        <v>70.88</v>
      </c>
      <c r="D24" t="n">
        <v>2.57</v>
      </c>
      <c r="E24" t="n">
        <v>9.58</v>
      </c>
      <c r="F24" t="n">
        <v>4.32</v>
      </c>
      <c r="G24" t="n">
        <v>0</v>
      </c>
      <c r="H24" t="n">
        <v>5.29</v>
      </c>
    </row>
    <row r="25">
      <c r="A25" s="25" t="n">
        <v>44927</v>
      </c>
      <c r="B25" t="n">
        <v>3.12</v>
      </c>
      <c r="C25" t="n">
        <v>71.08</v>
      </c>
      <c r="D25" t="n">
        <v>3.02</v>
      </c>
      <c r="E25" t="n">
        <v>10.99</v>
      </c>
      <c r="F25" t="n">
        <v>4.32</v>
      </c>
      <c r="G25" t="n">
        <v>0</v>
      </c>
      <c r="H25" t="n">
        <v>5.31</v>
      </c>
    </row>
    <row r="26">
      <c r="A26" s="25" t="n">
        <v>45292</v>
      </c>
      <c r="B26" t="n">
        <v>3.12</v>
      </c>
      <c r="C26" t="n">
        <v>71.91</v>
      </c>
      <c r="D26" t="n">
        <v>3.34</v>
      </c>
      <c r="E26" t="n">
        <v>12.19</v>
      </c>
      <c r="F26" t="n">
        <v>4.32</v>
      </c>
      <c r="G26" t="n">
        <v>0</v>
      </c>
      <c r="H26" t="n">
        <v>5.32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9" t="inlineStr">
        <is>
          <t>Country</t>
        </is>
      </c>
      <c r="B1" s="9" t="inlineStr">
        <is>
          <t>Dataset</t>
        </is>
      </c>
      <c r="C1" s="9" t="inlineStr">
        <is>
          <t>Workbook</t>
        </is>
      </c>
      <c r="D1" s="9" t="inlineStr">
        <is>
          <t>Publisher</t>
        </is>
      </c>
      <c r="E1" s="9" t="inlineStr">
        <is>
          <t>Link</t>
        </is>
      </c>
      <c r="F1" s="9" t="inlineStr">
        <is>
          <t>Units and notes (from the source workbook)</t>
        </is>
      </c>
    </row>
    <row r="2">
      <c r="A2" t="inlineStr">
        <is>
          <t>Israel</t>
        </is>
      </c>
      <c r="B2" t="inlineStr">
        <is>
          <t>gas by field</t>
        </is>
      </c>
      <c r="C2" t="inlineStr">
        <is>
          <t>israel_gas_fields_quarterly.xlsx</t>
        </is>
      </c>
      <c r="D2" t="inlineStr">
        <is>
          <t>Field owners' reports: NewMed Energy (Leviathan), Tamar Petroleum (Tamar), Energean plc via investegate.co.uk (Karish) - gas sold, 100% of each field, quarterly</t>
        </is>
      </c>
      <c r="E2" t="inlineStr">
        <is>
          <t>https://newmedenergy.com/investor-relations/financial-reports/</t>
        </is>
      </c>
      <c r="F2" t="inlineStr">
        <is>
          <t>Notes UNITS BCM per quarter (billion cubic metres) of natural gas SOLD from each field, 100% (gross) of the field, as the owners report it. 'Bcf/d' columns = BCM x 35.3147 / days in the quarter. Sales differ slightly from production. FIELDS AND SOURCES 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 COVERAGE 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 CHECK Natural Gas Authority (gov.il) annual review: 2025 total 26.8 BCM (Leviathan 11, Tamar 10, Karish 5.8), exports 12.4 (Egypt 8.9, Jordan 3.5). Sum of the company figures for 2025: 10.9 + 10.05 + 5.6 = 26.6 BCM. SOURCE LINKS NewMed: https://newmedenergy.com/investor-relations/financial-reports/ | Tamar Petroleum: https://www.tamarpetroleum.co.il/ | Energean via https://www.investegate.co.uk/company/ENOG</t>
        </is>
      </c>
    </row>
    <row r="3">
      <c r="A3" t="inlineStr">
        <is>
          <t>Egypt</t>
        </is>
      </c>
      <c r="B3" t="inlineStr">
        <is>
          <t>grid load</t>
        </is>
      </c>
      <c r="C3" t="inlineStr">
        <is>
          <t>egypt_grid_load_daily.xlsx</t>
        </is>
      </c>
      <c r="D3" t="inlineStr">
        <is>
          <t>Ministry of Electricity and Renewable Energy (MOEE), Egypt: home-page 'Grid Loads' panel (no history at source; series from Oct 2026)</t>
        </is>
      </c>
      <c r="E3" t="inlineStr">
        <is>
          <t>http://www.moee.gov.eg/english_new/home.aspx</t>
        </is>
      </c>
      <c r="F3" t="inlineStr">
        <is>
          <t>Notes UNITS 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 DATES Rows are operating days. A page dated D gives day D-1's peak and minimum and day D's expected peak, so the latest row usually has an expected peak only. Page_date_peak / Page_date_expected record the page each value came from. HISTORY The page shows only the current day and keeps no archive, so this workbook IS the history: it starts on 10 Oct 2026 (first pull 11 Oct 2026) and a day the pull missed stays blank - nothing is filled or estimated. SOURCE Ministry of Electricity and Renewable Energy (MOEE), Egypt, home page 'Grid Loads' panel: http://www.moee.gov.eg/english_new/home.aspx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2026-10-11T23:25:46Z</dcterms:created>
  <dcterms:modified xsi:type="dcterms:W3CDTF">2026-10-11T23:25:53Z</dcterms:modified>
</cp:coreProperties>
</file>