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electricity use growth" sheetId="3" state="visible" r:id="rId3"/>
    <sheet name="Data" sheetId="4" state="visible" r:id="rId4"/>
    <sheet name="Jan-Feb" sheetId="5" state="visible" r:id="rId5"/>
    <sheet name="YTD" sheetId="6" state="visible" r:id="rId6"/>
    <sheet name="Releases" sheetId="7" state="visible" r:id="rId7"/>
    <sheet name="Series"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China electricity use by sector (NEA) (to Aug/26)</a:t>
            </a:r>
          </a:p>
        </rich>
      </tx>
      <overlay val="0"/>
    </title>
    <plotArea>
      <barChart>
        <barDir val="col"/>
        <grouping val="stacked"/>
        <ser>
          <idx val="0"/>
          <order val="0"/>
          <tx>
            <strRef>
              <f>'Chart'!B1</f>
            </strRef>
          </tx>
          <spPr>
            <a:solidFill>
              <a:srgbClr val="2A78D6"/>
            </a:solidFill>
            <a:ln>
              <a:noFill/>
              <a:prstDash val="solid"/>
            </a:ln>
          </spPr>
          <cat>
            <numRef>
              <f>'Chart'!$A$2:$A$54</f>
            </numRef>
          </cat>
          <val>
            <numRef>
              <f>'Chart'!$B$2:$B$54</f>
            </numRef>
          </val>
        </ser>
        <ser>
          <idx val="1"/>
          <order val="1"/>
          <tx>
            <strRef>
              <f>'Chart'!C1</f>
            </strRef>
          </tx>
          <spPr>
            <a:solidFill>
              <a:srgbClr val="EB6834"/>
            </a:solidFill>
            <a:ln>
              <a:noFill/>
              <a:prstDash val="solid"/>
            </a:ln>
          </spPr>
          <cat>
            <numRef>
              <f>'Chart'!$A$2:$A$54</f>
            </numRef>
          </cat>
          <val>
            <numRef>
              <f>'Chart'!$C$2:$C$54</f>
            </numRef>
          </val>
        </ser>
        <ser>
          <idx val="2"/>
          <order val="2"/>
          <tx>
            <strRef>
              <f>'Chart'!D1</f>
            </strRef>
          </tx>
          <spPr>
            <a:solidFill>
              <a:srgbClr val="1BAF7A"/>
            </a:solidFill>
            <a:ln>
              <a:noFill/>
              <a:prstDash val="solid"/>
            </a:ln>
          </spPr>
          <cat>
            <numRef>
              <f>'Chart'!$A$2:$A$54</f>
            </numRef>
          </cat>
          <val>
            <numRef>
              <f>'Chart'!$D$2:$D$54</f>
            </numRef>
          </val>
        </ser>
        <ser>
          <idx val="3"/>
          <order val="3"/>
          <tx>
            <strRef>
              <f>'Chart'!E1</f>
            </strRef>
          </tx>
          <spPr>
            <a:solidFill>
              <a:srgbClr val="EDA100"/>
            </a:solidFill>
            <a:ln>
              <a:noFill/>
              <a:prstDash val="solid"/>
            </a:ln>
          </spPr>
          <cat>
            <numRef>
              <f>'Chart'!$A$2:$A$54</f>
            </numRef>
          </cat>
          <val>
            <numRef>
              <f>'Chart'!$E$2:$E$54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China electricity use growth (NEA) (to Aug/26)</a:t>
            </a:r>
          </a:p>
        </rich>
      </tx>
      <overlay val="0"/>
    </title>
    <plotArea>
      <lineChart>
        <grouping val="standard"/>
        <ser>
          <idx val="0"/>
          <order val="0"/>
          <tx>
            <strRef>
              <f>'Chart - electricity use growth'!B1</f>
            </strRef>
          </tx>
          <spPr>
            <a:ln w="22225">
              <a:solidFill>
                <a:srgbClr val="2A78D6"/>
              </a:solidFill>
              <a:prstDash val="solid"/>
            </a:ln>
          </spPr>
          <marker>
            <symbol val="none"/>
            <spPr>
              <a:ln>
                <a:prstDash val="solid"/>
              </a:ln>
            </spPr>
          </marker>
          <cat>
            <numRef>
              <f>'Chart - electricity use growth'!$A$2:$A$54</f>
            </numRef>
          </cat>
          <val>
            <numRef>
              <f>'Chart - electricity use growth'!$B$2:$B$54</f>
            </numRef>
          </val>
          <smooth val="0"/>
        </ser>
        <ser>
          <idx val="1"/>
          <order val="1"/>
          <tx>
            <strRef>
              <f>'Chart - electricity use growth'!C1</f>
            </strRef>
          </tx>
          <spPr>
            <a:ln w="22225">
              <a:solidFill>
                <a:srgbClr val="EB6834"/>
              </a:solidFill>
              <a:prstDash val="solid"/>
            </a:ln>
          </spPr>
          <marker>
            <symbol val="none"/>
            <spPr>
              <a:ln>
                <a:prstDash val="solid"/>
              </a:ln>
            </spPr>
          </marker>
          <cat>
            <numRef>
              <f>'Chart - electricity use growth'!$A$2:$A$54</f>
            </numRef>
          </cat>
          <val>
            <numRef>
              <f>'Chart - electricity use growth'!$C$2:$C$54</f>
            </numRef>
          </val>
          <smooth val="0"/>
        </ser>
        <ser>
          <idx val="2"/>
          <order val="2"/>
          <tx>
            <strRef>
              <f>'Chart - electricity use growth'!D1</f>
            </strRef>
          </tx>
          <spPr>
            <a:ln w="22225">
              <a:solidFill>
                <a:srgbClr val="1BAF7A"/>
              </a:solidFill>
              <a:prstDash val="solid"/>
            </a:ln>
          </spPr>
          <marker>
            <symbol val="none"/>
            <spPr>
              <a:ln>
                <a:prstDash val="solid"/>
              </a:ln>
            </spPr>
          </marker>
          <cat>
            <numRef>
              <f>'Chart - electricity use growth'!$A$2:$A$54</f>
            </numRef>
          </cat>
          <val>
            <numRef>
              <f>'Chart - electricity use growth'!$D$2:$D$54</f>
            </numRef>
          </val>
          <smooth val="0"/>
        </ser>
        <ser>
          <idx val="3"/>
          <order val="3"/>
          <tx>
            <strRef>
              <f>'Chart - electricity use growth'!E1</f>
            </strRef>
          </tx>
          <spPr>
            <a:ln w="22225">
              <a:solidFill>
                <a:srgbClr val="EDA100"/>
              </a:solidFill>
              <a:prstDash val="solid"/>
            </a:ln>
          </spPr>
          <marker>
            <symbol val="none"/>
            <spPr>
              <a:ln>
                <a:prstDash val="solid"/>
              </a:ln>
            </spPr>
          </marker>
          <cat>
            <numRef>
              <f>'Chart - electricity use growth'!$A$2:$A$54</f>
            </numRef>
          </cat>
          <val>
            <numRef>
              <f>'Chart - electricity use growth'!$E$2:$E$54</f>
            </numRef>
          </val>
          <smooth val="0"/>
        </ser>
        <ser>
          <idx val="4"/>
          <order val="4"/>
          <tx>
            <strRef>
              <f>'Chart - electricity use growth'!F1</f>
            </strRef>
          </tx>
          <spPr>
            <a:ln w="22225">
              <a:solidFill>
                <a:srgbClr val="E87BA4"/>
              </a:solidFill>
              <a:prstDash val="solid"/>
            </a:ln>
          </spPr>
          <marker>
            <symbol val="none"/>
            <spPr>
              <a:ln>
                <a:prstDash val="solid"/>
              </a:ln>
            </spPr>
          </marker>
          <cat>
            <numRef>
              <f>'Chart - electricity use growth'!$A$2:$A$54</f>
            </numRef>
          </cat>
          <val>
            <numRef>
              <f>'Chart - electricity use growth'!$F$2:$F$54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t>
        </is>
      </c>
    </row>
    <row r="4"/>
    <row r="5">
      <c r="A5" s="1" t="inlineStr">
        <is>
          <t>SOURCE</t>
        </is>
      </c>
    </row>
    <row r="6">
      <c r="A6" t="inlineStr">
        <is>
          <t>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t>
        </is>
      </c>
    </row>
    <row r="7"/>
    <row r="8">
      <c r="A8" s="1" t="inlineStr">
        <is>
          <t>UPDATES</t>
        </is>
      </c>
    </row>
    <row r="9">
      <c r="A9" t="inlineStr">
        <is>
          <t>Incremental: releases already read are not fetched again, except the latest two. The list page is script-rendered; the pull reads the ds_*.json files behind it (asia/nea_common.py).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3" t="n">
        <v>44228</v>
      </c>
      <c r="B2" t="n">
        <v>6.5</v>
      </c>
      <c r="C2" t="n">
        <v>321.8</v>
      </c>
      <c r="D2" t="n">
        <v>100.4</v>
      </c>
      <c r="E2" t="n">
        <v>97.7</v>
      </c>
    </row>
    <row r="3">
      <c r="A3" s="3" t="n">
        <v>44256</v>
      </c>
      <c r="B3" t="n">
        <v>6.8</v>
      </c>
      <c r="C3" t="n">
        <v>461.5</v>
      </c>
      <c r="D3" t="n">
        <v>101.8</v>
      </c>
      <c r="E3" t="n">
        <v>93</v>
      </c>
    </row>
    <row r="4">
      <c r="A4" s="3" t="n">
        <v>44287</v>
      </c>
      <c r="B4" t="n">
        <v>7.2</v>
      </c>
      <c r="C4" t="n">
        <v>445.1</v>
      </c>
      <c r="D4" t="n">
        <v>104.6</v>
      </c>
      <c r="E4" t="n">
        <v>79.2</v>
      </c>
    </row>
    <row r="5">
      <c r="A5" s="3" t="n">
        <v>44317</v>
      </c>
      <c r="B5" t="n">
        <v>7.9</v>
      </c>
      <c r="C5" t="n">
        <v>470.5</v>
      </c>
      <c r="D5" t="n">
        <v>110.4</v>
      </c>
      <c r="E5" t="n">
        <v>83.59999999999999</v>
      </c>
    </row>
    <row r="6">
      <c r="A6" s="3" t="n">
        <v>44348</v>
      </c>
      <c r="B6" t="n">
        <v>8.800000000000001</v>
      </c>
      <c r="C6" t="n">
        <v>483.2</v>
      </c>
      <c r="D6" t="n">
        <v>122.6</v>
      </c>
      <c r="E6" t="n">
        <v>88.7</v>
      </c>
    </row>
    <row r="7">
      <c r="A7" s="3" t="n">
        <v>44378</v>
      </c>
      <c r="B7" t="n">
        <v>10.2</v>
      </c>
      <c r="C7" t="n">
        <v>506.8</v>
      </c>
      <c r="D7" t="n">
        <v>142.2</v>
      </c>
      <c r="E7" t="n">
        <v>116.6</v>
      </c>
    </row>
    <row r="8">
      <c r="A8" s="3" t="n">
        <v>44409</v>
      </c>
      <c r="B8" t="n">
        <v>10.7</v>
      </c>
      <c r="C8" t="n">
        <v>485.1</v>
      </c>
      <c r="D8" t="n">
        <v>140</v>
      </c>
      <c r="E8" t="n">
        <v>124.9</v>
      </c>
    </row>
    <row r="9">
      <c r="A9" s="3" t="n">
        <v>44440</v>
      </c>
      <c r="B9" t="n">
        <v>9.699999999999999</v>
      </c>
      <c r="C9" t="n">
        <v>445.1</v>
      </c>
      <c r="D9" t="n">
        <v>129.2</v>
      </c>
      <c r="E9" t="n">
        <v>110.7</v>
      </c>
    </row>
    <row r="10">
      <c r="A10" s="3" t="n">
        <v>44470</v>
      </c>
      <c r="B10" t="n">
        <v>8.300000000000001</v>
      </c>
      <c r="C10" t="n">
        <v>451.1</v>
      </c>
      <c r="D10" t="n">
        <v>112.3</v>
      </c>
      <c r="E10" t="n">
        <v>88.59999999999999</v>
      </c>
    </row>
    <row r="11">
      <c r="A11" s="3" t="n">
        <v>44501</v>
      </c>
      <c r="B11" t="n">
        <v>7.8</v>
      </c>
      <c r="C11" t="n">
        <v>476.5</v>
      </c>
      <c r="D11" t="n">
        <v>105.8</v>
      </c>
      <c r="E11" t="n">
        <v>81.7</v>
      </c>
    </row>
    <row r="12">
      <c r="A12" s="3" t="n">
        <v>44593</v>
      </c>
      <c r="B12" t="n">
        <v>7.7</v>
      </c>
      <c r="C12" t="n">
        <v>375.6</v>
      </c>
      <c r="D12" t="n">
        <v>118.2</v>
      </c>
      <c r="E12" t="n">
        <v>122</v>
      </c>
    </row>
    <row r="13">
      <c r="A13" s="3" t="n">
        <v>44621</v>
      </c>
      <c r="B13" t="n">
        <v>7.8</v>
      </c>
      <c r="C13" t="n">
        <v>479</v>
      </c>
      <c r="D13" t="n">
        <v>106.3</v>
      </c>
      <c r="E13" t="n">
        <v>101.3</v>
      </c>
    </row>
    <row r="14">
      <c r="A14" s="3" t="n">
        <v>44652</v>
      </c>
      <c r="B14" t="n">
        <v>7.8</v>
      </c>
      <c r="C14" t="n">
        <v>446.8</v>
      </c>
      <c r="D14" t="n">
        <v>97.90000000000001</v>
      </c>
      <c r="E14" t="n">
        <v>83.7</v>
      </c>
    </row>
    <row r="15">
      <c r="A15" s="3" t="n">
        <v>44682</v>
      </c>
      <c r="B15" t="n">
        <v>8.800000000000001</v>
      </c>
      <c r="C15" t="n">
        <v>475.4</v>
      </c>
      <c r="D15" t="n">
        <v>105.7</v>
      </c>
      <c r="E15" t="n">
        <v>81.7</v>
      </c>
    </row>
    <row r="16">
      <c r="A16" s="3" t="n">
        <v>44713</v>
      </c>
      <c r="B16" t="n">
        <v>10.5</v>
      </c>
      <c r="C16" t="n">
        <v>494.9</v>
      </c>
      <c r="D16" t="n">
        <v>135.1</v>
      </c>
      <c r="E16" t="n">
        <v>104.6</v>
      </c>
    </row>
    <row r="17">
      <c r="A17" s="3" t="n">
        <v>44743</v>
      </c>
      <c r="B17" t="n">
        <v>12.1</v>
      </c>
      <c r="C17" t="n">
        <v>513.2</v>
      </c>
      <c r="D17" t="n">
        <v>159.1</v>
      </c>
      <c r="E17" t="n">
        <v>148</v>
      </c>
    </row>
    <row r="18">
      <c r="A18" s="3" t="n">
        <v>44774</v>
      </c>
      <c r="B18" t="n">
        <v>13.2</v>
      </c>
      <c r="C18" t="n">
        <v>510.7</v>
      </c>
      <c r="D18" t="n">
        <v>161.2</v>
      </c>
      <c r="E18" t="n">
        <v>166.9</v>
      </c>
    </row>
    <row r="19">
      <c r="A19" s="3" t="n">
        <v>44805</v>
      </c>
      <c r="B19" t="n">
        <v>10.5</v>
      </c>
      <c r="C19" t="n">
        <v>467.6</v>
      </c>
      <c r="D19" t="n">
        <v>123.4</v>
      </c>
      <c r="E19" t="n">
        <v>107.7</v>
      </c>
    </row>
    <row r="20">
      <c r="A20" s="3" t="n">
        <v>44835</v>
      </c>
      <c r="B20" t="n">
        <v>9</v>
      </c>
      <c r="C20" t="n">
        <v>472.6</v>
      </c>
      <c r="D20" t="n">
        <v>110.2</v>
      </c>
      <c r="E20" t="n">
        <v>91.59999999999999</v>
      </c>
    </row>
    <row r="21">
      <c r="A21" s="3" t="n">
        <v>44866</v>
      </c>
      <c r="B21" t="n">
        <v>8.800000000000001</v>
      </c>
      <c r="C21" t="n">
        <v>478.9</v>
      </c>
      <c r="D21" t="n">
        <v>109.7</v>
      </c>
      <c r="E21" t="n">
        <v>85.40000000000001</v>
      </c>
    </row>
    <row r="22">
      <c r="A22" s="3" t="n">
        <v>44958</v>
      </c>
      <c r="B22" t="n">
        <v>8.4</v>
      </c>
      <c r="C22" t="n">
        <v>452.3</v>
      </c>
      <c r="D22" t="n">
        <v>123.5</v>
      </c>
      <c r="E22" t="n">
        <v>110.8</v>
      </c>
    </row>
    <row r="23">
      <c r="A23" s="3" t="n">
        <v>44986</v>
      </c>
      <c r="B23" t="n">
        <v>9.199999999999999</v>
      </c>
      <c r="C23" t="n">
        <v>511</v>
      </c>
      <c r="D23" t="n">
        <v>121.2</v>
      </c>
      <c r="E23" t="n">
        <v>95.5</v>
      </c>
    </row>
    <row r="24">
      <c r="A24" s="3" t="n">
        <v>45017</v>
      </c>
      <c r="B24" t="n">
        <v>8.800000000000001</v>
      </c>
      <c r="C24" t="n">
        <v>481.4</v>
      </c>
      <c r="D24" t="n">
        <v>115.5</v>
      </c>
      <c r="E24" t="n">
        <v>84.40000000000001</v>
      </c>
    </row>
    <row r="25">
      <c r="A25" s="3" t="n">
        <v>45078</v>
      </c>
      <c r="B25" t="n">
        <v>12.2</v>
      </c>
      <c r="C25" t="n">
        <v>502.7</v>
      </c>
      <c r="D25" t="n">
        <v>149.4</v>
      </c>
      <c r="E25" t="n">
        <v>110.8</v>
      </c>
    </row>
    <row r="26">
      <c r="A26" s="3" t="n">
        <v>45108</v>
      </c>
      <c r="B26" t="n">
        <v>13.9</v>
      </c>
      <c r="C26" t="n">
        <v>538.3</v>
      </c>
      <c r="D26" t="n">
        <v>173.5</v>
      </c>
      <c r="E26" t="n">
        <v>163.1</v>
      </c>
    </row>
    <row r="27">
      <c r="A27" s="3" t="n">
        <v>45139</v>
      </c>
      <c r="B27" t="n">
        <v>14.2</v>
      </c>
      <c r="C27" t="n">
        <v>545.8</v>
      </c>
      <c r="D27" t="n">
        <v>171.1</v>
      </c>
      <c r="E27" t="n">
        <v>155</v>
      </c>
    </row>
    <row r="28">
      <c r="A28" s="3" t="n">
        <v>45170</v>
      </c>
      <c r="B28" t="n">
        <v>11.7</v>
      </c>
      <c r="C28" t="n">
        <v>519.2</v>
      </c>
      <c r="D28" t="n">
        <v>146.7</v>
      </c>
      <c r="E28" t="n">
        <v>103.5</v>
      </c>
    </row>
    <row r="29">
      <c r="A29" s="3" t="n">
        <v>45200</v>
      </c>
      <c r="B29" t="n">
        <v>10.1</v>
      </c>
      <c r="C29" t="n">
        <v>519.4</v>
      </c>
      <c r="D29" t="n">
        <v>126.2</v>
      </c>
      <c r="E29" t="n">
        <v>86.2</v>
      </c>
    </row>
    <row r="30">
      <c r="A30" s="3" t="n">
        <v>45231</v>
      </c>
      <c r="B30" t="n">
        <v>9.6</v>
      </c>
      <c r="C30" t="n">
        <v>527.7</v>
      </c>
      <c r="D30" t="n">
        <v>132.1</v>
      </c>
      <c r="E30" t="n">
        <v>93.59999999999999</v>
      </c>
    </row>
    <row r="31">
      <c r="A31" s="3" t="n">
        <v>45352</v>
      </c>
      <c r="B31" t="n">
        <v>9.6</v>
      </c>
      <c r="C31" t="n">
        <v>542.1</v>
      </c>
      <c r="D31" t="n">
        <v>136.5</v>
      </c>
      <c r="E31" t="n">
        <v>106</v>
      </c>
    </row>
    <row r="32">
      <c r="A32" s="3" t="n">
        <v>45383</v>
      </c>
      <c r="B32" t="n">
        <v>9.6</v>
      </c>
      <c r="C32" t="n">
        <v>517.1</v>
      </c>
      <c r="D32" t="n">
        <v>127</v>
      </c>
      <c r="E32" t="n">
        <v>87.5</v>
      </c>
    </row>
    <row r="33">
      <c r="A33" s="3" t="n">
        <v>45413</v>
      </c>
      <c r="B33" t="n">
        <v>11</v>
      </c>
      <c r="C33" t="n">
        <v>530.4</v>
      </c>
      <c r="D33" t="n">
        <v>141.3</v>
      </c>
      <c r="E33" t="n">
        <v>92.40000000000001</v>
      </c>
    </row>
    <row r="34">
      <c r="A34" s="3" t="n">
        <v>45444</v>
      </c>
      <c r="B34" t="n">
        <v>12.8</v>
      </c>
      <c r="C34" t="n">
        <v>530.4</v>
      </c>
      <c r="D34" t="n">
        <v>160.7</v>
      </c>
      <c r="E34" t="n">
        <v>116.6</v>
      </c>
    </row>
    <row r="35">
      <c r="A35" s="3" t="n">
        <v>45474</v>
      </c>
      <c r="B35" t="n">
        <v>14.2</v>
      </c>
      <c r="C35" t="n">
        <v>565.6</v>
      </c>
      <c r="D35" t="n">
        <v>187.1</v>
      </c>
      <c r="E35" t="n">
        <v>172.7</v>
      </c>
    </row>
    <row r="36">
      <c r="A36" s="3" t="n">
        <v>45505</v>
      </c>
      <c r="B36" t="n">
        <v>14.9</v>
      </c>
      <c r="C36" t="n">
        <v>567.9</v>
      </c>
      <c r="D36" t="n">
        <v>190.3</v>
      </c>
      <c r="E36" t="n">
        <v>191.8</v>
      </c>
    </row>
    <row r="37">
      <c r="A37" s="3" t="n">
        <v>45536</v>
      </c>
      <c r="B37" t="n">
        <v>12.1</v>
      </c>
      <c r="C37" t="n">
        <v>537.9</v>
      </c>
      <c r="D37" t="n">
        <v>165.2</v>
      </c>
      <c r="E37" t="n">
        <v>132.3</v>
      </c>
    </row>
    <row r="38">
      <c r="A38" s="3" t="n">
        <v>45566</v>
      </c>
      <c r="B38" t="n">
        <v>10.6</v>
      </c>
      <c r="C38" t="n">
        <v>533.7</v>
      </c>
      <c r="D38" t="n">
        <v>136.7</v>
      </c>
      <c r="E38" t="n">
        <v>93.2</v>
      </c>
    </row>
    <row r="39">
      <c r="A39" s="3" t="n">
        <v>45597</v>
      </c>
      <c r="B39" t="n">
        <v>10.4</v>
      </c>
      <c r="C39" t="n">
        <v>539.9</v>
      </c>
      <c r="D39" t="n">
        <v>138.3</v>
      </c>
      <c r="E39" t="n">
        <v>96.3</v>
      </c>
    </row>
    <row r="40">
      <c r="A40" s="3" t="n">
        <v>45689</v>
      </c>
      <c r="B40" t="n">
        <v>9.800000000000001</v>
      </c>
      <c r="C40" t="n">
        <v>462.4</v>
      </c>
      <c r="D40" t="n">
        <v>142</v>
      </c>
      <c r="E40" t="n">
        <v>129.2</v>
      </c>
    </row>
    <row r="41">
      <c r="A41" s="3" t="n">
        <v>45717</v>
      </c>
      <c r="B41" t="n">
        <v>10.6</v>
      </c>
      <c r="C41" t="n">
        <v>557.8</v>
      </c>
      <c r="D41" t="n">
        <v>148.4</v>
      </c>
      <c r="E41" t="n">
        <v>111.4</v>
      </c>
    </row>
    <row r="42">
      <c r="A42" s="3" t="n">
        <v>45748</v>
      </c>
      <c r="B42" t="n">
        <v>11</v>
      </c>
      <c r="C42" t="n">
        <v>528.5</v>
      </c>
      <c r="D42" t="n">
        <v>139</v>
      </c>
      <c r="E42" t="n">
        <v>93.59999999999999</v>
      </c>
    </row>
    <row r="43">
      <c r="A43" s="3" t="n">
        <v>45778</v>
      </c>
      <c r="B43" t="n">
        <v>11.9</v>
      </c>
      <c r="C43" t="n">
        <v>541.4</v>
      </c>
      <c r="D43" t="n">
        <v>155</v>
      </c>
      <c r="E43" t="n">
        <v>101.3</v>
      </c>
    </row>
    <row r="44">
      <c r="A44" s="3" t="n">
        <v>45809</v>
      </c>
      <c r="B44" t="n">
        <v>13.3</v>
      </c>
      <c r="C44" t="n">
        <v>548.8</v>
      </c>
      <c r="D44" t="n">
        <v>175.8</v>
      </c>
      <c r="E44" t="n">
        <v>129.1</v>
      </c>
    </row>
    <row r="45">
      <c r="A45" s="3" t="n">
        <v>45839</v>
      </c>
      <c r="B45" t="n">
        <v>17</v>
      </c>
      <c r="C45" t="n">
        <v>593.6</v>
      </c>
      <c r="D45" t="n">
        <v>208.1</v>
      </c>
      <c r="E45" t="n">
        <v>203.9</v>
      </c>
    </row>
    <row r="46">
      <c r="A46" s="3" t="n">
        <v>45870</v>
      </c>
      <c r="B46" t="n">
        <v>16.4</v>
      </c>
      <c r="C46" t="n">
        <v>598.1</v>
      </c>
      <c r="D46" t="n">
        <v>204.6</v>
      </c>
      <c r="E46" t="n">
        <v>196.3</v>
      </c>
    </row>
    <row r="47">
      <c r="A47" s="3" t="n">
        <v>45901</v>
      </c>
      <c r="B47" t="n">
        <v>12.9</v>
      </c>
      <c r="C47" t="n">
        <v>570.5</v>
      </c>
      <c r="D47" t="n">
        <v>176.5</v>
      </c>
      <c r="E47" t="n">
        <v>128.7</v>
      </c>
    </row>
    <row r="48">
      <c r="A48" s="3" t="n">
        <v>45931</v>
      </c>
      <c r="B48" t="n">
        <v>12</v>
      </c>
      <c r="C48" t="n">
        <v>568.8</v>
      </c>
      <c r="D48" t="n">
        <v>160.9</v>
      </c>
      <c r="E48" t="n">
        <v>115.5</v>
      </c>
    </row>
    <row r="49">
      <c r="A49" s="3" t="n">
        <v>45962</v>
      </c>
      <c r="B49" t="n">
        <v>11.3</v>
      </c>
      <c r="C49" t="n">
        <v>565.4</v>
      </c>
      <c r="D49" t="n">
        <v>153.2</v>
      </c>
      <c r="E49" t="n">
        <v>105.7</v>
      </c>
    </row>
    <row r="50">
      <c r="A50" s="3" t="n">
        <v>46082</v>
      </c>
      <c r="B50" t="n">
        <v>11.3</v>
      </c>
      <c r="C50" t="n">
        <v>570.8</v>
      </c>
      <c r="D50" t="n">
        <v>160.1</v>
      </c>
      <c r="E50" t="n">
        <v>117.2</v>
      </c>
    </row>
    <row r="51">
      <c r="A51" s="3" t="n">
        <v>46113</v>
      </c>
      <c r="B51" t="n">
        <v>11.2</v>
      </c>
      <c r="C51" t="n">
        <v>558.4</v>
      </c>
      <c r="D51" t="n">
        <v>151.7</v>
      </c>
      <c r="E51" t="n">
        <v>99.2</v>
      </c>
    </row>
    <row r="52">
      <c r="A52" s="3" t="n">
        <v>46174</v>
      </c>
      <c r="B52" t="n">
        <v>13.6</v>
      </c>
      <c r="C52" t="n">
        <v>573.4</v>
      </c>
      <c r="D52" t="n">
        <v>186</v>
      </c>
      <c r="E52" t="n">
        <v>125.1</v>
      </c>
    </row>
    <row r="53">
      <c r="A53" s="3" t="n">
        <v>46204</v>
      </c>
      <c r="B53" t="n">
        <v>16.7</v>
      </c>
      <c r="C53" t="n">
        <v>611.6</v>
      </c>
      <c r="D53" t="n">
        <v>218.3</v>
      </c>
      <c r="E53" t="n">
        <v>193.5</v>
      </c>
    </row>
    <row r="54">
      <c r="A54" s="3" t="n">
        <v>46235</v>
      </c>
      <c r="B54" t="n">
        <v>16.9</v>
      </c>
      <c r="C54" t="n">
        <v>612.4</v>
      </c>
      <c r="D54" t="n">
        <v>215.5</v>
      </c>
      <c r="E54" t="n">
        <v>188.3</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3" t="n">
        <v>44228</v>
      </c>
      <c r="B2" t="n">
        <v>18.5</v>
      </c>
      <c r="C2" t="n">
        <v>26.4</v>
      </c>
      <c r="D2" t="n">
        <v>22.5</v>
      </c>
      <c r="E2" t="n">
        <v>24.7</v>
      </c>
      <c r="F2" t="n">
        <v>2.1</v>
      </c>
    </row>
    <row r="3">
      <c r="A3" s="3" t="n">
        <v>44256</v>
      </c>
      <c r="B3" t="n">
        <v>19.4</v>
      </c>
      <c r="C3" t="n">
        <v>26.5</v>
      </c>
      <c r="D3" t="n">
        <v>21.2</v>
      </c>
      <c r="E3" t="n">
        <v>42.9</v>
      </c>
      <c r="F3" t="n">
        <v>-5.3</v>
      </c>
    </row>
    <row r="4">
      <c r="A4" s="3" t="n">
        <v>44287</v>
      </c>
      <c r="B4" t="n">
        <v>13.2</v>
      </c>
      <c r="C4" t="n">
        <v>16.4</v>
      </c>
      <c r="D4" t="n">
        <v>12.3</v>
      </c>
      <c r="E4" t="n">
        <v>31.3</v>
      </c>
      <c r="F4" t="n">
        <v>-0.9</v>
      </c>
    </row>
    <row r="5">
      <c r="A5" s="3" t="n">
        <v>44317</v>
      </c>
      <c r="B5" t="n">
        <v>12.5</v>
      </c>
      <c r="C5" t="n">
        <v>13.9</v>
      </c>
      <c r="D5" t="n">
        <v>11.5</v>
      </c>
      <c r="E5" t="n">
        <v>23.4</v>
      </c>
      <c r="F5" t="n">
        <v>5.6</v>
      </c>
    </row>
    <row r="6">
      <c r="A6" s="3" t="n">
        <v>44348</v>
      </c>
      <c r="B6" t="n">
        <v>9.800000000000001</v>
      </c>
      <c r="C6" t="n">
        <v>16.3</v>
      </c>
      <c r="D6" t="n">
        <v>8.5</v>
      </c>
      <c r="E6" t="n">
        <v>17.5</v>
      </c>
      <c r="F6" t="n">
        <v>6.8</v>
      </c>
    </row>
    <row r="7">
      <c r="A7" s="3" t="n">
        <v>44378</v>
      </c>
      <c r="B7" t="n">
        <v>12.8</v>
      </c>
      <c r="C7" t="n">
        <v>20</v>
      </c>
      <c r="D7" t="n">
        <v>9.300000000000001</v>
      </c>
      <c r="E7" t="n">
        <v>21.6</v>
      </c>
      <c r="F7" t="n">
        <v>18.3</v>
      </c>
    </row>
    <row r="8">
      <c r="A8" s="3" t="n">
        <v>44409</v>
      </c>
      <c r="B8" t="n">
        <v>3.6</v>
      </c>
      <c r="C8" t="n">
        <v>13.7</v>
      </c>
      <c r="D8" t="n">
        <v>0.6</v>
      </c>
      <c r="E8" t="n">
        <v>6.2</v>
      </c>
      <c r="F8" t="n">
        <v>12.5</v>
      </c>
    </row>
    <row r="9">
      <c r="A9" s="3" t="n">
        <v>44440</v>
      </c>
      <c r="B9" t="n">
        <v>6.8</v>
      </c>
      <c r="C9" t="n">
        <v>14.9</v>
      </c>
      <c r="D9" t="n">
        <v>6</v>
      </c>
      <c r="E9" t="n">
        <v>12.1</v>
      </c>
      <c r="F9" t="n">
        <v>3.7</v>
      </c>
    </row>
    <row r="10">
      <c r="A10" s="3" t="n">
        <v>44470</v>
      </c>
      <c r="B10" t="n">
        <v>6.1</v>
      </c>
      <c r="C10" t="n">
        <v>14.7</v>
      </c>
      <c r="D10" t="n">
        <v>3.2</v>
      </c>
      <c r="E10" t="n">
        <v>14.3</v>
      </c>
      <c r="F10" t="n">
        <v>11.1</v>
      </c>
    </row>
    <row r="11">
      <c r="A11" s="3" t="n">
        <v>44501</v>
      </c>
      <c r="B11" t="n">
        <v>3.1</v>
      </c>
      <c r="C11" t="n">
        <v>14</v>
      </c>
      <c r="D11" t="n">
        <v>0.8</v>
      </c>
      <c r="E11" t="n">
        <v>8.699999999999999</v>
      </c>
      <c r="F11" t="n">
        <v>9.5</v>
      </c>
    </row>
    <row r="12">
      <c r="A12" s="3" t="n">
        <v>44593</v>
      </c>
      <c r="B12" t="n">
        <v>16.9</v>
      </c>
      <c r="C12" t="n">
        <v>15.4</v>
      </c>
      <c r="D12" t="n">
        <v>14.5</v>
      </c>
      <c r="E12" t="n">
        <v>17.4</v>
      </c>
      <c r="F12" t="n">
        <v>24.8</v>
      </c>
    </row>
    <row r="13">
      <c r="A13" s="3" t="n">
        <v>44621</v>
      </c>
      <c r="B13" t="n">
        <v>3.5</v>
      </c>
      <c r="C13" t="n">
        <v>12.3</v>
      </c>
      <c r="D13" t="n">
        <v>2.3</v>
      </c>
      <c r="E13" t="n">
        <v>4</v>
      </c>
      <c r="F13" t="n">
        <v>8.800000000000001</v>
      </c>
    </row>
    <row r="14">
      <c r="A14" s="3" t="n">
        <v>44652</v>
      </c>
      <c r="B14" t="n">
        <v>-1.3</v>
      </c>
      <c r="C14" t="n">
        <v>5.5</v>
      </c>
      <c r="D14" t="n">
        <v>-1.4</v>
      </c>
      <c r="E14" t="n">
        <v>-6.8</v>
      </c>
      <c r="F14" t="n">
        <v>5.5</v>
      </c>
    </row>
    <row r="15">
      <c r="A15" s="3" t="n">
        <v>44682</v>
      </c>
      <c r="B15" t="n">
        <v>-1.3</v>
      </c>
      <c r="C15" t="n">
        <v>6.3</v>
      </c>
      <c r="D15" t="n">
        <v>-0.5</v>
      </c>
      <c r="E15" t="n">
        <v>-4.4</v>
      </c>
      <c r="F15" t="n">
        <v>-2.4</v>
      </c>
    </row>
    <row r="16">
      <c r="A16" s="3" t="n">
        <v>44713</v>
      </c>
      <c r="B16" t="n">
        <v>4.7</v>
      </c>
      <c r="C16" t="n">
        <v>12.4</v>
      </c>
      <c r="D16" t="n">
        <v>0.8</v>
      </c>
      <c r="E16" t="n">
        <v>10.1</v>
      </c>
      <c r="F16" t="n">
        <v>17.7</v>
      </c>
    </row>
    <row r="17">
      <c r="A17" s="3" t="n">
        <v>44743</v>
      </c>
      <c r="B17" t="n">
        <v>6.3</v>
      </c>
      <c r="C17" t="n">
        <v>14.3</v>
      </c>
      <c r="D17" t="n">
        <v>-0.1</v>
      </c>
      <c r="E17" t="n">
        <v>11.5</v>
      </c>
      <c r="F17" t="n">
        <v>26.8</v>
      </c>
    </row>
    <row r="18">
      <c r="A18" s="3" t="n">
        <v>44774</v>
      </c>
      <c r="B18" t="n">
        <v>10.7</v>
      </c>
      <c r="C18" t="n">
        <v>14.5</v>
      </c>
      <c r="D18" t="n">
        <v>3.6</v>
      </c>
      <c r="E18" t="n">
        <v>15</v>
      </c>
      <c r="F18" t="n">
        <v>33.5</v>
      </c>
    </row>
    <row r="19">
      <c r="A19" s="3" t="n">
        <v>44805</v>
      </c>
      <c r="B19" t="n">
        <v>0.9</v>
      </c>
      <c r="C19" t="n">
        <v>4.1</v>
      </c>
      <c r="D19" t="n">
        <v>3.3</v>
      </c>
      <c r="E19" t="n">
        <v>-4.6</v>
      </c>
      <c r="F19" t="n">
        <v>-2.8</v>
      </c>
    </row>
    <row r="20">
      <c r="A20" s="3" t="n">
        <v>44835</v>
      </c>
      <c r="B20" t="n">
        <v>2.2</v>
      </c>
      <c r="C20" t="n">
        <v>6.5</v>
      </c>
      <c r="D20" t="n">
        <v>3</v>
      </c>
      <c r="E20" t="n">
        <v>-2</v>
      </c>
      <c r="F20" t="n">
        <v>3.3</v>
      </c>
    </row>
    <row r="21">
      <c r="A21" s="3" t="n">
        <v>44866</v>
      </c>
      <c r="B21" t="n">
        <v>0.4</v>
      </c>
    </row>
    <row r="22">
      <c r="A22" s="3" t="n">
        <v>44958</v>
      </c>
      <c r="B22" t="n">
        <v>11</v>
      </c>
      <c r="C22" t="n">
        <v>8.6</v>
      </c>
      <c r="D22" t="n">
        <v>19.7</v>
      </c>
      <c r="E22" t="n">
        <v>4.4</v>
      </c>
      <c r="F22" t="n">
        <v>-9.199999999999999</v>
      </c>
    </row>
    <row r="23">
      <c r="A23" s="3" t="n">
        <v>44986</v>
      </c>
      <c r="B23" t="n">
        <v>5.9</v>
      </c>
      <c r="C23" t="n">
        <v>17.1</v>
      </c>
      <c r="D23" t="n">
        <v>6.4</v>
      </c>
      <c r="E23" t="n">
        <v>14</v>
      </c>
      <c r="F23" t="n">
        <v>-5.7</v>
      </c>
    </row>
    <row r="24">
      <c r="A24" s="3" t="n">
        <v>45017</v>
      </c>
      <c r="B24" t="n">
        <v>8.300000000000001</v>
      </c>
      <c r="C24" t="n">
        <v>12.3</v>
      </c>
      <c r="D24" t="n">
        <v>7.6</v>
      </c>
      <c r="E24" t="n">
        <v>17.9</v>
      </c>
      <c r="F24" t="n">
        <v>0.9</v>
      </c>
    </row>
    <row r="25">
      <c r="A25" s="3" t="n">
        <v>45078</v>
      </c>
      <c r="B25" t="n">
        <v>3.9</v>
      </c>
      <c r="C25" t="n">
        <v>14</v>
      </c>
      <c r="D25" t="n">
        <v>2.3</v>
      </c>
      <c r="E25" t="n">
        <v>10.1</v>
      </c>
      <c r="F25" t="n">
        <v>2.2</v>
      </c>
    </row>
    <row r="26">
      <c r="A26" s="3" t="n">
        <v>45108</v>
      </c>
      <c r="B26" t="n">
        <v>6.5</v>
      </c>
      <c r="C26" t="n">
        <v>14</v>
      </c>
      <c r="D26" t="n">
        <v>5.7</v>
      </c>
      <c r="E26" t="n">
        <v>9.6</v>
      </c>
      <c r="F26" t="n">
        <v>5.1</v>
      </c>
    </row>
    <row r="27">
      <c r="A27" s="3" t="n">
        <v>45139</v>
      </c>
      <c r="B27" t="n">
        <v>3.9</v>
      </c>
      <c r="C27" t="n">
        <v>8.6</v>
      </c>
      <c r="D27" t="n">
        <v>7.6</v>
      </c>
      <c r="E27" t="n">
        <v>6.6</v>
      </c>
      <c r="F27" t="n">
        <v>-9.9</v>
      </c>
    </row>
    <row r="28">
      <c r="A28" s="3" t="n">
        <v>45170</v>
      </c>
      <c r="B28" t="n">
        <v>9.9</v>
      </c>
      <c r="C28" t="n">
        <v>8.6</v>
      </c>
      <c r="D28" t="n">
        <v>8.699999999999999</v>
      </c>
      <c r="E28" t="n">
        <v>16.9</v>
      </c>
      <c r="F28" t="n">
        <v>6.6</v>
      </c>
    </row>
    <row r="29">
      <c r="A29" s="3" t="n">
        <v>45200</v>
      </c>
      <c r="B29" t="n">
        <v>8.4</v>
      </c>
      <c r="C29" t="n">
        <v>12.2</v>
      </c>
      <c r="D29" t="n">
        <v>8.6</v>
      </c>
      <c r="E29" t="n">
        <v>14.4</v>
      </c>
      <c r="F29" t="n">
        <v>-0.7</v>
      </c>
    </row>
    <row r="30">
      <c r="A30" s="3" t="n">
        <v>45231</v>
      </c>
      <c r="B30" t="n">
        <v>11.6</v>
      </c>
      <c r="C30" t="n">
        <v>12.2</v>
      </c>
      <c r="D30" t="n">
        <v>9.800000000000001</v>
      </c>
      <c r="E30" t="n">
        <v>20.9</v>
      </c>
      <c r="F30" t="n">
        <v>10</v>
      </c>
    </row>
    <row r="31">
      <c r="A31" s="3" t="n">
        <v>45352</v>
      </c>
      <c r="B31" t="n">
        <v>7.4</v>
      </c>
      <c r="C31" t="n">
        <v>7</v>
      </c>
      <c r="D31" t="n">
        <v>4.9</v>
      </c>
      <c r="E31" t="n">
        <v>11.6</v>
      </c>
      <c r="F31" t="n">
        <v>15.8</v>
      </c>
    </row>
    <row r="32">
      <c r="A32" s="3" t="n">
        <v>45383</v>
      </c>
      <c r="B32" t="n">
        <v>7</v>
      </c>
      <c r="C32" t="n">
        <v>10.5</v>
      </c>
      <c r="D32" t="n">
        <v>6.2</v>
      </c>
      <c r="E32" t="n">
        <v>10.8</v>
      </c>
      <c r="F32" t="n">
        <v>5.9</v>
      </c>
    </row>
    <row r="33">
      <c r="A33" s="3" t="n">
        <v>45413</v>
      </c>
      <c r="B33" t="n">
        <v>7.2</v>
      </c>
      <c r="C33" t="n">
        <v>10.3</v>
      </c>
      <c r="D33" t="n">
        <v>6.8</v>
      </c>
      <c r="E33" t="n">
        <v>9.9</v>
      </c>
      <c r="F33" t="n">
        <v>5.5</v>
      </c>
    </row>
    <row r="34">
      <c r="A34" s="3" t="n">
        <v>45444</v>
      </c>
      <c r="B34" t="n">
        <v>5.8</v>
      </c>
      <c r="C34" t="n">
        <v>5.4</v>
      </c>
      <c r="D34" t="n">
        <v>5.5</v>
      </c>
      <c r="E34" t="n">
        <v>7.6</v>
      </c>
      <c r="F34" t="n">
        <v>5.2</v>
      </c>
    </row>
    <row r="35">
      <c r="A35" s="3" t="n">
        <v>45474</v>
      </c>
      <c r="B35" t="n">
        <v>5.7</v>
      </c>
      <c r="C35" t="n">
        <v>1.5</v>
      </c>
      <c r="D35" t="n">
        <v>5</v>
      </c>
      <c r="E35" t="n">
        <v>7.8</v>
      </c>
      <c r="F35" t="n">
        <v>5.9</v>
      </c>
    </row>
    <row r="36">
      <c r="A36" s="3" t="n">
        <v>45505</v>
      </c>
      <c r="B36" t="n">
        <v>8.9</v>
      </c>
      <c r="C36" t="n">
        <v>4.6</v>
      </c>
      <c r="D36" t="n">
        <v>4</v>
      </c>
      <c r="E36" t="n">
        <v>11.2</v>
      </c>
      <c r="F36" t="n">
        <v>23.7</v>
      </c>
    </row>
    <row r="37">
      <c r="A37" s="3" t="n">
        <v>45536</v>
      </c>
      <c r="B37" t="n">
        <v>8.5</v>
      </c>
      <c r="C37" t="n">
        <v>6.4</v>
      </c>
      <c r="D37" t="n">
        <v>3.6</v>
      </c>
      <c r="E37" t="n">
        <v>12.7</v>
      </c>
      <c r="F37" t="n">
        <v>27.8</v>
      </c>
    </row>
    <row r="38">
      <c r="A38" s="3" t="n">
        <v>45566</v>
      </c>
      <c r="B38" t="n">
        <v>4.3</v>
      </c>
      <c r="C38" t="n">
        <v>5.1</v>
      </c>
      <c r="D38" t="n">
        <v>2.7</v>
      </c>
      <c r="E38" t="n">
        <v>8.4</v>
      </c>
      <c r="F38" t="n">
        <v>8.1</v>
      </c>
    </row>
    <row r="39">
      <c r="A39" s="3" t="n">
        <v>45597</v>
      </c>
      <c r="B39" t="n">
        <v>2.8</v>
      </c>
      <c r="C39" t="n">
        <v>7.6</v>
      </c>
      <c r="D39" t="n">
        <v>2.2</v>
      </c>
      <c r="E39" t="n">
        <v>4.7</v>
      </c>
      <c r="F39" t="n">
        <v>2.9</v>
      </c>
    </row>
    <row r="40">
      <c r="A40" s="3" t="n">
        <v>45689</v>
      </c>
      <c r="B40" t="n">
        <v>8.6</v>
      </c>
      <c r="C40" t="n">
        <v>10.2</v>
      </c>
      <c r="D40" t="n">
        <v>12.4</v>
      </c>
      <c r="E40" t="n">
        <v>9.699999999999999</v>
      </c>
      <c r="F40" t="n">
        <v>-4.2</v>
      </c>
    </row>
    <row r="41">
      <c r="A41" s="3" t="n">
        <v>45717</v>
      </c>
      <c r="B41" t="n">
        <v>4.8</v>
      </c>
      <c r="C41" t="n">
        <v>9.9</v>
      </c>
      <c r="D41" t="n">
        <v>3.8</v>
      </c>
      <c r="E41" t="n">
        <v>8.4</v>
      </c>
      <c r="F41" t="n">
        <v>5</v>
      </c>
    </row>
    <row r="42">
      <c r="A42" s="3" t="n">
        <v>45748</v>
      </c>
      <c r="B42" t="n">
        <v>4.7</v>
      </c>
      <c r="C42" t="n">
        <v>13.8</v>
      </c>
      <c r="D42" t="n">
        <v>3</v>
      </c>
      <c r="E42" t="n">
        <v>9</v>
      </c>
      <c r="F42" t="n">
        <v>7</v>
      </c>
    </row>
    <row r="43">
      <c r="A43" s="3" t="n">
        <v>45778</v>
      </c>
      <c r="B43" t="n">
        <v>4.4</v>
      </c>
      <c r="C43" t="n">
        <v>8.4</v>
      </c>
      <c r="D43" t="n">
        <v>2.1</v>
      </c>
      <c r="E43" t="n">
        <v>9.4</v>
      </c>
      <c r="F43" t="n">
        <v>9.6</v>
      </c>
    </row>
    <row r="44">
      <c r="A44" s="3" t="n">
        <v>45809</v>
      </c>
      <c r="B44" t="n">
        <v>5.4</v>
      </c>
      <c r="C44" t="n">
        <v>4.9</v>
      </c>
      <c r="D44" t="n">
        <v>3.2</v>
      </c>
      <c r="E44" t="n">
        <v>9</v>
      </c>
      <c r="F44" t="n">
        <v>10.8</v>
      </c>
    </row>
    <row r="45">
      <c r="A45" s="3" t="n">
        <v>45839</v>
      </c>
      <c r="B45" t="n">
        <v>8.6</v>
      </c>
      <c r="C45" t="n">
        <v>20.2</v>
      </c>
      <c r="D45" t="n">
        <v>4.7</v>
      </c>
      <c r="E45" t="n">
        <v>10.7</v>
      </c>
      <c r="F45" t="n">
        <v>18</v>
      </c>
    </row>
    <row r="46">
      <c r="A46" s="3" t="n">
        <v>45870</v>
      </c>
      <c r="B46" t="n">
        <v>5</v>
      </c>
      <c r="C46" t="n">
        <v>9.699999999999999</v>
      </c>
      <c r="D46" t="n">
        <v>5</v>
      </c>
      <c r="E46" t="n">
        <v>7.2</v>
      </c>
      <c r="F46" t="n">
        <v>2.4</v>
      </c>
    </row>
    <row r="47">
      <c r="A47" s="3" t="n">
        <v>45901</v>
      </c>
      <c r="B47" t="n">
        <v>4.5</v>
      </c>
      <c r="C47" t="n">
        <v>7.3</v>
      </c>
      <c r="D47" t="n">
        <v>5.7</v>
      </c>
      <c r="E47" t="n">
        <v>6.3</v>
      </c>
      <c r="F47" t="n">
        <v>-2.6</v>
      </c>
    </row>
    <row r="48">
      <c r="A48" s="3" t="n">
        <v>45931</v>
      </c>
      <c r="B48" t="n">
        <v>10.4</v>
      </c>
      <c r="C48" t="n">
        <v>13.2</v>
      </c>
      <c r="D48" t="n">
        <v>6.2</v>
      </c>
      <c r="E48" t="n">
        <v>17.1</v>
      </c>
      <c r="F48" t="n">
        <v>23.9</v>
      </c>
    </row>
    <row r="49">
      <c r="A49" s="3" t="n">
        <v>45962</v>
      </c>
      <c r="B49" t="n">
        <v>6.2</v>
      </c>
      <c r="C49" t="n">
        <v>7.9</v>
      </c>
      <c r="D49" t="n">
        <v>4.4</v>
      </c>
      <c r="E49" t="n">
        <v>10.3</v>
      </c>
      <c r="F49" t="n">
        <v>9.800000000000001</v>
      </c>
    </row>
    <row r="50">
      <c r="A50" s="3" t="n">
        <v>46082</v>
      </c>
      <c r="B50" t="n">
        <v>3.5</v>
      </c>
      <c r="C50" t="n">
        <v>6.7</v>
      </c>
      <c r="D50" t="n">
        <v>2</v>
      </c>
      <c r="E50" t="n">
        <v>7.7</v>
      </c>
      <c r="F50" t="n">
        <v>5.2</v>
      </c>
    </row>
    <row r="51">
      <c r="A51" s="3" t="n">
        <v>46113</v>
      </c>
      <c r="B51" t="n">
        <v>6</v>
      </c>
      <c r="C51" t="n">
        <v>2</v>
      </c>
      <c r="D51" t="n">
        <v>5.3</v>
      </c>
      <c r="E51" t="n">
        <v>8.9</v>
      </c>
      <c r="F51" t="n">
        <v>6</v>
      </c>
    </row>
    <row r="52">
      <c r="A52" s="3" t="n">
        <v>46174</v>
      </c>
      <c r="B52" t="n">
        <v>3.7</v>
      </c>
      <c r="C52" t="n">
        <v>2</v>
      </c>
      <c r="D52" t="n">
        <v>4.7</v>
      </c>
      <c r="E52" t="n">
        <v>5.6</v>
      </c>
      <c r="F52" t="n">
        <v>-3.1</v>
      </c>
    </row>
    <row r="53">
      <c r="A53" s="3" t="n">
        <v>46204</v>
      </c>
      <c r="B53" t="n">
        <v>1.7</v>
      </c>
      <c r="C53" t="n">
        <v>-2</v>
      </c>
      <c r="D53" t="n">
        <v>3</v>
      </c>
      <c r="E53" t="n">
        <v>4.8</v>
      </c>
      <c r="F53" t="n">
        <v>-5.1</v>
      </c>
    </row>
    <row r="54">
      <c r="A54" s="3" t="n">
        <v>46235</v>
      </c>
      <c r="B54" t="n">
        <v>1.7</v>
      </c>
      <c r="C54" t="n">
        <v>2.7</v>
      </c>
      <c r="D54" t="n">
        <v>2.4</v>
      </c>
      <c r="E54" t="n">
        <v>5.1</v>
      </c>
      <c r="F54" t="n">
        <v>-4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sheetData>
    <row r="1">
      <c r="A1" t="inlineStr">
        <is>
          <t>month</t>
        </is>
      </c>
      <c r="B1" t="inlineStr">
        <is>
          <t>Total_TWh</t>
        </is>
      </c>
      <c r="C1" t="inlineStr">
        <is>
          <t>Primary_TWh</t>
        </is>
      </c>
      <c r="D1" t="inlineStr">
        <is>
          <t>Secondary_TWh</t>
        </is>
      </c>
      <c r="E1" t="inlineStr">
        <is>
          <t>Tertiary_TWh</t>
        </is>
      </c>
      <c r="F1" t="inlineStr">
        <is>
          <t>Residential_TWh</t>
        </is>
      </c>
      <c r="G1" t="inlineStr">
        <is>
          <t>Total_YoY_pct</t>
        </is>
      </c>
      <c r="H1" t="inlineStr">
        <is>
          <t>Primary_YoY_pct</t>
        </is>
      </c>
      <c r="I1" t="inlineStr">
        <is>
          <t>Secondary_YoY_pct</t>
        </is>
      </c>
      <c r="J1" t="inlineStr">
        <is>
          <t>Tertiary_YoY_pct</t>
        </is>
      </c>
      <c r="K1" t="inlineStr">
        <is>
          <t>Residential_YoY_pct</t>
        </is>
      </c>
      <c r="L1" t="inlineStr">
        <is>
          <t>Release_Date</t>
        </is>
      </c>
      <c r="M1" t="inlineStr">
        <is>
          <t>Release_URL</t>
        </is>
      </c>
    </row>
    <row r="2">
      <c r="A2" s="4"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4"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4"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4"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4"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4"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4"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4"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4"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4"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4"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4"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4"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4"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4"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4"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4"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4"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4"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4" t="n">
        <v>44866</v>
      </c>
      <c r="B21" t="n">
        <v>682.8</v>
      </c>
      <c r="C21" t="n">
        <v>8.800000000000001</v>
      </c>
      <c r="D21" t="n">
        <v>478.9</v>
      </c>
      <c r="E21" t="n">
        <v>109.7</v>
      </c>
      <c r="F21" t="n">
        <v>85.40000000000001</v>
      </c>
      <c r="G21" t="n">
        <v>0.4</v>
      </c>
      <c r="L21" t="inlineStr">
        <is>
          <t>2022-12-15</t>
        </is>
      </c>
      <c r="M21" t="inlineStr">
        <is>
          <t>https://www.nea.gov.cn/2022-12/15/c_1310684089.htm</t>
        </is>
      </c>
    </row>
    <row r="22">
      <c r="A22" s="4"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4"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4"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4"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4"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4"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4"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4"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4"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4"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4"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4"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4"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4"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4"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4"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4"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4"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4"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4"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4"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4"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4"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4"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4"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4"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4"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4"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4"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4"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4"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4"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4"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sheetData>
    <row r="1">
      <c r="A1" t="inlineStr">
        <is>
          <t>month</t>
        </is>
      </c>
      <c r="B1" t="inlineStr">
        <is>
          <t>Total_TWh</t>
        </is>
      </c>
      <c r="C1" t="inlineStr">
        <is>
          <t>Primary_TWh</t>
        </is>
      </c>
      <c r="D1" t="inlineStr">
        <is>
          <t>Secondary_TWh</t>
        </is>
      </c>
      <c r="E1" t="inlineStr">
        <is>
          <t>Tertiary_TWh</t>
        </is>
      </c>
      <c r="F1" t="inlineStr">
        <is>
          <t>Residential_TWh</t>
        </is>
      </c>
      <c r="G1" t="inlineStr">
        <is>
          <t>Total_YoY_pct</t>
        </is>
      </c>
      <c r="H1" t="inlineStr">
        <is>
          <t>Primary_YoY_pct</t>
        </is>
      </c>
      <c r="I1" t="inlineStr">
        <is>
          <t>Secondary_YoY_pct</t>
        </is>
      </c>
      <c r="J1" t="inlineStr">
        <is>
          <t>Tertiary_YoY_pct</t>
        </is>
      </c>
      <c r="K1" t="inlineStr">
        <is>
          <t>Residential_YoY_pct</t>
        </is>
      </c>
      <c r="L1" t="inlineStr">
        <is>
          <t>Release_Date</t>
        </is>
      </c>
      <c r="M1" t="inlineStr">
        <is>
          <t>Release_URL</t>
        </is>
      </c>
    </row>
    <row r="2">
      <c r="A2" s="4"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4"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4"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4"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4"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4"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selection activeCell="A1" sqref="A1"/>
    </sheetView>
  </sheetViews>
  <sheetFormatPr baseColWidth="8" defaultRowHeight="15"/>
  <sheetData>
    <row r="1">
      <c r="A1" t="inlineStr">
        <is>
          <t>month</t>
        </is>
      </c>
      <c r="B1" t="inlineStr">
        <is>
          <t>Total_TWh</t>
        </is>
      </c>
      <c r="C1" t="inlineStr">
        <is>
          <t>Primary_TWh</t>
        </is>
      </c>
      <c r="D1" t="inlineStr">
        <is>
          <t>Secondary_TWh</t>
        </is>
      </c>
      <c r="E1" t="inlineStr">
        <is>
          <t>Tertiary_TWh</t>
        </is>
      </c>
      <c r="F1" t="inlineStr">
        <is>
          <t>Residential_TWh</t>
        </is>
      </c>
      <c r="G1" t="inlineStr">
        <is>
          <t>Total_YoY_pct</t>
        </is>
      </c>
      <c r="H1" t="inlineStr">
        <is>
          <t>Primary_YoY_pct</t>
        </is>
      </c>
      <c r="I1" t="inlineStr">
        <is>
          <t>Secondary_YoY_pct</t>
        </is>
      </c>
      <c r="J1" t="inlineStr">
        <is>
          <t>Tertiary_YoY_pct</t>
        </is>
      </c>
      <c r="K1" t="inlineStr">
        <is>
          <t>Residential_YoY_pct</t>
        </is>
      </c>
      <c r="L1" t="inlineStr">
        <is>
          <t>Release_Date</t>
        </is>
      </c>
      <c r="M1" t="inlineStr">
        <is>
          <t>Release_URL</t>
        </is>
      </c>
    </row>
    <row r="2">
      <c r="A2" s="4"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4"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4"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4"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4"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4"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4"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4"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4"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4"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4"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4"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4"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4"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4"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4"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4"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4"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4"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4"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4"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4"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4"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4"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4"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4"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4"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4"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4"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4"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4"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4"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4"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4"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4"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4"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4"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4"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4"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4"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4"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4"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4"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4"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4"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4"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4"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4"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4"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4"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4"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4"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4"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4"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4"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4"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4"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4"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4"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4"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4"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2"/>
  <sheetViews>
    <sheetView workbookViewId="0">
      <selection activeCell="A1" sqref="A1"/>
    </sheetView>
  </sheetViews>
  <sheetFormatPr baseColWidth="8" defaultRowHeight="15"/>
  <sheetData>
    <row r="1">
      <c r="A1" t="inlineStr">
        <is>
          <t>Release_Date</t>
        </is>
      </c>
      <c r="B1" t="inlineStr">
        <is>
          <t>Title</t>
        </is>
      </c>
      <c r="C1" t="inlineStr">
        <is>
          <t>URL</t>
        </is>
      </c>
      <c r="D1"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column</t>
        </is>
      </c>
      <c r="B1" t="inlineStr">
        <is>
          <t>label</t>
        </is>
      </c>
      <c r="C1" t="inlineStr">
        <is>
          <t>unit</t>
        </is>
      </c>
      <c r="D1" t="inlineStr">
        <is>
          <t>chart</t>
        </is>
      </c>
      <c r="E1" t="inlineStr">
        <is>
          <t>kind</t>
        </is>
      </c>
    </row>
    <row r="2">
      <c r="A2" t="inlineStr">
        <is>
          <t>Primary_TWh</t>
        </is>
      </c>
      <c r="B2" t="inlineStr">
        <is>
          <t>Primary industry</t>
        </is>
      </c>
      <c r="C2" t="inlineStr">
        <is>
          <t>TWh per month</t>
        </is>
      </c>
      <c r="D2" t="inlineStr">
        <is>
          <t>electricity use by sector</t>
        </is>
      </c>
      <c r="E2" t="inlineStr">
        <is>
          <t>stacked_bar</t>
        </is>
      </c>
    </row>
    <row r="3">
      <c r="A3" t="inlineStr">
        <is>
          <t>Secondary_TWh</t>
        </is>
      </c>
      <c r="B3" t="inlineStr">
        <is>
          <t>Secondary industry</t>
        </is>
      </c>
      <c r="C3" t="inlineStr">
        <is>
          <t>TWh per month</t>
        </is>
      </c>
      <c r="D3" t="inlineStr">
        <is>
          <t>electricity use by sector</t>
        </is>
      </c>
      <c r="E3" t="inlineStr">
        <is>
          <t>stacked_bar</t>
        </is>
      </c>
    </row>
    <row r="4">
      <c r="A4" t="inlineStr">
        <is>
          <t>Tertiary_TWh</t>
        </is>
      </c>
      <c r="B4" t="inlineStr">
        <is>
          <t>Tertiary industry</t>
        </is>
      </c>
      <c r="C4" t="inlineStr">
        <is>
          <t>TWh per month</t>
        </is>
      </c>
      <c r="D4" t="inlineStr">
        <is>
          <t>electricity use by sector</t>
        </is>
      </c>
      <c r="E4" t="inlineStr">
        <is>
          <t>stacked_bar</t>
        </is>
      </c>
    </row>
    <row r="5">
      <c r="A5" t="inlineStr">
        <is>
          <t>Residential_TWh</t>
        </is>
      </c>
      <c r="B5" t="inlineStr">
        <is>
          <t>Urban and rural residential</t>
        </is>
      </c>
      <c r="C5" t="inlineStr">
        <is>
          <t>TWh per month</t>
        </is>
      </c>
      <c r="D5" t="inlineStr">
        <is>
          <t>electricity use by sector</t>
        </is>
      </c>
      <c r="E5" t="inlineStr">
        <is>
          <t>stacked_bar</t>
        </is>
      </c>
    </row>
    <row r="6">
      <c r="A6" t="inlineStr">
        <is>
          <t>Total_YoY_pct</t>
        </is>
      </c>
      <c r="B6" t="inlineStr">
        <is>
          <t>Total</t>
        </is>
      </c>
      <c r="C6" t="inlineStr">
        <is>
          <t>% y/y</t>
        </is>
      </c>
      <c r="D6" t="inlineStr">
        <is>
          <t>electricity use growth</t>
        </is>
      </c>
      <c r="E6" t="inlineStr">
        <is>
          <t>line</t>
        </is>
      </c>
    </row>
    <row r="7">
      <c r="A7" t="inlineStr">
        <is>
          <t>Primary_YoY_pct</t>
        </is>
      </c>
      <c r="B7" t="inlineStr">
        <is>
          <t>Primary industry</t>
        </is>
      </c>
      <c r="C7" t="inlineStr">
        <is>
          <t>% y/y</t>
        </is>
      </c>
      <c r="D7" t="inlineStr">
        <is>
          <t>electricity use growth</t>
        </is>
      </c>
      <c r="E7" t="inlineStr">
        <is>
          <t>line</t>
        </is>
      </c>
    </row>
    <row r="8">
      <c r="A8" t="inlineStr">
        <is>
          <t>Secondary_YoY_pct</t>
        </is>
      </c>
      <c r="B8" t="inlineStr">
        <is>
          <t>Secondary industry</t>
        </is>
      </c>
      <c r="C8" t="inlineStr">
        <is>
          <t>% y/y</t>
        </is>
      </c>
      <c r="D8" t="inlineStr">
        <is>
          <t>electricity use growth</t>
        </is>
      </c>
      <c r="E8" t="inlineStr">
        <is>
          <t>line</t>
        </is>
      </c>
    </row>
    <row r="9">
      <c r="A9" t="inlineStr">
        <is>
          <t>Tertiary_YoY_pct</t>
        </is>
      </c>
      <c r="B9" t="inlineStr">
        <is>
          <t>Tertiary industry</t>
        </is>
      </c>
      <c r="C9" t="inlineStr">
        <is>
          <t>% y/y</t>
        </is>
      </c>
      <c r="D9" t="inlineStr">
        <is>
          <t>electricity use growth</t>
        </is>
      </c>
      <c r="E9" t="inlineStr">
        <is>
          <t>line</t>
        </is>
      </c>
    </row>
    <row r="10">
      <c r="A10" t="inlineStr">
        <is>
          <t>Residential_YoY_pct</t>
        </is>
      </c>
      <c r="B10" t="inlineStr">
        <is>
          <t>Urban and rural residential</t>
        </is>
      </c>
      <c r="C10" t="inlineStr">
        <is>
          <t>% y/y</t>
        </is>
      </c>
      <c r="D10" t="inlineStr">
        <is>
          <t>electricity use growth</t>
        </is>
      </c>
      <c r="E10" t="inlineStr">
        <is>
          <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2026-10-08T06:16:28Z</dcterms:created>
  <dcterms:modified xsi:type="dcterms:W3CDTF">2026-10-08T06:16:29Z</dcterms:modified>
</cp:coreProperties>
</file>