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Total demand" sheetId="3" state="visible" r:id="rId3"/>
    <sheet name="Gas by use" sheetId="4" state="visible" r:id="rId4"/>
    <sheet name="Total demand" sheetId="5" state="visible" r:id="rId5"/>
    <sheet name="Imports monthly" sheetId="6" state="visible" r:id="rId6"/>
    <sheet name="Imports ann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/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 domestic gas (Amistad) by use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 (1,030 Btu/cf)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 gas demand: domestic + imports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Total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Total demand'!$A$2:$A$69</f>
            </numRef>
          </cat>
          <val>
            <numRef>
              <f>'Chart - Total demand'!$B$2:$B$69</f>
            </numRef>
          </val>
        </ser>
        <ser>
          <idx val="1"/>
          <order val="1"/>
          <tx>
            <strRef>
              <f>'Chart - Total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Total demand'!$A$2:$A$69</f>
            </numRef>
          </cat>
          <val>
            <numRef>
              <f>'Chart - Total demand'!$C$2:$C$69</f>
            </numRef>
          </val>
        </ser>
        <ser>
          <idx val="2"/>
          <order val="2"/>
          <tx>
            <strRef>
              <f>'Chart - Total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Total demand'!$A$2:$A$69</f>
            </numRef>
          </cat>
          <val>
            <numRef>
              <f>'Chart - Total demand'!$D$2:$D$69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 (1,030 Btu/cf)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MMBtu per day = monthly dispatch in MMBtu (as published) / days in month. MMcf/d approx at 1,030 Btu per cubic foot. Amistad production is published in barrels of oil equivalent per day; MMBtu at 5.8 MMBtu/BOE.</t>
        </is>
      </c>
    </row>
    <row r="5">
      <c r="A5" s="1" t="inlineStr">
        <is>
          <t>SECTORS</t>
        </is>
      </c>
    </row>
    <row r="6">
      <c r="A6" t="inlineStr">
        <is>
          <t>Power_MMBtu_per_day: Petroecuador's 'GAS NATURAL (MMBTU)' dispatches - pipeline gas from the Amistad field to the Termogas Machala power plant. Industrial_LNG_MMBtu_per_day: 'GAS NATURAL LICUADO (MMBTU)' - LNG from the Bajo Alto liquefaction plant, trucked to industrial users (mainly ceramics in Cuenca). These two are effectively all of Ecuador's commercial natural gas.</t>
        </is>
      </c>
    </row>
    <row r="8">
      <c r="A8" s="1" t="inlineStr">
        <is>
          <t>COVERAGE</t>
        </is>
      </c>
    </row>
    <row r="9">
      <c r="A9" t="inlineStr">
        <is>
          <t>Monthly from 2021. Past years from Petroecuador's annual statistical reports, the current year from the year-to-date monthly report. Runs are incremental: complete years in this archive aren't re-read.</t>
        </is>
      </c>
    </row>
    <row r="11">
      <c r="A11" s="1" t="inlineStr">
        <is>
          <t>TOTAL DEMAND (sheet 'Total demand')</t>
        </is>
      </c>
    </row>
    <row r="12">
      <c r="A12" t="inlineStr">
        <is>
          <t>Total demand = domestic supply by use (Petroecuador, above) + imports (customs, UN Comtrade). Power = domestic pipeline gas to Termogas Machala + imports for power; industry = Bajo Alto LNG + imported LNG. mcm/d = million cubic metres per day at 1,030 Btu per cubic foot (36,374 MMBtu per million m3).</t>
        </is>
      </c>
    </row>
    <row r="13">
      <c r="A13" t="inlineStr">
        <is>
          <t>Imports for power are zero: Ecuador has no LNG import terminal and EP Petroecuador imports no natural gas (its imported derivatives are naphtha, diesel and LPG - BCE 'Reporte del Sector Petrolero'); its 2023 gas import tender was declared void and its Sept-2026 request for information (60-100 MMcf/d of LNG for Machala) has not led to deliveries. The 2024-26 emergency power barges (Karpowership) burn fuel oil, not gas. LPG is not natural gas and is excluded.</t>
        </is>
      </c>
    </row>
    <row r="14">
      <c r="A14" t="inlineStr">
        <is>
          <t>Imports for industry: small private LNG cargoes in ISO containers (Sycar; from Panama/AES Colon from Jan 2022, trucked from Peru/Limagas from Nov 2024), customs code HS 2711.11. Tonnes converted at 52 MMBtu per tonne of LNG (gross); HS 2711.21 (gaseous) volumes are negligible (samples) and use the same factor. Assigned to industry because the import licence (Ministerio de Energia y Minas, up to 7.3 bcf/yr) is for the industrial sector.</t>
        </is>
      </c>
    </row>
    <row r="15">
      <c r="A15" t="inlineStr">
        <is>
          <t>Imports_status says, for each month, whether the customs month is published. Total_demand is left blank where it is not. Months not published monthly (this run): 2022-02..2023-12, 2025-01..2025-12, 2026-04..2026-08. Recent months lag by several months and are asked for again on every run. Annual totals for years without full monthly data are below and in 'Imports annual'; they are NOT spread over months.</t>
        </is>
      </c>
    </row>
    <row r="16">
      <c r="A16" t="inlineStr">
        <is>
          <t>Annual imports (UN Comtrade, Ecuador customs):</t>
        </is>
      </c>
    </row>
    <row r="17">
      <c r="A17" t="inlineStr">
        <is>
          <t xml:space="preserve">  2021: annual, 0.0 t (avg 0 MMBtu/d); 12 months published monthly, summing to 0.0 t. Origin: -</t>
        </is>
      </c>
    </row>
    <row r="18">
      <c r="A18" t="inlineStr">
        <is>
          <t xml:space="preserve">  2022: annual, 123.3 t (avg 18 MMBtu/d); 1 months published monthly, summing to 26.4 t. Origin: Panama 123.3 t</t>
        </is>
      </c>
    </row>
    <row r="19">
      <c r="A19" t="inlineStr">
        <is>
          <t xml:space="preserve">  2023: annual, 0.0 t (avg 0 MMBtu/d); 0 months published monthly, summing to 0.0 t. Origin: -</t>
        </is>
      </c>
    </row>
    <row r="20">
      <c r="A20" t="inlineStr">
        <is>
          <t xml:space="preserve">  2024: annual, 92.2 t (avg 13 MMBtu/d); 12 months published monthly, summing to 92.2 t. Origin: Peru 92.2 t</t>
        </is>
      </c>
    </row>
    <row r="21">
      <c r="A21" t="inlineStr">
        <is>
          <t xml:space="preserve">  2025: annual, 3,270.3 t (avg 466 MMBtu/d); 0 months published monthly, summing to 0.0 t. Origin: Peru 3,270.2 t; USA 0.2 t</t>
        </is>
      </c>
    </row>
    <row r="22">
      <c r="A22" t="inlineStr">
        <is>
          <t>Latest month with both domestic and import data: 2026-03 - total 19,928 MMBtu/d, imports 3.4% of it.</t>
        </is>
      </c>
    </row>
    <row r="23">
      <c r="A23" t="inlineStr">
        <is>
          <t>Cross-check: CENACE gas-fired generation (Ecuador power workbook) for months with 20+ days of data; Implied_heat_rate = domestic power gas / CENACE gas MWh. A plausible heat rate (about 8-11 MMBtu/MWh) means the Machala plant runs on domestic gas only.</t>
        </is>
      </c>
    </row>
    <row r="25">
      <c r="A25" s="1" t="inlineStr">
        <is>
          <t>SOURCE</t>
        </is>
      </c>
    </row>
    <row r="26">
      <c r="A26" t="inlineStr">
        <is>
          <t>EP Petroecuador, Informes Estadisticos (Cifras Institucionales): https://www.eppetroecuador.ec/?p=3721</t>
        </is>
      </c>
    </row>
    <row r="27">
      <c r="A27" t="inlineStr">
        <is>
          <t>UN Comtrade (Ecuador customs returns via Banco Central del Ecuador / SENAE), HS 2711.11 and 2711.21 imports: https://comtradeplus.un.org/ (public API comtradeapi.un.org/public/v1/preview).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(Machala)</t>
        </is>
      </c>
      <c r="C1" t="inlineStr">
        <is>
          <t>Industry (Bajo Alto LNG)</t>
        </is>
      </c>
    </row>
    <row r="2">
      <c r="A2" s="3" t="n">
        <v>44197</v>
      </c>
      <c r="B2" t="n">
        <v>0.641007312915819</v>
      </c>
      <c r="C2" t="n">
        <v>0.08129433111563204</v>
      </c>
    </row>
    <row r="3">
      <c r="A3" s="3" t="n">
        <v>44228</v>
      </c>
      <c r="B3" t="n">
        <v>0.5983394732501237</v>
      </c>
      <c r="C3" t="n">
        <v>0.1381206356188486</v>
      </c>
    </row>
    <row r="4">
      <c r="A4" s="3" t="n">
        <v>44256</v>
      </c>
      <c r="B4" t="n">
        <v>0.6215978446142849</v>
      </c>
      <c r="C4" t="n">
        <v>0.08442843789519987</v>
      </c>
    </row>
    <row r="5">
      <c r="A5" s="3" t="n">
        <v>44287</v>
      </c>
      <c r="B5" t="n">
        <v>0.5630395337328862</v>
      </c>
      <c r="C5" t="n">
        <v>0.1364161214053995</v>
      </c>
    </row>
    <row r="6">
      <c r="A6" s="3" t="n">
        <v>44317</v>
      </c>
      <c r="B6" t="n">
        <v>0.5287293121460384</v>
      </c>
      <c r="C6" t="n">
        <v>0.1384505415956452</v>
      </c>
    </row>
    <row r="7">
      <c r="A7" s="3" t="n">
        <v>44348</v>
      </c>
      <c r="B7" t="n">
        <v>0.5488810688953648</v>
      </c>
      <c r="C7" t="n">
        <v>0.1335294441084291</v>
      </c>
    </row>
    <row r="8">
      <c r="A8" s="3" t="n">
        <v>44378</v>
      </c>
      <c r="B8" t="n">
        <v>0.5304338263594875</v>
      </c>
      <c r="C8" t="n">
        <v>0.1388079397371749</v>
      </c>
    </row>
    <row r="9">
      <c r="A9" s="3" t="n">
        <v>44409</v>
      </c>
      <c r="B9" t="n">
        <v>0.5067080881948645</v>
      </c>
      <c r="C9" t="n">
        <v>0.1440314510364546</v>
      </c>
    </row>
    <row r="10">
      <c r="A10" s="3" t="n">
        <v>44440</v>
      </c>
      <c r="B10" t="n">
        <v>0.5014295925661186</v>
      </c>
      <c r="C10" t="n">
        <v>0.1423819211524716</v>
      </c>
    </row>
    <row r="11">
      <c r="A11" s="3" t="n">
        <v>44470</v>
      </c>
      <c r="B11" t="n">
        <v>0.5044812228514873</v>
      </c>
      <c r="C11" t="n">
        <v>0.1375433001594546</v>
      </c>
    </row>
    <row r="12">
      <c r="A12" s="3" t="n">
        <v>44501</v>
      </c>
      <c r="B12" t="n">
        <v>0.4983229779512839</v>
      </c>
      <c r="C12" t="n">
        <v>0.1352339583218783</v>
      </c>
    </row>
    <row r="13">
      <c r="A13" s="3" t="n">
        <v>44531</v>
      </c>
      <c r="B13" t="n">
        <v>0.4767416286358388</v>
      </c>
      <c r="C13" t="n">
        <v>0.1389454005608401</v>
      </c>
    </row>
    <row r="14">
      <c r="A14" s="3" t="n">
        <v>44562</v>
      </c>
      <c r="B14" t="n">
        <v>0.5280420080277121</v>
      </c>
      <c r="C14" t="n">
        <v>0.1300929235167977</v>
      </c>
    </row>
    <row r="15">
      <c r="A15" s="3" t="n">
        <v>44593</v>
      </c>
      <c r="B15" t="n">
        <v>0.4965359872436356</v>
      </c>
      <c r="C15" t="n">
        <v>0.1306427668114587</v>
      </c>
    </row>
    <row r="16">
      <c r="A16" s="3" t="n">
        <v>44621</v>
      </c>
      <c r="B16" t="n">
        <v>0.5387639522736021</v>
      </c>
      <c r="C16" t="n">
        <v>0.09473799967009403</v>
      </c>
    </row>
    <row r="17">
      <c r="A17" s="3" t="n">
        <v>44652</v>
      </c>
      <c r="B17" t="n">
        <v>0.5105294990927586</v>
      </c>
      <c r="C17" t="n">
        <v>0.1005388464287678</v>
      </c>
    </row>
    <row r="18">
      <c r="A18" s="3" t="n">
        <v>44682</v>
      </c>
      <c r="B18" t="n">
        <v>0.4675867377797328</v>
      </c>
      <c r="C18" t="n">
        <v>0.1359212624402046</v>
      </c>
    </row>
    <row r="19">
      <c r="A19" s="3" t="n">
        <v>44713</v>
      </c>
      <c r="B19" t="n">
        <v>0.5021168966844449</v>
      </c>
      <c r="C19" t="n">
        <v>0.09091658877219992</v>
      </c>
    </row>
    <row r="20">
      <c r="A20" s="3" t="n">
        <v>44743</v>
      </c>
      <c r="B20" t="n">
        <v>0.5197668664430637</v>
      </c>
      <c r="C20" t="n">
        <v>0.09099906526639907</v>
      </c>
    </row>
    <row r="21">
      <c r="A21" s="3" t="n">
        <v>44774</v>
      </c>
      <c r="B21" t="n">
        <v>0.5026667399791059</v>
      </c>
      <c r="C21" t="n">
        <v>0.06930774729202177</v>
      </c>
    </row>
    <row r="22">
      <c r="A22" s="3" t="n">
        <v>44805</v>
      </c>
      <c r="B22" t="n">
        <v>0.4860614724803431</v>
      </c>
      <c r="C22" t="n">
        <v>0.1021608841480178</v>
      </c>
    </row>
    <row r="23">
      <c r="A23" s="3" t="n">
        <v>44835</v>
      </c>
      <c r="B23" t="n">
        <v>0.4191455435200968</v>
      </c>
      <c r="C23" t="n">
        <v>0.137763237477319</v>
      </c>
    </row>
    <row r="24">
      <c r="A24" s="3" t="n">
        <v>44866</v>
      </c>
      <c r="B24" t="n">
        <v>0.4123824709957662</v>
      </c>
      <c r="C24" t="n">
        <v>0.149612360477264</v>
      </c>
    </row>
    <row r="25">
      <c r="A25" s="3" t="n">
        <v>44896</v>
      </c>
      <c r="B25" t="n">
        <v>0.409578270192995</v>
      </c>
      <c r="C25" t="n">
        <v>0.1229724528509375</v>
      </c>
    </row>
    <row r="26">
      <c r="A26" s="3" t="n">
        <v>44927</v>
      </c>
      <c r="B26" t="n">
        <v>0.4704734150767031</v>
      </c>
      <c r="C26" t="n">
        <v>0.1104360257326662</v>
      </c>
    </row>
    <row r="27">
      <c r="A27" s="3" t="n">
        <v>44958</v>
      </c>
      <c r="B27" t="n">
        <v>0.434348710617474</v>
      </c>
      <c r="C27" t="n">
        <v>0.1048001319623907</v>
      </c>
    </row>
    <row r="28">
      <c r="A28" s="3" t="n">
        <v>44986</v>
      </c>
      <c r="B28" t="n">
        <v>0.4426788365315885</v>
      </c>
      <c r="C28" t="n">
        <v>0.09278605597404739</v>
      </c>
    </row>
    <row r="29">
      <c r="A29" s="3" t="n">
        <v>45017</v>
      </c>
      <c r="B29" t="n">
        <v>0.4223071424643977</v>
      </c>
      <c r="C29" t="n">
        <v>0.1102435805795348</v>
      </c>
    </row>
    <row r="30">
      <c r="A30" s="3" t="n">
        <v>45047</v>
      </c>
      <c r="B30" t="n">
        <v>0.4261560455270248</v>
      </c>
      <c r="C30" t="n">
        <v>0.1143399131247594</v>
      </c>
    </row>
    <row r="31">
      <c r="A31" s="3" t="n">
        <v>45078</v>
      </c>
      <c r="B31" t="n">
        <v>0.4453455765106945</v>
      </c>
      <c r="C31" t="n">
        <v>0.09281354813878044</v>
      </c>
    </row>
    <row r="32">
      <c r="A32" s="3" t="n">
        <v>45108</v>
      </c>
      <c r="B32" t="n">
        <v>0.4207125969098807</v>
      </c>
      <c r="C32" t="n">
        <v>0.1028756804310771</v>
      </c>
    </row>
    <row r="33">
      <c r="A33" s="3" t="n">
        <v>45139</v>
      </c>
      <c r="B33" t="n">
        <v>0.410128113487656</v>
      </c>
      <c r="C33" t="n">
        <v>0.1262165282894375</v>
      </c>
    </row>
    <row r="34">
      <c r="A34" s="3" t="n">
        <v>45170</v>
      </c>
      <c r="B34" t="n">
        <v>0.3922032220817067</v>
      </c>
      <c r="C34" t="n">
        <v>0.1254742398416451</v>
      </c>
    </row>
    <row r="35">
      <c r="A35" s="3" t="n">
        <v>45200</v>
      </c>
      <c r="B35" t="n">
        <v>0.3936603068125584</v>
      </c>
      <c r="C35" t="n">
        <v>0.123274866663001</v>
      </c>
    </row>
    <row r="36">
      <c r="A36" s="3" t="n">
        <v>45231</v>
      </c>
      <c r="B36" t="n">
        <v>0.523643261670424</v>
      </c>
      <c r="C36" t="n">
        <v>0.02433056578875021</v>
      </c>
    </row>
    <row r="37">
      <c r="A37" s="3" t="n">
        <v>45261</v>
      </c>
      <c r="B37" t="n">
        <v>0.3897839115851982</v>
      </c>
      <c r="C37" t="n">
        <v>0.1262165282894375</v>
      </c>
    </row>
    <row r="38">
      <c r="A38" s="3" t="n">
        <v>45292</v>
      </c>
      <c r="B38" t="n">
        <v>0.4097432231813933</v>
      </c>
      <c r="C38" t="n">
        <v>0.1171441139275307</v>
      </c>
    </row>
    <row r="39">
      <c r="A39" s="3" t="n">
        <v>45323</v>
      </c>
      <c r="B39" t="n">
        <v>0.4291526914829273</v>
      </c>
      <c r="C39" t="n">
        <v>0.09152141639632705</v>
      </c>
    </row>
    <row r="40">
      <c r="A40" s="3" t="n">
        <v>45352</v>
      </c>
      <c r="B40" t="n">
        <v>0.4006158244900204</v>
      </c>
      <c r="C40" t="n">
        <v>0.09715731016660252</v>
      </c>
    </row>
    <row r="41">
      <c r="A41" s="3" t="n">
        <v>45383</v>
      </c>
      <c r="B41" t="n">
        <v>0.4211249793808765</v>
      </c>
      <c r="C41" t="n">
        <v>0.1030681255842085</v>
      </c>
    </row>
    <row r="42">
      <c r="A42" s="3" t="n">
        <v>45413</v>
      </c>
      <c r="B42" t="n">
        <v>0.4023478308682026</v>
      </c>
      <c r="C42" t="n">
        <v>0.1132127343707044</v>
      </c>
    </row>
    <row r="43">
      <c r="A43" s="3" t="n">
        <v>45444</v>
      </c>
      <c r="B43" t="n">
        <v>0.3986913729587068</v>
      </c>
      <c r="C43" t="n">
        <v>0.1207455875075603</v>
      </c>
    </row>
    <row r="44">
      <c r="A44" s="3" t="n">
        <v>45474</v>
      </c>
      <c r="B44" t="n">
        <v>0.3914334414691813</v>
      </c>
      <c r="C44" t="n">
        <v>0.1414746797162809</v>
      </c>
    </row>
    <row r="45">
      <c r="A45" s="3" t="n">
        <v>45505</v>
      </c>
      <c r="B45" t="n">
        <v>0.3795843184692363</v>
      </c>
      <c r="C45" t="n">
        <v>0.1388354319019079</v>
      </c>
    </row>
    <row r="46">
      <c r="A46" s="3" t="n">
        <v>45536</v>
      </c>
      <c r="B46" t="n">
        <v>0.4619233518447243</v>
      </c>
      <c r="C46" t="n">
        <v>0.0825589706933524</v>
      </c>
    </row>
    <row r="47">
      <c r="A47" s="3" t="n">
        <v>45566</v>
      </c>
      <c r="B47" t="n">
        <v>0.5201242645845934</v>
      </c>
      <c r="C47" t="n">
        <v>0.01286633309506791</v>
      </c>
    </row>
    <row r="48">
      <c r="A48" s="3" t="n">
        <v>45597</v>
      </c>
      <c r="B48" t="n">
        <v>0.5101446087864958</v>
      </c>
      <c r="C48" t="n">
        <v>0.00992467146863144</v>
      </c>
    </row>
    <row r="49">
      <c r="A49" s="3" t="n">
        <v>45627</v>
      </c>
      <c r="B49" t="n">
        <v>0.4810578984989278</v>
      </c>
      <c r="C49" t="n">
        <v>0.009072414361906856</v>
      </c>
    </row>
    <row r="50">
      <c r="A50" s="3" t="n">
        <v>45658</v>
      </c>
      <c r="B50" t="n">
        <v>0.5259251113432671</v>
      </c>
      <c r="C50" t="n">
        <v>0.01498322977951284</v>
      </c>
    </row>
    <row r="51">
      <c r="A51" s="3" t="n">
        <v>45689</v>
      </c>
      <c r="B51" t="n">
        <v>0.4411392753065376</v>
      </c>
      <c r="C51" t="n">
        <v>0.07717050640567438</v>
      </c>
    </row>
    <row r="52">
      <c r="A52" s="3" t="n">
        <v>45717</v>
      </c>
      <c r="B52" t="n">
        <v>0.485456644856216</v>
      </c>
      <c r="C52" t="n">
        <v>0.03224830923186892</v>
      </c>
    </row>
    <row r="53">
      <c r="A53" s="3" t="n">
        <v>45748</v>
      </c>
      <c r="B53" t="n">
        <v>0.4275031615989443</v>
      </c>
      <c r="C53" t="n">
        <v>0.05545169626656403</v>
      </c>
    </row>
    <row r="54">
      <c r="A54" s="3" t="n">
        <v>45778</v>
      </c>
      <c r="B54" t="n">
        <v>0.4608236652554022</v>
      </c>
      <c r="C54" t="n">
        <v>0.05426953318304283</v>
      </c>
    </row>
    <row r="55">
      <c r="A55" s="3" t="n">
        <v>45809</v>
      </c>
      <c r="B55" t="n">
        <v>0.4322593060977621</v>
      </c>
      <c r="C55" t="n">
        <v>0.0560290317259581</v>
      </c>
    </row>
    <row r="56">
      <c r="A56" s="3" t="n">
        <v>45839</v>
      </c>
      <c r="B56" t="n">
        <v>0.4239291801836477</v>
      </c>
      <c r="C56" t="n">
        <v>0.06919777863308957</v>
      </c>
    </row>
    <row r="57">
      <c r="A57" s="3" t="n">
        <v>45870</v>
      </c>
      <c r="B57" t="n">
        <v>0.4232693682300545</v>
      </c>
      <c r="C57" t="n">
        <v>0.07936987958431847</v>
      </c>
    </row>
    <row r="58">
      <c r="A58" s="3" t="n">
        <v>45901</v>
      </c>
      <c r="B58" t="n">
        <v>0.4551602793203937</v>
      </c>
      <c r="C58" t="n">
        <v>0.05157530103920382</v>
      </c>
    </row>
    <row r="59">
      <c r="A59" s="3" t="n">
        <v>45931</v>
      </c>
      <c r="B59" t="n">
        <v>0.3930004948589652</v>
      </c>
      <c r="C59" t="n">
        <v>0.08753505251003464</v>
      </c>
    </row>
    <row r="60">
      <c r="A60" s="3" t="n">
        <v>45962</v>
      </c>
      <c r="B60" t="n">
        <v>0.4476549183482708</v>
      </c>
      <c r="C60" t="n">
        <v>0.04088084895804696</v>
      </c>
    </row>
    <row r="61">
      <c r="A61" s="3" t="n">
        <v>45992</v>
      </c>
      <c r="B61" t="n">
        <v>0.410128113487656</v>
      </c>
      <c r="C61" t="n">
        <v>0.06037279375378017</v>
      </c>
    </row>
    <row r="62">
      <c r="A62" s="3" t="n">
        <v>46023</v>
      </c>
      <c r="B62" t="n">
        <v>0.4882608456589872</v>
      </c>
      <c r="C62" t="n">
        <v>0.0202342332435256</v>
      </c>
    </row>
    <row r="63">
      <c r="A63" s="3" t="n">
        <v>46054</v>
      </c>
      <c r="B63" t="n">
        <v>0.4790784626381481</v>
      </c>
      <c r="C63" t="n">
        <v>0</v>
      </c>
    </row>
    <row r="64">
      <c r="A64" s="3" t="n">
        <v>46082</v>
      </c>
      <c r="B64" t="n">
        <v>0.5294166162643646</v>
      </c>
      <c r="C64" t="n">
        <v>0</v>
      </c>
    </row>
    <row r="65">
      <c r="A65" s="3" t="n">
        <v>46113</v>
      </c>
      <c r="B65" t="n">
        <v>0.6448012316489801</v>
      </c>
      <c r="C65" t="n">
        <v>0.0115742013526145</v>
      </c>
    </row>
    <row r="66">
      <c r="A66" s="3" t="n">
        <v>46143</v>
      </c>
      <c r="B66" t="n">
        <v>0.6965414856765821</v>
      </c>
      <c r="C66" t="n">
        <v>0.03219332490240281</v>
      </c>
    </row>
    <row r="67">
      <c r="A67" s="3" t="n">
        <v>46174</v>
      </c>
      <c r="B67" t="n">
        <v>0.6562654643426623</v>
      </c>
      <c r="C67" t="n">
        <v>0.06419420465167427</v>
      </c>
    </row>
    <row r="68">
      <c r="A68" s="3" t="n">
        <v>46204</v>
      </c>
      <c r="B68" t="n">
        <v>0.6096662451201408</v>
      </c>
      <c r="C68" t="n">
        <v>0.08132182328036509</v>
      </c>
    </row>
    <row r="69">
      <c r="A69" s="3" t="n">
        <v>46235</v>
      </c>
      <c r="B69" t="n">
        <v>0.5567713201737505</v>
      </c>
      <c r="C69" t="n">
        <v>0.1111783141804586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 - power (Machala)</t>
        </is>
      </c>
      <c r="C1" t="inlineStr">
        <is>
          <t>Domestic - industry (Bajo Alto LNG)</t>
        </is>
      </c>
      <c r="D1" t="inlineStr">
        <is>
          <t>Imports - industry (LNG, customs)</t>
        </is>
      </c>
    </row>
    <row r="2">
      <c r="A2" s="3" t="n">
        <v>44197</v>
      </c>
      <c r="B2" t="n">
        <v>0.641007312915819</v>
      </c>
      <c r="C2" t="n">
        <v>0.08129433111563204</v>
      </c>
      <c r="D2" t="n">
        <v>0</v>
      </c>
    </row>
    <row r="3">
      <c r="A3" s="3" t="n">
        <v>44228</v>
      </c>
      <c r="B3" t="n">
        <v>0.5983394732501237</v>
      </c>
      <c r="C3" t="n">
        <v>0.1381206356188486</v>
      </c>
      <c r="D3" t="n">
        <v>0</v>
      </c>
    </row>
    <row r="4">
      <c r="A4" s="3" t="n">
        <v>44256</v>
      </c>
      <c r="B4" t="n">
        <v>0.6215978446142849</v>
      </c>
      <c r="C4" t="n">
        <v>0.08442843789519987</v>
      </c>
      <c r="D4" t="n">
        <v>0</v>
      </c>
    </row>
    <row r="5">
      <c r="A5" s="3" t="n">
        <v>44287</v>
      </c>
      <c r="B5" t="n">
        <v>0.5630395337328862</v>
      </c>
      <c r="C5" t="n">
        <v>0.1364161214053995</v>
      </c>
      <c r="D5" t="n">
        <v>0</v>
      </c>
    </row>
    <row r="6">
      <c r="A6" s="3" t="n">
        <v>44317</v>
      </c>
      <c r="B6" t="n">
        <v>0.5287293121460384</v>
      </c>
      <c r="C6" t="n">
        <v>0.1384505415956452</v>
      </c>
      <c r="D6" t="n">
        <v>0</v>
      </c>
    </row>
    <row r="7">
      <c r="A7" s="3" t="n">
        <v>44348</v>
      </c>
      <c r="B7" t="n">
        <v>0.5488810688953648</v>
      </c>
      <c r="C7" t="n">
        <v>0.1335294441084291</v>
      </c>
      <c r="D7" t="n">
        <v>0</v>
      </c>
    </row>
    <row r="8">
      <c r="A8" s="3" t="n">
        <v>44378</v>
      </c>
      <c r="B8" t="n">
        <v>0.5304338263594875</v>
      </c>
      <c r="C8" t="n">
        <v>0.1388079397371749</v>
      </c>
      <c r="D8" t="n">
        <v>0</v>
      </c>
    </row>
    <row r="9">
      <c r="A9" s="3" t="n">
        <v>44409</v>
      </c>
      <c r="B9" t="n">
        <v>0.5067080881948645</v>
      </c>
      <c r="C9" t="n">
        <v>0.1440314510364546</v>
      </c>
      <c r="D9" t="n">
        <v>0</v>
      </c>
    </row>
    <row r="10">
      <c r="A10" s="3" t="n">
        <v>44440</v>
      </c>
      <c r="B10" t="n">
        <v>0.5014295925661186</v>
      </c>
      <c r="C10" t="n">
        <v>0.1423819211524716</v>
      </c>
      <c r="D10" t="n">
        <v>0</v>
      </c>
    </row>
    <row r="11">
      <c r="A11" s="3" t="n">
        <v>44470</v>
      </c>
      <c r="B11" t="n">
        <v>0.5044812228514873</v>
      </c>
      <c r="C11" t="n">
        <v>0.1375433001594546</v>
      </c>
      <c r="D11" t="n">
        <v>0</v>
      </c>
    </row>
    <row r="12">
      <c r="A12" s="3" t="n">
        <v>44501</v>
      </c>
      <c r="B12" t="n">
        <v>0.4983229779512839</v>
      </c>
      <c r="C12" t="n">
        <v>0.1352339583218783</v>
      </c>
      <c r="D12" t="n">
        <v>0</v>
      </c>
    </row>
    <row r="13">
      <c r="A13" s="3" t="n">
        <v>44531</v>
      </c>
      <c r="B13" t="n">
        <v>0.4767416286358388</v>
      </c>
      <c r="C13" t="n">
        <v>0.1389454005608401</v>
      </c>
      <c r="D13" t="n">
        <v>0</v>
      </c>
    </row>
    <row r="14">
      <c r="A14" s="3" t="n">
        <v>44562</v>
      </c>
      <c r="B14" t="n">
        <v>0.5280420080277121</v>
      </c>
      <c r="C14" t="n">
        <v>0.1300929235167977</v>
      </c>
      <c r="D14" t="n">
        <v>0.001209655248254247</v>
      </c>
    </row>
    <row r="15">
      <c r="A15" s="3" t="n">
        <v>44593</v>
      </c>
      <c r="B15" t="n">
        <v>0.4965359872436356</v>
      </c>
      <c r="C15" t="n">
        <v>0.1306427668114587</v>
      </c>
    </row>
    <row r="16">
      <c r="A16" s="3" t="n">
        <v>44621</v>
      </c>
      <c r="B16" t="n">
        <v>0.5387639522736021</v>
      </c>
      <c r="C16" t="n">
        <v>0.09473799967009403</v>
      </c>
    </row>
    <row r="17">
      <c r="A17" s="3" t="n">
        <v>44652</v>
      </c>
      <c r="B17" t="n">
        <v>0.5105294990927586</v>
      </c>
      <c r="C17" t="n">
        <v>0.1005388464287678</v>
      </c>
    </row>
    <row r="18">
      <c r="A18" s="3" t="n">
        <v>44682</v>
      </c>
      <c r="B18" t="n">
        <v>0.4675867377797328</v>
      </c>
      <c r="C18" t="n">
        <v>0.1359212624402046</v>
      </c>
    </row>
    <row r="19">
      <c r="A19" s="3" t="n">
        <v>44713</v>
      </c>
      <c r="B19" t="n">
        <v>0.5021168966844449</v>
      </c>
      <c r="C19" t="n">
        <v>0.09091658877219992</v>
      </c>
    </row>
    <row r="20">
      <c r="A20" s="3" t="n">
        <v>44743</v>
      </c>
      <c r="B20" t="n">
        <v>0.5197668664430637</v>
      </c>
      <c r="C20" t="n">
        <v>0.09099906526639907</v>
      </c>
    </row>
    <row r="21">
      <c r="A21" s="3" t="n">
        <v>44774</v>
      </c>
      <c r="B21" t="n">
        <v>0.5026667399791059</v>
      </c>
      <c r="C21" t="n">
        <v>0.06930774729202177</v>
      </c>
    </row>
    <row r="22">
      <c r="A22" s="3" t="n">
        <v>44805</v>
      </c>
      <c r="B22" t="n">
        <v>0.4860614724803431</v>
      </c>
      <c r="C22" t="n">
        <v>0.1021608841480178</v>
      </c>
    </row>
    <row r="23">
      <c r="A23" s="3" t="n">
        <v>44835</v>
      </c>
      <c r="B23" t="n">
        <v>0.4191455435200968</v>
      </c>
      <c r="C23" t="n">
        <v>0.137763237477319</v>
      </c>
    </row>
    <row r="24">
      <c r="A24" s="3" t="n">
        <v>44866</v>
      </c>
      <c r="B24" t="n">
        <v>0.4123824709957662</v>
      </c>
      <c r="C24" t="n">
        <v>0.149612360477264</v>
      </c>
    </row>
    <row r="25">
      <c r="A25" s="3" t="n">
        <v>44896</v>
      </c>
      <c r="B25" t="n">
        <v>0.409578270192995</v>
      </c>
      <c r="C25" t="n">
        <v>0.1229724528509375</v>
      </c>
    </row>
    <row r="26">
      <c r="A26" s="3" t="n">
        <v>44927</v>
      </c>
      <c r="B26" t="n">
        <v>0.4704734150767031</v>
      </c>
      <c r="C26" t="n">
        <v>0.1104360257326662</v>
      </c>
    </row>
    <row r="27">
      <c r="A27" s="3" t="n">
        <v>44958</v>
      </c>
      <c r="B27" t="n">
        <v>0.434348710617474</v>
      </c>
      <c r="C27" t="n">
        <v>0.1048001319623907</v>
      </c>
    </row>
    <row r="28">
      <c r="A28" s="3" t="n">
        <v>44986</v>
      </c>
      <c r="B28" t="n">
        <v>0.4426788365315885</v>
      </c>
      <c r="C28" t="n">
        <v>0.09278605597404739</v>
      </c>
    </row>
    <row r="29">
      <c r="A29" s="3" t="n">
        <v>45017</v>
      </c>
      <c r="B29" t="n">
        <v>0.4223071424643977</v>
      </c>
      <c r="C29" t="n">
        <v>0.1102435805795348</v>
      </c>
    </row>
    <row r="30">
      <c r="A30" s="3" t="n">
        <v>45047</v>
      </c>
      <c r="B30" t="n">
        <v>0.4261560455270248</v>
      </c>
      <c r="C30" t="n">
        <v>0.1143399131247594</v>
      </c>
    </row>
    <row r="31">
      <c r="A31" s="3" t="n">
        <v>45078</v>
      </c>
      <c r="B31" t="n">
        <v>0.4453455765106945</v>
      </c>
      <c r="C31" t="n">
        <v>0.09281354813878044</v>
      </c>
    </row>
    <row r="32">
      <c r="A32" s="3" t="n">
        <v>45108</v>
      </c>
      <c r="B32" t="n">
        <v>0.4207125969098807</v>
      </c>
      <c r="C32" t="n">
        <v>0.1028756804310771</v>
      </c>
    </row>
    <row r="33">
      <c r="A33" s="3" t="n">
        <v>45139</v>
      </c>
      <c r="B33" t="n">
        <v>0.410128113487656</v>
      </c>
      <c r="C33" t="n">
        <v>0.1262165282894375</v>
      </c>
    </row>
    <row r="34">
      <c r="A34" s="3" t="n">
        <v>45170</v>
      </c>
      <c r="B34" t="n">
        <v>0.3922032220817067</v>
      </c>
      <c r="C34" t="n">
        <v>0.1254742398416451</v>
      </c>
    </row>
    <row r="35">
      <c r="A35" s="3" t="n">
        <v>45200</v>
      </c>
      <c r="B35" t="n">
        <v>0.3936603068125584</v>
      </c>
      <c r="C35" t="n">
        <v>0.123274866663001</v>
      </c>
    </row>
    <row r="36">
      <c r="A36" s="3" t="n">
        <v>45231</v>
      </c>
      <c r="B36" t="n">
        <v>0.523643261670424</v>
      </c>
      <c r="C36" t="n">
        <v>0.02433056578875021</v>
      </c>
    </row>
    <row r="37">
      <c r="A37" s="3" t="n">
        <v>45261</v>
      </c>
      <c r="B37" t="n">
        <v>0.3897839115851982</v>
      </c>
      <c r="C37" t="n">
        <v>0.1262165282894375</v>
      </c>
    </row>
    <row r="38">
      <c r="A38" s="3" t="n">
        <v>45292</v>
      </c>
      <c r="B38" t="n">
        <v>0.4097432231813933</v>
      </c>
      <c r="C38" t="n">
        <v>0.1171441139275307</v>
      </c>
      <c r="D38" t="n">
        <v>0</v>
      </c>
    </row>
    <row r="39">
      <c r="A39" s="3" t="n">
        <v>45323</v>
      </c>
      <c r="B39" t="n">
        <v>0.4291526914829273</v>
      </c>
      <c r="C39" t="n">
        <v>0.09152141639632705</v>
      </c>
      <c r="D39" t="n">
        <v>0</v>
      </c>
    </row>
    <row r="40">
      <c r="A40" s="3" t="n">
        <v>45352</v>
      </c>
      <c r="B40" t="n">
        <v>0.4006158244900204</v>
      </c>
      <c r="C40" t="n">
        <v>0.09715731016660252</v>
      </c>
      <c r="D40" t="n">
        <v>0</v>
      </c>
    </row>
    <row r="41">
      <c r="A41" s="3" t="n">
        <v>45383</v>
      </c>
      <c r="B41" t="n">
        <v>0.4211249793808765</v>
      </c>
      <c r="C41" t="n">
        <v>0.1030681255842085</v>
      </c>
      <c r="D41" t="n">
        <v>0</v>
      </c>
    </row>
    <row r="42">
      <c r="A42" s="3" t="n">
        <v>45413</v>
      </c>
      <c r="B42" t="n">
        <v>0.4023478308682026</v>
      </c>
      <c r="C42" t="n">
        <v>0.1132127343707044</v>
      </c>
      <c r="D42" t="n">
        <v>0</v>
      </c>
    </row>
    <row r="43">
      <c r="A43" s="3" t="n">
        <v>45444</v>
      </c>
      <c r="B43" t="n">
        <v>0.3986913729587068</v>
      </c>
      <c r="C43" t="n">
        <v>0.1207455875075603</v>
      </c>
      <c r="D43" t="n">
        <v>0</v>
      </c>
    </row>
    <row r="44">
      <c r="A44" s="3" t="n">
        <v>45474</v>
      </c>
      <c r="B44" t="n">
        <v>0.3914334414691813</v>
      </c>
      <c r="C44" t="n">
        <v>0.1414746797162809</v>
      </c>
      <c r="D44" t="n">
        <v>0</v>
      </c>
    </row>
    <row r="45">
      <c r="A45" s="3" t="n">
        <v>45505</v>
      </c>
      <c r="B45" t="n">
        <v>0.3795843184692363</v>
      </c>
      <c r="C45" t="n">
        <v>0.1388354319019079</v>
      </c>
      <c r="D45" t="n">
        <v>0</v>
      </c>
    </row>
    <row r="46">
      <c r="A46" s="3" t="n">
        <v>45536</v>
      </c>
      <c r="B46" t="n">
        <v>0.4619233518447243</v>
      </c>
      <c r="C46" t="n">
        <v>0.0825589706933524</v>
      </c>
      <c r="D46" t="n">
        <v>0</v>
      </c>
    </row>
    <row r="47">
      <c r="A47" s="3" t="n">
        <v>45566</v>
      </c>
      <c r="B47" t="n">
        <v>0.5201242645845934</v>
      </c>
      <c r="C47" t="n">
        <v>0.01286633309506791</v>
      </c>
      <c r="D47" t="n">
        <v>0</v>
      </c>
    </row>
    <row r="48">
      <c r="A48" s="3" t="n">
        <v>45597</v>
      </c>
      <c r="B48" t="n">
        <v>0.5101446087864958</v>
      </c>
      <c r="C48" t="n">
        <v>0.00992467146863144</v>
      </c>
      <c r="D48" t="n">
        <v>0</v>
      </c>
    </row>
    <row r="49">
      <c r="A49" s="3" t="n">
        <v>45627</v>
      </c>
      <c r="B49" t="n">
        <v>0.4810578984989278</v>
      </c>
      <c r="C49" t="n">
        <v>0.009072414361906856</v>
      </c>
      <c r="D49" t="n">
        <v>0.004261285533622918</v>
      </c>
    </row>
    <row r="50">
      <c r="A50" s="3" t="n">
        <v>45658</v>
      </c>
      <c r="B50" t="n">
        <v>0.5259251113432671</v>
      </c>
      <c r="C50" t="n">
        <v>0.01498322977951284</v>
      </c>
    </row>
    <row r="51">
      <c r="A51" s="3" t="n">
        <v>45689</v>
      </c>
      <c r="B51" t="n">
        <v>0.4411392753065376</v>
      </c>
      <c r="C51" t="n">
        <v>0.07717050640567438</v>
      </c>
    </row>
    <row r="52">
      <c r="A52" s="3" t="n">
        <v>45717</v>
      </c>
      <c r="B52" t="n">
        <v>0.485456644856216</v>
      </c>
      <c r="C52" t="n">
        <v>0.03224830923186892</v>
      </c>
    </row>
    <row r="53">
      <c r="A53" s="3" t="n">
        <v>45748</v>
      </c>
      <c r="B53" t="n">
        <v>0.4275031615989443</v>
      </c>
      <c r="C53" t="n">
        <v>0.05545169626656403</v>
      </c>
    </row>
    <row r="54">
      <c r="A54" s="3" t="n">
        <v>45778</v>
      </c>
      <c r="B54" t="n">
        <v>0.4608236652554022</v>
      </c>
      <c r="C54" t="n">
        <v>0.05426953318304283</v>
      </c>
    </row>
    <row r="55">
      <c r="A55" s="3" t="n">
        <v>45809</v>
      </c>
      <c r="B55" t="n">
        <v>0.4322593060977621</v>
      </c>
      <c r="C55" t="n">
        <v>0.0560290317259581</v>
      </c>
    </row>
    <row r="56">
      <c r="A56" s="3" t="n">
        <v>45839</v>
      </c>
      <c r="B56" t="n">
        <v>0.4239291801836477</v>
      </c>
      <c r="C56" t="n">
        <v>0.06919777863308957</v>
      </c>
    </row>
    <row r="57">
      <c r="A57" s="3" t="n">
        <v>45870</v>
      </c>
      <c r="B57" t="n">
        <v>0.4232693682300545</v>
      </c>
      <c r="C57" t="n">
        <v>0.07936987958431847</v>
      </c>
    </row>
    <row r="58">
      <c r="A58" s="3" t="n">
        <v>45901</v>
      </c>
      <c r="B58" t="n">
        <v>0.4551602793203937</v>
      </c>
      <c r="C58" t="n">
        <v>0.05157530103920382</v>
      </c>
    </row>
    <row r="59">
      <c r="A59" s="3" t="n">
        <v>45931</v>
      </c>
      <c r="B59" t="n">
        <v>0.3930004948589652</v>
      </c>
      <c r="C59" t="n">
        <v>0.08753505251003464</v>
      </c>
    </row>
    <row r="60">
      <c r="A60" s="3" t="n">
        <v>45962</v>
      </c>
      <c r="B60" t="n">
        <v>0.4476549183482708</v>
      </c>
      <c r="C60" t="n">
        <v>0.04088084895804696</v>
      </c>
    </row>
    <row r="61">
      <c r="A61" s="3" t="n">
        <v>45992</v>
      </c>
      <c r="B61" t="n">
        <v>0.410128113487656</v>
      </c>
      <c r="C61" t="n">
        <v>0.06037279375378017</v>
      </c>
    </row>
    <row r="62">
      <c r="A62" s="3" t="n">
        <v>46023</v>
      </c>
      <c r="B62" t="n">
        <v>0.4882608456589872</v>
      </c>
      <c r="C62" t="n">
        <v>0.0202342332435256</v>
      </c>
      <c r="D62" t="n">
        <v>0.01921702314840271</v>
      </c>
    </row>
    <row r="63">
      <c r="A63" s="3" t="n">
        <v>46054</v>
      </c>
      <c r="B63" t="n">
        <v>0.4790784626381481</v>
      </c>
      <c r="C63" t="n">
        <v>0</v>
      </c>
      <c r="D63" t="n">
        <v>0.0127013801066696</v>
      </c>
    </row>
    <row r="64">
      <c r="A64" s="3" t="n">
        <v>46082</v>
      </c>
      <c r="B64" t="n">
        <v>0.5294166162643646</v>
      </c>
      <c r="C64" t="n">
        <v>0</v>
      </c>
      <c r="D64" t="n">
        <v>0.01844724253587728</v>
      </c>
    </row>
    <row r="65">
      <c r="A65" s="3" t="n">
        <v>46113</v>
      </c>
      <c r="B65" t="n">
        <v>0.6448012316489801</v>
      </c>
      <c r="C65" t="n">
        <v>0.0115742013526145</v>
      </c>
    </row>
    <row r="66">
      <c r="A66" s="3" t="n">
        <v>46143</v>
      </c>
      <c r="B66" t="n">
        <v>0.6965414856765821</v>
      </c>
      <c r="C66" t="n">
        <v>0.03219332490240281</v>
      </c>
    </row>
    <row r="67">
      <c r="A67" s="3" t="n">
        <v>46174</v>
      </c>
      <c r="B67" t="n">
        <v>0.6562654643426623</v>
      </c>
      <c r="C67" t="n">
        <v>0.06419420465167427</v>
      </c>
    </row>
    <row r="68">
      <c r="A68" s="3" t="n">
        <v>46204</v>
      </c>
      <c r="B68" t="n">
        <v>0.6096662451201408</v>
      </c>
      <c r="C68" t="n">
        <v>0.08132182328036509</v>
      </c>
    </row>
    <row r="69">
      <c r="A69" s="3" t="n">
        <v>46235</v>
      </c>
      <c r="B69" t="n">
        <v>0.5567713201737505</v>
      </c>
      <c r="C69" t="n">
        <v>0.1111783141804586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Amistad_production_BOE_per_day</t>
        </is>
      </c>
      <c r="D1" t="inlineStr">
        <is>
          <t>Power_MMBtu_per_day</t>
        </is>
      </c>
      <c r="E1" t="inlineStr">
        <is>
          <t>Industrial_LNG_MMBtu_per_day</t>
        </is>
      </c>
      <c r="F1" t="inlineStr">
        <is>
          <t>Total_sales_MMBtu_per_day</t>
        </is>
      </c>
      <c r="G1" t="inlineStr">
        <is>
          <t>Total_sales_MMcf_per_day_approx</t>
        </is>
      </c>
      <c r="H1" t="inlineStr">
        <is>
          <t>Amistad_production_MMBtu_per_day</t>
        </is>
      </c>
    </row>
    <row r="2">
      <c r="A2" t="n">
        <v>0</v>
      </c>
      <c r="B2" t="inlineStr">
        <is>
          <t>2021-01</t>
        </is>
      </c>
      <c r="D2" t="n">
        <v>23316</v>
      </c>
      <c r="E2" t="n">
        <v>2957</v>
      </c>
      <c r="F2" t="n">
        <v>26273</v>
      </c>
      <c r="G2" t="n">
        <v>25.51</v>
      </c>
    </row>
    <row r="3">
      <c r="A3" t="n">
        <v>1</v>
      </c>
      <c r="B3" t="inlineStr">
        <is>
          <t>2021-02</t>
        </is>
      </c>
      <c r="D3" t="n">
        <v>21764</v>
      </c>
      <c r="E3" t="n">
        <v>5024</v>
      </c>
      <c r="F3" t="n">
        <v>26788</v>
      </c>
      <c r="G3" t="n">
        <v>26.01</v>
      </c>
    </row>
    <row r="4">
      <c r="A4" t="n">
        <v>2</v>
      </c>
      <c r="B4" t="inlineStr">
        <is>
          <t>2021-03</t>
        </is>
      </c>
      <c r="D4" t="n">
        <v>22610</v>
      </c>
      <c r="E4" t="n">
        <v>3071</v>
      </c>
      <c r="F4" t="n">
        <v>25681</v>
      </c>
      <c r="G4" t="n">
        <v>24.93</v>
      </c>
    </row>
    <row r="5">
      <c r="A5" t="n">
        <v>3</v>
      </c>
      <c r="B5" t="inlineStr">
        <is>
          <t>2021-04</t>
        </is>
      </c>
      <c r="D5" t="n">
        <v>20480</v>
      </c>
      <c r="E5" t="n">
        <v>4962</v>
      </c>
      <c r="F5" t="n">
        <v>25442</v>
      </c>
      <c r="G5" t="n">
        <v>24.7</v>
      </c>
    </row>
    <row r="6">
      <c r="A6" t="n">
        <v>4</v>
      </c>
      <c r="B6" t="inlineStr">
        <is>
          <t>2021-05</t>
        </is>
      </c>
      <c r="D6" t="n">
        <v>19232</v>
      </c>
      <c r="E6" t="n">
        <v>5036</v>
      </c>
      <c r="F6" t="n">
        <v>24268</v>
      </c>
      <c r="G6" t="n">
        <v>23.56</v>
      </c>
    </row>
    <row r="7">
      <c r="A7" t="n">
        <v>5</v>
      </c>
      <c r="B7" t="inlineStr">
        <is>
          <t>2021-06</t>
        </is>
      </c>
      <c r="D7" t="n">
        <v>19965</v>
      </c>
      <c r="E7" t="n">
        <v>4857</v>
      </c>
      <c r="F7" t="n">
        <v>24822</v>
      </c>
      <c r="G7" t="n">
        <v>24.1</v>
      </c>
    </row>
    <row r="8">
      <c r="A8" t="n">
        <v>6</v>
      </c>
      <c r="B8" t="inlineStr">
        <is>
          <t>2021-07</t>
        </is>
      </c>
      <c r="D8" t="n">
        <v>19294</v>
      </c>
      <c r="E8" t="n">
        <v>5049</v>
      </c>
      <c r="F8" t="n">
        <v>24343</v>
      </c>
      <c r="G8" t="n">
        <v>23.63</v>
      </c>
    </row>
    <row r="9">
      <c r="A9" t="n">
        <v>7</v>
      </c>
      <c r="B9" t="inlineStr">
        <is>
          <t>2021-08</t>
        </is>
      </c>
      <c r="D9" t="n">
        <v>18431</v>
      </c>
      <c r="E9" t="n">
        <v>5239</v>
      </c>
      <c r="F9" t="n">
        <v>23670</v>
      </c>
      <c r="G9" t="n">
        <v>22.98</v>
      </c>
    </row>
    <row r="10">
      <c r="A10" t="n">
        <v>8</v>
      </c>
      <c r="B10" t="inlineStr">
        <is>
          <t>2021-09</t>
        </is>
      </c>
      <c r="D10" t="n">
        <v>18239</v>
      </c>
      <c r="E10" t="n">
        <v>5179</v>
      </c>
      <c r="F10" t="n">
        <v>23418</v>
      </c>
      <c r="G10" t="n">
        <v>22.74</v>
      </c>
    </row>
    <row r="11">
      <c r="A11" t="n">
        <v>9</v>
      </c>
      <c r="B11" t="inlineStr">
        <is>
          <t>2021-10</t>
        </is>
      </c>
      <c r="D11" t="n">
        <v>18350</v>
      </c>
      <c r="E11" t="n">
        <v>5003</v>
      </c>
      <c r="F11" t="n">
        <v>23353</v>
      </c>
      <c r="G11" t="n">
        <v>22.67</v>
      </c>
    </row>
    <row r="12">
      <c r="A12" t="n">
        <v>10</v>
      </c>
      <c r="B12" t="inlineStr">
        <is>
          <t>2021-11</t>
        </is>
      </c>
      <c r="D12" t="n">
        <v>18126</v>
      </c>
      <c r="E12" t="n">
        <v>4919</v>
      </c>
      <c r="F12" t="n">
        <v>23045</v>
      </c>
      <c r="G12" t="n">
        <v>22.37</v>
      </c>
    </row>
    <row r="13">
      <c r="A13" t="n">
        <v>11</v>
      </c>
      <c r="B13" t="inlineStr">
        <is>
          <t>2021-12</t>
        </is>
      </c>
      <c r="D13" t="n">
        <v>17341</v>
      </c>
      <c r="E13" t="n">
        <v>5054</v>
      </c>
      <c r="F13" t="n">
        <v>22395</v>
      </c>
      <c r="G13" t="n">
        <v>21.74</v>
      </c>
    </row>
    <row r="14">
      <c r="A14" t="n">
        <v>12</v>
      </c>
      <c r="B14" t="inlineStr">
        <is>
          <t>2022-01</t>
        </is>
      </c>
      <c r="D14" t="n">
        <v>19207</v>
      </c>
      <c r="E14" t="n">
        <v>4732</v>
      </c>
      <c r="F14" t="n">
        <v>23939</v>
      </c>
      <c r="G14" t="n">
        <v>23.24</v>
      </c>
    </row>
    <row r="15">
      <c r="A15" t="n">
        <v>13</v>
      </c>
      <c r="B15" t="inlineStr">
        <is>
          <t>2022-02</t>
        </is>
      </c>
      <c r="D15" t="n">
        <v>18061</v>
      </c>
      <c r="E15" t="n">
        <v>4752</v>
      </c>
      <c r="F15" t="n">
        <v>22813</v>
      </c>
      <c r="G15" t="n">
        <v>22.15</v>
      </c>
    </row>
    <row r="16">
      <c r="A16" t="n">
        <v>14</v>
      </c>
      <c r="B16" t="inlineStr">
        <is>
          <t>2022-03</t>
        </is>
      </c>
      <c r="D16" t="n">
        <v>19597</v>
      </c>
      <c r="E16" t="n">
        <v>3446</v>
      </c>
      <c r="F16" t="n">
        <v>23043</v>
      </c>
      <c r="G16" t="n">
        <v>22.37</v>
      </c>
    </row>
    <row r="17">
      <c r="A17" t="n">
        <v>15</v>
      </c>
      <c r="B17" t="inlineStr">
        <is>
          <t>2022-04</t>
        </is>
      </c>
      <c r="D17" t="n">
        <v>18570</v>
      </c>
      <c r="E17" t="n">
        <v>3657</v>
      </c>
      <c r="F17" t="n">
        <v>22227</v>
      </c>
      <c r="G17" t="n">
        <v>21.58</v>
      </c>
    </row>
    <row r="18">
      <c r="A18" t="n">
        <v>16</v>
      </c>
      <c r="B18" t="inlineStr">
        <is>
          <t>2022-05</t>
        </is>
      </c>
      <c r="D18" t="n">
        <v>17008</v>
      </c>
      <c r="E18" t="n">
        <v>4944</v>
      </c>
      <c r="F18" t="n">
        <v>21952</v>
      </c>
      <c r="G18" t="n">
        <v>21.31</v>
      </c>
    </row>
    <row r="19">
      <c r="A19" t="n">
        <v>17</v>
      </c>
      <c r="B19" t="inlineStr">
        <is>
          <t>2022-06</t>
        </is>
      </c>
      <c r="D19" t="n">
        <v>18264</v>
      </c>
      <c r="E19" t="n">
        <v>3307</v>
      </c>
      <c r="F19" t="n">
        <v>21571</v>
      </c>
      <c r="G19" t="n">
        <v>20.94</v>
      </c>
    </row>
    <row r="20">
      <c r="A20" t="n">
        <v>18</v>
      </c>
      <c r="B20" t="inlineStr">
        <is>
          <t>2022-07</t>
        </is>
      </c>
      <c r="D20" t="n">
        <v>18906</v>
      </c>
      <c r="E20" t="n">
        <v>3310</v>
      </c>
      <c r="F20" t="n">
        <v>22216</v>
      </c>
      <c r="G20" t="n">
        <v>21.57</v>
      </c>
    </row>
    <row r="21">
      <c r="A21" t="n">
        <v>19</v>
      </c>
      <c r="B21" t="inlineStr">
        <is>
          <t>2022-08</t>
        </is>
      </c>
      <c r="D21" t="n">
        <v>18284</v>
      </c>
      <c r="E21" t="n">
        <v>2521</v>
      </c>
      <c r="F21" t="n">
        <v>20805</v>
      </c>
      <c r="G21" t="n">
        <v>20.2</v>
      </c>
    </row>
    <row r="22">
      <c r="A22" t="n">
        <v>20</v>
      </c>
      <c r="B22" t="inlineStr">
        <is>
          <t>2022-09</t>
        </is>
      </c>
      <c r="D22" t="n">
        <v>17680</v>
      </c>
      <c r="E22" t="n">
        <v>3716</v>
      </c>
      <c r="F22" t="n">
        <v>21396</v>
      </c>
      <c r="G22" t="n">
        <v>20.77</v>
      </c>
    </row>
    <row r="23">
      <c r="A23" t="n">
        <v>21</v>
      </c>
      <c r="B23" t="inlineStr">
        <is>
          <t>2022-10</t>
        </is>
      </c>
      <c r="D23" t="n">
        <v>15246</v>
      </c>
      <c r="E23" t="n">
        <v>5011</v>
      </c>
      <c r="F23" t="n">
        <v>20257</v>
      </c>
      <c r="G23" t="n">
        <v>19.67</v>
      </c>
    </row>
    <row r="24">
      <c r="A24" t="n">
        <v>22</v>
      </c>
      <c r="B24" t="inlineStr">
        <is>
          <t>2022-11</t>
        </is>
      </c>
      <c r="D24" t="n">
        <v>15000</v>
      </c>
      <c r="E24" t="n">
        <v>5442</v>
      </c>
      <c r="F24" t="n">
        <v>20442</v>
      </c>
      <c r="G24" t="n">
        <v>19.85</v>
      </c>
    </row>
    <row r="25">
      <c r="A25" t="n">
        <v>23</v>
      </c>
      <c r="B25" t="inlineStr">
        <is>
          <t>2022-12</t>
        </is>
      </c>
      <c r="D25" t="n">
        <v>14898</v>
      </c>
      <c r="E25" t="n">
        <v>4473</v>
      </c>
      <c r="F25" t="n">
        <v>19371</v>
      </c>
      <c r="G25" t="n">
        <v>18.81</v>
      </c>
    </row>
    <row r="26">
      <c r="A26" t="n">
        <v>24</v>
      </c>
      <c r="B26" t="inlineStr">
        <is>
          <t>2023-01</t>
        </is>
      </c>
      <c r="C26" t="n">
        <v>3702</v>
      </c>
      <c r="D26" t="n">
        <v>17113</v>
      </c>
      <c r="E26" t="n">
        <v>4017</v>
      </c>
      <c r="F26" t="n">
        <v>21130</v>
      </c>
      <c r="G26" t="n">
        <v>20.51</v>
      </c>
      <c r="H26" t="n">
        <v>21472</v>
      </c>
    </row>
    <row r="27">
      <c r="A27" t="n">
        <v>25</v>
      </c>
      <c r="B27" t="inlineStr">
        <is>
          <t>2023-02</t>
        </is>
      </c>
      <c r="C27" t="n">
        <v>3671</v>
      </c>
      <c r="D27" t="n">
        <v>15799</v>
      </c>
      <c r="E27" t="n">
        <v>3812</v>
      </c>
      <c r="F27" t="n">
        <v>19611</v>
      </c>
      <c r="G27" t="n">
        <v>19.04</v>
      </c>
      <c r="H27" t="n">
        <v>21292</v>
      </c>
    </row>
    <row r="28">
      <c r="A28" t="n">
        <v>26</v>
      </c>
      <c r="B28" t="inlineStr">
        <is>
          <t>2023-03</t>
        </is>
      </c>
      <c r="C28" t="n">
        <v>3605</v>
      </c>
      <c r="D28" t="n">
        <v>16102</v>
      </c>
      <c r="E28" t="n">
        <v>3375</v>
      </c>
      <c r="F28" t="n">
        <v>19477</v>
      </c>
      <c r="G28" t="n">
        <v>18.91</v>
      </c>
      <c r="H28" t="n">
        <v>20909</v>
      </c>
    </row>
    <row r="29">
      <c r="A29" t="n">
        <v>27</v>
      </c>
      <c r="B29" t="inlineStr">
        <is>
          <t>2023-04</t>
        </is>
      </c>
      <c r="C29" t="n">
        <v>3587</v>
      </c>
      <c r="D29" t="n">
        <v>15361</v>
      </c>
      <c r="E29" t="n">
        <v>4010</v>
      </c>
      <c r="F29" t="n">
        <v>19371</v>
      </c>
      <c r="G29" t="n">
        <v>18.81</v>
      </c>
      <c r="H29" t="n">
        <v>20805</v>
      </c>
    </row>
    <row r="30">
      <c r="A30" t="n">
        <v>28</v>
      </c>
      <c r="B30" t="inlineStr">
        <is>
          <t>2023-05</t>
        </is>
      </c>
      <c r="C30" t="n">
        <v>3569</v>
      </c>
      <c r="D30" t="n">
        <v>15501</v>
      </c>
      <c r="E30" t="n">
        <v>4159</v>
      </c>
      <c r="F30" t="n">
        <v>19660</v>
      </c>
      <c r="G30" t="n">
        <v>19.09</v>
      </c>
      <c r="H30" t="n">
        <v>20700</v>
      </c>
    </row>
    <row r="31">
      <c r="A31" t="n">
        <v>29</v>
      </c>
      <c r="B31" t="inlineStr">
        <is>
          <t>2023-06</t>
        </is>
      </c>
      <c r="C31" t="n">
        <v>3550</v>
      </c>
      <c r="D31" t="n">
        <v>16199</v>
      </c>
      <c r="E31" t="n">
        <v>3376</v>
      </c>
      <c r="F31" t="n">
        <v>19575</v>
      </c>
      <c r="G31" t="n">
        <v>19</v>
      </c>
      <c r="H31" t="n">
        <v>20590</v>
      </c>
    </row>
    <row r="32">
      <c r="A32" t="n">
        <v>30</v>
      </c>
      <c r="B32" t="inlineStr">
        <is>
          <t>2023-07</t>
        </is>
      </c>
      <c r="C32" t="n">
        <v>3549</v>
      </c>
      <c r="D32" t="n">
        <v>15303</v>
      </c>
      <c r="E32" t="n">
        <v>3742</v>
      </c>
      <c r="F32" t="n">
        <v>19045</v>
      </c>
      <c r="G32" t="n">
        <v>18.49</v>
      </c>
      <c r="H32" t="n">
        <v>20584</v>
      </c>
    </row>
    <row r="33">
      <c r="A33" t="n">
        <v>31</v>
      </c>
      <c r="B33" t="inlineStr">
        <is>
          <t>2023-08</t>
        </is>
      </c>
      <c r="C33" t="n">
        <v>3541</v>
      </c>
      <c r="D33" t="n">
        <v>14918</v>
      </c>
      <c r="E33" t="n">
        <v>4591</v>
      </c>
      <c r="F33" t="n">
        <v>19509</v>
      </c>
      <c r="G33" t="n">
        <v>18.94</v>
      </c>
      <c r="H33" t="n">
        <v>20538</v>
      </c>
    </row>
    <row r="34">
      <c r="A34" t="n">
        <v>32</v>
      </c>
      <c r="B34" t="inlineStr">
        <is>
          <t>2023-09</t>
        </is>
      </c>
      <c r="C34" t="n">
        <v>3530</v>
      </c>
      <c r="D34" t="n">
        <v>14266</v>
      </c>
      <c r="E34" t="n">
        <v>4564</v>
      </c>
      <c r="F34" t="n">
        <v>18830</v>
      </c>
      <c r="G34" t="n">
        <v>18.28</v>
      </c>
      <c r="H34" t="n">
        <v>20474</v>
      </c>
    </row>
    <row r="35">
      <c r="A35" t="n">
        <v>33</v>
      </c>
      <c r="B35" t="inlineStr">
        <is>
          <t>2023-10</t>
        </is>
      </c>
      <c r="C35" t="n">
        <v>3503</v>
      </c>
      <c r="D35" t="n">
        <v>14319</v>
      </c>
      <c r="E35" t="n">
        <v>4484</v>
      </c>
      <c r="F35" t="n">
        <v>18803</v>
      </c>
      <c r="G35" t="n">
        <v>18.26</v>
      </c>
      <c r="H35" t="n">
        <v>20317</v>
      </c>
    </row>
    <row r="36">
      <c r="A36" t="n">
        <v>34</v>
      </c>
      <c r="B36" t="inlineStr">
        <is>
          <t>2023-11</t>
        </is>
      </c>
      <c r="C36" t="n">
        <v>3454</v>
      </c>
      <c r="D36" t="n">
        <v>19047</v>
      </c>
      <c r="E36" t="n">
        <v>885</v>
      </c>
      <c r="F36" t="n">
        <v>19932</v>
      </c>
      <c r="G36" t="n">
        <v>19.35</v>
      </c>
      <c r="H36" t="n">
        <v>20033</v>
      </c>
    </row>
    <row r="37">
      <c r="A37" t="n">
        <v>35</v>
      </c>
      <c r="B37" t="inlineStr">
        <is>
          <t>2023-12</t>
        </is>
      </c>
      <c r="C37" t="n">
        <v>3485</v>
      </c>
      <c r="D37" t="n">
        <v>14178</v>
      </c>
      <c r="E37" t="n">
        <v>4591</v>
      </c>
      <c r="F37" t="n">
        <v>18769</v>
      </c>
      <c r="G37" t="n">
        <v>18.22</v>
      </c>
      <c r="H37" t="n">
        <v>20213</v>
      </c>
    </row>
    <row r="38">
      <c r="A38" t="n">
        <v>36</v>
      </c>
      <c r="B38" t="inlineStr">
        <is>
          <t>2024-01</t>
        </is>
      </c>
      <c r="C38" t="n">
        <v>3507</v>
      </c>
      <c r="D38" t="n">
        <v>14904</v>
      </c>
      <c r="E38" t="n">
        <v>4261</v>
      </c>
      <c r="F38" t="n">
        <v>19165</v>
      </c>
      <c r="G38" t="n">
        <v>18.61</v>
      </c>
      <c r="H38" t="n">
        <v>20341</v>
      </c>
    </row>
    <row r="39">
      <c r="A39" t="n">
        <v>37</v>
      </c>
      <c r="B39" t="inlineStr">
        <is>
          <t>2024-02</t>
        </is>
      </c>
      <c r="C39" t="n">
        <v>3506</v>
      </c>
      <c r="D39" t="n">
        <v>15610</v>
      </c>
      <c r="E39" t="n">
        <v>3329</v>
      </c>
      <c r="F39" t="n">
        <v>18939</v>
      </c>
      <c r="G39" t="n">
        <v>18.39</v>
      </c>
      <c r="H39" t="n">
        <v>20335</v>
      </c>
    </row>
    <row r="40">
      <c r="A40" t="n">
        <v>38</v>
      </c>
      <c r="B40" t="inlineStr">
        <is>
          <t>2024-03</t>
        </is>
      </c>
      <c r="C40" t="n">
        <v>3500</v>
      </c>
      <c r="D40" t="n">
        <v>14572</v>
      </c>
      <c r="E40" t="n">
        <v>3534</v>
      </c>
      <c r="F40" t="n">
        <v>18106</v>
      </c>
      <c r="G40" t="n">
        <v>17.58</v>
      </c>
      <c r="H40" t="n">
        <v>20300</v>
      </c>
    </row>
    <row r="41">
      <c r="A41" t="n">
        <v>39</v>
      </c>
      <c r="B41" t="inlineStr">
        <is>
          <t>2024-04</t>
        </is>
      </c>
      <c r="C41" t="n">
        <v>3469</v>
      </c>
      <c r="D41" t="n">
        <v>15318</v>
      </c>
      <c r="E41" t="n">
        <v>3749</v>
      </c>
      <c r="F41" t="n">
        <v>19067</v>
      </c>
      <c r="G41" t="n">
        <v>18.51</v>
      </c>
      <c r="H41" t="n">
        <v>20120</v>
      </c>
    </row>
    <row r="42">
      <c r="A42" t="n">
        <v>40</v>
      </c>
      <c r="B42" t="inlineStr">
        <is>
          <t>2024-05</t>
        </is>
      </c>
      <c r="C42" t="n">
        <v>3450</v>
      </c>
      <c r="D42" t="n">
        <v>14635</v>
      </c>
      <c r="E42" t="n">
        <v>4118</v>
      </c>
      <c r="F42" t="n">
        <v>18753</v>
      </c>
      <c r="G42" t="n">
        <v>18.21</v>
      </c>
      <c r="H42" t="n">
        <v>20010</v>
      </c>
    </row>
    <row r="43">
      <c r="A43" t="n">
        <v>41</v>
      </c>
      <c r="B43" t="inlineStr">
        <is>
          <t>2024-06</t>
        </is>
      </c>
      <c r="C43" t="n">
        <v>3431</v>
      </c>
      <c r="D43" t="n">
        <v>14502</v>
      </c>
      <c r="E43" t="n">
        <v>4392</v>
      </c>
      <c r="F43" t="n">
        <v>18894</v>
      </c>
      <c r="G43" t="n">
        <v>18.34</v>
      </c>
      <c r="H43" t="n">
        <v>19900</v>
      </c>
    </row>
    <row r="44">
      <c r="A44" t="n">
        <v>42</v>
      </c>
      <c r="B44" t="inlineStr">
        <is>
          <t>2024-07</t>
        </is>
      </c>
      <c r="C44" t="n">
        <v>3414</v>
      </c>
      <c r="D44" t="n">
        <v>14238</v>
      </c>
      <c r="E44" t="n">
        <v>5146</v>
      </c>
      <c r="F44" t="n">
        <v>19384</v>
      </c>
      <c r="G44" t="n">
        <v>18.82</v>
      </c>
      <c r="H44" t="n">
        <v>19801</v>
      </c>
    </row>
    <row r="45">
      <c r="A45" t="n">
        <v>43</v>
      </c>
      <c r="B45" t="inlineStr">
        <is>
          <t>2024-08</t>
        </is>
      </c>
      <c r="C45" t="n">
        <v>3340</v>
      </c>
      <c r="D45" t="n">
        <v>13807</v>
      </c>
      <c r="E45" t="n">
        <v>5050</v>
      </c>
      <c r="F45" t="n">
        <v>18857</v>
      </c>
      <c r="G45" t="n">
        <v>18.31</v>
      </c>
      <c r="H45" t="n">
        <v>19372</v>
      </c>
    </row>
    <row r="46">
      <c r="A46" t="n">
        <v>44</v>
      </c>
      <c r="B46" t="inlineStr">
        <is>
          <t>2024-09</t>
        </is>
      </c>
      <c r="C46" t="n">
        <v>3334</v>
      </c>
      <c r="D46" t="n">
        <v>16802</v>
      </c>
      <c r="E46" t="n">
        <v>3003</v>
      </c>
      <c r="F46" t="n">
        <v>19805</v>
      </c>
      <c r="G46" t="n">
        <v>19.23</v>
      </c>
      <c r="H46" t="n">
        <v>19337</v>
      </c>
    </row>
    <row r="47">
      <c r="A47" t="n">
        <v>45</v>
      </c>
      <c r="B47" t="inlineStr">
        <is>
          <t>2024-10</t>
        </is>
      </c>
      <c r="C47" t="n">
        <v>3298</v>
      </c>
      <c r="D47" t="n">
        <v>18919</v>
      </c>
      <c r="E47" t="n">
        <v>468</v>
      </c>
      <c r="F47" t="n">
        <v>19387</v>
      </c>
      <c r="G47" t="n">
        <v>18.82</v>
      </c>
      <c r="H47" t="n">
        <v>19128</v>
      </c>
    </row>
    <row r="48">
      <c r="A48" t="n">
        <v>46</v>
      </c>
      <c r="B48" t="inlineStr">
        <is>
          <t>2024-11</t>
        </is>
      </c>
      <c r="C48" t="n">
        <v>3287</v>
      </c>
      <c r="D48" t="n">
        <v>18556</v>
      </c>
      <c r="E48" t="n">
        <v>361</v>
      </c>
      <c r="F48" t="n">
        <v>18917</v>
      </c>
      <c r="G48" t="n">
        <v>18.37</v>
      </c>
      <c r="H48" t="n">
        <v>19065</v>
      </c>
    </row>
    <row r="49">
      <c r="A49" t="n">
        <v>47</v>
      </c>
      <c r="B49" t="inlineStr">
        <is>
          <t>2024-12</t>
        </is>
      </c>
      <c r="C49" t="n">
        <v>3228</v>
      </c>
      <c r="D49" t="n">
        <v>17498</v>
      </c>
      <c r="E49" t="n">
        <v>330</v>
      </c>
      <c r="F49" t="n">
        <v>17828</v>
      </c>
      <c r="G49" t="n">
        <v>17.31</v>
      </c>
      <c r="H49" t="n">
        <v>18722</v>
      </c>
    </row>
    <row r="50">
      <c r="A50" t="n">
        <v>48</v>
      </c>
      <c r="B50" t="inlineStr">
        <is>
          <t>2025-01</t>
        </is>
      </c>
      <c r="C50" t="n">
        <v>3212</v>
      </c>
      <c r="D50" t="n">
        <v>19130</v>
      </c>
      <c r="E50" t="n">
        <v>545</v>
      </c>
      <c r="F50" t="n">
        <v>19675</v>
      </c>
      <c r="G50" t="n">
        <v>19.1</v>
      </c>
      <c r="H50" t="n">
        <v>18630</v>
      </c>
    </row>
    <row r="51">
      <c r="A51" t="n">
        <v>49</v>
      </c>
      <c r="B51" t="inlineStr">
        <is>
          <t>2025-02</t>
        </is>
      </c>
      <c r="C51" t="n">
        <v>3173</v>
      </c>
      <c r="D51" t="n">
        <v>16046</v>
      </c>
      <c r="E51" t="n">
        <v>2807</v>
      </c>
      <c r="F51" t="n">
        <v>18853</v>
      </c>
      <c r="G51" t="n">
        <v>18.3</v>
      </c>
      <c r="H51" t="n">
        <v>18403</v>
      </c>
    </row>
    <row r="52">
      <c r="A52" t="n">
        <v>50</v>
      </c>
      <c r="B52" t="inlineStr">
        <is>
          <t>2025-03</t>
        </is>
      </c>
      <c r="C52" t="n">
        <v>3179</v>
      </c>
      <c r="D52" t="n">
        <v>17658</v>
      </c>
      <c r="E52" t="n">
        <v>1173</v>
      </c>
      <c r="F52" t="n">
        <v>18831</v>
      </c>
      <c r="G52" t="n">
        <v>18.28</v>
      </c>
      <c r="H52" t="n">
        <v>18438</v>
      </c>
    </row>
    <row r="53">
      <c r="A53" t="n">
        <v>51</v>
      </c>
      <c r="B53" t="inlineStr">
        <is>
          <t>2025-04</t>
        </is>
      </c>
      <c r="C53" t="n">
        <v>3078</v>
      </c>
      <c r="D53" t="n">
        <v>15550</v>
      </c>
      <c r="E53" t="n">
        <v>2017</v>
      </c>
      <c r="F53" t="n">
        <v>17567</v>
      </c>
      <c r="G53" t="n">
        <v>17.06</v>
      </c>
      <c r="H53" t="n">
        <v>17852</v>
      </c>
    </row>
    <row r="54">
      <c r="A54" t="n">
        <v>52</v>
      </c>
      <c r="B54" t="inlineStr">
        <is>
          <t>2025-05</t>
        </is>
      </c>
      <c r="C54" t="n">
        <v>3113</v>
      </c>
      <c r="D54" t="n">
        <v>16762</v>
      </c>
      <c r="E54" t="n">
        <v>1974</v>
      </c>
      <c r="F54" t="n">
        <v>18736</v>
      </c>
      <c r="G54" t="n">
        <v>18.19</v>
      </c>
      <c r="H54" t="n">
        <v>18055</v>
      </c>
    </row>
    <row r="55">
      <c r="A55" t="n">
        <v>53</v>
      </c>
      <c r="B55" t="inlineStr">
        <is>
          <t>2025-06</t>
        </is>
      </c>
      <c r="C55" t="n">
        <v>3088</v>
      </c>
      <c r="D55" t="n">
        <v>15723</v>
      </c>
      <c r="E55" t="n">
        <v>2038</v>
      </c>
      <c r="F55" t="n">
        <v>17761</v>
      </c>
      <c r="G55" t="n">
        <v>17.24</v>
      </c>
      <c r="H55" t="n">
        <v>17910</v>
      </c>
    </row>
    <row r="56">
      <c r="A56" t="n">
        <v>54</v>
      </c>
      <c r="B56" t="inlineStr">
        <is>
          <t>2025-07</t>
        </is>
      </c>
      <c r="C56" t="n">
        <v>3103</v>
      </c>
      <c r="D56" t="n">
        <v>15420</v>
      </c>
      <c r="E56" t="n">
        <v>2517</v>
      </c>
      <c r="F56" t="n">
        <v>17937</v>
      </c>
      <c r="G56" t="n">
        <v>17.41</v>
      </c>
      <c r="H56" t="n">
        <v>17997</v>
      </c>
    </row>
    <row r="57">
      <c r="A57" t="n">
        <v>55</v>
      </c>
      <c r="B57" t="inlineStr">
        <is>
          <t>2025-08</t>
        </is>
      </c>
      <c r="C57" t="n">
        <v>3077</v>
      </c>
      <c r="D57" t="n">
        <v>15396</v>
      </c>
      <c r="E57" t="n">
        <v>2887</v>
      </c>
      <c r="F57" t="n">
        <v>18283</v>
      </c>
      <c r="G57" t="n">
        <v>17.75</v>
      </c>
      <c r="H57" t="n">
        <v>17847</v>
      </c>
    </row>
    <row r="58">
      <c r="A58" t="n">
        <v>56</v>
      </c>
      <c r="B58" t="inlineStr">
        <is>
          <t>2025-09</t>
        </is>
      </c>
      <c r="C58" t="n">
        <v>3205</v>
      </c>
      <c r="D58" t="n">
        <v>16556</v>
      </c>
      <c r="E58" t="n">
        <v>1876</v>
      </c>
      <c r="F58" t="n">
        <v>18432</v>
      </c>
      <c r="G58" t="n">
        <v>17.9</v>
      </c>
      <c r="H58" t="n">
        <v>18589</v>
      </c>
    </row>
    <row r="59">
      <c r="A59" t="n">
        <v>57</v>
      </c>
      <c r="B59" t="inlineStr">
        <is>
          <t>2025-10</t>
        </is>
      </c>
      <c r="C59" t="n">
        <v>3057</v>
      </c>
      <c r="D59" t="n">
        <v>14295</v>
      </c>
      <c r="E59" t="n">
        <v>3184</v>
      </c>
      <c r="F59" t="n">
        <v>17479</v>
      </c>
      <c r="G59" t="n">
        <v>16.97</v>
      </c>
      <c r="H59" t="n">
        <v>17731</v>
      </c>
    </row>
    <row r="60">
      <c r="A60" t="n">
        <v>58</v>
      </c>
      <c r="B60" t="inlineStr">
        <is>
          <t>2025-11</t>
        </is>
      </c>
      <c r="C60" t="n">
        <v>2942</v>
      </c>
      <c r="D60" t="n">
        <v>16283</v>
      </c>
      <c r="E60" t="n">
        <v>1487</v>
      </c>
      <c r="F60" t="n">
        <v>17770</v>
      </c>
      <c r="G60" t="n">
        <v>17.25</v>
      </c>
      <c r="H60" t="n">
        <v>17064</v>
      </c>
    </row>
    <row r="61">
      <c r="A61" t="n">
        <v>59</v>
      </c>
      <c r="B61" t="inlineStr">
        <is>
          <t>2025-12</t>
        </is>
      </c>
      <c r="C61" t="n">
        <v>3104</v>
      </c>
      <c r="D61" t="n">
        <v>14918</v>
      </c>
      <c r="E61" t="n">
        <v>2196</v>
      </c>
      <c r="F61" t="n">
        <v>17114</v>
      </c>
      <c r="G61" t="n">
        <v>16.62</v>
      </c>
      <c r="H61" t="n">
        <v>18003</v>
      </c>
    </row>
    <row r="62">
      <c r="A62" t="n">
        <v>60</v>
      </c>
      <c r="B62" t="inlineStr">
        <is>
          <t>2026-01</t>
        </is>
      </c>
      <c r="C62" t="n">
        <v>2963</v>
      </c>
      <c r="D62" t="n">
        <v>17760</v>
      </c>
      <c r="E62" t="n">
        <v>736</v>
      </c>
      <c r="F62" t="n">
        <v>18496</v>
      </c>
      <c r="G62" t="n">
        <v>17.96</v>
      </c>
      <c r="H62" t="n">
        <v>17185</v>
      </c>
    </row>
    <row r="63">
      <c r="A63" t="n">
        <v>61</v>
      </c>
      <c r="B63" t="inlineStr">
        <is>
          <t>2026-02</t>
        </is>
      </c>
      <c r="C63" t="n">
        <v>2957</v>
      </c>
      <c r="D63" t="n">
        <v>17426</v>
      </c>
      <c r="E63" t="n">
        <v>0</v>
      </c>
      <c r="F63" t="n">
        <v>17426</v>
      </c>
      <c r="G63" t="n">
        <v>16.92</v>
      </c>
      <c r="H63" t="n">
        <v>17151</v>
      </c>
    </row>
    <row r="64">
      <c r="A64" t="n">
        <v>62</v>
      </c>
      <c r="B64" t="inlineStr">
        <is>
          <t>2026-03</t>
        </is>
      </c>
      <c r="C64" t="n">
        <v>3242</v>
      </c>
      <c r="D64" t="n">
        <v>19257</v>
      </c>
      <c r="E64" t="n">
        <v>0</v>
      </c>
      <c r="F64" t="n">
        <v>19257</v>
      </c>
      <c r="G64" t="n">
        <v>18.7</v>
      </c>
      <c r="H64" t="n">
        <v>18804</v>
      </c>
    </row>
    <row r="65">
      <c r="A65" t="n">
        <v>63</v>
      </c>
      <c r="B65" t="inlineStr">
        <is>
          <t>2026-04</t>
        </is>
      </c>
      <c r="C65" t="n">
        <v>4135</v>
      </c>
      <c r="D65" t="n">
        <v>23454</v>
      </c>
      <c r="E65" t="n">
        <v>421</v>
      </c>
      <c r="F65" t="n">
        <v>23875</v>
      </c>
      <c r="G65" t="n">
        <v>23.18</v>
      </c>
      <c r="H65" t="n">
        <v>23983</v>
      </c>
    </row>
    <row r="66">
      <c r="A66" t="n">
        <v>64</v>
      </c>
      <c r="B66" t="inlineStr">
        <is>
          <t>2026-05</t>
        </is>
      </c>
      <c r="C66" t="n">
        <v>4591</v>
      </c>
      <c r="D66" t="n">
        <v>25336</v>
      </c>
      <c r="E66" t="n">
        <v>1171</v>
      </c>
      <c r="F66" t="n">
        <v>26507</v>
      </c>
      <c r="G66" t="n">
        <v>25.73</v>
      </c>
      <c r="H66" t="n">
        <v>26628</v>
      </c>
    </row>
    <row r="67">
      <c r="A67" t="n">
        <v>65</v>
      </c>
      <c r="B67" t="inlineStr">
        <is>
          <t>2026-06</t>
        </is>
      </c>
      <c r="C67" t="n">
        <v>4516</v>
      </c>
      <c r="D67" t="n">
        <v>23871</v>
      </c>
      <c r="E67" t="n">
        <v>2335</v>
      </c>
      <c r="F67" t="n">
        <v>26206</v>
      </c>
      <c r="G67" t="n">
        <v>25.44</v>
      </c>
      <c r="H67" t="n">
        <v>26193</v>
      </c>
    </row>
    <row r="68">
      <c r="A68" t="n">
        <v>66</v>
      </c>
      <c r="B68" t="inlineStr">
        <is>
          <t>2026-07</t>
        </is>
      </c>
      <c r="C68" t="n">
        <v>4322</v>
      </c>
      <c r="D68" t="n">
        <v>22176</v>
      </c>
      <c r="E68" t="n">
        <v>2958</v>
      </c>
      <c r="F68" t="n">
        <v>25134</v>
      </c>
      <c r="G68" t="n">
        <v>24.4</v>
      </c>
      <c r="H68" t="n">
        <v>25068</v>
      </c>
    </row>
    <row r="69">
      <c r="A69" t="n">
        <v>67</v>
      </c>
      <c r="B69" t="inlineStr">
        <is>
          <t>2026-08</t>
        </is>
      </c>
      <c r="C69" t="n">
        <v>4179</v>
      </c>
      <c r="D69" t="n">
        <v>20252</v>
      </c>
      <c r="E69" t="n">
        <v>4044</v>
      </c>
      <c r="F69" t="n">
        <v>24296</v>
      </c>
      <c r="G69" t="n">
        <v>23.59</v>
      </c>
      <c r="H69" t="n">
        <v>24238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Domestic_power_MMBtu_per_day</t>
        </is>
      </c>
      <c r="D1" t="inlineStr">
        <is>
          <t>Domestic_industry_MMBtu_per_day</t>
        </is>
      </c>
      <c r="E1" t="inlineStr">
        <is>
          <t>Domestic_total_MMBtu_per_day</t>
        </is>
      </c>
      <c r="F1" t="inlineStr">
        <is>
          <t>Imports_power_MMBtu_per_day</t>
        </is>
      </c>
      <c r="G1" t="inlineStr">
        <is>
          <t>Imports_industry_MMBtu_per_day</t>
        </is>
      </c>
      <c r="H1" t="inlineStr">
        <is>
          <t>Total_power_MMBtu_per_day</t>
        </is>
      </c>
      <c r="I1" t="inlineStr">
        <is>
          <t>Total_industry_MMBtu_per_day</t>
        </is>
      </c>
      <c r="J1" t="inlineStr">
        <is>
          <t>Total_demand_MMBtu_per_day</t>
        </is>
      </c>
      <c r="K1" t="inlineStr">
        <is>
          <t>Imports_share_pct</t>
        </is>
      </c>
      <c r="L1" t="inlineStr">
        <is>
          <t>Domestic_total_mcm_per_day</t>
        </is>
      </c>
      <c r="M1" t="inlineStr">
        <is>
          <t>Imports_industry_mcm_per_day</t>
        </is>
      </c>
      <c r="N1" t="inlineStr">
        <is>
          <t>Total_power_mcm_per_day</t>
        </is>
      </c>
      <c r="O1" t="inlineStr">
        <is>
          <t>Total_industry_mcm_per_day</t>
        </is>
      </c>
      <c r="P1" t="inlineStr">
        <is>
          <t>Total_demand_mcm_per_day</t>
        </is>
      </c>
      <c r="Q1" t="inlineStr">
        <is>
          <t>Imports_status</t>
        </is>
      </c>
      <c r="R1" t="inlineStr">
        <is>
          <t>Import_origin</t>
        </is>
      </c>
      <c r="S1" t="inlineStr">
        <is>
          <t>CENACE_gas_generation_MWh_per_day</t>
        </is>
      </c>
      <c r="T1" t="inlineStr">
        <is>
          <t>Implied_heat_rate_MMBtu_per_MWh</t>
        </is>
      </c>
    </row>
    <row r="2">
      <c r="A2" t="n">
        <v>0</v>
      </c>
      <c r="B2" t="inlineStr">
        <is>
          <t>2021-01</t>
        </is>
      </c>
      <c r="C2" t="n">
        <v>23316</v>
      </c>
      <c r="D2" t="n">
        <v>2957</v>
      </c>
      <c r="E2" t="n">
        <v>26273</v>
      </c>
      <c r="F2" t="n">
        <v>0</v>
      </c>
      <c r="G2" t="n">
        <v>0</v>
      </c>
      <c r="H2" t="n">
        <v>23316</v>
      </c>
      <c r="I2" t="n">
        <v>2957</v>
      </c>
      <c r="J2" t="n">
        <v>26273</v>
      </c>
      <c r="K2" t="n">
        <v>0</v>
      </c>
      <c r="L2" t="n">
        <v>0.7223000000000001</v>
      </c>
      <c r="M2" t="n">
        <v>0</v>
      </c>
      <c r="N2" t="n">
        <v>0.641</v>
      </c>
      <c r="O2" t="n">
        <v>0.0813</v>
      </c>
      <c r="P2" t="n">
        <v>0.7223000000000001</v>
      </c>
      <c r="Q2" t="inlineStr">
        <is>
          <t>customs month published</t>
        </is>
      </c>
    </row>
    <row r="3">
      <c r="A3" t="n">
        <v>1</v>
      </c>
      <c r="B3" t="inlineStr">
        <is>
          <t>2021-02</t>
        </is>
      </c>
      <c r="C3" t="n">
        <v>21764</v>
      </c>
      <c r="D3" t="n">
        <v>5024</v>
      </c>
      <c r="E3" t="n">
        <v>26788</v>
      </c>
      <c r="F3" t="n">
        <v>0</v>
      </c>
      <c r="G3" t="n">
        <v>0</v>
      </c>
      <c r="H3" t="n">
        <v>21764</v>
      </c>
      <c r="I3" t="n">
        <v>5024</v>
      </c>
      <c r="J3" t="n">
        <v>26788</v>
      </c>
      <c r="K3" t="n">
        <v>0</v>
      </c>
      <c r="L3" t="n">
        <v>0.7365</v>
      </c>
      <c r="M3" t="n">
        <v>0</v>
      </c>
      <c r="N3" t="n">
        <v>0.5983000000000001</v>
      </c>
      <c r="O3" t="n">
        <v>0.1381</v>
      </c>
      <c r="P3" t="n">
        <v>0.7365</v>
      </c>
      <c r="Q3" t="inlineStr">
        <is>
          <t>customs month published</t>
        </is>
      </c>
    </row>
    <row r="4">
      <c r="A4" t="n">
        <v>2</v>
      </c>
      <c r="B4" t="inlineStr">
        <is>
          <t>2021-03</t>
        </is>
      </c>
      <c r="C4" t="n">
        <v>22610</v>
      </c>
      <c r="D4" t="n">
        <v>3071</v>
      </c>
      <c r="E4" t="n">
        <v>25681</v>
      </c>
      <c r="F4" t="n">
        <v>0</v>
      </c>
      <c r="G4" t="n">
        <v>0</v>
      </c>
      <c r="H4" t="n">
        <v>22610</v>
      </c>
      <c r="I4" t="n">
        <v>3071</v>
      </c>
      <c r="J4" t="n">
        <v>25681</v>
      </c>
      <c r="K4" t="n">
        <v>0</v>
      </c>
      <c r="L4" t="n">
        <v>0.706</v>
      </c>
      <c r="M4" t="n">
        <v>0</v>
      </c>
      <c r="N4" t="n">
        <v>0.6216</v>
      </c>
      <c r="O4" t="n">
        <v>0.0844</v>
      </c>
      <c r="P4" t="n">
        <v>0.706</v>
      </c>
      <c r="Q4" t="inlineStr">
        <is>
          <t>customs month published</t>
        </is>
      </c>
    </row>
    <row r="5">
      <c r="A5" t="n">
        <v>3</v>
      </c>
      <c r="B5" t="inlineStr">
        <is>
          <t>2021-04</t>
        </is>
      </c>
      <c r="C5" t="n">
        <v>20480</v>
      </c>
      <c r="D5" t="n">
        <v>4962</v>
      </c>
      <c r="E5" t="n">
        <v>25442</v>
      </c>
      <c r="F5" t="n">
        <v>0</v>
      </c>
      <c r="G5" t="n">
        <v>0</v>
      </c>
      <c r="H5" t="n">
        <v>20480</v>
      </c>
      <c r="I5" t="n">
        <v>4962</v>
      </c>
      <c r="J5" t="n">
        <v>25442</v>
      </c>
      <c r="K5" t="n">
        <v>0</v>
      </c>
      <c r="L5" t="n">
        <v>0.6995</v>
      </c>
      <c r="M5" t="n">
        <v>0</v>
      </c>
      <c r="N5" t="n">
        <v>0.5629999999999999</v>
      </c>
      <c r="O5" t="n">
        <v>0.1364</v>
      </c>
      <c r="P5" t="n">
        <v>0.6995</v>
      </c>
      <c r="Q5" t="inlineStr">
        <is>
          <t>customs month published</t>
        </is>
      </c>
    </row>
    <row r="6">
      <c r="A6" t="n">
        <v>4</v>
      </c>
      <c r="B6" t="inlineStr">
        <is>
          <t>2021-05</t>
        </is>
      </c>
      <c r="C6" t="n">
        <v>19232</v>
      </c>
      <c r="D6" t="n">
        <v>5036</v>
      </c>
      <c r="E6" t="n">
        <v>24268</v>
      </c>
      <c r="F6" t="n">
        <v>0</v>
      </c>
      <c r="G6" t="n">
        <v>0</v>
      </c>
      <c r="H6" t="n">
        <v>19232</v>
      </c>
      <c r="I6" t="n">
        <v>5036</v>
      </c>
      <c r="J6" t="n">
        <v>24268</v>
      </c>
      <c r="K6" t="n">
        <v>0</v>
      </c>
      <c r="L6" t="n">
        <v>0.6672</v>
      </c>
      <c r="M6" t="n">
        <v>0</v>
      </c>
      <c r="N6" t="n">
        <v>0.5286999999999999</v>
      </c>
      <c r="O6" t="n">
        <v>0.1385</v>
      </c>
      <c r="P6" t="n">
        <v>0.6672</v>
      </c>
      <c r="Q6" t="inlineStr">
        <is>
          <t>customs month published</t>
        </is>
      </c>
    </row>
    <row r="7">
      <c r="A7" t="n">
        <v>5</v>
      </c>
      <c r="B7" t="inlineStr">
        <is>
          <t>2021-06</t>
        </is>
      </c>
      <c r="C7" t="n">
        <v>19965</v>
      </c>
      <c r="D7" t="n">
        <v>4857</v>
      </c>
      <c r="E7" t="n">
        <v>24822</v>
      </c>
      <c r="F7" t="n">
        <v>0</v>
      </c>
      <c r="G7" t="n">
        <v>0</v>
      </c>
      <c r="H7" t="n">
        <v>19965</v>
      </c>
      <c r="I7" t="n">
        <v>4857</v>
      </c>
      <c r="J7" t="n">
        <v>24822</v>
      </c>
      <c r="K7" t="n">
        <v>0</v>
      </c>
      <c r="L7" t="n">
        <v>0.6824</v>
      </c>
      <c r="M7" t="n">
        <v>0</v>
      </c>
      <c r="N7" t="n">
        <v>0.5489000000000001</v>
      </c>
      <c r="O7" t="n">
        <v>0.1335</v>
      </c>
      <c r="P7" t="n">
        <v>0.6824</v>
      </c>
      <c r="Q7" t="inlineStr">
        <is>
          <t>customs month published</t>
        </is>
      </c>
    </row>
    <row r="8">
      <c r="A8" t="n">
        <v>6</v>
      </c>
      <c r="B8" t="inlineStr">
        <is>
          <t>2021-07</t>
        </is>
      </c>
      <c r="C8" t="n">
        <v>19294</v>
      </c>
      <c r="D8" t="n">
        <v>5049</v>
      </c>
      <c r="E8" t="n">
        <v>24343</v>
      </c>
      <c r="F8" t="n">
        <v>0</v>
      </c>
      <c r="G8" t="n">
        <v>0</v>
      </c>
      <c r="H8" t="n">
        <v>19294</v>
      </c>
      <c r="I8" t="n">
        <v>5049</v>
      </c>
      <c r="J8" t="n">
        <v>24343</v>
      </c>
      <c r="K8" t="n">
        <v>0</v>
      </c>
      <c r="L8" t="n">
        <v>0.6692</v>
      </c>
      <c r="M8" t="n">
        <v>0</v>
      </c>
      <c r="N8" t="n">
        <v>0.5304</v>
      </c>
      <c r="O8" t="n">
        <v>0.1388</v>
      </c>
      <c r="P8" t="n">
        <v>0.6692</v>
      </c>
      <c r="Q8" t="inlineStr">
        <is>
          <t>customs month published</t>
        </is>
      </c>
    </row>
    <row r="9">
      <c r="A9" t="n">
        <v>7</v>
      </c>
      <c r="B9" t="inlineStr">
        <is>
          <t>2021-08</t>
        </is>
      </c>
      <c r="C9" t="n">
        <v>18431</v>
      </c>
      <c r="D9" t="n">
        <v>5239</v>
      </c>
      <c r="E9" t="n">
        <v>23670</v>
      </c>
      <c r="F9" t="n">
        <v>0</v>
      </c>
      <c r="G9" t="n">
        <v>0</v>
      </c>
      <c r="H9" t="n">
        <v>18431</v>
      </c>
      <c r="I9" t="n">
        <v>5239</v>
      </c>
      <c r="J9" t="n">
        <v>23670</v>
      </c>
      <c r="K9" t="n">
        <v>0</v>
      </c>
      <c r="L9" t="n">
        <v>0.6506999999999999</v>
      </c>
      <c r="M9" t="n">
        <v>0</v>
      </c>
      <c r="N9" t="n">
        <v>0.5067</v>
      </c>
      <c r="O9" t="n">
        <v>0.144</v>
      </c>
      <c r="P9" t="n">
        <v>0.6506999999999999</v>
      </c>
      <c r="Q9" t="inlineStr">
        <is>
          <t>customs month published</t>
        </is>
      </c>
    </row>
    <row r="10">
      <c r="A10" t="n">
        <v>8</v>
      </c>
      <c r="B10" t="inlineStr">
        <is>
          <t>2021-09</t>
        </is>
      </c>
      <c r="C10" t="n">
        <v>18239</v>
      </c>
      <c r="D10" t="n">
        <v>5179</v>
      </c>
      <c r="E10" t="n">
        <v>23418</v>
      </c>
      <c r="F10" t="n">
        <v>0</v>
      </c>
      <c r="G10" t="n">
        <v>0</v>
      </c>
      <c r="H10" t="n">
        <v>18239</v>
      </c>
      <c r="I10" t="n">
        <v>5179</v>
      </c>
      <c r="J10" t="n">
        <v>23418</v>
      </c>
      <c r="K10" t="n">
        <v>0</v>
      </c>
      <c r="L10" t="n">
        <v>0.6438</v>
      </c>
      <c r="M10" t="n">
        <v>0</v>
      </c>
      <c r="N10" t="n">
        <v>0.5014</v>
      </c>
      <c r="O10" t="n">
        <v>0.1424</v>
      </c>
      <c r="P10" t="n">
        <v>0.6438</v>
      </c>
      <c r="Q10" t="inlineStr">
        <is>
          <t>customs month published</t>
        </is>
      </c>
    </row>
    <row r="11">
      <c r="A11" t="n">
        <v>9</v>
      </c>
      <c r="B11" t="inlineStr">
        <is>
          <t>2021-10</t>
        </is>
      </c>
      <c r="C11" t="n">
        <v>18350</v>
      </c>
      <c r="D11" t="n">
        <v>5003</v>
      </c>
      <c r="E11" t="n">
        <v>23353</v>
      </c>
      <c r="F11" t="n">
        <v>0</v>
      </c>
      <c r="G11" t="n">
        <v>0</v>
      </c>
      <c r="H11" t="n">
        <v>18350</v>
      </c>
      <c r="I11" t="n">
        <v>5003</v>
      </c>
      <c r="J11" t="n">
        <v>23353</v>
      </c>
      <c r="K11" t="n">
        <v>0</v>
      </c>
      <c r="L11" t="n">
        <v>0.642</v>
      </c>
      <c r="M11" t="n">
        <v>0</v>
      </c>
      <c r="N11" t="n">
        <v>0.5044999999999999</v>
      </c>
      <c r="O11" t="n">
        <v>0.1375</v>
      </c>
      <c r="P11" t="n">
        <v>0.642</v>
      </c>
      <c r="Q11" t="inlineStr">
        <is>
          <t>customs month published</t>
        </is>
      </c>
    </row>
    <row r="12">
      <c r="A12" t="n">
        <v>10</v>
      </c>
      <c r="B12" t="inlineStr">
        <is>
          <t>2021-11</t>
        </is>
      </c>
      <c r="C12" t="n">
        <v>18126</v>
      </c>
      <c r="D12" t="n">
        <v>4919</v>
      </c>
      <c r="E12" t="n">
        <v>23045</v>
      </c>
      <c r="F12" t="n">
        <v>0</v>
      </c>
      <c r="G12" t="n">
        <v>0</v>
      </c>
      <c r="H12" t="n">
        <v>18126</v>
      </c>
      <c r="I12" t="n">
        <v>4919</v>
      </c>
      <c r="J12" t="n">
        <v>23045</v>
      </c>
      <c r="K12" t="n">
        <v>0</v>
      </c>
      <c r="L12" t="n">
        <v>0.6336000000000001</v>
      </c>
      <c r="M12" t="n">
        <v>0</v>
      </c>
      <c r="N12" t="n">
        <v>0.4983</v>
      </c>
      <c r="O12" t="n">
        <v>0.1352</v>
      </c>
      <c r="P12" t="n">
        <v>0.6336000000000001</v>
      </c>
      <c r="Q12" t="inlineStr">
        <is>
          <t>customs month published</t>
        </is>
      </c>
    </row>
    <row r="13">
      <c r="A13" t="n">
        <v>11</v>
      </c>
      <c r="B13" t="inlineStr">
        <is>
          <t>2021-12</t>
        </is>
      </c>
      <c r="C13" t="n">
        <v>17341</v>
      </c>
      <c r="D13" t="n">
        <v>5054</v>
      </c>
      <c r="E13" t="n">
        <v>22395</v>
      </c>
      <c r="F13" t="n">
        <v>0</v>
      </c>
      <c r="G13" t="n">
        <v>0</v>
      </c>
      <c r="H13" t="n">
        <v>17341</v>
      </c>
      <c r="I13" t="n">
        <v>5054</v>
      </c>
      <c r="J13" t="n">
        <v>22395</v>
      </c>
      <c r="K13" t="n">
        <v>0</v>
      </c>
      <c r="L13" t="n">
        <v>0.6157</v>
      </c>
      <c r="M13" t="n">
        <v>0</v>
      </c>
      <c r="N13" t="n">
        <v>0.4767</v>
      </c>
      <c r="O13" t="n">
        <v>0.1389</v>
      </c>
      <c r="P13" t="n">
        <v>0.6157</v>
      </c>
      <c r="Q13" t="inlineStr">
        <is>
          <t>customs month published</t>
        </is>
      </c>
    </row>
    <row r="14">
      <c r="A14" t="n">
        <v>12</v>
      </c>
      <c r="B14" t="inlineStr">
        <is>
          <t>2022-01</t>
        </is>
      </c>
      <c r="C14" t="n">
        <v>19207</v>
      </c>
      <c r="D14" t="n">
        <v>4732</v>
      </c>
      <c r="E14" t="n">
        <v>23939</v>
      </c>
      <c r="F14" t="n">
        <v>0</v>
      </c>
      <c r="G14" t="n">
        <v>44</v>
      </c>
      <c r="H14" t="n">
        <v>19207</v>
      </c>
      <c r="I14" t="n">
        <v>4776</v>
      </c>
      <c r="J14" t="n">
        <v>23983</v>
      </c>
      <c r="K14" t="n">
        <v>0.2</v>
      </c>
      <c r="L14" t="n">
        <v>0.6581</v>
      </c>
      <c r="M14" t="n">
        <v>0.0012</v>
      </c>
      <c r="N14" t="n">
        <v>0.528</v>
      </c>
      <c r="O14" t="n">
        <v>0.1313</v>
      </c>
      <c r="P14" t="n">
        <v>0.6593</v>
      </c>
      <c r="Q14" t="inlineStr">
        <is>
          <t>customs month published</t>
        </is>
      </c>
      <c r="R14" t="inlineStr">
        <is>
          <t>Panama 26.4 t</t>
        </is>
      </c>
    </row>
    <row r="15">
      <c r="A15" t="n">
        <v>13</v>
      </c>
      <c r="B15" t="inlineStr">
        <is>
          <t>2022-02</t>
        </is>
      </c>
      <c r="C15" t="n">
        <v>18061</v>
      </c>
      <c r="D15" t="n">
        <v>4752</v>
      </c>
      <c r="E15" t="n">
        <v>22813</v>
      </c>
      <c r="L15" t="n">
        <v>0.6272</v>
      </c>
      <c r="Q15" t="inlineStr">
        <is>
          <t>monthly not published; 2022 annual total 123 t = avg 18 MMBtu/d (not allocated to months)</t>
        </is>
      </c>
    </row>
    <row r="16">
      <c r="A16" t="n">
        <v>14</v>
      </c>
      <c r="B16" t="inlineStr">
        <is>
          <t>2022-03</t>
        </is>
      </c>
      <c r="C16" t="n">
        <v>19597</v>
      </c>
      <c r="D16" t="n">
        <v>3446</v>
      </c>
      <c r="E16" t="n">
        <v>23043</v>
      </c>
      <c r="L16" t="n">
        <v>0.6335</v>
      </c>
      <c r="Q16" t="inlineStr">
        <is>
          <t>monthly not published; 2022 annual total 123 t = avg 18 MMBtu/d (not allocated to months)</t>
        </is>
      </c>
    </row>
    <row r="17">
      <c r="A17" t="n">
        <v>15</v>
      </c>
      <c r="B17" t="inlineStr">
        <is>
          <t>2022-04</t>
        </is>
      </c>
      <c r="C17" t="n">
        <v>18570</v>
      </c>
      <c r="D17" t="n">
        <v>3657</v>
      </c>
      <c r="E17" t="n">
        <v>22227</v>
      </c>
      <c r="L17" t="n">
        <v>0.6111</v>
      </c>
      <c r="Q17" t="inlineStr">
        <is>
          <t>monthly not published; 2022 annual total 123 t = avg 18 MMBtu/d (not allocated to months)</t>
        </is>
      </c>
    </row>
    <row r="18">
      <c r="A18" t="n">
        <v>16</v>
      </c>
      <c r="B18" t="inlineStr">
        <is>
          <t>2022-05</t>
        </is>
      </c>
      <c r="C18" t="n">
        <v>17008</v>
      </c>
      <c r="D18" t="n">
        <v>4944</v>
      </c>
      <c r="E18" t="n">
        <v>21952</v>
      </c>
      <c r="L18" t="n">
        <v>0.6035</v>
      </c>
      <c r="Q18" t="inlineStr">
        <is>
          <t>monthly not published; 2022 annual total 123 t = avg 18 MMBtu/d (not allocated to months)</t>
        </is>
      </c>
    </row>
    <row r="19">
      <c r="A19" t="n">
        <v>17</v>
      </c>
      <c r="B19" t="inlineStr">
        <is>
          <t>2022-06</t>
        </is>
      </c>
      <c r="C19" t="n">
        <v>18264</v>
      </c>
      <c r="D19" t="n">
        <v>3307</v>
      </c>
      <c r="E19" t="n">
        <v>21571</v>
      </c>
      <c r="L19" t="n">
        <v>0.593</v>
      </c>
      <c r="Q19" t="inlineStr">
        <is>
          <t>monthly not published; 2022 annual total 123 t = avg 18 MMBtu/d (not allocated to months)</t>
        </is>
      </c>
    </row>
    <row r="20">
      <c r="A20" t="n">
        <v>18</v>
      </c>
      <c r="B20" t="inlineStr">
        <is>
          <t>2022-07</t>
        </is>
      </c>
      <c r="C20" t="n">
        <v>18906</v>
      </c>
      <c r="D20" t="n">
        <v>3310</v>
      </c>
      <c r="E20" t="n">
        <v>22216</v>
      </c>
      <c r="L20" t="n">
        <v>0.6108</v>
      </c>
      <c r="Q20" t="inlineStr">
        <is>
          <t>monthly not published; 2022 annual total 123 t = avg 18 MMBtu/d (not allocated to months)</t>
        </is>
      </c>
    </row>
    <row r="21">
      <c r="A21" t="n">
        <v>19</v>
      </c>
      <c r="B21" t="inlineStr">
        <is>
          <t>2022-08</t>
        </is>
      </c>
      <c r="C21" t="n">
        <v>18284</v>
      </c>
      <c r="D21" t="n">
        <v>2521</v>
      </c>
      <c r="E21" t="n">
        <v>20805</v>
      </c>
      <c r="L21" t="n">
        <v>0.572</v>
      </c>
      <c r="Q21" t="inlineStr">
        <is>
          <t>monthly not published; 2022 annual total 123 t = avg 18 MMBtu/d (not allocated to months)</t>
        </is>
      </c>
    </row>
    <row r="22">
      <c r="A22" t="n">
        <v>20</v>
      </c>
      <c r="B22" t="inlineStr">
        <is>
          <t>2022-09</t>
        </is>
      </c>
      <c r="C22" t="n">
        <v>17680</v>
      </c>
      <c r="D22" t="n">
        <v>3716</v>
      </c>
      <c r="E22" t="n">
        <v>21396</v>
      </c>
      <c r="L22" t="n">
        <v>0.5881999999999999</v>
      </c>
      <c r="Q22" t="inlineStr">
        <is>
          <t>monthly not published; 2022 annual total 123 t = avg 18 MMBtu/d (not allocated to months)</t>
        </is>
      </c>
    </row>
    <row r="23">
      <c r="A23" t="n">
        <v>21</v>
      </c>
      <c r="B23" t="inlineStr">
        <is>
          <t>2022-10</t>
        </is>
      </c>
      <c r="C23" t="n">
        <v>15246</v>
      </c>
      <c r="D23" t="n">
        <v>5011</v>
      </c>
      <c r="E23" t="n">
        <v>20257</v>
      </c>
      <c r="L23" t="n">
        <v>0.5569</v>
      </c>
      <c r="Q23" t="inlineStr">
        <is>
          <t>monthly not published; 2022 annual total 123 t = avg 18 MMBtu/d (not allocated to months)</t>
        </is>
      </c>
    </row>
    <row r="24">
      <c r="A24" t="n">
        <v>22</v>
      </c>
      <c r="B24" t="inlineStr">
        <is>
          <t>2022-11</t>
        </is>
      </c>
      <c r="C24" t="n">
        <v>15000</v>
      </c>
      <c r="D24" t="n">
        <v>5442</v>
      </c>
      <c r="E24" t="n">
        <v>20442</v>
      </c>
      <c r="L24" t="n">
        <v>0.5620000000000001</v>
      </c>
      <c r="Q24" t="inlineStr">
        <is>
          <t>monthly not published; 2022 annual total 123 t = avg 18 MMBtu/d (not allocated to months)</t>
        </is>
      </c>
    </row>
    <row r="25">
      <c r="A25" t="n">
        <v>23</v>
      </c>
      <c r="B25" t="inlineStr">
        <is>
          <t>2022-12</t>
        </is>
      </c>
      <c r="C25" t="n">
        <v>14898</v>
      </c>
      <c r="D25" t="n">
        <v>4473</v>
      </c>
      <c r="E25" t="n">
        <v>19371</v>
      </c>
      <c r="L25" t="n">
        <v>0.5325</v>
      </c>
      <c r="Q25" t="inlineStr">
        <is>
          <t>monthly not published; 2022 annual total 123 t = avg 18 MMBtu/d (not allocated to months)</t>
        </is>
      </c>
    </row>
    <row r="26">
      <c r="A26" t="n">
        <v>24</v>
      </c>
      <c r="B26" t="inlineStr">
        <is>
          <t>2023-01</t>
        </is>
      </c>
      <c r="C26" t="n">
        <v>17113</v>
      </c>
      <c r="D26" t="n">
        <v>4017</v>
      </c>
      <c r="E26" t="n">
        <v>21130</v>
      </c>
      <c r="L26" t="n">
        <v>0.5809</v>
      </c>
      <c r="Q26" t="inlineStr">
        <is>
          <t>monthly not published; 2023 annual total 0 t = avg 0 MMBtu/d (not allocated to months)</t>
        </is>
      </c>
    </row>
    <row r="27">
      <c r="A27" t="n">
        <v>25</v>
      </c>
      <c r="B27" t="inlineStr">
        <is>
          <t>2023-02</t>
        </is>
      </c>
      <c r="C27" t="n">
        <v>15799</v>
      </c>
      <c r="D27" t="n">
        <v>3812</v>
      </c>
      <c r="E27" t="n">
        <v>19611</v>
      </c>
      <c r="L27" t="n">
        <v>0.5391</v>
      </c>
      <c r="Q27" t="inlineStr">
        <is>
          <t>monthly not published; 2023 annual total 0 t = avg 0 MMBtu/d (not allocated to months)</t>
        </is>
      </c>
    </row>
    <row r="28">
      <c r="A28" t="n">
        <v>26</v>
      </c>
      <c r="B28" t="inlineStr">
        <is>
          <t>2023-03</t>
        </is>
      </c>
      <c r="C28" t="n">
        <v>16102</v>
      </c>
      <c r="D28" t="n">
        <v>3375</v>
      </c>
      <c r="E28" t="n">
        <v>19477</v>
      </c>
      <c r="L28" t="n">
        <v>0.5355</v>
      </c>
      <c r="Q28" t="inlineStr">
        <is>
          <t>monthly not published; 2023 annual total 0 t = avg 0 MMBtu/d (not allocated to months)</t>
        </is>
      </c>
    </row>
    <row r="29">
      <c r="A29" t="n">
        <v>27</v>
      </c>
      <c r="B29" t="inlineStr">
        <is>
          <t>2023-04</t>
        </is>
      </c>
      <c r="C29" t="n">
        <v>15361</v>
      </c>
      <c r="D29" t="n">
        <v>4010</v>
      </c>
      <c r="E29" t="n">
        <v>19371</v>
      </c>
      <c r="L29" t="n">
        <v>0.5325</v>
      </c>
      <c r="Q29" t="inlineStr">
        <is>
          <t>monthly not published; 2023 annual total 0 t = avg 0 MMBtu/d (not allocated to months)</t>
        </is>
      </c>
    </row>
    <row r="30">
      <c r="A30" t="n">
        <v>28</v>
      </c>
      <c r="B30" t="inlineStr">
        <is>
          <t>2023-05</t>
        </is>
      </c>
      <c r="C30" t="n">
        <v>15501</v>
      </c>
      <c r="D30" t="n">
        <v>4159</v>
      </c>
      <c r="E30" t="n">
        <v>19660</v>
      </c>
      <c r="L30" t="n">
        <v>0.5405</v>
      </c>
      <c r="Q30" t="inlineStr">
        <is>
          <t>monthly not published; 2023 annual total 0 t = avg 0 MMBtu/d (not allocated to months)</t>
        </is>
      </c>
    </row>
    <row r="31">
      <c r="A31" t="n">
        <v>29</v>
      </c>
      <c r="B31" t="inlineStr">
        <is>
          <t>2023-06</t>
        </is>
      </c>
      <c r="C31" t="n">
        <v>16199</v>
      </c>
      <c r="D31" t="n">
        <v>3376</v>
      </c>
      <c r="E31" t="n">
        <v>19575</v>
      </c>
      <c r="L31" t="n">
        <v>0.5382</v>
      </c>
      <c r="Q31" t="inlineStr">
        <is>
          <t>monthly not published; 2023 annual total 0 t = avg 0 MMBtu/d (not allocated to months)</t>
        </is>
      </c>
    </row>
    <row r="32">
      <c r="A32" t="n">
        <v>30</v>
      </c>
      <c r="B32" t="inlineStr">
        <is>
          <t>2023-07</t>
        </is>
      </c>
      <c r="C32" t="n">
        <v>15303</v>
      </c>
      <c r="D32" t="n">
        <v>3742</v>
      </c>
      <c r="E32" t="n">
        <v>19045</v>
      </c>
      <c r="L32" t="n">
        <v>0.5236</v>
      </c>
      <c r="Q32" t="inlineStr">
        <is>
          <t>monthly not published; 2023 annual total 0 t = avg 0 MMBtu/d (not allocated to months)</t>
        </is>
      </c>
    </row>
    <row r="33">
      <c r="A33" t="n">
        <v>31</v>
      </c>
      <c r="B33" t="inlineStr">
        <is>
          <t>2023-08</t>
        </is>
      </c>
      <c r="C33" t="n">
        <v>14918</v>
      </c>
      <c r="D33" t="n">
        <v>4591</v>
      </c>
      <c r="E33" t="n">
        <v>19509</v>
      </c>
      <c r="L33" t="n">
        <v>0.5363</v>
      </c>
      <c r="Q33" t="inlineStr">
        <is>
          <t>monthly not published; 2023 annual total 0 t = avg 0 MMBtu/d (not allocated to months)</t>
        </is>
      </c>
    </row>
    <row r="34">
      <c r="A34" t="n">
        <v>32</v>
      </c>
      <c r="B34" t="inlineStr">
        <is>
          <t>2023-09</t>
        </is>
      </c>
      <c r="C34" t="n">
        <v>14266</v>
      </c>
      <c r="D34" t="n">
        <v>4564</v>
      </c>
      <c r="E34" t="n">
        <v>18830</v>
      </c>
      <c r="L34" t="n">
        <v>0.5177</v>
      </c>
      <c r="Q34" t="inlineStr">
        <is>
          <t>monthly not published; 2023 annual total 0 t = avg 0 MMBtu/d (not allocated to months)</t>
        </is>
      </c>
    </row>
    <row r="35">
      <c r="A35" t="n">
        <v>33</v>
      </c>
      <c r="B35" t="inlineStr">
        <is>
          <t>2023-10</t>
        </is>
      </c>
      <c r="C35" t="n">
        <v>14319</v>
      </c>
      <c r="D35" t="n">
        <v>4484</v>
      </c>
      <c r="E35" t="n">
        <v>18803</v>
      </c>
      <c r="L35" t="n">
        <v>0.5169</v>
      </c>
      <c r="Q35" t="inlineStr">
        <is>
          <t>monthly not published; 2023 annual total 0 t = avg 0 MMBtu/d (not allocated to months)</t>
        </is>
      </c>
    </row>
    <row r="36">
      <c r="A36" t="n">
        <v>34</v>
      </c>
      <c r="B36" t="inlineStr">
        <is>
          <t>2023-11</t>
        </is>
      </c>
      <c r="C36" t="n">
        <v>19047</v>
      </c>
      <c r="D36" t="n">
        <v>885</v>
      </c>
      <c r="E36" t="n">
        <v>19932</v>
      </c>
      <c r="L36" t="n">
        <v>0.548</v>
      </c>
      <c r="Q36" t="inlineStr">
        <is>
          <t>monthly not published; 2023 annual total 0 t = avg 0 MMBtu/d (not allocated to months)</t>
        </is>
      </c>
    </row>
    <row r="37">
      <c r="A37" t="n">
        <v>35</v>
      </c>
      <c r="B37" t="inlineStr">
        <is>
          <t>2023-12</t>
        </is>
      </c>
      <c r="C37" t="n">
        <v>14178</v>
      </c>
      <c r="D37" t="n">
        <v>4591</v>
      </c>
      <c r="E37" t="n">
        <v>18769</v>
      </c>
      <c r="L37" t="n">
        <v>0.516</v>
      </c>
      <c r="Q37" t="inlineStr">
        <is>
          <t>monthly not published; 2023 annual total 0 t = avg 0 MMBtu/d (not allocated to months)</t>
        </is>
      </c>
    </row>
    <row r="38">
      <c r="A38" t="n">
        <v>36</v>
      </c>
      <c r="B38" t="inlineStr">
        <is>
          <t>2024-01</t>
        </is>
      </c>
      <c r="C38" t="n">
        <v>14904</v>
      </c>
      <c r="D38" t="n">
        <v>4261</v>
      </c>
      <c r="E38" t="n">
        <v>19165</v>
      </c>
      <c r="F38" t="n">
        <v>0</v>
      </c>
      <c r="G38" t="n">
        <v>0</v>
      </c>
      <c r="H38" t="n">
        <v>14904</v>
      </c>
      <c r="I38" t="n">
        <v>4261</v>
      </c>
      <c r="J38" t="n">
        <v>19165</v>
      </c>
      <c r="K38" t="n">
        <v>0</v>
      </c>
      <c r="L38" t="n">
        <v>0.5269</v>
      </c>
      <c r="M38" t="n">
        <v>0</v>
      </c>
      <c r="N38" t="n">
        <v>0.4097</v>
      </c>
      <c r="O38" t="n">
        <v>0.1171</v>
      </c>
      <c r="P38" t="n">
        <v>0.5269</v>
      </c>
      <c r="Q38" t="inlineStr">
        <is>
          <t>customs month published</t>
        </is>
      </c>
    </row>
    <row r="39">
      <c r="A39" t="n">
        <v>37</v>
      </c>
      <c r="B39" t="inlineStr">
        <is>
          <t>2024-02</t>
        </is>
      </c>
      <c r="C39" t="n">
        <v>15610</v>
      </c>
      <c r="D39" t="n">
        <v>3329</v>
      </c>
      <c r="E39" t="n">
        <v>18939</v>
      </c>
      <c r="F39" t="n">
        <v>0</v>
      </c>
      <c r="G39" t="n">
        <v>0</v>
      </c>
      <c r="H39" t="n">
        <v>15610</v>
      </c>
      <c r="I39" t="n">
        <v>3329</v>
      </c>
      <c r="J39" t="n">
        <v>18939</v>
      </c>
      <c r="K39" t="n">
        <v>0</v>
      </c>
      <c r="L39" t="n">
        <v>0.5207000000000001</v>
      </c>
      <c r="M39" t="n">
        <v>0</v>
      </c>
      <c r="N39" t="n">
        <v>0.4292</v>
      </c>
      <c r="O39" t="n">
        <v>0.0915</v>
      </c>
      <c r="P39" t="n">
        <v>0.5207000000000001</v>
      </c>
      <c r="Q39" t="inlineStr">
        <is>
          <t>customs month published</t>
        </is>
      </c>
    </row>
    <row r="40">
      <c r="A40" t="n">
        <v>38</v>
      </c>
      <c r="B40" t="inlineStr">
        <is>
          <t>2024-03</t>
        </is>
      </c>
      <c r="C40" t="n">
        <v>14572</v>
      </c>
      <c r="D40" t="n">
        <v>3534</v>
      </c>
      <c r="E40" t="n">
        <v>18106</v>
      </c>
      <c r="F40" t="n">
        <v>0</v>
      </c>
      <c r="G40" t="n">
        <v>0</v>
      </c>
      <c r="H40" t="n">
        <v>14572</v>
      </c>
      <c r="I40" t="n">
        <v>3534</v>
      </c>
      <c r="J40" t="n">
        <v>18106</v>
      </c>
      <c r="K40" t="n">
        <v>0</v>
      </c>
      <c r="L40" t="n">
        <v>0.4978</v>
      </c>
      <c r="M40" t="n">
        <v>0</v>
      </c>
      <c r="N40" t="n">
        <v>0.4006</v>
      </c>
      <c r="O40" t="n">
        <v>0.09719999999999999</v>
      </c>
      <c r="P40" t="n">
        <v>0.4978</v>
      </c>
      <c r="Q40" t="inlineStr">
        <is>
          <t>customs month published</t>
        </is>
      </c>
    </row>
    <row r="41">
      <c r="A41" t="n">
        <v>39</v>
      </c>
      <c r="B41" t="inlineStr">
        <is>
          <t>2024-04</t>
        </is>
      </c>
      <c r="C41" t="n">
        <v>15318</v>
      </c>
      <c r="D41" t="n">
        <v>3749</v>
      </c>
      <c r="E41" t="n">
        <v>19067</v>
      </c>
      <c r="F41" t="n">
        <v>0</v>
      </c>
      <c r="G41" t="n">
        <v>0</v>
      </c>
      <c r="H41" t="n">
        <v>15318</v>
      </c>
      <c r="I41" t="n">
        <v>3749</v>
      </c>
      <c r="J41" t="n">
        <v>19067</v>
      </c>
      <c r="K41" t="n">
        <v>0</v>
      </c>
      <c r="L41" t="n">
        <v>0.5242</v>
      </c>
      <c r="M41" t="n">
        <v>0</v>
      </c>
      <c r="N41" t="n">
        <v>0.4211</v>
      </c>
      <c r="O41" t="n">
        <v>0.1031</v>
      </c>
      <c r="P41" t="n">
        <v>0.5242</v>
      </c>
      <c r="Q41" t="inlineStr">
        <is>
          <t>customs month published</t>
        </is>
      </c>
    </row>
    <row r="42">
      <c r="A42" t="n">
        <v>40</v>
      </c>
      <c r="B42" t="inlineStr">
        <is>
          <t>2024-05</t>
        </is>
      </c>
      <c r="C42" t="n">
        <v>14635</v>
      </c>
      <c r="D42" t="n">
        <v>4118</v>
      </c>
      <c r="E42" t="n">
        <v>18753</v>
      </c>
      <c r="F42" t="n">
        <v>0</v>
      </c>
      <c r="G42" t="n">
        <v>0</v>
      </c>
      <c r="H42" t="n">
        <v>14635</v>
      </c>
      <c r="I42" t="n">
        <v>4118</v>
      </c>
      <c r="J42" t="n">
        <v>18753</v>
      </c>
      <c r="K42" t="n">
        <v>0</v>
      </c>
      <c r="L42" t="n">
        <v>0.5155999999999999</v>
      </c>
      <c r="M42" t="n">
        <v>0</v>
      </c>
      <c r="N42" t="n">
        <v>0.4023</v>
      </c>
      <c r="O42" t="n">
        <v>0.1132</v>
      </c>
      <c r="P42" t="n">
        <v>0.5155999999999999</v>
      </c>
      <c r="Q42" t="inlineStr">
        <is>
          <t>customs month published</t>
        </is>
      </c>
    </row>
    <row r="43">
      <c r="A43" t="n">
        <v>41</v>
      </c>
      <c r="B43" t="inlineStr">
        <is>
          <t>2024-06</t>
        </is>
      </c>
      <c r="C43" t="n">
        <v>14502</v>
      </c>
      <c r="D43" t="n">
        <v>4392</v>
      </c>
      <c r="E43" t="n">
        <v>18894</v>
      </c>
      <c r="F43" t="n">
        <v>0</v>
      </c>
      <c r="G43" t="n">
        <v>0</v>
      </c>
      <c r="H43" t="n">
        <v>14502</v>
      </c>
      <c r="I43" t="n">
        <v>4392</v>
      </c>
      <c r="J43" t="n">
        <v>18894</v>
      </c>
      <c r="K43" t="n">
        <v>0</v>
      </c>
      <c r="L43" t="n">
        <v>0.5194</v>
      </c>
      <c r="M43" t="n">
        <v>0</v>
      </c>
      <c r="N43" t="n">
        <v>0.3987</v>
      </c>
      <c r="O43" t="n">
        <v>0.1207</v>
      </c>
      <c r="P43" t="n">
        <v>0.5194</v>
      </c>
      <c r="Q43" t="inlineStr">
        <is>
          <t>customs month published</t>
        </is>
      </c>
    </row>
    <row r="44">
      <c r="A44" t="n">
        <v>42</v>
      </c>
      <c r="B44" t="inlineStr">
        <is>
          <t>2024-07</t>
        </is>
      </c>
      <c r="C44" t="n">
        <v>14238</v>
      </c>
      <c r="D44" t="n">
        <v>5146</v>
      </c>
      <c r="E44" t="n">
        <v>19384</v>
      </c>
      <c r="F44" t="n">
        <v>0</v>
      </c>
      <c r="G44" t="n">
        <v>0</v>
      </c>
      <c r="H44" t="n">
        <v>14238</v>
      </c>
      <c r="I44" t="n">
        <v>5146</v>
      </c>
      <c r="J44" t="n">
        <v>19384</v>
      </c>
      <c r="K44" t="n">
        <v>0</v>
      </c>
      <c r="L44" t="n">
        <v>0.5329</v>
      </c>
      <c r="M44" t="n">
        <v>0</v>
      </c>
      <c r="N44" t="n">
        <v>0.3914</v>
      </c>
      <c r="O44" t="n">
        <v>0.1415</v>
      </c>
      <c r="P44" t="n">
        <v>0.5329</v>
      </c>
      <c r="Q44" t="inlineStr">
        <is>
          <t>customs month published</t>
        </is>
      </c>
    </row>
    <row r="45">
      <c r="A45" t="n">
        <v>43</v>
      </c>
      <c r="B45" t="inlineStr">
        <is>
          <t>2024-08</t>
        </is>
      </c>
      <c r="C45" t="n">
        <v>13807</v>
      </c>
      <c r="D45" t="n">
        <v>5050</v>
      </c>
      <c r="E45" t="n">
        <v>18857</v>
      </c>
      <c r="F45" t="n">
        <v>0</v>
      </c>
      <c r="G45" t="n">
        <v>0</v>
      </c>
      <c r="H45" t="n">
        <v>13807</v>
      </c>
      <c r="I45" t="n">
        <v>5050</v>
      </c>
      <c r="J45" t="n">
        <v>18857</v>
      </c>
      <c r="K45" t="n">
        <v>0</v>
      </c>
      <c r="L45" t="n">
        <v>0.5184</v>
      </c>
      <c r="M45" t="n">
        <v>0</v>
      </c>
      <c r="N45" t="n">
        <v>0.3796</v>
      </c>
      <c r="O45" t="n">
        <v>0.1388</v>
      </c>
      <c r="P45" t="n">
        <v>0.5184</v>
      </c>
      <c r="Q45" t="inlineStr">
        <is>
          <t>customs month published</t>
        </is>
      </c>
    </row>
    <row r="46">
      <c r="A46" t="n">
        <v>44</v>
      </c>
      <c r="B46" t="inlineStr">
        <is>
          <t>2024-09</t>
        </is>
      </c>
      <c r="C46" t="n">
        <v>16802</v>
      </c>
      <c r="D46" t="n">
        <v>3003</v>
      </c>
      <c r="E46" t="n">
        <v>19805</v>
      </c>
      <c r="F46" t="n">
        <v>0</v>
      </c>
      <c r="G46" t="n">
        <v>0</v>
      </c>
      <c r="H46" t="n">
        <v>16802</v>
      </c>
      <c r="I46" t="n">
        <v>3003</v>
      </c>
      <c r="J46" t="n">
        <v>19805</v>
      </c>
      <c r="K46" t="n">
        <v>0</v>
      </c>
      <c r="L46" t="n">
        <v>0.5445</v>
      </c>
      <c r="M46" t="n">
        <v>0</v>
      </c>
      <c r="N46" t="n">
        <v>0.4619</v>
      </c>
      <c r="O46" t="n">
        <v>0.08260000000000001</v>
      </c>
      <c r="P46" t="n">
        <v>0.5445</v>
      </c>
      <c r="Q46" t="inlineStr">
        <is>
          <t>customs month published</t>
        </is>
      </c>
    </row>
    <row r="47">
      <c r="A47" t="n">
        <v>45</v>
      </c>
      <c r="B47" t="inlineStr">
        <is>
          <t>2024-10</t>
        </is>
      </c>
      <c r="C47" t="n">
        <v>18919</v>
      </c>
      <c r="D47" t="n">
        <v>468</v>
      </c>
      <c r="E47" t="n">
        <v>19387</v>
      </c>
      <c r="F47" t="n">
        <v>0</v>
      </c>
      <c r="G47" t="n">
        <v>0</v>
      </c>
      <c r="H47" t="n">
        <v>18919</v>
      </c>
      <c r="I47" t="n">
        <v>468</v>
      </c>
      <c r="J47" t="n">
        <v>19387</v>
      </c>
      <c r="K47" t="n">
        <v>0</v>
      </c>
      <c r="L47" t="n">
        <v>0.533</v>
      </c>
      <c r="M47" t="n">
        <v>0</v>
      </c>
      <c r="N47" t="n">
        <v>0.5201</v>
      </c>
      <c r="O47" t="n">
        <v>0.0129</v>
      </c>
      <c r="P47" t="n">
        <v>0.533</v>
      </c>
      <c r="Q47" t="inlineStr">
        <is>
          <t>customs month published</t>
        </is>
      </c>
    </row>
    <row r="48">
      <c r="A48" t="n">
        <v>46</v>
      </c>
      <c r="B48" t="inlineStr">
        <is>
          <t>2024-11</t>
        </is>
      </c>
      <c r="C48" t="n">
        <v>18556</v>
      </c>
      <c r="D48" t="n">
        <v>361</v>
      </c>
      <c r="E48" t="n">
        <v>18917</v>
      </c>
      <c r="F48" t="n">
        <v>0</v>
      </c>
      <c r="G48" t="n">
        <v>0</v>
      </c>
      <c r="H48" t="n">
        <v>18556</v>
      </c>
      <c r="I48" t="n">
        <v>361</v>
      </c>
      <c r="J48" t="n">
        <v>18917</v>
      </c>
      <c r="K48" t="n">
        <v>0</v>
      </c>
      <c r="L48" t="n">
        <v>0.5201</v>
      </c>
      <c r="M48" t="n">
        <v>0</v>
      </c>
      <c r="N48" t="n">
        <v>0.5101</v>
      </c>
      <c r="O48" t="n">
        <v>0.009900000000000001</v>
      </c>
      <c r="P48" t="n">
        <v>0.5201</v>
      </c>
      <c r="Q48" t="inlineStr">
        <is>
          <t>customs month published</t>
        </is>
      </c>
    </row>
    <row r="49">
      <c r="A49" t="n">
        <v>47</v>
      </c>
      <c r="B49" t="inlineStr">
        <is>
          <t>2024-12</t>
        </is>
      </c>
      <c r="C49" t="n">
        <v>17498</v>
      </c>
      <c r="D49" t="n">
        <v>330</v>
      </c>
      <c r="E49" t="n">
        <v>17828</v>
      </c>
      <c r="F49" t="n">
        <v>0</v>
      </c>
      <c r="G49" t="n">
        <v>155</v>
      </c>
      <c r="H49" t="n">
        <v>17498</v>
      </c>
      <c r="I49" t="n">
        <v>485</v>
      </c>
      <c r="J49" t="n">
        <v>17983</v>
      </c>
      <c r="K49" t="n">
        <v>0.9</v>
      </c>
      <c r="L49" t="n">
        <v>0.4901</v>
      </c>
      <c r="M49" t="n">
        <v>0.0043</v>
      </c>
      <c r="N49" t="n">
        <v>0.4811</v>
      </c>
      <c r="O49" t="n">
        <v>0.0133</v>
      </c>
      <c r="P49" t="n">
        <v>0.4944</v>
      </c>
      <c r="Q49" t="inlineStr">
        <is>
          <t>customs month published</t>
        </is>
      </c>
      <c r="R49" t="inlineStr">
        <is>
          <t>Peru 92.2 t</t>
        </is>
      </c>
    </row>
    <row r="50">
      <c r="A50" t="n">
        <v>48</v>
      </c>
      <c r="B50" t="inlineStr">
        <is>
          <t>2025-01</t>
        </is>
      </c>
      <c r="C50" t="n">
        <v>19130</v>
      </c>
      <c r="D50" t="n">
        <v>545</v>
      </c>
      <c r="E50" t="n">
        <v>19675</v>
      </c>
      <c r="L50" t="n">
        <v>0.5409</v>
      </c>
      <c r="Q50" t="inlineStr">
        <is>
          <t>monthly not published; 2025 annual total 3,270 t = avg 466 MMBtu/d (not allocated to months)</t>
        </is>
      </c>
    </row>
    <row r="51">
      <c r="A51" t="n">
        <v>49</v>
      </c>
      <c r="B51" t="inlineStr">
        <is>
          <t>2025-02</t>
        </is>
      </c>
      <c r="C51" t="n">
        <v>16046</v>
      </c>
      <c r="D51" t="n">
        <v>2807</v>
      </c>
      <c r="E51" t="n">
        <v>18853</v>
      </c>
      <c r="L51" t="n">
        <v>0.5183</v>
      </c>
      <c r="Q51" t="inlineStr">
        <is>
          <t>monthly not published; 2025 annual total 3,270 t = avg 466 MMBtu/d (not allocated to months)</t>
        </is>
      </c>
    </row>
    <row r="52">
      <c r="A52" t="n">
        <v>50</v>
      </c>
      <c r="B52" t="inlineStr">
        <is>
          <t>2025-03</t>
        </is>
      </c>
      <c r="C52" t="n">
        <v>17658</v>
      </c>
      <c r="D52" t="n">
        <v>1173</v>
      </c>
      <c r="E52" t="n">
        <v>18831</v>
      </c>
      <c r="L52" t="n">
        <v>0.5177</v>
      </c>
      <c r="Q52" t="inlineStr">
        <is>
          <t>monthly not published; 2025 annual total 3,270 t = avg 466 MMBtu/d (not allocated to months)</t>
        </is>
      </c>
    </row>
    <row r="53">
      <c r="A53" t="n">
        <v>51</v>
      </c>
      <c r="B53" t="inlineStr">
        <is>
          <t>2025-04</t>
        </is>
      </c>
      <c r="C53" t="n">
        <v>15550</v>
      </c>
      <c r="D53" t="n">
        <v>2017</v>
      </c>
      <c r="E53" t="n">
        <v>17567</v>
      </c>
      <c r="L53" t="n">
        <v>0.483</v>
      </c>
      <c r="Q53" t="inlineStr">
        <is>
          <t>monthly not published; 2025 annual total 3,270 t = avg 466 MMBtu/d (not allocated to months)</t>
        </is>
      </c>
    </row>
    <row r="54">
      <c r="A54" t="n">
        <v>52</v>
      </c>
      <c r="B54" t="inlineStr">
        <is>
          <t>2025-05</t>
        </is>
      </c>
      <c r="C54" t="n">
        <v>16762</v>
      </c>
      <c r="D54" t="n">
        <v>1974</v>
      </c>
      <c r="E54" t="n">
        <v>18736</v>
      </c>
      <c r="L54" t="n">
        <v>0.5151</v>
      </c>
      <c r="Q54" t="inlineStr">
        <is>
          <t>monthly not published; 2025 annual total 3,270 t = avg 466 MMBtu/d (not allocated to months)</t>
        </is>
      </c>
    </row>
    <row r="55">
      <c r="A55" t="n">
        <v>53</v>
      </c>
      <c r="B55" t="inlineStr">
        <is>
          <t>2025-06</t>
        </is>
      </c>
      <c r="C55" t="n">
        <v>15723</v>
      </c>
      <c r="D55" t="n">
        <v>2038</v>
      </c>
      <c r="E55" t="n">
        <v>17761</v>
      </c>
      <c r="L55" t="n">
        <v>0.4883</v>
      </c>
      <c r="Q55" t="inlineStr">
        <is>
          <t>monthly not published; 2025 annual total 3,270 t = avg 466 MMBtu/d (not allocated to months)</t>
        </is>
      </c>
    </row>
    <row r="56">
      <c r="A56" t="n">
        <v>54</v>
      </c>
      <c r="B56" t="inlineStr">
        <is>
          <t>2025-07</t>
        </is>
      </c>
      <c r="C56" t="n">
        <v>15420</v>
      </c>
      <c r="D56" t="n">
        <v>2517</v>
      </c>
      <c r="E56" t="n">
        <v>17937</v>
      </c>
      <c r="L56" t="n">
        <v>0.4931</v>
      </c>
      <c r="Q56" t="inlineStr">
        <is>
          <t>monthly not published; 2025 annual total 3,270 t = avg 466 MMBtu/d (not allocated to months)</t>
        </is>
      </c>
    </row>
    <row r="57">
      <c r="A57" t="n">
        <v>55</v>
      </c>
      <c r="B57" t="inlineStr">
        <is>
          <t>2025-08</t>
        </is>
      </c>
      <c r="C57" t="n">
        <v>15396</v>
      </c>
      <c r="D57" t="n">
        <v>2887</v>
      </c>
      <c r="E57" t="n">
        <v>18283</v>
      </c>
      <c r="L57" t="n">
        <v>0.5026</v>
      </c>
      <c r="Q57" t="inlineStr">
        <is>
          <t>monthly not published; 2025 annual total 3,270 t = avg 466 MMBtu/d (not allocated to months)</t>
        </is>
      </c>
    </row>
    <row r="58">
      <c r="A58" t="n">
        <v>56</v>
      </c>
      <c r="B58" t="inlineStr">
        <is>
          <t>2025-09</t>
        </is>
      </c>
      <c r="C58" t="n">
        <v>16556</v>
      </c>
      <c r="D58" t="n">
        <v>1876</v>
      </c>
      <c r="E58" t="n">
        <v>18432</v>
      </c>
      <c r="L58" t="n">
        <v>0.5067</v>
      </c>
      <c r="Q58" t="inlineStr">
        <is>
          <t>monthly not published; 2025 annual total 3,270 t = avg 466 MMBtu/d (not allocated to months)</t>
        </is>
      </c>
    </row>
    <row r="59">
      <c r="A59" t="n">
        <v>57</v>
      </c>
      <c r="B59" t="inlineStr">
        <is>
          <t>2025-10</t>
        </is>
      </c>
      <c r="C59" t="n">
        <v>14295</v>
      </c>
      <c r="D59" t="n">
        <v>3184</v>
      </c>
      <c r="E59" t="n">
        <v>17479</v>
      </c>
      <c r="L59" t="n">
        <v>0.4805</v>
      </c>
      <c r="Q59" t="inlineStr">
        <is>
          <t>monthly not published; 2025 annual total 3,270 t = avg 466 MMBtu/d (not allocated to months)</t>
        </is>
      </c>
    </row>
    <row r="60">
      <c r="A60" t="n">
        <v>58</v>
      </c>
      <c r="B60" t="inlineStr">
        <is>
          <t>2025-11</t>
        </is>
      </c>
      <c r="C60" t="n">
        <v>16283</v>
      </c>
      <c r="D60" t="n">
        <v>1487</v>
      </c>
      <c r="E60" t="n">
        <v>17770</v>
      </c>
      <c r="L60" t="n">
        <v>0.4885</v>
      </c>
      <c r="Q60" t="inlineStr">
        <is>
          <t>monthly not published; 2025 annual total 3,270 t = avg 466 MMBtu/d (not allocated to months)</t>
        </is>
      </c>
    </row>
    <row r="61">
      <c r="A61" t="n">
        <v>59</v>
      </c>
      <c r="B61" t="inlineStr">
        <is>
          <t>2025-12</t>
        </is>
      </c>
      <c r="C61" t="n">
        <v>14918</v>
      </c>
      <c r="D61" t="n">
        <v>2196</v>
      </c>
      <c r="E61" t="n">
        <v>17114</v>
      </c>
      <c r="L61" t="n">
        <v>0.4705</v>
      </c>
      <c r="Q61" t="inlineStr">
        <is>
          <t>monthly not published; 2025 annual total 3,270 t = avg 466 MMBtu/d (not allocated to months)</t>
        </is>
      </c>
    </row>
    <row r="62">
      <c r="A62" t="n">
        <v>60</v>
      </c>
      <c r="B62" t="inlineStr">
        <is>
          <t>2026-01</t>
        </is>
      </c>
      <c r="C62" t="n">
        <v>17760</v>
      </c>
      <c r="D62" t="n">
        <v>736</v>
      </c>
      <c r="E62" t="n">
        <v>18496</v>
      </c>
      <c r="F62" t="n">
        <v>0</v>
      </c>
      <c r="G62" t="n">
        <v>699</v>
      </c>
      <c r="H62" t="n">
        <v>17760</v>
      </c>
      <c r="I62" t="n">
        <v>1435</v>
      </c>
      <c r="J62" t="n">
        <v>19195</v>
      </c>
      <c r="K62" t="n">
        <v>3.6</v>
      </c>
      <c r="L62" t="n">
        <v>0.5085</v>
      </c>
      <c r="M62" t="n">
        <v>0.0192</v>
      </c>
      <c r="N62" t="n">
        <v>0.4883</v>
      </c>
      <c r="O62" t="n">
        <v>0.0395</v>
      </c>
      <c r="P62" t="n">
        <v>0.5276999999999999</v>
      </c>
      <c r="Q62" t="inlineStr">
        <is>
          <t>customs month published</t>
        </is>
      </c>
      <c r="R62" t="inlineStr">
        <is>
          <t>Peru 416.5 t</t>
        </is>
      </c>
    </row>
    <row r="63">
      <c r="A63" t="n">
        <v>61</v>
      </c>
      <c r="B63" t="inlineStr">
        <is>
          <t>2026-02</t>
        </is>
      </c>
      <c r="C63" t="n">
        <v>17426</v>
      </c>
      <c r="D63" t="n">
        <v>0</v>
      </c>
      <c r="E63" t="n">
        <v>17426</v>
      </c>
      <c r="F63" t="n">
        <v>0</v>
      </c>
      <c r="G63" t="n">
        <v>462</v>
      </c>
      <c r="H63" t="n">
        <v>17426</v>
      </c>
      <c r="I63" t="n">
        <v>462</v>
      </c>
      <c r="J63" t="n">
        <v>17888</v>
      </c>
      <c r="K63" t="n">
        <v>2.6</v>
      </c>
      <c r="L63" t="n">
        <v>0.4791</v>
      </c>
      <c r="M63" t="n">
        <v>0.0127</v>
      </c>
      <c r="N63" t="n">
        <v>0.4791</v>
      </c>
      <c r="O63" t="n">
        <v>0.0127</v>
      </c>
      <c r="P63" t="n">
        <v>0.4918</v>
      </c>
      <c r="Q63" t="inlineStr">
        <is>
          <t>customs month published</t>
        </is>
      </c>
      <c r="R63" t="inlineStr">
        <is>
          <t>Peru 248.9 t</t>
        </is>
      </c>
    </row>
    <row r="64">
      <c r="A64" t="n">
        <v>62</v>
      </c>
      <c r="B64" t="inlineStr">
        <is>
          <t>2026-03</t>
        </is>
      </c>
      <c r="C64" t="n">
        <v>19257</v>
      </c>
      <c r="D64" t="n">
        <v>0</v>
      </c>
      <c r="E64" t="n">
        <v>19257</v>
      </c>
      <c r="F64" t="n">
        <v>0</v>
      </c>
      <c r="G64" t="n">
        <v>671</v>
      </c>
      <c r="H64" t="n">
        <v>19257</v>
      </c>
      <c r="I64" t="n">
        <v>671</v>
      </c>
      <c r="J64" t="n">
        <v>19928</v>
      </c>
      <c r="K64" t="n">
        <v>3.4</v>
      </c>
      <c r="L64" t="n">
        <v>0.5294</v>
      </c>
      <c r="M64" t="n">
        <v>0.0184</v>
      </c>
      <c r="N64" t="n">
        <v>0.5294</v>
      </c>
      <c r="O64" t="n">
        <v>0.0184</v>
      </c>
      <c r="P64" t="n">
        <v>0.5479000000000001</v>
      </c>
      <c r="Q64" t="inlineStr">
        <is>
          <t>customs month published</t>
        </is>
      </c>
      <c r="R64" t="inlineStr">
        <is>
          <t>Peru 400.0 t</t>
        </is>
      </c>
    </row>
    <row r="65">
      <c r="A65" t="n">
        <v>63</v>
      </c>
      <c r="B65" t="inlineStr">
        <is>
          <t>2026-04</t>
        </is>
      </c>
      <c r="C65" t="n">
        <v>23454</v>
      </c>
      <c r="D65" t="n">
        <v>421</v>
      </c>
      <c r="E65" t="n">
        <v>23875</v>
      </c>
      <c r="L65" t="n">
        <v>0.6564</v>
      </c>
      <c r="Q65" t="inlineStr">
        <is>
          <t>not yet published</t>
        </is>
      </c>
    </row>
    <row r="66">
      <c r="A66" t="n">
        <v>64</v>
      </c>
      <c r="B66" t="inlineStr">
        <is>
          <t>2026-05</t>
        </is>
      </c>
      <c r="C66" t="n">
        <v>25336</v>
      </c>
      <c r="D66" t="n">
        <v>1171</v>
      </c>
      <c r="E66" t="n">
        <v>26507</v>
      </c>
      <c r="L66" t="n">
        <v>0.7287</v>
      </c>
      <c r="Q66" t="inlineStr">
        <is>
          <t>not yet published</t>
        </is>
      </c>
    </row>
    <row r="67">
      <c r="A67" t="n">
        <v>65</v>
      </c>
      <c r="B67" t="inlineStr">
        <is>
          <t>2026-06</t>
        </is>
      </c>
      <c r="C67" t="n">
        <v>23871</v>
      </c>
      <c r="D67" t="n">
        <v>2335</v>
      </c>
      <c r="E67" t="n">
        <v>26206</v>
      </c>
      <c r="L67" t="n">
        <v>0.7205</v>
      </c>
      <c r="Q67" t="inlineStr">
        <is>
          <t>not yet published</t>
        </is>
      </c>
    </row>
    <row r="68">
      <c r="A68" t="n">
        <v>66</v>
      </c>
      <c r="B68" t="inlineStr">
        <is>
          <t>2026-07</t>
        </is>
      </c>
      <c r="C68" t="n">
        <v>22176</v>
      </c>
      <c r="D68" t="n">
        <v>2958</v>
      </c>
      <c r="E68" t="n">
        <v>25134</v>
      </c>
      <c r="L68" t="n">
        <v>0.6909999999999999</v>
      </c>
      <c r="Q68" t="inlineStr">
        <is>
          <t>not yet published</t>
        </is>
      </c>
    </row>
    <row r="69">
      <c r="A69" t="n">
        <v>67</v>
      </c>
      <c r="B69" t="inlineStr">
        <is>
          <t>2026-08</t>
        </is>
      </c>
      <c r="C69" t="n">
        <v>20252</v>
      </c>
      <c r="D69" t="n">
        <v>4044</v>
      </c>
      <c r="E69" t="n">
        <v>24296</v>
      </c>
      <c r="L69" t="n">
        <v>0.6679</v>
      </c>
      <c r="Q69" t="inlineStr">
        <is>
          <t>not yet published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Comtrade_status</t>
        </is>
      </c>
      <c r="D1" t="inlineStr">
        <is>
          <t>LNG_271111_tonnes</t>
        </is>
      </c>
      <c r="E1" t="inlineStr">
        <is>
          <t>LNG_271111_USD</t>
        </is>
      </c>
      <c r="F1" t="inlineStr">
        <is>
          <t>NG_gaseous_271121_tonnes</t>
        </is>
      </c>
      <c r="G1" t="inlineStr">
        <is>
          <t>NG_gaseous_271121_USD</t>
        </is>
      </c>
      <c r="H1" t="inlineStr">
        <is>
          <t>Partners</t>
        </is>
      </c>
      <c r="I1" t="inlineStr">
        <is>
          <t>Imports_MMBtu_per_day</t>
        </is>
      </c>
    </row>
    <row r="2">
      <c r="A2" t="n">
        <v>0</v>
      </c>
      <c r="B2" t="inlineStr">
        <is>
          <t>2021-01</t>
        </is>
      </c>
      <c r="C2" t="inlineStr">
        <is>
          <t>monthly</t>
        </is>
      </c>
      <c r="D2" t="n">
        <v>0</v>
      </c>
      <c r="E2" t="n">
        <v>0</v>
      </c>
      <c r="F2" t="n">
        <v>0</v>
      </c>
      <c r="G2" t="n">
        <v>0</v>
      </c>
      <c r="I2" t="n">
        <v>0</v>
      </c>
    </row>
    <row r="3">
      <c r="A3" t="n">
        <v>1</v>
      </c>
      <c r="B3" t="inlineStr">
        <is>
          <t>2021-02</t>
        </is>
      </c>
      <c r="C3" t="inlineStr">
        <is>
          <t>monthly</t>
        </is>
      </c>
      <c r="D3" t="n">
        <v>0</v>
      </c>
      <c r="E3" t="n">
        <v>0</v>
      </c>
      <c r="F3" t="n">
        <v>0</v>
      </c>
      <c r="G3" t="n">
        <v>0</v>
      </c>
      <c r="I3" t="n">
        <v>0</v>
      </c>
    </row>
    <row r="4">
      <c r="A4" t="n">
        <v>2</v>
      </c>
      <c r="B4" t="inlineStr">
        <is>
          <t>2021-03</t>
        </is>
      </c>
      <c r="C4" t="inlineStr">
        <is>
          <t>monthly</t>
        </is>
      </c>
      <c r="D4" t="n">
        <v>0</v>
      </c>
      <c r="E4" t="n">
        <v>0</v>
      </c>
      <c r="F4" t="n">
        <v>0</v>
      </c>
      <c r="G4" t="n">
        <v>0</v>
      </c>
      <c r="I4" t="n">
        <v>0</v>
      </c>
    </row>
    <row r="5">
      <c r="A5" t="n">
        <v>3</v>
      </c>
      <c r="B5" t="inlineStr">
        <is>
          <t>2021-04</t>
        </is>
      </c>
      <c r="C5" t="inlineStr">
        <is>
          <t>monthly</t>
        </is>
      </c>
      <c r="D5" t="n">
        <v>0.003</v>
      </c>
      <c r="E5" t="n">
        <v>5.17</v>
      </c>
      <c r="F5" t="n">
        <v>0</v>
      </c>
      <c r="G5" t="n">
        <v>0</v>
      </c>
      <c r="I5" t="n">
        <v>0</v>
      </c>
    </row>
    <row r="6">
      <c r="A6" t="n">
        <v>4</v>
      </c>
      <c r="B6" t="inlineStr">
        <is>
          <t>2021-05</t>
        </is>
      </c>
      <c r="C6" t="inlineStr">
        <is>
          <t>monthly</t>
        </is>
      </c>
      <c r="D6" t="n">
        <v>0</v>
      </c>
      <c r="E6" t="n">
        <v>0</v>
      </c>
      <c r="F6" t="n">
        <v>0</v>
      </c>
      <c r="G6" t="n">
        <v>0</v>
      </c>
      <c r="I6" t="n">
        <v>0</v>
      </c>
    </row>
    <row r="7">
      <c r="A7" t="n">
        <v>5</v>
      </c>
      <c r="B7" t="inlineStr">
        <is>
          <t>2021-06</t>
        </is>
      </c>
      <c r="C7" t="inlineStr">
        <is>
          <t>monthly</t>
        </is>
      </c>
      <c r="D7" t="n">
        <v>0</v>
      </c>
      <c r="E7" t="n">
        <v>0</v>
      </c>
      <c r="F7" t="n">
        <v>0</v>
      </c>
      <c r="G7" t="n">
        <v>0</v>
      </c>
      <c r="I7" t="n">
        <v>0</v>
      </c>
    </row>
    <row r="8">
      <c r="A8" t="n">
        <v>6</v>
      </c>
      <c r="B8" t="inlineStr">
        <is>
          <t>2021-07</t>
        </is>
      </c>
      <c r="C8" t="inlineStr">
        <is>
          <t>monthly</t>
        </is>
      </c>
      <c r="D8" t="n">
        <v>0</v>
      </c>
      <c r="E8" t="n">
        <v>0</v>
      </c>
      <c r="F8" t="n">
        <v>0</v>
      </c>
      <c r="G8" t="n">
        <v>423.17</v>
      </c>
      <c r="I8" t="n">
        <v>0</v>
      </c>
    </row>
    <row r="9">
      <c r="A9" t="n">
        <v>7</v>
      </c>
      <c r="B9" t="inlineStr">
        <is>
          <t>2021-08</t>
        </is>
      </c>
      <c r="C9" t="inlineStr">
        <is>
          <t>monthly</t>
        </is>
      </c>
      <c r="D9" t="n">
        <v>0</v>
      </c>
      <c r="E9" t="n">
        <v>0</v>
      </c>
      <c r="F9" t="n">
        <v>0</v>
      </c>
      <c r="G9" t="n">
        <v>0</v>
      </c>
      <c r="I9" t="n">
        <v>0</v>
      </c>
    </row>
    <row r="10">
      <c r="A10" t="n">
        <v>8</v>
      </c>
      <c r="B10" t="inlineStr">
        <is>
          <t>2021-09</t>
        </is>
      </c>
      <c r="C10" t="inlineStr">
        <is>
          <t>monthly</t>
        </is>
      </c>
      <c r="D10" t="n">
        <v>0</v>
      </c>
      <c r="E10" t="n">
        <v>0</v>
      </c>
      <c r="F10" t="n">
        <v>0</v>
      </c>
      <c r="G10" t="n">
        <v>0</v>
      </c>
      <c r="I10" t="n">
        <v>0</v>
      </c>
    </row>
    <row r="11">
      <c r="A11" t="n">
        <v>9</v>
      </c>
      <c r="B11" t="inlineStr">
        <is>
          <t>2021-10</t>
        </is>
      </c>
      <c r="C11" t="inlineStr">
        <is>
          <t>monthly</t>
        </is>
      </c>
      <c r="D11" t="n">
        <v>0</v>
      </c>
      <c r="E11" t="n">
        <v>0</v>
      </c>
      <c r="F11" t="n">
        <v>0</v>
      </c>
      <c r="G11" t="n">
        <v>0</v>
      </c>
      <c r="I11" t="n">
        <v>0</v>
      </c>
    </row>
    <row r="12">
      <c r="A12" t="n">
        <v>10</v>
      </c>
      <c r="B12" t="inlineStr">
        <is>
          <t>2021-11</t>
        </is>
      </c>
      <c r="C12" t="inlineStr">
        <is>
          <t>monthly</t>
        </is>
      </c>
      <c r="D12" t="n">
        <v>0</v>
      </c>
      <c r="E12" t="n">
        <v>0</v>
      </c>
      <c r="F12" t="n">
        <v>0</v>
      </c>
      <c r="G12" t="n">
        <v>0</v>
      </c>
      <c r="I12" t="n">
        <v>0</v>
      </c>
    </row>
    <row r="13">
      <c r="A13" t="n">
        <v>11</v>
      </c>
      <c r="B13" t="inlineStr">
        <is>
          <t>2021-12</t>
        </is>
      </c>
      <c r="C13" t="inlineStr">
        <is>
          <t>monthly</t>
        </is>
      </c>
      <c r="D13" t="n">
        <v>0</v>
      </c>
      <c r="E13" t="n">
        <v>0</v>
      </c>
      <c r="F13" t="n">
        <v>0</v>
      </c>
      <c r="G13" t="n">
        <v>0</v>
      </c>
      <c r="I13" t="n">
        <v>0</v>
      </c>
    </row>
    <row r="14">
      <c r="A14" t="n">
        <v>12</v>
      </c>
      <c r="B14" t="inlineStr">
        <is>
          <t>2022-01</t>
        </is>
      </c>
      <c r="C14" t="inlineStr">
        <is>
          <t>monthly</t>
        </is>
      </c>
      <c r="D14" t="n">
        <v>26.4</v>
      </c>
      <c r="E14" t="n">
        <v>24683.26</v>
      </c>
      <c r="F14" t="n">
        <v>0</v>
      </c>
      <c r="G14" t="n">
        <v>0</v>
      </c>
      <c r="H14" t="inlineStr">
        <is>
          <t>Panama 26.4 t</t>
        </is>
      </c>
      <c r="I14" t="n">
        <v>44</v>
      </c>
    </row>
    <row r="15">
      <c r="A15" t="n">
        <v>13</v>
      </c>
      <c r="B15" t="inlineStr">
        <is>
          <t>2022-02</t>
        </is>
      </c>
      <c r="C15" t="inlineStr">
        <is>
          <t>not published monthly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inlineStr">
        <is>
          <t>2022-03</t>
        </is>
      </c>
      <c r="C16" t="inlineStr">
        <is>
          <t>not published monthly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inlineStr">
        <is>
          <t>2022-04</t>
        </is>
      </c>
      <c r="C17" t="inlineStr">
        <is>
          <t>not published monthly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inlineStr">
        <is>
          <t>2022-05</t>
        </is>
      </c>
      <c r="C18" t="inlineStr">
        <is>
          <t>not published monthly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inlineStr">
        <is>
          <t>2022-06</t>
        </is>
      </c>
      <c r="C19" t="inlineStr">
        <is>
          <t>not published monthly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inlineStr">
        <is>
          <t>2022-07</t>
        </is>
      </c>
      <c r="C20" t="inlineStr">
        <is>
          <t>not published monthly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inlineStr">
        <is>
          <t>2022-08</t>
        </is>
      </c>
      <c r="C21" t="inlineStr">
        <is>
          <t>not published monthly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inlineStr">
        <is>
          <t>2022-09</t>
        </is>
      </c>
      <c r="C22" t="inlineStr">
        <is>
          <t>not published monthly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inlineStr">
        <is>
          <t>2022-10</t>
        </is>
      </c>
      <c r="C23" t="inlineStr">
        <is>
          <t>not published monthly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inlineStr">
        <is>
          <t>2022-11</t>
        </is>
      </c>
      <c r="C24" t="inlineStr">
        <is>
          <t>not published monthly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inlineStr">
        <is>
          <t>2022-12</t>
        </is>
      </c>
      <c r="C25" t="inlineStr">
        <is>
          <t>not published monthly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inlineStr">
        <is>
          <t>2023-01</t>
        </is>
      </c>
      <c r="C26" t="inlineStr">
        <is>
          <t>not published monthly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inlineStr">
        <is>
          <t>2023-02</t>
        </is>
      </c>
      <c r="C27" t="inlineStr">
        <is>
          <t>not published monthly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inlineStr">
        <is>
          <t>2023-03</t>
        </is>
      </c>
      <c r="C28" t="inlineStr">
        <is>
          <t>not published monthly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inlineStr">
        <is>
          <t>2023-04</t>
        </is>
      </c>
      <c r="C29" t="inlineStr">
        <is>
          <t>not published monthly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inlineStr">
        <is>
          <t>2023-05</t>
        </is>
      </c>
      <c r="C30" t="inlineStr">
        <is>
          <t>not published monthly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inlineStr">
        <is>
          <t>2023-06</t>
        </is>
      </c>
      <c r="C31" t="inlineStr">
        <is>
          <t>not published monthly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inlineStr">
        <is>
          <t>2023-07</t>
        </is>
      </c>
      <c r="C32" t="inlineStr">
        <is>
          <t>not published monthly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inlineStr">
        <is>
          <t>2023-08</t>
        </is>
      </c>
      <c r="C33" t="inlineStr">
        <is>
          <t>not published monthly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inlineStr">
        <is>
          <t>2023-09</t>
        </is>
      </c>
      <c r="C34" t="inlineStr">
        <is>
          <t>not published monthly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inlineStr">
        <is>
          <t>2023-10</t>
        </is>
      </c>
      <c r="C35" t="inlineStr">
        <is>
          <t>not published monthly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inlineStr">
        <is>
          <t>2023-11</t>
        </is>
      </c>
      <c r="C36" t="inlineStr">
        <is>
          <t>not published monthly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inlineStr">
        <is>
          <t>2023-12</t>
        </is>
      </c>
      <c r="C37" t="inlineStr">
        <is>
          <t>not published monthly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inlineStr">
        <is>
          <t>2024-01</t>
        </is>
      </c>
      <c r="C38" t="inlineStr">
        <is>
          <t>monthly</t>
        </is>
      </c>
      <c r="D38" t="n">
        <v>0</v>
      </c>
      <c r="E38" t="n">
        <v>0</v>
      </c>
      <c r="F38" t="n">
        <v>0</v>
      </c>
      <c r="G38" t="n">
        <v>0</v>
      </c>
      <c r="I38" t="n">
        <v>0</v>
      </c>
    </row>
    <row r="39">
      <c r="A39" t="n">
        <v>37</v>
      </c>
      <c r="B39" t="inlineStr">
        <is>
          <t>2024-02</t>
        </is>
      </c>
      <c r="C39" t="inlineStr">
        <is>
          <t>monthly</t>
        </is>
      </c>
      <c r="D39" t="n">
        <v>0</v>
      </c>
      <c r="E39" t="n">
        <v>0</v>
      </c>
      <c r="F39" t="n">
        <v>0</v>
      </c>
      <c r="G39" t="n">
        <v>0</v>
      </c>
      <c r="I39" t="n">
        <v>0</v>
      </c>
    </row>
    <row r="40">
      <c r="A40" t="n">
        <v>38</v>
      </c>
      <c r="B40" t="inlineStr">
        <is>
          <t>2024-03</t>
        </is>
      </c>
      <c r="C40" t="inlineStr">
        <is>
          <t>monthly</t>
        </is>
      </c>
      <c r="D40" t="n">
        <v>0</v>
      </c>
      <c r="E40" t="n">
        <v>0</v>
      </c>
      <c r="F40" t="n">
        <v>0</v>
      </c>
      <c r="G40" t="n">
        <v>0</v>
      </c>
      <c r="I40" t="n">
        <v>0</v>
      </c>
    </row>
    <row r="41">
      <c r="A41" t="n">
        <v>39</v>
      </c>
      <c r="B41" t="inlineStr">
        <is>
          <t>2024-04</t>
        </is>
      </c>
      <c r="C41" t="inlineStr">
        <is>
          <t>monthly</t>
        </is>
      </c>
      <c r="D41" t="n">
        <v>0.001</v>
      </c>
      <c r="E41" t="n">
        <v>7.23</v>
      </c>
      <c r="F41" t="n">
        <v>0</v>
      </c>
      <c r="G41" t="n">
        <v>0</v>
      </c>
      <c r="I41" t="n">
        <v>0</v>
      </c>
    </row>
    <row r="42">
      <c r="A42" t="n">
        <v>40</v>
      </c>
      <c r="B42" t="inlineStr">
        <is>
          <t>2024-05</t>
        </is>
      </c>
      <c r="C42" t="inlineStr">
        <is>
          <t>monthly</t>
        </is>
      </c>
      <c r="D42" t="n">
        <v>0</v>
      </c>
      <c r="E42" t="n">
        <v>0</v>
      </c>
      <c r="F42" t="n">
        <v>0</v>
      </c>
      <c r="G42" t="n">
        <v>0</v>
      </c>
      <c r="I42" t="n">
        <v>0</v>
      </c>
    </row>
    <row r="43">
      <c r="A43" t="n">
        <v>41</v>
      </c>
      <c r="B43" t="inlineStr">
        <is>
          <t>2024-06</t>
        </is>
      </c>
      <c r="C43" t="inlineStr">
        <is>
          <t>monthly</t>
        </is>
      </c>
      <c r="D43" t="n">
        <v>0</v>
      </c>
      <c r="E43" t="n">
        <v>0</v>
      </c>
      <c r="F43" t="n">
        <v>0</v>
      </c>
      <c r="G43" t="n">
        <v>0</v>
      </c>
      <c r="I43" t="n">
        <v>0</v>
      </c>
    </row>
    <row r="44">
      <c r="A44" t="n">
        <v>42</v>
      </c>
      <c r="B44" t="inlineStr">
        <is>
          <t>2024-07</t>
        </is>
      </c>
      <c r="C44" t="inlineStr">
        <is>
          <t>monthly</t>
        </is>
      </c>
      <c r="D44" t="n">
        <v>0</v>
      </c>
      <c r="E44" t="n">
        <v>0</v>
      </c>
      <c r="F44" t="n">
        <v>0</v>
      </c>
      <c r="G44" t="n">
        <v>0</v>
      </c>
      <c r="I44" t="n">
        <v>0</v>
      </c>
    </row>
    <row r="45">
      <c r="A45" t="n">
        <v>43</v>
      </c>
      <c r="B45" t="inlineStr">
        <is>
          <t>2024-08</t>
        </is>
      </c>
      <c r="C45" t="inlineStr">
        <is>
          <t>monthly</t>
        </is>
      </c>
      <c r="D45" t="n">
        <v>0</v>
      </c>
      <c r="E45" t="n">
        <v>0</v>
      </c>
      <c r="F45" t="n">
        <v>0</v>
      </c>
      <c r="G45" t="n">
        <v>0</v>
      </c>
      <c r="I45" t="n">
        <v>0</v>
      </c>
    </row>
    <row r="46">
      <c r="A46" t="n">
        <v>44</v>
      </c>
      <c r="B46" t="inlineStr">
        <is>
          <t>2024-09</t>
        </is>
      </c>
      <c r="C46" t="inlineStr">
        <is>
          <t>monthly</t>
        </is>
      </c>
      <c r="D46" t="n">
        <v>0</v>
      </c>
      <c r="E46" t="n">
        <v>0</v>
      </c>
      <c r="F46" t="n">
        <v>0</v>
      </c>
      <c r="G46" t="n">
        <v>0</v>
      </c>
      <c r="I46" t="n">
        <v>0</v>
      </c>
    </row>
    <row r="47">
      <c r="A47" t="n">
        <v>45</v>
      </c>
      <c r="B47" t="inlineStr">
        <is>
          <t>2024-10</t>
        </is>
      </c>
      <c r="C47" t="inlineStr">
        <is>
          <t>monthly</t>
        </is>
      </c>
      <c r="D47" t="n">
        <v>0</v>
      </c>
      <c r="E47" t="n">
        <v>0</v>
      </c>
      <c r="F47" t="n">
        <v>0</v>
      </c>
      <c r="G47" t="n">
        <v>0</v>
      </c>
      <c r="I47" t="n">
        <v>0</v>
      </c>
    </row>
    <row r="48">
      <c r="A48" t="n">
        <v>46</v>
      </c>
      <c r="B48" t="inlineStr">
        <is>
          <t>2024-11</t>
        </is>
      </c>
      <c r="C48" t="inlineStr">
        <is>
          <t>monthly</t>
        </is>
      </c>
      <c r="D48" t="n">
        <v>0</v>
      </c>
      <c r="E48" t="n">
        <v>0</v>
      </c>
      <c r="F48" t="n">
        <v>0</v>
      </c>
      <c r="G48" t="n">
        <v>0</v>
      </c>
      <c r="I48" t="n">
        <v>0</v>
      </c>
    </row>
    <row r="49">
      <c r="A49" t="n">
        <v>47</v>
      </c>
      <c r="B49" t="inlineStr">
        <is>
          <t>2024-12</t>
        </is>
      </c>
      <c r="C49" t="inlineStr">
        <is>
          <t>monthly</t>
        </is>
      </c>
      <c r="D49" t="n">
        <v>92.17</v>
      </c>
      <c r="E49" t="n">
        <v>48471.19</v>
      </c>
      <c r="F49" t="n">
        <v>0</v>
      </c>
      <c r="G49" t="n">
        <v>0</v>
      </c>
      <c r="H49" t="inlineStr">
        <is>
          <t>Peru 92.2 t</t>
        </is>
      </c>
      <c r="I49" t="n">
        <v>155</v>
      </c>
    </row>
    <row r="50">
      <c r="A50" t="n">
        <v>48</v>
      </c>
      <c r="B50" t="inlineStr">
        <is>
          <t>2025-01</t>
        </is>
      </c>
      <c r="C50" t="inlineStr">
        <is>
          <t>not published monthly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inlineStr">
        <is>
          <t>2025-02</t>
        </is>
      </c>
      <c r="C51" t="inlineStr">
        <is>
          <t>not published monthly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inlineStr">
        <is>
          <t>2025-03</t>
        </is>
      </c>
      <c r="C52" t="inlineStr">
        <is>
          <t>not published monthly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inlineStr">
        <is>
          <t>2025-04</t>
        </is>
      </c>
      <c r="C53" t="inlineStr">
        <is>
          <t>not published monthly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inlineStr">
        <is>
          <t>2025-05</t>
        </is>
      </c>
      <c r="C54" t="inlineStr">
        <is>
          <t>not published monthly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inlineStr">
        <is>
          <t>2025-06</t>
        </is>
      </c>
      <c r="C55" t="inlineStr">
        <is>
          <t>not published monthly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inlineStr">
        <is>
          <t>2025-07</t>
        </is>
      </c>
      <c r="C56" t="inlineStr">
        <is>
          <t>not published monthly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inlineStr">
        <is>
          <t>2025-08</t>
        </is>
      </c>
      <c r="C57" t="inlineStr">
        <is>
          <t>not published monthly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inlineStr">
        <is>
          <t>2025-09</t>
        </is>
      </c>
      <c r="C58" t="inlineStr">
        <is>
          <t>not published monthly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inlineStr">
        <is>
          <t>2025-10</t>
        </is>
      </c>
      <c r="C59" t="inlineStr">
        <is>
          <t>not published monthly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inlineStr">
        <is>
          <t>2025-11</t>
        </is>
      </c>
      <c r="C60" t="inlineStr">
        <is>
          <t>not published monthly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inlineStr">
        <is>
          <t>2025-12</t>
        </is>
      </c>
      <c r="C61" t="inlineStr">
        <is>
          <t>not published monthly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inlineStr">
        <is>
          <t>2026-01</t>
        </is>
      </c>
      <c r="C62" t="inlineStr">
        <is>
          <t>monthly</t>
        </is>
      </c>
      <c r="D62" t="n">
        <v>416.51</v>
      </c>
      <c r="E62" t="n">
        <v>213611.18</v>
      </c>
      <c r="F62" t="n">
        <v>0</v>
      </c>
      <c r="G62" t="n">
        <v>0</v>
      </c>
      <c r="H62" t="inlineStr">
        <is>
          <t>Peru 416.5 t</t>
        </is>
      </c>
      <c r="I62" t="n">
        <v>699</v>
      </c>
    </row>
    <row r="63">
      <c r="A63" t="n">
        <v>61</v>
      </c>
      <c r="B63" t="inlineStr">
        <is>
          <t>2026-02</t>
        </is>
      </c>
      <c r="C63" t="inlineStr">
        <is>
          <t>monthly</t>
        </is>
      </c>
      <c r="D63" t="n">
        <v>248.91</v>
      </c>
      <c r="E63" t="n">
        <v>127767.41</v>
      </c>
      <c r="F63" t="n">
        <v>0</v>
      </c>
      <c r="G63" t="n">
        <v>0</v>
      </c>
      <c r="H63" t="inlineStr">
        <is>
          <t>Peru 248.9 t</t>
        </is>
      </c>
      <c r="I63" t="n">
        <v>462</v>
      </c>
    </row>
    <row r="64">
      <c r="A64" t="n">
        <v>62</v>
      </c>
      <c r="B64" t="inlineStr">
        <is>
          <t>2026-03</t>
        </is>
      </c>
      <c r="C64" t="inlineStr">
        <is>
          <t>monthly</t>
        </is>
      </c>
      <c r="D64" t="n">
        <v>400.01</v>
      </c>
      <c r="E64" t="n">
        <v>205324.75</v>
      </c>
      <c r="F64" t="n">
        <v>0</v>
      </c>
      <c r="G64" t="n">
        <v>0</v>
      </c>
      <c r="H64" t="inlineStr">
        <is>
          <t>Peru 400.0 t</t>
        </is>
      </c>
      <c r="I64" t="n">
        <v>671</v>
      </c>
    </row>
    <row r="65">
      <c r="A65" t="n">
        <v>63</v>
      </c>
      <c r="B65" t="inlineStr">
        <is>
          <t>2026-04</t>
        </is>
      </c>
      <c r="C65" t="inlineStr">
        <is>
          <t>not published monthly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inlineStr">
        <is>
          <t>2026-05</t>
        </is>
      </c>
      <c r="C66" t="inlineStr">
        <is>
          <t>not published monthly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inlineStr">
        <is>
          <t>2026-06</t>
        </is>
      </c>
      <c r="C67" t="inlineStr">
        <is>
          <t>not published monthly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inlineStr">
        <is>
          <t>2026-07</t>
        </is>
      </c>
      <c r="C68" t="inlineStr">
        <is>
          <t>not published monthly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inlineStr">
        <is>
          <t>2026-08</t>
        </is>
      </c>
      <c r="C69" t="inlineStr">
        <is>
          <t>not published monthly</t>
        </is>
      </c>
      <c r="D69" t="n">
        <v>0</v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Comtrade_status</t>
        </is>
      </c>
      <c r="D1" t="inlineStr">
        <is>
          <t>Months_published_monthly</t>
        </is>
      </c>
      <c r="E1" t="inlineStr">
        <is>
          <t>LNG_271111_tonnes</t>
        </is>
      </c>
      <c r="F1" t="inlineStr">
        <is>
          <t>LNG_271111_USD</t>
        </is>
      </c>
      <c r="G1" t="inlineStr">
        <is>
          <t>NG_gaseous_271121_tonnes</t>
        </is>
      </c>
      <c r="H1" t="inlineStr">
        <is>
          <t>Partners</t>
        </is>
      </c>
      <c r="I1" t="inlineStr">
        <is>
          <t>Imports_MMBtu_per_day_annual_avg</t>
        </is>
      </c>
      <c r="J1" t="inlineStr">
        <is>
          <t>Sum_of_published_months_tonnes</t>
        </is>
      </c>
    </row>
    <row r="2">
      <c r="A2" t="n">
        <v>0</v>
      </c>
      <c r="B2" t="n">
        <v>2021</v>
      </c>
      <c r="C2" t="inlineStr">
        <is>
          <t>annual</t>
        </is>
      </c>
      <c r="D2" t="n">
        <v>12</v>
      </c>
      <c r="E2" t="n">
        <v>0.003</v>
      </c>
      <c r="F2" t="n">
        <v>5.17</v>
      </c>
      <c r="G2" t="n">
        <v>0</v>
      </c>
      <c r="I2" t="n">
        <v>0</v>
      </c>
      <c r="J2" t="n">
        <v>0.003</v>
      </c>
    </row>
    <row r="3">
      <c r="A3" t="n">
        <v>1</v>
      </c>
      <c r="B3" t="n">
        <v>2022</v>
      </c>
      <c r="C3" t="inlineStr">
        <is>
          <t>annual</t>
        </is>
      </c>
      <c r="D3" t="n">
        <v>1</v>
      </c>
      <c r="E3" t="n">
        <v>123.331</v>
      </c>
      <c r="F3" t="n">
        <v>81703.89999999999</v>
      </c>
      <c r="G3" t="n">
        <v>0.017</v>
      </c>
      <c r="H3" t="inlineStr">
        <is>
          <t>Panama 123.3 t</t>
        </is>
      </c>
      <c r="I3" t="n">
        <v>18</v>
      </c>
      <c r="J3" t="n">
        <v>26.4</v>
      </c>
    </row>
    <row r="4">
      <c r="A4" t="n">
        <v>2</v>
      </c>
      <c r="B4" t="n">
        <v>2023</v>
      </c>
      <c r="C4" t="inlineStr">
        <is>
          <t>annual</t>
        </is>
      </c>
      <c r="D4" t="n">
        <v>0</v>
      </c>
      <c r="E4" t="n">
        <v>0</v>
      </c>
      <c r="F4" t="n">
        <v>6.3</v>
      </c>
      <c r="G4" t="n">
        <v>0</v>
      </c>
      <c r="I4" t="n">
        <v>0</v>
      </c>
      <c r="J4" t="n">
        <v>0</v>
      </c>
    </row>
    <row r="5">
      <c r="A5" t="n">
        <v>3</v>
      </c>
      <c r="B5" t="n">
        <v>2024</v>
      </c>
      <c r="C5" t="inlineStr">
        <is>
          <t>annual</t>
        </is>
      </c>
      <c r="D5" t="n">
        <v>12</v>
      </c>
      <c r="E5" t="n">
        <v>92.17100000000001</v>
      </c>
      <c r="F5" t="n">
        <v>48478.42</v>
      </c>
      <c r="G5" t="n">
        <v>0</v>
      </c>
      <c r="H5" t="inlineStr">
        <is>
          <t>Peru 92.2 t</t>
        </is>
      </c>
      <c r="I5" t="n">
        <v>13</v>
      </c>
      <c r="J5" t="n">
        <v>92.17100000000001</v>
      </c>
    </row>
    <row r="6">
      <c r="A6" t="n">
        <v>4</v>
      </c>
      <c r="B6" t="n">
        <v>2025</v>
      </c>
      <c r="C6" t="inlineStr">
        <is>
          <t>annual</t>
        </is>
      </c>
      <c r="D6" t="n">
        <v>0</v>
      </c>
      <c r="E6" t="n">
        <v>3270.15</v>
      </c>
      <c r="F6" t="n">
        <v>1724147.26</v>
      </c>
      <c r="G6" t="n">
        <v>0.189</v>
      </c>
      <c r="H6" t="inlineStr">
        <is>
          <t>Peru 3,270.2 t; USA 0.2 t</t>
        </is>
      </c>
      <c r="I6" t="n">
        <v>466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2026-10-03T01:31:35Z</dcterms:created>
  <dcterms:modified xsi:type="dcterms:W3CDTF">2026-10-28T01:30:07Z</dcterms:modified>
</cp:coreProperties>
</file>