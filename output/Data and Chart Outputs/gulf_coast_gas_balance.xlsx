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Louisiana sensitivity" sheetId="3" state="visible" r:id="rId3"/>
    <sheet name="Chart - Louisiana sensitivity -" sheetId="4" state="visible" r:id="rId4"/>
    <sheet name="Chart - Texas" sheetId="5" state="visible" r:id="rId5"/>
    <sheet name="Chart - Louisiana" sheetId="6" state="visible" r:id="rId6"/>
    <sheet name="Chart - Supply growth vs LNG de" sheetId="7" state="visible" r:id="rId7"/>
    <sheet name="Assumptions" sheetId="8" state="visible" r:id="rId8"/>
    <sheet name="Assump - LA LNG" sheetId="9" state="visible" r:id="rId9"/>
    <sheet name="Assump - LA sensitivity" sheetId="10" state="visible" r:id="rId10"/>
    <sheet name="LA existing plants" sheetId="11" state="visible" r:id="rId11"/>
    <sheet name="Texas" sheetId="12" state="visible" r:id="rId12"/>
    <sheet name="Louisiana" sheetId="13" state="visible" r:id="rId13"/>
    <sheet name="Combined" sheetId="14" state="visible" r:id="rId14"/>
    <sheet name="Key question" sheetId="15" state="visible" r:id="rId15"/>
    <sheet name="Key chart data" sheetId="16" state="visible" r:id="rId16"/>
    <sheet name="Basin supply" sheetId="17" state="visible" r:id="rId17"/>
    <sheet name="Haynesville split" sheetId="18" state="visible" r:id="rId18"/>
    <sheet name="Haynesville sensitivity" sheetId="19" state="visible" r:id="rId19"/>
    <sheet name="Storage memo" sheetId="20" state="visible" r:id="rId20"/>
    <sheet name="Raw MMcf" sheetId="21" state="visible" r:id="rId21"/>
  </sheets>
  <definedNames/>
  <calcPr calcId="124519" fullCalcOnLoad="1"/>
</workbook>
</file>

<file path=xl/styles.xml><?xml version="1.0" encoding="utf-8"?>
<styleSheet xmlns="http://schemas.openxmlformats.org/spreadsheetml/2006/main">
  <numFmts count="4">
    <numFmt numFmtId="164" formatCode="YYYY-MM-DD HH:MM:SS"/>
    <numFmt numFmtId="165" formatCode="mmm/yy"/>
    <numFmt numFmtId="166" formatCode="yyyy-mm-dd h:mm:ss"/>
    <numFmt numFmtId="167" formatCode="yyyy"/>
  </numFmts>
  <fonts count="2">
    <font>
      <name val="Calibri"/>
      <family val="2"/>
      <color theme="1"/>
      <sz val="11"/>
      <scheme val="minor"/>
    </font>
    <font>
      <b val="1"/>
    </font>
  </fonts>
  <fills count="4">
    <fill>
      <patternFill/>
    </fill>
    <fill>
      <patternFill patternType="gray125"/>
    </fill>
    <fill>
      <patternFill patternType="solid">
        <fgColor rgb="00FFF2CC"/>
        <bgColor rgb="00FFF2CC"/>
      </patternFill>
    </fill>
    <fill>
      <patternFill patternType="solid">
        <fgColor rgb="00DDEBF7"/>
        <bgColor rgb="00DDEBF7"/>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164" fontId="0" fillId="0" borderId="0" pivotButton="0" quotePrefix="0" xfId="0"/>
    <xf numFmtId="0" fontId="1" fillId="3" borderId="0" applyAlignment="1" pivotButton="0" quotePrefix="0" xfId="0">
      <alignment vertical="top" wrapText="1"/>
    </xf>
    <xf numFmtId="0" fontId="1" fillId="0" borderId="0" pivotButton="0" quotePrefix="0" xfId="0"/>
    <xf numFmtId="0" fontId="0" fillId="2" borderId="0" pivotButton="0" quotePrefix="0" xfId="0"/>
    <xf numFmtId="165" fontId="0" fillId="2" borderId="0" pivotButton="0" quotePrefix="0" xfId="0"/>
    <xf numFmtId="0" fontId="0" fillId="0" borderId="0" applyAlignment="1" pivotButton="0" quotePrefix="0" xfId="0">
      <alignment vertical="top" wrapText="1"/>
    </xf>
    <xf numFmtId="165" fontId="0" fillId="0" borderId="0" pivotButton="0" quotePrefix="0" xfId="0"/>
    <xf numFmtId="1" fontId="0" fillId="0" borderId="0" pivotButton="0" quotePrefix="0" xfId="0"/>
    <xf numFmtId="164"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harts/chart1.xml><?xml version="1.0" encoding="utf-8"?>
<chartSpace xmlns:a="http://schemas.openxmlformats.org/drawingml/2006/main" xmlns="http://schemas.openxmlformats.org/drawingml/2006/chart">
  <chart>
    <title>
      <tx>
        <rich>
          <a:bodyPr/>
          <a:p>
            <a:pPr>
              <a:defRPr/>
            </a:pPr>
            <a:r>
              <a:rPr sz="1200" b="1"/>
              <a:t>Gulf Coast (Texas + Louisiana) gas supply vs demand incl. LNG and storage; gap = implied net outflow</a:t>
            </a:r>
          </a:p>
          <a:p>
            <a:pPr>
              <a:defRPr/>
            </a:pPr>
            <a:r>
              <a:rPr sz="1200" b="1"/>
              <a:t>STEO to Dec/27, extension to Dec/28, 2029-33 scenario (lightest)</a:t>
            </a:r>
          </a:p>
          <a:p>
            <a:pPr>
              <a:defRPr/>
            </a:pPr>
            <a:r>
              <a:rPr sz="1200" b="1"/>
              <a:t>Louisiana LNG start dates: 5 of 5 trains sourced (EIA 2026 Q2, month assumed); 6 pre-FID projects not forecast (to Dec/33; forecast from Aug/26, scenario from Jan/29, lightest bars)</a:t>
            </a:r>
          </a:p>
        </rich>
      </tx>
      <overlay val="0"/>
    </title>
    <plotArea>
      <barChart>
        <barDir val="col"/>
        <grouping val="stacked"/>
        <ser>
          <idx val="0"/>
          <order val="0"/>
          <tx>
            <strRef>
              <f>'Chart'!B1</f>
            </strRef>
          </tx>
          <spPr>
            <a:solidFill>
              <a:srgbClr val="2A78D6"/>
            </a:solidFill>
            <a:ln>
              <a:noFill/>
              <a:prstDash val="solid"/>
            </a:ln>
          </spPr>
          <dPt>
            <idx val="67"/>
            <invertIfNegative val="0"/>
            <spPr>
              <a:solidFill>
                <a:srgbClr val="9FC2EC"/>
              </a:solidFill>
              <a:ln>
                <a:noFill/>
                <a:prstDash val="solid"/>
              </a:ln>
            </spPr>
          </dPt>
          <dPt>
            <idx val="68"/>
            <invertIfNegative val="0"/>
            <spPr>
              <a:solidFill>
                <a:srgbClr val="9FC2EC"/>
              </a:solidFill>
              <a:ln>
                <a:noFill/>
                <a:prstDash val="solid"/>
              </a:ln>
            </spPr>
          </dPt>
          <dPt>
            <idx val="69"/>
            <invertIfNegative val="0"/>
            <spPr>
              <a:solidFill>
                <a:srgbClr val="9FC2EC"/>
              </a:solidFill>
              <a:ln>
                <a:noFill/>
                <a:prstDash val="solid"/>
              </a:ln>
            </spPr>
          </dPt>
          <dPt>
            <idx val="70"/>
            <invertIfNegative val="0"/>
            <spPr>
              <a:solidFill>
                <a:srgbClr val="9FC2EC"/>
              </a:solidFill>
              <a:ln>
                <a:noFill/>
                <a:prstDash val="solid"/>
              </a:ln>
            </spPr>
          </dPt>
          <dPt>
            <idx val="71"/>
            <invertIfNegative val="0"/>
            <spPr>
              <a:solidFill>
                <a:srgbClr val="9FC2EC"/>
              </a:solidFill>
              <a:ln>
                <a:noFill/>
                <a:prstDash val="solid"/>
              </a:ln>
            </spPr>
          </dPt>
          <dPt>
            <idx val="72"/>
            <invertIfNegative val="0"/>
            <spPr>
              <a:solidFill>
                <a:srgbClr val="9FC2EC"/>
              </a:solidFill>
              <a:ln>
                <a:noFill/>
                <a:prstDash val="solid"/>
              </a:ln>
            </spPr>
          </dPt>
          <dPt>
            <idx val="73"/>
            <invertIfNegative val="0"/>
            <spPr>
              <a:solidFill>
                <a:srgbClr val="9FC2EC"/>
              </a:solidFill>
              <a:ln>
                <a:noFill/>
                <a:prstDash val="solid"/>
              </a:ln>
            </spPr>
          </dPt>
          <dPt>
            <idx val="74"/>
            <invertIfNegative val="0"/>
            <spPr>
              <a:solidFill>
                <a:srgbClr val="9FC2EC"/>
              </a:solidFill>
              <a:ln>
                <a:noFill/>
                <a:prstDash val="solid"/>
              </a:ln>
            </spPr>
          </dPt>
          <dPt>
            <idx val="75"/>
            <invertIfNegative val="0"/>
            <spPr>
              <a:solidFill>
                <a:srgbClr val="9FC2EC"/>
              </a:solidFill>
              <a:ln>
                <a:noFill/>
                <a:prstDash val="solid"/>
              </a:ln>
            </spPr>
          </dPt>
          <dPt>
            <idx val="76"/>
            <invertIfNegative val="0"/>
            <spPr>
              <a:solidFill>
                <a:srgbClr val="9FC2EC"/>
              </a:solidFill>
              <a:ln>
                <a:noFill/>
                <a:prstDash val="solid"/>
              </a:ln>
            </spPr>
          </dPt>
          <dPt>
            <idx val="77"/>
            <invertIfNegative val="0"/>
            <spPr>
              <a:solidFill>
                <a:srgbClr val="9FC2EC"/>
              </a:solidFill>
              <a:ln>
                <a:noFill/>
                <a:prstDash val="solid"/>
              </a:ln>
            </spPr>
          </dPt>
          <dPt>
            <idx val="78"/>
            <invertIfNegative val="0"/>
            <spPr>
              <a:solidFill>
                <a:srgbClr val="9FC2EC"/>
              </a:solidFill>
              <a:ln>
                <a:noFill/>
                <a:prstDash val="solid"/>
              </a:ln>
            </spPr>
          </dPt>
          <dPt>
            <idx val="79"/>
            <invertIfNegative val="0"/>
            <spPr>
              <a:solidFill>
                <a:srgbClr val="9FC2EC"/>
              </a:solidFill>
              <a:ln>
                <a:noFill/>
                <a:prstDash val="solid"/>
              </a:ln>
            </spPr>
          </dPt>
          <dPt>
            <idx val="80"/>
            <invertIfNegative val="0"/>
            <spPr>
              <a:solidFill>
                <a:srgbClr val="9FC2EC"/>
              </a:solidFill>
              <a:ln>
                <a:noFill/>
                <a:prstDash val="solid"/>
              </a:ln>
            </spPr>
          </dPt>
          <dPt>
            <idx val="81"/>
            <invertIfNegative val="0"/>
            <spPr>
              <a:solidFill>
                <a:srgbClr val="9FC2EC"/>
              </a:solidFill>
              <a:ln>
                <a:noFill/>
                <a:prstDash val="solid"/>
              </a:ln>
            </spPr>
          </dPt>
          <dPt>
            <idx val="82"/>
            <invertIfNegative val="0"/>
            <spPr>
              <a:solidFill>
                <a:srgbClr val="9FC2EC"/>
              </a:solidFill>
              <a:ln>
                <a:noFill/>
                <a:prstDash val="solid"/>
              </a:ln>
            </spPr>
          </dPt>
          <dPt>
            <idx val="83"/>
            <invertIfNegative val="0"/>
            <spPr>
              <a:solidFill>
                <a:srgbClr val="9FC2EC"/>
              </a:solidFill>
              <a:ln>
                <a:noFill/>
                <a:prstDash val="solid"/>
              </a:ln>
            </spPr>
          </dPt>
          <dPt>
            <idx val="84"/>
            <invertIfNegative val="0"/>
            <spPr>
              <a:solidFill>
                <a:srgbClr val="9FC2EC"/>
              </a:solidFill>
              <a:ln>
                <a:noFill/>
                <a:prstDash val="solid"/>
              </a:ln>
            </spPr>
          </dPt>
          <dPt>
            <idx val="85"/>
            <invertIfNegative val="0"/>
            <spPr>
              <a:solidFill>
                <a:srgbClr val="9FC2EC"/>
              </a:solidFill>
              <a:ln>
                <a:noFill/>
                <a:prstDash val="solid"/>
              </a:ln>
            </spPr>
          </dPt>
          <dPt>
            <idx val="86"/>
            <invertIfNegative val="0"/>
            <spPr>
              <a:solidFill>
                <a:srgbClr val="9FC2EC"/>
              </a:solidFill>
              <a:ln>
                <a:noFill/>
                <a:prstDash val="solid"/>
              </a:ln>
            </spPr>
          </dPt>
          <dPt>
            <idx val="87"/>
            <invertIfNegative val="0"/>
            <spPr>
              <a:solidFill>
                <a:srgbClr val="9FC2EC"/>
              </a:solidFill>
              <a:ln>
                <a:noFill/>
                <a:prstDash val="solid"/>
              </a:ln>
            </spPr>
          </dPt>
          <dPt>
            <idx val="88"/>
            <invertIfNegative val="0"/>
            <spPr>
              <a:solidFill>
                <a:srgbClr val="9FC2EC"/>
              </a:solidFill>
              <a:ln>
                <a:noFill/>
                <a:prstDash val="solid"/>
              </a:ln>
            </spPr>
          </dPt>
          <dPt>
            <idx val="89"/>
            <invertIfNegative val="0"/>
            <spPr>
              <a:solidFill>
                <a:srgbClr val="9FC2EC"/>
              </a:solidFill>
              <a:ln>
                <a:noFill/>
                <a:prstDash val="solid"/>
              </a:ln>
            </spPr>
          </dPt>
          <dPt>
            <idx val="90"/>
            <invertIfNegative val="0"/>
            <spPr>
              <a:solidFill>
                <a:srgbClr val="9FC2EC"/>
              </a:solidFill>
              <a:ln>
                <a:noFill/>
                <a:prstDash val="solid"/>
              </a:ln>
            </spPr>
          </dPt>
          <dPt>
            <idx val="91"/>
            <invertIfNegative val="0"/>
            <spPr>
              <a:solidFill>
                <a:srgbClr val="9FC2EC"/>
              </a:solidFill>
              <a:ln>
                <a:noFill/>
                <a:prstDash val="solid"/>
              </a:ln>
            </spPr>
          </dPt>
          <dPt>
            <idx val="92"/>
            <invertIfNegative val="0"/>
            <spPr>
              <a:solidFill>
                <a:srgbClr val="9FC2EC"/>
              </a:solidFill>
              <a:ln>
                <a:noFill/>
                <a:prstDash val="solid"/>
              </a:ln>
            </spPr>
          </dPt>
          <dPt>
            <idx val="93"/>
            <invertIfNegative val="0"/>
            <spPr>
              <a:solidFill>
                <a:srgbClr val="9FC2EC"/>
              </a:solidFill>
              <a:ln>
                <a:noFill/>
                <a:prstDash val="solid"/>
              </a:ln>
            </spPr>
          </dPt>
          <dPt>
            <idx val="94"/>
            <invertIfNegative val="0"/>
            <spPr>
              <a:solidFill>
                <a:srgbClr val="9FC2EC"/>
              </a:solidFill>
              <a:ln>
                <a:noFill/>
                <a:prstDash val="solid"/>
              </a:ln>
            </spPr>
          </dPt>
          <dPt>
            <idx val="95"/>
            <invertIfNegative val="0"/>
            <spPr>
              <a:solidFill>
                <a:srgbClr val="9FC2EC"/>
              </a:solidFill>
              <a:ln>
                <a:noFill/>
                <a:prstDash val="solid"/>
              </a:ln>
            </spPr>
          </dPt>
          <dPt>
            <idx val="96"/>
            <invertIfNegative val="0"/>
            <spPr>
              <a:solidFill>
                <a:srgbClr val="D4E4F6"/>
              </a:solidFill>
              <a:ln>
                <a:noFill/>
                <a:prstDash val="solid"/>
              </a:ln>
            </spPr>
          </dPt>
          <dPt>
            <idx val="97"/>
            <invertIfNegative val="0"/>
            <spPr>
              <a:solidFill>
                <a:srgbClr val="D4E4F6"/>
              </a:solidFill>
              <a:ln>
                <a:noFill/>
                <a:prstDash val="solid"/>
              </a:ln>
            </spPr>
          </dPt>
          <dPt>
            <idx val="98"/>
            <invertIfNegative val="0"/>
            <spPr>
              <a:solidFill>
                <a:srgbClr val="D4E4F6"/>
              </a:solidFill>
              <a:ln>
                <a:noFill/>
                <a:prstDash val="solid"/>
              </a:ln>
            </spPr>
          </dPt>
          <dPt>
            <idx val="99"/>
            <invertIfNegative val="0"/>
            <spPr>
              <a:solidFill>
                <a:srgbClr val="D4E4F6"/>
              </a:solidFill>
              <a:ln>
                <a:noFill/>
                <a:prstDash val="solid"/>
              </a:ln>
            </spPr>
          </dPt>
          <dPt>
            <idx val="100"/>
            <invertIfNegative val="0"/>
            <spPr>
              <a:solidFill>
                <a:srgbClr val="D4E4F6"/>
              </a:solidFill>
              <a:ln>
                <a:noFill/>
                <a:prstDash val="solid"/>
              </a:ln>
            </spPr>
          </dPt>
          <dPt>
            <idx val="101"/>
            <invertIfNegative val="0"/>
            <spPr>
              <a:solidFill>
                <a:srgbClr val="D4E4F6"/>
              </a:solidFill>
              <a:ln>
                <a:noFill/>
                <a:prstDash val="solid"/>
              </a:ln>
            </spPr>
          </dPt>
          <dPt>
            <idx val="102"/>
            <invertIfNegative val="0"/>
            <spPr>
              <a:solidFill>
                <a:srgbClr val="D4E4F6"/>
              </a:solidFill>
              <a:ln>
                <a:noFill/>
                <a:prstDash val="solid"/>
              </a:ln>
            </spPr>
          </dPt>
          <dPt>
            <idx val="103"/>
            <invertIfNegative val="0"/>
            <spPr>
              <a:solidFill>
                <a:srgbClr val="D4E4F6"/>
              </a:solidFill>
              <a:ln>
                <a:noFill/>
                <a:prstDash val="solid"/>
              </a:ln>
            </spPr>
          </dPt>
          <dPt>
            <idx val="104"/>
            <invertIfNegative val="0"/>
            <spPr>
              <a:solidFill>
                <a:srgbClr val="D4E4F6"/>
              </a:solidFill>
              <a:ln>
                <a:noFill/>
                <a:prstDash val="solid"/>
              </a:ln>
            </spPr>
          </dPt>
          <dPt>
            <idx val="105"/>
            <invertIfNegative val="0"/>
            <spPr>
              <a:solidFill>
                <a:srgbClr val="D4E4F6"/>
              </a:solidFill>
              <a:ln>
                <a:noFill/>
                <a:prstDash val="solid"/>
              </a:ln>
            </spPr>
          </dPt>
          <dPt>
            <idx val="106"/>
            <invertIfNegative val="0"/>
            <spPr>
              <a:solidFill>
                <a:srgbClr val="D4E4F6"/>
              </a:solidFill>
              <a:ln>
                <a:noFill/>
                <a:prstDash val="solid"/>
              </a:ln>
            </spPr>
          </dPt>
          <dPt>
            <idx val="107"/>
            <invertIfNegative val="0"/>
            <spPr>
              <a:solidFill>
                <a:srgbClr val="D4E4F6"/>
              </a:solidFill>
              <a:ln>
                <a:noFill/>
                <a:prstDash val="solid"/>
              </a:ln>
            </spPr>
          </dPt>
          <dPt>
            <idx val="108"/>
            <invertIfNegative val="0"/>
            <spPr>
              <a:solidFill>
                <a:srgbClr val="D4E4F6"/>
              </a:solidFill>
              <a:ln>
                <a:noFill/>
                <a:prstDash val="solid"/>
              </a:ln>
            </spPr>
          </dPt>
          <dPt>
            <idx val="109"/>
            <invertIfNegative val="0"/>
            <spPr>
              <a:solidFill>
                <a:srgbClr val="D4E4F6"/>
              </a:solidFill>
              <a:ln>
                <a:noFill/>
                <a:prstDash val="solid"/>
              </a:ln>
            </spPr>
          </dPt>
          <dPt>
            <idx val="110"/>
            <invertIfNegative val="0"/>
            <spPr>
              <a:solidFill>
                <a:srgbClr val="D4E4F6"/>
              </a:solidFill>
              <a:ln>
                <a:noFill/>
                <a:prstDash val="solid"/>
              </a:ln>
            </spPr>
          </dPt>
          <dPt>
            <idx val="111"/>
            <invertIfNegative val="0"/>
            <spPr>
              <a:solidFill>
                <a:srgbClr val="D4E4F6"/>
              </a:solidFill>
              <a:ln>
                <a:noFill/>
                <a:prstDash val="solid"/>
              </a:ln>
            </spPr>
          </dPt>
          <dPt>
            <idx val="112"/>
            <invertIfNegative val="0"/>
            <spPr>
              <a:solidFill>
                <a:srgbClr val="D4E4F6"/>
              </a:solidFill>
              <a:ln>
                <a:noFill/>
                <a:prstDash val="solid"/>
              </a:ln>
            </spPr>
          </dPt>
          <dPt>
            <idx val="113"/>
            <invertIfNegative val="0"/>
            <spPr>
              <a:solidFill>
                <a:srgbClr val="D4E4F6"/>
              </a:solidFill>
              <a:ln>
                <a:noFill/>
                <a:prstDash val="solid"/>
              </a:ln>
            </spPr>
          </dPt>
          <dPt>
            <idx val="114"/>
            <invertIfNegative val="0"/>
            <spPr>
              <a:solidFill>
                <a:srgbClr val="D4E4F6"/>
              </a:solidFill>
              <a:ln>
                <a:noFill/>
                <a:prstDash val="solid"/>
              </a:ln>
            </spPr>
          </dPt>
          <dPt>
            <idx val="115"/>
            <invertIfNegative val="0"/>
            <spPr>
              <a:solidFill>
                <a:srgbClr val="D4E4F6"/>
              </a:solidFill>
              <a:ln>
                <a:noFill/>
                <a:prstDash val="solid"/>
              </a:ln>
            </spPr>
          </dPt>
          <dPt>
            <idx val="116"/>
            <invertIfNegative val="0"/>
            <spPr>
              <a:solidFill>
                <a:srgbClr val="D4E4F6"/>
              </a:solidFill>
              <a:ln>
                <a:noFill/>
                <a:prstDash val="solid"/>
              </a:ln>
            </spPr>
          </dPt>
          <dPt>
            <idx val="117"/>
            <invertIfNegative val="0"/>
            <spPr>
              <a:solidFill>
                <a:srgbClr val="D4E4F6"/>
              </a:solidFill>
              <a:ln>
                <a:noFill/>
                <a:prstDash val="solid"/>
              </a:ln>
            </spPr>
          </dPt>
          <dPt>
            <idx val="118"/>
            <invertIfNegative val="0"/>
            <spPr>
              <a:solidFill>
                <a:srgbClr val="D4E4F6"/>
              </a:solidFill>
              <a:ln>
                <a:noFill/>
                <a:prstDash val="solid"/>
              </a:ln>
            </spPr>
          </dPt>
          <dPt>
            <idx val="119"/>
            <invertIfNegative val="0"/>
            <spPr>
              <a:solidFill>
                <a:srgbClr val="D4E4F6"/>
              </a:solidFill>
              <a:ln>
                <a:noFill/>
                <a:prstDash val="solid"/>
              </a:ln>
            </spPr>
          </dPt>
          <dPt>
            <idx val="120"/>
            <invertIfNegative val="0"/>
            <spPr>
              <a:solidFill>
                <a:srgbClr val="D4E4F6"/>
              </a:solidFill>
              <a:ln>
                <a:noFill/>
                <a:prstDash val="solid"/>
              </a:ln>
            </spPr>
          </dPt>
          <dPt>
            <idx val="121"/>
            <invertIfNegative val="0"/>
            <spPr>
              <a:solidFill>
                <a:srgbClr val="D4E4F6"/>
              </a:solidFill>
              <a:ln>
                <a:noFill/>
                <a:prstDash val="solid"/>
              </a:ln>
            </spPr>
          </dPt>
          <dPt>
            <idx val="122"/>
            <invertIfNegative val="0"/>
            <spPr>
              <a:solidFill>
                <a:srgbClr val="D4E4F6"/>
              </a:solidFill>
              <a:ln>
                <a:noFill/>
                <a:prstDash val="solid"/>
              </a:ln>
            </spPr>
          </dPt>
          <dPt>
            <idx val="123"/>
            <invertIfNegative val="0"/>
            <spPr>
              <a:solidFill>
                <a:srgbClr val="D4E4F6"/>
              </a:solidFill>
              <a:ln>
                <a:noFill/>
                <a:prstDash val="solid"/>
              </a:ln>
            </spPr>
          </dPt>
          <dPt>
            <idx val="124"/>
            <invertIfNegative val="0"/>
            <spPr>
              <a:solidFill>
                <a:srgbClr val="D4E4F6"/>
              </a:solidFill>
              <a:ln>
                <a:noFill/>
                <a:prstDash val="solid"/>
              </a:ln>
            </spPr>
          </dPt>
          <dPt>
            <idx val="125"/>
            <invertIfNegative val="0"/>
            <spPr>
              <a:solidFill>
                <a:srgbClr val="D4E4F6"/>
              </a:solidFill>
              <a:ln>
                <a:noFill/>
                <a:prstDash val="solid"/>
              </a:ln>
            </spPr>
          </dPt>
          <dPt>
            <idx val="126"/>
            <invertIfNegative val="0"/>
            <spPr>
              <a:solidFill>
                <a:srgbClr val="D4E4F6"/>
              </a:solidFill>
              <a:ln>
                <a:noFill/>
                <a:prstDash val="solid"/>
              </a:ln>
            </spPr>
          </dPt>
          <dPt>
            <idx val="127"/>
            <invertIfNegative val="0"/>
            <spPr>
              <a:solidFill>
                <a:srgbClr val="D4E4F6"/>
              </a:solidFill>
              <a:ln>
                <a:noFill/>
                <a:prstDash val="solid"/>
              </a:ln>
            </spPr>
          </dPt>
          <dPt>
            <idx val="128"/>
            <invertIfNegative val="0"/>
            <spPr>
              <a:solidFill>
                <a:srgbClr val="D4E4F6"/>
              </a:solidFill>
              <a:ln>
                <a:noFill/>
                <a:prstDash val="solid"/>
              </a:ln>
            </spPr>
          </dPt>
          <dPt>
            <idx val="129"/>
            <invertIfNegative val="0"/>
            <spPr>
              <a:solidFill>
                <a:srgbClr val="D4E4F6"/>
              </a:solidFill>
              <a:ln>
                <a:noFill/>
                <a:prstDash val="solid"/>
              </a:ln>
            </spPr>
          </dPt>
          <dPt>
            <idx val="130"/>
            <invertIfNegative val="0"/>
            <spPr>
              <a:solidFill>
                <a:srgbClr val="D4E4F6"/>
              </a:solidFill>
              <a:ln>
                <a:noFill/>
                <a:prstDash val="solid"/>
              </a:ln>
            </spPr>
          </dPt>
          <dPt>
            <idx val="131"/>
            <invertIfNegative val="0"/>
            <spPr>
              <a:solidFill>
                <a:srgbClr val="D4E4F6"/>
              </a:solidFill>
              <a:ln>
                <a:noFill/>
                <a:prstDash val="solid"/>
              </a:ln>
            </spPr>
          </dPt>
          <dPt>
            <idx val="132"/>
            <invertIfNegative val="0"/>
            <spPr>
              <a:solidFill>
                <a:srgbClr val="D4E4F6"/>
              </a:solidFill>
              <a:ln>
                <a:noFill/>
                <a:prstDash val="solid"/>
              </a:ln>
            </spPr>
          </dPt>
          <dPt>
            <idx val="133"/>
            <invertIfNegative val="0"/>
            <spPr>
              <a:solidFill>
                <a:srgbClr val="D4E4F6"/>
              </a:solidFill>
              <a:ln>
                <a:noFill/>
                <a:prstDash val="solid"/>
              </a:ln>
            </spPr>
          </dPt>
          <dPt>
            <idx val="134"/>
            <invertIfNegative val="0"/>
            <spPr>
              <a:solidFill>
                <a:srgbClr val="D4E4F6"/>
              </a:solidFill>
              <a:ln>
                <a:noFill/>
                <a:prstDash val="solid"/>
              </a:ln>
            </spPr>
          </dPt>
          <dPt>
            <idx val="135"/>
            <invertIfNegative val="0"/>
            <spPr>
              <a:solidFill>
                <a:srgbClr val="D4E4F6"/>
              </a:solidFill>
              <a:ln>
                <a:noFill/>
                <a:prstDash val="solid"/>
              </a:ln>
            </spPr>
          </dPt>
          <dPt>
            <idx val="136"/>
            <invertIfNegative val="0"/>
            <spPr>
              <a:solidFill>
                <a:srgbClr val="D4E4F6"/>
              </a:solidFill>
              <a:ln>
                <a:noFill/>
                <a:prstDash val="solid"/>
              </a:ln>
            </spPr>
          </dPt>
          <dPt>
            <idx val="137"/>
            <invertIfNegative val="0"/>
            <spPr>
              <a:solidFill>
                <a:srgbClr val="D4E4F6"/>
              </a:solidFill>
              <a:ln>
                <a:noFill/>
                <a:prstDash val="solid"/>
              </a:ln>
            </spPr>
          </dPt>
          <dPt>
            <idx val="138"/>
            <invertIfNegative val="0"/>
            <spPr>
              <a:solidFill>
                <a:srgbClr val="D4E4F6"/>
              </a:solidFill>
              <a:ln>
                <a:noFill/>
                <a:prstDash val="solid"/>
              </a:ln>
            </spPr>
          </dPt>
          <dPt>
            <idx val="139"/>
            <invertIfNegative val="0"/>
            <spPr>
              <a:solidFill>
                <a:srgbClr val="D4E4F6"/>
              </a:solidFill>
              <a:ln>
                <a:noFill/>
                <a:prstDash val="solid"/>
              </a:ln>
            </spPr>
          </dPt>
          <dPt>
            <idx val="140"/>
            <invertIfNegative val="0"/>
            <spPr>
              <a:solidFill>
                <a:srgbClr val="D4E4F6"/>
              </a:solidFill>
              <a:ln>
                <a:noFill/>
                <a:prstDash val="solid"/>
              </a:ln>
            </spPr>
          </dPt>
          <dPt>
            <idx val="141"/>
            <invertIfNegative val="0"/>
            <spPr>
              <a:solidFill>
                <a:srgbClr val="D4E4F6"/>
              </a:solidFill>
              <a:ln>
                <a:noFill/>
                <a:prstDash val="solid"/>
              </a:ln>
            </spPr>
          </dPt>
          <dPt>
            <idx val="142"/>
            <invertIfNegative val="0"/>
            <spPr>
              <a:solidFill>
                <a:srgbClr val="D4E4F6"/>
              </a:solidFill>
              <a:ln>
                <a:noFill/>
                <a:prstDash val="solid"/>
              </a:ln>
            </spPr>
          </dPt>
          <dPt>
            <idx val="143"/>
            <invertIfNegative val="0"/>
            <spPr>
              <a:solidFill>
                <a:srgbClr val="D4E4F6"/>
              </a:solidFill>
              <a:ln>
                <a:noFill/>
                <a:prstDash val="solid"/>
              </a:ln>
            </spPr>
          </dPt>
          <dPt>
            <idx val="144"/>
            <invertIfNegative val="0"/>
            <spPr>
              <a:solidFill>
                <a:srgbClr val="D4E4F6"/>
              </a:solidFill>
              <a:ln>
                <a:noFill/>
                <a:prstDash val="solid"/>
              </a:ln>
            </spPr>
          </dPt>
          <dPt>
            <idx val="145"/>
            <invertIfNegative val="0"/>
            <spPr>
              <a:solidFill>
                <a:srgbClr val="D4E4F6"/>
              </a:solidFill>
              <a:ln>
                <a:noFill/>
                <a:prstDash val="solid"/>
              </a:ln>
            </spPr>
          </dPt>
          <dPt>
            <idx val="146"/>
            <invertIfNegative val="0"/>
            <spPr>
              <a:solidFill>
                <a:srgbClr val="D4E4F6"/>
              </a:solidFill>
              <a:ln>
                <a:noFill/>
                <a:prstDash val="solid"/>
              </a:ln>
            </spPr>
          </dPt>
          <dPt>
            <idx val="147"/>
            <invertIfNegative val="0"/>
            <spPr>
              <a:solidFill>
                <a:srgbClr val="D4E4F6"/>
              </a:solidFill>
              <a:ln>
                <a:noFill/>
                <a:prstDash val="solid"/>
              </a:ln>
            </spPr>
          </dPt>
          <dPt>
            <idx val="148"/>
            <invertIfNegative val="0"/>
            <spPr>
              <a:solidFill>
                <a:srgbClr val="D4E4F6"/>
              </a:solidFill>
              <a:ln>
                <a:noFill/>
                <a:prstDash val="solid"/>
              </a:ln>
            </spPr>
          </dPt>
          <dPt>
            <idx val="149"/>
            <invertIfNegative val="0"/>
            <spPr>
              <a:solidFill>
                <a:srgbClr val="D4E4F6"/>
              </a:solidFill>
              <a:ln>
                <a:noFill/>
                <a:prstDash val="solid"/>
              </a:ln>
            </spPr>
          </dPt>
          <dPt>
            <idx val="150"/>
            <invertIfNegative val="0"/>
            <spPr>
              <a:solidFill>
                <a:srgbClr val="D4E4F6"/>
              </a:solidFill>
              <a:ln>
                <a:noFill/>
                <a:prstDash val="solid"/>
              </a:ln>
            </spPr>
          </dPt>
          <dPt>
            <idx val="151"/>
            <invertIfNegative val="0"/>
            <spPr>
              <a:solidFill>
                <a:srgbClr val="D4E4F6"/>
              </a:solidFill>
              <a:ln>
                <a:noFill/>
                <a:prstDash val="solid"/>
              </a:ln>
            </spPr>
          </dPt>
          <dPt>
            <idx val="152"/>
            <invertIfNegative val="0"/>
            <spPr>
              <a:solidFill>
                <a:srgbClr val="D4E4F6"/>
              </a:solidFill>
              <a:ln>
                <a:noFill/>
                <a:prstDash val="solid"/>
              </a:ln>
            </spPr>
          </dPt>
          <dPt>
            <idx val="153"/>
            <invertIfNegative val="0"/>
            <spPr>
              <a:solidFill>
                <a:srgbClr val="D4E4F6"/>
              </a:solidFill>
              <a:ln>
                <a:noFill/>
                <a:prstDash val="solid"/>
              </a:ln>
            </spPr>
          </dPt>
          <dPt>
            <idx val="154"/>
            <invertIfNegative val="0"/>
            <spPr>
              <a:solidFill>
                <a:srgbClr val="D4E4F6"/>
              </a:solidFill>
              <a:ln>
                <a:noFill/>
                <a:prstDash val="solid"/>
              </a:ln>
            </spPr>
          </dPt>
          <dPt>
            <idx val="155"/>
            <invertIfNegative val="0"/>
            <spPr>
              <a:solidFill>
                <a:srgbClr val="D4E4F6"/>
              </a:solidFill>
              <a:ln>
                <a:noFill/>
                <a:prstDash val="solid"/>
              </a:ln>
            </spPr>
          </dPt>
          <cat>
            <numRef>
              <f>'Chart'!$A$2:$A$157</f>
            </numRef>
          </cat>
          <val>
            <numRef>
              <f>'Chart'!$B$2:$B$157</f>
            </numRef>
          </val>
        </ser>
        <ser>
          <idx val="1"/>
          <order val="1"/>
          <tx>
            <strRef>
              <f>'Chart'!C1</f>
            </strRef>
          </tx>
          <spPr>
            <a:solidFill>
              <a:srgbClr val="EB6834"/>
            </a:solidFill>
            <a:ln>
              <a:noFill/>
              <a:prstDash val="solid"/>
            </a:ln>
          </spPr>
          <dPt>
            <idx val="67"/>
            <invertIfNegative val="0"/>
            <spPr>
              <a:solidFill>
                <a:srgbClr val="F6BBA3"/>
              </a:solidFill>
              <a:ln>
                <a:noFill/>
                <a:prstDash val="solid"/>
              </a:ln>
            </spPr>
          </dPt>
          <dPt>
            <idx val="68"/>
            <invertIfNegative val="0"/>
            <spPr>
              <a:solidFill>
                <a:srgbClr val="F6BBA3"/>
              </a:solidFill>
              <a:ln>
                <a:noFill/>
                <a:prstDash val="solid"/>
              </a:ln>
            </spPr>
          </dPt>
          <dPt>
            <idx val="69"/>
            <invertIfNegative val="0"/>
            <spPr>
              <a:solidFill>
                <a:srgbClr val="F6BBA3"/>
              </a:solidFill>
              <a:ln>
                <a:noFill/>
                <a:prstDash val="solid"/>
              </a:ln>
            </spPr>
          </dPt>
          <dPt>
            <idx val="70"/>
            <invertIfNegative val="0"/>
            <spPr>
              <a:solidFill>
                <a:srgbClr val="F6BBA3"/>
              </a:solidFill>
              <a:ln>
                <a:noFill/>
                <a:prstDash val="solid"/>
              </a:ln>
            </spPr>
          </dPt>
          <dPt>
            <idx val="71"/>
            <invertIfNegative val="0"/>
            <spPr>
              <a:solidFill>
                <a:srgbClr val="F6BBA3"/>
              </a:solidFill>
              <a:ln>
                <a:noFill/>
                <a:prstDash val="solid"/>
              </a:ln>
            </spPr>
          </dPt>
          <dPt>
            <idx val="72"/>
            <invertIfNegative val="0"/>
            <spPr>
              <a:solidFill>
                <a:srgbClr val="F6BBA3"/>
              </a:solidFill>
              <a:ln>
                <a:noFill/>
                <a:prstDash val="solid"/>
              </a:ln>
            </spPr>
          </dPt>
          <dPt>
            <idx val="73"/>
            <invertIfNegative val="0"/>
            <spPr>
              <a:solidFill>
                <a:srgbClr val="F6BBA3"/>
              </a:solidFill>
              <a:ln>
                <a:noFill/>
                <a:prstDash val="solid"/>
              </a:ln>
            </spPr>
          </dPt>
          <dPt>
            <idx val="74"/>
            <invertIfNegative val="0"/>
            <spPr>
              <a:solidFill>
                <a:srgbClr val="F6BBA3"/>
              </a:solidFill>
              <a:ln>
                <a:noFill/>
                <a:prstDash val="solid"/>
              </a:ln>
            </spPr>
          </dPt>
          <dPt>
            <idx val="75"/>
            <invertIfNegative val="0"/>
            <spPr>
              <a:solidFill>
                <a:srgbClr val="F6BBA3"/>
              </a:solidFill>
              <a:ln>
                <a:noFill/>
                <a:prstDash val="solid"/>
              </a:ln>
            </spPr>
          </dPt>
          <dPt>
            <idx val="76"/>
            <invertIfNegative val="0"/>
            <spPr>
              <a:solidFill>
                <a:srgbClr val="F6BBA3"/>
              </a:solidFill>
              <a:ln>
                <a:noFill/>
                <a:prstDash val="solid"/>
              </a:ln>
            </spPr>
          </dPt>
          <dPt>
            <idx val="77"/>
            <invertIfNegative val="0"/>
            <spPr>
              <a:solidFill>
                <a:srgbClr val="F6BBA3"/>
              </a:solidFill>
              <a:ln>
                <a:noFill/>
                <a:prstDash val="solid"/>
              </a:ln>
            </spPr>
          </dPt>
          <dPt>
            <idx val="78"/>
            <invertIfNegative val="0"/>
            <spPr>
              <a:solidFill>
                <a:srgbClr val="F6BBA3"/>
              </a:solidFill>
              <a:ln>
                <a:noFill/>
                <a:prstDash val="solid"/>
              </a:ln>
            </spPr>
          </dPt>
          <dPt>
            <idx val="79"/>
            <invertIfNegative val="0"/>
            <spPr>
              <a:solidFill>
                <a:srgbClr val="F6BBA3"/>
              </a:solidFill>
              <a:ln>
                <a:noFill/>
                <a:prstDash val="solid"/>
              </a:ln>
            </spPr>
          </dPt>
          <dPt>
            <idx val="80"/>
            <invertIfNegative val="0"/>
            <spPr>
              <a:solidFill>
                <a:srgbClr val="F6BBA3"/>
              </a:solidFill>
              <a:ln>
                <a:noFill/>
                <a:prstDash val="solid"/>
              </a:ln>
            </spPr>
          </dPt>
          <dPt>
            <idx val="81"/>
            <invertIfNegative val="0"/>
            <spPr>
              <a:solidFill>
                <a:srgbClr val="F6BBA3"/>
              </a:solidFill>
              <a:ln>
                <a:noFill/>
                <a:prstDash val="solid"/>
              </a:ln>
            </spPr>
          </dPt>
          <dPt>
            <idx val="82"/>
            <invertIfNegative val="0"/>
            <spPr>
              <a:solidFill>
                <a:srgbClr val="F6BBA3"/>
              </a:solidFill>
              <a:ln>
                <a:noFill/>
                <a:prstDash val="solid"/>
              </a:ln>
            </spPr>
          </dPt>
          <dPt>
            <idx val="83"/>
            <invertIfNegative val="0"/>
            <spPr>
              <a:solidFill>
                <a:srgbClr val="F6BBA3"/>
              </a:solidFill>
              <a:ln>
                <a:noFill/>
                <a:prstDash val="solid"/>
              </a:ln>
            </spPr>
          </dPt>
          <dPt>
            <idx val="84"/>
            <invertIfNegative val="0"/>
            <spPr>
              <a:solidFill>
                <a:srgbClr val="F6BBA3"/>
              </a:solidFill>
              <a:ln>
                <a:noFill/>
                <a:prstDash val="solid"/>
              </a:ln>
            </spPr>
          </dPt>
          <dPt>
            <idx val="85"/>
            <invertIfNegative val="0"/>
            <spPr>
              <a:solidFill>
                <a:srgbClr val="F6BBA3"/>
              </a:solidFill>
              <a:ln>
                <a:noFill/>
                <a:prstDash val="solid"/>
              </a:ln>
            </spPr>
          </dPt>
          <dPt>
            <idx val="86"/>
            <invertIfNegative val="0"/>
            <spPr>
              <a:solidFill>
                <a:srgbClr val="F6BBA3"/>
              </a:solidFill>
              <a:ln>
                <a:noFill/>
                <a:prstDash val="solid"/>
              </a:ln>
            </spPr>
          </dPt>
          <dPt>
            <idx val="87"/>
            <invertIfNegative val="0"/>
            <spPr>
              <a:solidFill>
                <a:srgbClr val="F6BBA3"/>
              </a:solidFill>
              <a:ln>
                <a:noFill/>
                <a:prstDash val="solid"/>
              </a:ln>
            </spPr>
          </dPt>
          <dPt>
            <idx val="88"/>
            <invertIfNegative val="0"/>
            <spPr>
              <a:solidFill>
                <a:srgbClr val="F6BBA3"/>
              </a:solidFill>
              <a:ln>
                <a:noFill/>
                <a:prstDash val="solid"/>
              </a:ln>
            </spPr>
          </dPt>
          <dPt>
            <idx val="89"/>
            <invertIfNegative val="0"/>
            <spPr>
              <a:solidFill>
                <a:srgbClr val="F6BBA3"/>
              </a:solidFill>
              <a:ln>
                <a:noFill/>
                <a:prstDash val="solid"/>
              </a:ln>
            </spPr>
          </dPt>
          <dPt>
            <idx val="90"/>
            <invertIfNegative val="0"/>
            <spPr>
              <a:solidFill>
                <a:srgbClr val="F6BBA3"/>
              </a:solidFill>
              <a:ln>
                <a:noFill/>
                <a:prstDash val="solid"/>
              </a:ln>
            </spPr>
          </dPt>
          <dPt>
            <idx val="91"/>
            <invertIfNegative val="0"/>
            <spPr>
              <a:solidFill>
                <a:srgbClr val="F6BBA3"/>
              </a:solidFill>
              <a:ln>
                <a:noFill/>
                <a:prstDash val="solid"/>
              </a:ln>
            </spPr>
          </dPt>
          <dPt>
            <idx val="92"/>
            <invertIfNegative val="0"/>
            <spPr>
              <a:solidFill>
                <a:srgbClr val="F6BBA3"/>
              </a:solidFill>
              <a:ln>
                <a:noFill/>
                <a:prstDash val="solid"/>
              </a:ln>
            </spPr>
          </dPt>
          <dPt>
            <idx val="93"/>
            <invertIfNegative val="0"/>
            <spPr>
              <a:solidFill>
                <a:srgbClr val="F6BBA3"/>
              </a:solidFill>
              <a:ln>
                <a:noFill/>
                <a:prstDash val="solid"/>
              </a:ln>
            </spPr>
          </dPt>
          <dPt>
            <idx val="94"/>
            <invertIfNegative val="0"/>
            <spPr>
              <a:solidFill>
                <a:srgbClr val="F6BBA3"/>
              </a:solidFill>
              <a:ln>
                <a:noFill/>
                <a:prstDash val="solid"/>
              </a:ln>
            </spPr>
          </dPt>
          <dPt>
            <idx val="95"/>
            <invertIfNegative val="0"/>
            <spPr>
              <a:solidFill>
                <a:srgbClr val="F6BBA3"/>
              </a:solidFill>
              <a:ln>
                <a:noFill/>
                <a:prstDash val="solid"/>
              </a:ln>
            </spPr>
          </dPt>
          <dPt>
            <idx val="96"/>
            <invertIfNegative val="0"/>
            <spPr>
              <a:solidFill>
                <a:srgbClr val="FBE0D6"/>
              </a:solidFill>
              <a:ln>
                <a:noFill/>
                <a:prstDash val="solid"/>
              </a:ln>
            </spPr>
          </dPt>
          <dPt>
            <idx val="97"/>
            <invertIfNegative val="0"/>
            <spPr>
              <a:solidFill>
                <a:srgbClr val="FBE0D6"/>
              </a:solidFill>
              <a:ln>
                <a:noFill/>
                <a:prstDash val="solid"/>
              </a:ln>
            </spPr>
          </dPt>
          <dPt>
            <idx val="98"/>
            <invertIfNegative val="0"/>
            <spPr>
              <a:solidFill>
                <a:srgbClr val="FBE0D6"/>
              </a:solidFill>
              <a:ln>
                <a:noFill/>
                <a:prstDash val="solid"/>
              </a:ln>
            </spPr>
          </dPt>
          <dPt>
            <idx val="99"/>
            <invertIfNegative val="0"/>
            <spPr>
              <a:solidFill>
                <a:srgbClr val="FBE0D6"/>
              </a:solidFill>
              <a:ln>
                <a:noFill/>
                <a:prstDash val="solid"/>
              </a:ln>
            </spPr>
          </dPt>
          <dPt>
            <idx val="100"/>
            <invertIfNegative val="0"/>
            <spPr>
              <a:solidFill>
                <a:srgbClr val="FBE0D6"/>
              </a:solidFill>
              <a:ln>
                <a:noFill/>
                <a:prstDash val="solid"/>
              </a:ln>
            </spPr>
          </dPt>
          <dPt>
            <idx val="101"/>
            <invertIfNegative val="0"/>
            <spPr>
              <a:solidFill>
                <a:srgbClr val="FBE0D6"/>
              </a:solidFill>
              <a:ln>
                <a:noFill/>
                <a:prstDash val="solid"/>
              </a:ln>
            </spPr>
          </dPt>
          <dPt>
            <idx val="102"/>
            <invertIfNegative val="0"/>
            <spPr>
              <a:solidFill>
                <a:srgbClr val="FBE0D6"/>
              </a:solidFill>
              <a:ln>
                <a:noFill/>
                <a:prstDash val="solid"/>
              </a:ln>
            </spPr>
          </dPt>
          <dPt>
            <idx val="103"/>
            <invertIfNegative val="0"/>
            <spPr>
              <a:solidFill>
                <a:srgbClr val="FBE0D6"/>
              </a:solidFill>
              <a:ln>
                <a:noFill/>
                <a:prstDash val="solid"/>
              </a:ln>
            </spPr>
          </dPt>
          <dPt>
            <idx val="104"/>
            <invertIfNegative val="0"/>
            <spPr>
              <a:solidFill>
                <a:srgbClr val="FBE0D6"/>
              </a:solidFill>
              <a:ln>
                <a:noFill/>
                <a:prstDash val="solid"/>
              </a:ln>
            </spPr>
          </dPt>
          <dPt>
            <idx val="105"/>
            <invertIfNegative val="0"/>
            <spPr>
              <a:solidFill>
                <a:srgbClr val="FBE0D6"/>
              </a:solidFill>
              <a:ln>
                <a:noFill/>
                <a:prstDash val="solid"/>
              </a:ln>
            </spPr>
          </dPt>
          <dPt>
            <idx val="106"/>
            <invertIfNegative val="0"/>
            <spPr>
              <a:solidFill>
                <a:srgbClr val="FBE0D6"/>
              </a:solidFill>
              <a:ln>
                <a:noFill/>
                <a:prstDash val="solid"/>
              </a:ln>
            </spPr>
          </dPt>
          <dPt>
            <idx val="107"/>
            <invertIfNegative val="0"/>
            <spPr>
              <a:solidFill>
                <a:srgbClr val="FBE0D6"/>
              </a:solidFill>
              <a:ln>
                <a:noFill/>
                <a:prstDash val="solid"/>
              </a:ln>
            </spPr>
          </dPt>
          <dPt>
            <idx val="108"/>
            <invertIfNegative val="0"/>
            <spPr>
              <a:solidFill>
                <a:srgbClr val="FBE0D6"/>
              </a:solidFill>
              <a:ln>
                <a:noFill/>
                <a:prstDash val="solid"/>
              </a:ln>
            </spPr>
          </dPt>
          <dPt>
            <idx val="109"/>
            <invertIfNegative val="0"/>
            <spPr>
              <a:solidFill>
                <a:srgbClr val="FBE0D6"/>
              </a:solidFill>
              <a:ln>
                <a:noFill/>
                <a:prstDash val="solid"/>
              </a:ln>
            </spPr>
          </dPt>
          <dPt>
            <idx val="110"/>
            <invertIfNegative val="0"/>
            <spPr>
              <a:solidFill>
                <a:srgbClr val="FBE0D6"/>
              </a:solidFill>
              <a:ln>
                <a:noFill/>
                <a:prstDash val="solid"/>
              </a:ln>
            </spPr>
          </dPt>
          <dPt>
            <idx val="111"/>
            <invertIfNegative val="0"/>
            <spPr>
              <a:solidFill>
                <a:srgbClr val="FBE0D6"/>
              </a:solidFill>
              <a:ln>
                <a:noFill/>
                <a:prstDash val="solid"/>
              </a:ln>
            </spPr>
          </dPt>
          <dPt>
            <idx val="112"/>
            <invertIfNegative val="0"/>
            <spPr>
              <a:solidFill>
                <a:srgbClr val="FBE0D6"/>
              </a:solidFill>
              <a:ln>
                <a:noFill/>
                <a:prstDash val="solid"/>
              </a:ln>
            </spPr>
          </dPt>
          <dPt>
            <idx val="113"/>
            <invertIfNegative val="0"/>
            <spPr>
              <a:solidFill>
                <a:srgbClr val="FBE0D6"/>
              </a:solidFill>
              <a:ln>
                <a:noFill/>
                <a:prstDash val="solid"/>
              </a:ln>
            </spPr>
          </dPt>
          <dPt>
            <idx val="114"/>
            <invertIfNegative val="0"/>
            <spPr>
              <a:solidFill>
                <a:srgbClr val="FBE0D6"/>
              </a:solidFill>
              <a:ln>
                <a:noFill/>
                <a:prstDash val="solid"/>
              </a:ln>
            </spPr>
          </dPt>
          <dPt>
            <idx val="115"/>
            <invertIfNegative val="0"/>
            <spPr>
              <a:solidFill>
                <a:srgbClr val="FBE0D6"/>
              </a:solidFill>
              <a:ln>
                <a:noFill/>
                <a:prstDash val="solid"/>
              </a:ln>
            </spPr>
          </dPt>
          <dPt>
            <idx val="116"/>
            <invertIfNegative val="0"/>
            <spPr>
              <a:solidFill>
                <a:srgbClr val="FBE0D6"/>
              </a:solidFill>
              <a:ln>
                <a:noFill/>
                <a:prstDash val="solid"/>
              </a:ln>
            </spPr>
          </dPt>
          <dPt>
            <idx val="117"/>
            <invertIfNegative val="0"/>
            <spPr>
              <a:solidFill>
                <a:srgbClr val="FBE0D6"/>
              </a:solidFill>
              <a:ln>
                <a:noFill/>
                <a:prstDash val="solid"/>
              </a:ln>
            </spPr>
          </dPt>
          <dPt>
            <idx val="118"/>
            <invertIfNegative val="0"/>
            <spPr>
              <a:solidFill>
                <a:srgbClr val="FBE0D6"/>
              </a:solidFill>
              <a:ln>
                <a:noFill/>
                <a:prstDash val="solid"/>
              </a:ln>
            </spPr>
          </dPt>
          <dPt>
            <idx val="119"/>
            <invertIfNegative val="0"/>
            <spPr>
              <a:solidFill>
                <a:srgbClr val="FBE0D6"/>
              </a:solidFill>
              <a:ln>
                <a:noFill/>
                <a:prstDash val="solid"/>
              </a:ln>
            </spPr>
          </dPt>
          <dPt>
            <idx val="120"/>
            <invertIfNegative val="0"/>
            <spPr>
              <a:solidFill>
                <a:srgbClr val="FBE0D6"/>
              </a:solidFill>
              <a:ln>
                <a:noFill/>
                <a:prstDash val="solid"/>
              </a:ln>
            </spPr>
          </dPt>
          <dPt>
            <idx val="121"/>
            <invertIfNegative val="0"/>
            <spPr>
              <a:solidFill>
                <a:srgbClr val="FBE0D6"/>
              </a:solidFill>
              <a:ln>
                <a:noFill/>
                <a:prstDash val="solid"/>
              </a:ln>
            </spPr>
          </dPt>
          <dPt>
            <idx val="122"/>
            <invertIfNegative val="0"/>
            <spPr>
              <a:solidFill>
                <a:srgbClr val="FBE0D6"/>
              </a:solidFill>
              <a:ln>
                <a:noFill/>
                <a:prstDash val="solid"/>
              </a:ln>
            </spPr>
          </dPt>
          <dPt>
            <idx val="123"/>
            <invertIfNegative val="0"/>
            <spPr>
              <a:solidFill>
                <a:srgbClr val="FBE0D6"/>
              </a:solidFill>
              <a:ln>
                <a:noFill/>
                <a:prstDash val="solid"/>
              </a:ln>
            </spPr>
          </dPt>
          <dPt>
            <idx val="124"/>
            <invertIfNegative val="0"/>
            <spPr>
              <a:solidFill>
                <a:srgbClr val="FBE0D6"/>
              </a:solidFill>
              <a:ln>
                <a:noFill/>
                <a:prstDash val="solid"/>
              </a:ln>
            </spPr>
          </dPt>
          <dPt>
            <idx val="125"/>
            <invertIfNegative val="0"/>
            <spPr>
              <a:solidFill>
                <a:srgbClr val="FBE0D6"/>
              </a:solidFill>
              <a:ln>
                <a:noFill/>
                <a:prstDash val="solid"/>
              </a:ln>
            </spPr>
          </dPt>
          <dPt>
            <idx val="126"/>
            <invertIfNegative val="0"/>
            <spPr>
              <a:solidFill>
                <a:srgbClr val="FBE0D6"/>
              </a:solidFill>
              <a:ln>
                <a:noFill/>
                <a:prstDash val="solid"/>
              </a:ln>
            </spPr>
          </dPt>
          <dPt>
            <idx val="127"/>
            <invertIfNegative val="0"/>
            <spPr>
              <a:solidFill>
                <a:srgbClr val="FBE0D6"/>
              </a:solidFill>
              <a:ln>
                <a:noFill/>
                <a:prstDash val="solid"/>
              </a:ln>
            </spPr>
          </dPt>
          <dPt>
            <idx val="128"/>
            <invertIfNegative val="0"/>
            <spPr>
              <a:solidFill>
                <a:srgbClr val="FBE0D6"/>
              </a:solidFill>
              <a:ln>
                <a:noFill/>
                <a:prstDash val="solid"/>
              </a:ln>
            </spPr>
          </dPt>
          <dPt>
            <idx val="129"/>
            <invertIfNegative val="0"/>
            <spPr>
              <a:solidFill>
                <a:srgbClr val="FBE0D6"/>
              </a:solidFill>
              <a:ln>
                <a:noFill/>
                <a:prstDash val="solid"/>
              </a:ln>
            </spPr>
          </dPt>
          <dPt>
            <idx val="130"/>
            <invertIfNegative val="0"/>
            <spPr>
              <a:solidFill>
                <a:srgbClr val="FBE0D6"/>
              </a:solidFill>
              <a:ln>
                <a:noFill/>
                <a:prstDash val="solid"/>
              </a:ln>
            </spPr>
          </dPt>
          <dPt>
            <idx val="131"/>
            <invertIfNegative val="0"/>
            <spPr>
              <a:solidFill>
                <a:srgbClr val="FBE0D6"/>
              </a:solidFill>
              <a:ln>
                <a:noFill/>
                <a:prstDash val="solid"/>
              </a:ln>
            </spPr>
          </dPt>
          <dPt>
            <idx val="132"/>
            <invertIfNegative val="0"/>
            <spPr>
              <a:solidFill>
                <a:srgbClr val="FBE0D6"/>
              </a:solidFill>
              <a:ln>
                <a:noFill/>
                <a:prstDash val="solid"/>
              </a:ln>
            </spPr>
          </dPt>
          <dPt>
            <idx val="133"/>
            <invertIfNegative val="0"/>
            <spPr>
              <a:solidFill>
                <a:srgbClr val="FBE0D6"/>
              </a:solidFill>
              <a:ln>
                <a:noFill/>
                <a:prstDash val="solid"/>
              </a:ln>
            </spPr>
          </dPt>
          <dPt>
            <idx val="134"/>
            <invertIfNegative val="0"/>
            <spPr>
              <a:solidFill>
                <a:srgbClr val="FBE0D6"/>
              </a:solidFill>
              <a:ln>
                <a:noFill/>
                <a:prstDash val="solid"/>
              </a:ln>
            </spPr>
          </dPt>
          <dPt>
            <idx val="135"/>
            <invertIfNegative val="0"/>
            <spPr>
              <a:solidFill>
                <a:srgbClr val="FBE0D6"/>
              </a:solidFill>
              <a:ln>
                <a:noFill/>
                <a:prstDash val="solid"/>
              </a:ln>
            </spPr>
          </dPt>
          <dPt>
            <idx val="136"/>
            <invertIfNegative val="0"/>
            <spPr>
              <a:solidFill>
                <a:srgbClr val="FBE0D6"/>
              </a:solidFill>
              <a:ln>
                <a:noFill/>
                <a:prstDash val="solid"/>
              </a:ln>
            </spPr>
          </dPt>
          <dPt>
            <idx val="137"/>
            <invertIfNegative val="0"/>
            <spPr>
              <a:solidFill>
                <a:srgbClr val="FBE0D6"/>
              </a:solidFill>
              <a:ln>
                <a:noFill/>
                <a:prstDash val="solid"/>
              </a:ln>
            </spPr>
          </dPt>
          <dPt>
            <idx val="138"/>
            <invertIfNegative val="0"/>
            <spPr>
              <a:solidFill>
                <a:srgbClr val="FBE0D6"/>
              </a:solidFill>
              <a:ln>
                <a:noFill/>
                <a:prstDash val="solid"/>
              </a:ln>
            </spPr>
          </dPt>
          <dPt>
            <idx val="139"/>
            <invertIfNegative val="0"/>
            <spPr>
              <a:solidFill>
                <a:srgbClr val="FBE0D6"/>
              </a:solidFill>
              <a:ln>
                <a:noFill/>
                <a:prstDash val="solid"/>
              </a:ln>
            </spPr>
          </dPt>
          <dPt>
            <idx val="140"/>
            <invertIfNegative val="0"/>
            <spPr>
              <a:solidFill>
                <a:srgbClr val="FBE0D6"/>
              </a:solidFill>
              <a:ln>
                <a:noFill/>
                <a:prstDash val="solid"/>
              </a:ln>
            </spPr>
          </dPt>
          <dPt>
            <idx val="141"/>
            <invertIfNegative val="0"/>
            <spPr>
              <a:solidFill>
                <a:srgbClr val="FBE0D6"/>
              </a:solidFill>
              <a:ln>
                <a:noFill/>
                <a:prstDash val="solid"/>
              </a:ln>
            </spPr>
          </dPt>
          <dPt>
            <idx val="142"/>
            <invertIfNegative val="0"/>
            <spPr>
              <a:solidFill>
                <a:srgbClr val="FBE0D6"/>
              </a:solidFill>
              <a:ln>
                <a:noFill/>
                <a:prstDash val="solid"/>
              </a:ln>
            </spPr>
          </dPt>
          <dPt>
            <idx val="143"/>
            <invertIfNegative val="0"/>
            <spPr>
              <a:solidFill>
                <a:srgbClr val="FBE0D6"/>
              </a:solidFill>
              <a:ln>
                <a:noFill/>
                <a:prstDash val="solid"/>
              </a:ln>
            </spPr>
          </dPt>
          <dPt>
            <idx val="144"/>
            <invertIfNegative val="0"/>
            <spPr>
              <a:solidFill>
                <a:srgbClr val="FBE0D6"/>
              </a:solidFill>
              <a:ln>
                <a:noFill/>
                <a:prstDash val="solid"/>
              </a:ln>
            </spPr>
          </dPt>
          <dPt>
            <idx val="145"/>
            <invertIfNegative val="0"/>
            <spPr>
              <a:solidFill>
                <a:srgbClr val="FBE0D6"/>
              </a:solidFill>
              <a:ln>
                <a:noFill/>
                <a:prstDash val="solid"/>
              </a:ln>
            </spPr>
          </dPt>
          <dPt>
            <idx val="146"/>
            <invertIfNegative val="0"/>
            <spPr>
              <a:solidFill>
                <a:srgbClr val="FBE0D6"/>
              </a:solidFill>
              <a:ln>
                <a:noFill/>
                <a:prstDash val="solid"/>
              </a:ln>
            </spPr>
          </dPt>
          <dPt>
            <idx val="147"/>
            <invertIfNegative val="0"/>
            <spPr>
              <a:solidFill>
                <a:srgbClr val="FBE0D6"/>
              </a:solidFill>
              <a:ln>
                <a:noFill/>
                <a:prstDash val="solid"/>
              </a:ln>
            </spPr>
          </dPt>
          <dPt>
            <idx val="148"/>
            <invertIfNegative val="0"/>
            <spPr>
              <a:solidFill>
                <a:srgbClr val="FBE0D6"/>
              </a:solidFill>
              <a:ln>
                <a:noFill/>
                <a:prstDash val="solid"/>
              </a:ln>
            </spPr>
          </dPt>
          <dPt>
            <idx val="149"/>
            <invertIfNegative val="0"/>
            <spPr>
              <a:solidFill>
                <a:srgbClr val="FBE0D6"/>
              </a:solidFill>
              <a:ln>
                <a:noFill/>
                <a:prstDash val="solid"/>
              </a:ln>
            </spPr>
          </dPt>
          <dPt>
            <idx val="150"/>
            <invertIfNegative val="0"/>
            <spPr>
              <a:solidFill>
                <a:srgbClr val="FBE0D6"/>
              </a:solidFill>
              <a:ln>
                <a:noFill/>
                <a:prstDash val="solid"/>
              </a:ln>
            </spPr>
          </dPt>
          <dPt>
            <idx val="151"/>
            <invertIfNegative val="0"/>
            <spPr>
              <a:solidFill>
                <a:srgbClr val="FBE0D6"/>
              </a:solidFill>
              <a:ln>
                <a:noFill/>
                <a:prstDash val="solid"/>
              </a:ln>
            </spPr>
          </dPt>
          <dPt>
            <idx val="152"/>
            <invertIfNegative val="0"/>
            <spPr>
              <a:solidFill>
                <a:srgbClr val="FBE0D6"/>
              </a:solidFill>
              <a:ln>
                <a:noFill/>
                <a:prstDash val="solid"/>
              </a:ln>
            </spPr>
          </dPt>
          <dPt>
            <idx val="153"/>
            <invertIfNegative val="0"/>
            <spPr>
              <a:solidFill>
                <a:srgbClr val="FBE0D6"/>
              </a:solidFill>
              <a:ln>
                <a:noFill/>
                <a:prstDash val="solid"/>
              </a:ln>
            </spPr>
          </dPt>
          <dPt>
            <idx val="154"/>
            <invertIfNegative val="0"/>
            <spPr>
              <a:solidFill>
                <a:srgbClr val="FBE0D6"/>
              </a:solidFill>
              <a:ln>
                <a:noFill/>
                <a:prstDash val="solid"/>
              </a:ln>
            </spPr>
          </dPt>
          <dPt>
            <idx val="155"/>
            <invertIfNegative val="0"/>
            <spPr>
              <a:solidFill>
                <a:srgbClr val="FBE0D6"/>
              </a:solidFill>
              <a:ln>
                <a:noFill/>
                <a:prstDash val="solid"/>
              </a:ln>
            </spPr>
          </dPt>
          <cat>
            <numRef>
              <f>'Chart'!$A$2:$A$157</f>
            </numRef>
          </cat>
          <val>
            <numRef>
              <f>'Chart'!$C$2:$C$157</f>
            </numRef>
          </val>
        </ser>
        <ser>
          <idx val="2"/>
          <order val="2"/>
          <tx>
            <strRef>
              <f>'Chart'!D1</f>
            </strRef>
          </tx>
          <spPr>
            <a:solidFill>
              <a:srgbClr val="1BAF7A"/>
            </a:solidFill>
            <a:ln>
              <a:noFill/>
              <a:prstDash val="solid"/>
            </a:ln>
          </spPr>
          <dPt>
            <idx val="67"/>
            <invertIfNegative val="0"/>
            <spPr>
              <a:solidFill>
                <a:srgbClr val="98DBC3"/>
              </a:solidFill>
              <a:ln>
                <a:noFill/>
                <a:prstDash val="solid"/>
              </a:ln>
            </spPr>
          </dPt>
          <dPt>
            <idx val="68"/>
            <invertIfNegative val="0"/>
            <spPr>
              <a:solidFill>
                <a:srgbClr val="98DBC3"/>
              </a:solidFill>
              <a:ln>
                <a:noFill/>
                <a:prstDash val="solid"/>
              </a:ln>
            </spPr>
          </dPt>
          <dPt>
            <idx val="69"/>
            <invertIfNegative val="0"/>
            <spPr>
              <a:solidFill>
                <a:srgbClr val="98DBC3"/>
              </a:solidFill>
              <a:ln>
                <a:noFill/>
                <a:prstDash val="solid"/>
              </a:ln>
            </spPr>
          </dPt>
          <dPt>
            <idx val="70"/>
            <invertIfNegative val="0"/>
            <spPr>
              <a:solidFill>
                <a:srgbClr val="98DBC3"/>
              </a:solidFill>
              <a:ln>
                <a:noFill/>
                <a:prstDash val="solid"/>
              </a:ln>
            </spPr>
          </dPt>
          <dPt>
            <idx val="71"/>
            <invertIfNegative val="0"/>
            <spPr>
              <a:solidFill>
                <a:srgbClr val="98DBC3"/>
              </a:solidFill>
              <a:ln>
                <a:noFill/>
                <a:prstDash val="solid"/>
              </a:ln>
            </spPr>
          </dPt>
          <dPt>
            <idx val="72"/>
            <invertIfNegative val="0"/>
            <spPr>
              <a:solidFill>
                <a:srgbClr val="98DBC3"/>
              </a:solidFill>
              <a:ln>
                <a:noFill/>
                <a:prstDash val="solid"/>
              </a:ln>
            </spPr>
          </dPt>
          <dPt>
            <idx val="73"/>
            <invertIfNegative val="0"/>
            <spPr>
              <a:solidFill>
                <a:srgbClr val="98DBC3"/>
              </a:solidFill>
              <a:ln>
                <a:noFill/>
                <a:prstDash val="solid"/>
              </a:ln>
            </spPr>
          </dPt>
          <dPt>
            <idx val="74"/>
            <invertIfNegative val="0"/>
            <spPr>
              <a:solidFill>
                <a:srgbClr val="98DBC3"/>
              </a:solidFill>
              <a:ln>
                <a:noFill/>
                <a:prstDash val="solid"/>
              </a:ln>
            </spPr>
          </dPt>
          <dPt>
            <idx val="75"/>
            <invertIfNegative val="0"/>
            <spPr>
              <a:solidFill>
                <a:srgbClr val="98DBC3"/>
              </a:solidFill>
              <a:ln>
                <a:noFill/>
                <a:prstDash val="solid"/>
              </a:ln>
            </spPr>
          </dPt>
          <dPt>
            <idx val="76"/>
            <invertIfNegative val="0"/>
            <spPr>
              <a:solidFill>
                <a:srgbClr val="98DBC3"/>
              </a:solidFill>
              <a:ln>
                <a:noFill/>
                <a:prstDash val="solid"/>
              </a:ln>
            </spPr>
          </dPt>
          <dPt>
            <idx val="77"/>
            <invertIfNegative val="0"/>
            <spPr>
              <a:solidFill>
                <a:srgbClr val="98DBC3"/>
              </a:solidFill>
              <a:ln>
                <a:noFill/>
                <a:prstDash val="solid"/>
              </a:ln>
            </spPr>
          </dPt>
          <dPt>
            <idx val="78"/>
            <invertIfNegative val="0"/>
            <spPr>
              <a:solidFill>
                <a:srgbClr val="98DBC3"/>
              </a:solidFill>
              <a:ln>
                <a:noFill/>
                <a:prstDash val="solid"/>
              </a:ln>
            </spPr>
          </dPt>
          <dPt>
            <idx val="79"/>
            <invertIfNegative val="0"/>
            <spPr>
              <a:solidFill>
                <a:srgbClr val="98DBC3"/>
              </a:solidFill>
              <a:ln>
                <a:noFill/>
                <a:prstDash val="solid"/>
              </a:ln>
            </spPr>
          </dPt>
          <dPt>
            <idx val="80"/>
            <invertIfNegative val="0"/>
            <spPr>
              <a:solidFill>
                <a:srgbClr val="98DBC3"/>
              </a:solidFill>
              <a:ln>
                <a:noFill/>
                <a:prstDash val="solid"/>
              </a:ln>
            </spPr>
          </dPt>
          <dPt>
            <idx val="81"/>
            <invertIfNegative val="0"/>
            <spPr>
              <a:solidFill>
                <a:srgbClr val="98DBC3"/>
              </a:solidFill>
              <a:ln>
                <a:noFill/>
                <a:prstDash val="solid"/>
              </a:ln>
            </spPr>
          </dPt>
          <dPt>
            <idx val="82"/>
            <invertIfNegative val="0"/>
            <spPr>
              <a:solidFill>
                <a:srgbClr val="98DBC3"/>
              </a:solidFill>
              <a:ln>
                <a:noFill/>
                <a:prstDash val="solid"/>
              </a:ln>
            </spPr>
          </dPt>
          <dPt>
            <idx val="83"/>
            <invertIfNegative val="0"/>
            <spPr>
              <a:solidFill>
                <a:srgbClr val="98DBC3"/>
              </a:solidFill>
              <a:ln>
                <a:noFill/>
                <a:prstDash val="solid"/>
              </a:ln>
            </spPr>
          </dPt>
          <dPt>
            <idx val="84"/>
            <invertIfNegative val="0"/>
            <spPr>
              <a:solidFill>
                <a:srgbClr val="98DBC3"/>
              </a:solidFill>
              <a:ln>
                <a:noFill/>
                <a:prstDash val="solid"/>
              </a:ln>
            </spPr>
          </dPt>
          <dPt>
            <idx val="85"/>
            <invertIfNegative val="0"/>
            <spPr>
              <a:solidFill>
                <a:srgbClr val="98DBC3"/>
              </a:solidFill>
              <a:ln>
                <a:noFill/>
                <a:prstDash val="solid"/>
              </a:ln>
            </spPr>
          </dPt>
          <dPt>
            <idx val="86"/>
            <invertIfNegative val="0"/>
            <spPr>
              <a:solidFill>
                <a:srgbClr val="98DBC3"/>
              </a:solidFill>
              <a:ln>
                <a:noFill/>
                <a:prstDash val="solid"/>
              </a:ln>
            </spPr>
          </dPt>
          <dPt>
            <idx val="87"/>
            <invertIfNegative val="0"/>
            <spPr>
              <a:solidFill>
                <a:srgbClr val="98DBC3"/>
              </a:solidFill>
              <a:ln>
                <a:noFill/>
                <a:prstDash val="solid"/>
              </a:ln>
            </spPr>
          </dPt>
          <dPt>
            <idx val="88"/>
            <invertIfNegative val="0"/>
            <spPr>
              <a:solidFill>
                <a:srgbClr val="98DBC3"/>
              </a:solidFill>
              <a:ln>
                <a:noFill/>
                <a:prstDash val="solid"/>
              </a:ln>
            </spPr>
          </dPt>
          <dPt>
            <idx val="89"/>
            <invertIfNegative val="0"/>
            <spPr>
              <a:solidFill>
                <a:srgbClr val="98DBC3"/>
              </a:solidFill>
              <a:ln>
                <a:noFill/>
                <a:prstDash val="solid"/>
              </a:ln>
            </spPr>
          </dPt>
          <dPt>
            <idx val="90"/>
            <invertIfNegative val="0"/>
            <spPr>
              <a:solidFill>
                <a:srgbClr val="98DBC3"/>
              </a:solidFill>
              <a:ln>
                <a:noFill/>
                <a:prstDash val="solid"/>
              </a:ln>
            </spPr>
          </dPt>
          <dPt>
            <idx val="91"/>
            <invertIfNegative val="0"/>
            <spPr>
              <a:solidFill>
                <a:srgbClr val="98DBC3"/>
              </a:solidFill>
              <a:ln>
                <a:noFill/>
                <a:prstDash val="solid"/>
              </a:ln>
            </spPr>
          </dPt>
          <dPt>
            <idx val="92"/>
            <invertIfNegative val="0"/>
            <spPr>
              <a:solidFill>
                <a:srgbClr val="98DBC3"/>
              </a:solidFill>
              <a:ln>
                <a:noFill/>
                <a:prstDash val="solid"/>
              </a:ln>
            </spPr>
          </dPt>
          <dPt>
            <idx val="93"/>
            <invertIfNegative val="0"/>
            <spPr>
              <a:solidFill>
                <a:srgbClr val="98DBC3"/>
              </a:solidFill>
              <a:ln>
                <a:noFill/>
                <a:prstDash val="solid"/>
              </a:ln>
            </spPr>
          </dPt>
          <dPt>
            <idx val="94"/>
            <invertIfNegative val="0"/>
            <spPr>
              <a:solidFill>
                <a:srgbClr val="98DBC3"/>
              </a:solidFill>
              <a:ln>
                <a:noFill/>
                <a:prstDash val="solid"/>
              </a:ln>
            </spPr>
          </dPt>
          <dPt>
            <idx val="95"/>
            <invertIfNegative val="0"/>
            <spPr>
              <a:solidFill>
                <a:srgbClr val="98DBC3"/>
              </a:solidFill>
              <a:ln>
                <a:noFill/>
                <a:prstDash val="solid"/>
              </a:ln>
            </spPr>
          </dPt>
          <dPt>
            <idx val="96"/>
            <invertIfNegative val="0"/>
            <spPr>
              <a:solidFill>
                <a:srgbClr val="D1EFE4"/>
              </a:solidFill>
              <a:ln>
                <a:noFill/>
                <a:prstDash val="solid"/>
              </a:ln>
            </spPr>
          </dPt>
          <dPt>
            <idx val="97"/>
            <invertIfNegative val="0"/>
            <spPr>
              <a:solidFill>
                <a:srgbClr val="D1EFE4"/>
              </a:solidFill>
              <a:ln>
                <a:noFill/>
                <a:prstDash val="solid"/>
              </a:ln>
            </spPr>
          </dPt>
          <dPt>
            <idx val="98"/>
            <invertIfNegative val="0"/>
            <spPr>
              <a:solidFill>
                <a:srgbClr val="D1EFE4"/>
              </a:solidFill>
              <a:ln>
                <a:noFill/>
                <a:prstDash val="solid"/>
              </a:ln>
            </spPr>
          </dPt>
          <dPt>
            <idx val="99"/>
            <invertIfNegative val="0"/>
            <spPr>
              <a:solidFill>
                <a:srgbClr val="D1EFE4"/>
              </a:solidFill>
              <a:ln>
                <a:noFill/>
                <a:prstDash val="solid"/>
              </a:ln>
            </spPr>
          </dPt>
          <dPt>
            <idx val="100"/>
            <invertIfNegative val="0"/>
            <spPr>
              <a:solidFill>
                <a:srgbClr val="D1EFE4"/>
              </a:solidFill>
              <a:ln>
                <a:noFill/>
                <a:prstDash val="solid"/>
              </a:ln>
            </spPr>
          </dPt>
          <dPt>
            <idx val="101"/>
            <invertIfNegative val="0"/>
            <spPr>
              <a:solidFill>
                <a:srgbClr val="D1EFE4"/>
              </a:solidFill>
              <a:ln>
                <a:noFill/>
                <a:prstDash val="solid"/>
              </a:ln>
            </spPr>
          </dPt>
          <dPt>
            <idx val="102"/>
            <invertIfNegative val="0"/>
            <spPr>
              <a:solidFill>
                <a:srgbClr val="D1EFE4"/>
              </a:solidFill>
              <a:ln>
                <a:noFill/>
                <a:prstDash val="solid"/>
              </a:ln>
            </spPr>
          </dPt>
          <dPt>
            <idx val="103"/>
            <invertIfNegative val="0"/>
            <spPr>
              <a:solidFill>
                <a:srgbClr val="D1EFE4"/>
              </a:solidFill>
              <a:ln>
                <a:noFill/>
                <a:prstDash val="solid"/>
              </a:ln>
            </spPr>
          </dPt>
          <dPt>
            <idx val="104"/>
            <invertIfNegative val="0"/>
            <spPr>
              <a:solidFill>
                <a:srgbClr val="D1EFE4"/>
              </a:solidFill>
              <a:ln>
                <a:noFill/>
                <a:prstDash val="solid"/>
              </a:ln>
            </spPr>
          </dPt>
          <dPt>
            <idx val="105"/>
            <invertIfNegative val="0"/>
            <spPr>
              <a:solidFill>
                <a:srgbClr val="D1EFE4"/>
              </a:solidFill>
              <a:ln>
                <a:noFill/>
                <a:prstDash val="solid"/>
              </a:ln>
            </spPr>
          </dPt>
          <dPt>
            <idx val="106"/>
            <invertIfNegative val="0"/>
            <spPr>
              <a:solidFill>
                <a:srgbClr val="D1EFE4"/>
              </a:solidFill>
              <a:ln>
                <a:noFill/>
                <a:prstDash val="solid"/>
              </a:ln>
            </spPr>
          </dPt>
          <dPt>
            <idx val="107"/>
            <invertIfNegative val="0"/>
            <spPr>
              <a:solidFill>
                <a:srgbClr val="D1EFE4"/>
              </a:solidFill>
              <a:ln>
                <a:noFill/>
                <a:prstDash val="solid"/>
              </a:ln>
            </spPr>
          </dPt>
          <dPt>
            <idx val="108"/>
            <invertIfNegative val="0"/>
            <spPr>
              <a:solidFill>
                <a:srgbClr val="D1EFE4"/>
              </a:solidFill>
              <a:ln>
                <a:noFill/>
                <a:prstDash val="solid"/>
              </a:ln>
            </spPr>
          </dPt>
          <dPt>
            <idx val="109"/>
            <invertIfNegative val="0"/>
            <spPr>
              <a:solidFill>
                <a:srgbClr val="D1EFE4"/>
              </a:solidFill>
              <a:ln>
                <a:noFill/>
                <a:prstDash val="solid"/>
              </a:ln>
            </spPr>
          </dPt>
          <dPt>
            <idx val="110"/>
            <invertIfNegative val="0"/>
            <spPr>
              <a:solidFill>
                <a:srgbClr val="D1EFE4"/>
              </a:solidFill>
              <a:ln>
                <a:noFill/>
                <a:prstDash val="solid"/>
              </a:ln>
            </spPr>
          </dPt>
          <dPt>
            <idx val="111"/>
            <invertIfNegative val="0"/>
            <spPr>
              <a:solidFill>
                <a:srgbClr val="D1EFE4"/>
              </a:solidFill>
              <a:ln>
                <a:noFill/>
                <a:prstDash val="solid"/>
              </a:ln>
            </spPr>
          </dPt>
          <dPt>
            <idx val="112"/>
            <invertIfNegative val="0"/>
            <spPr>
              <a:solidFill>
                <a:srgbClr val="D1EFE4"/>
              </a:solidFill>
              <a:ln>
                <a:noFill/>
                <a:prstDash val="solid"/>
              </a:ln>
            </spPr>
          </dPt>
          <dPt>
            <idx val="113"/>
            <invertIfNegative val="0"/>
            <spPr>
              <a:solidFill>
                <a:srgbClr val="D1EFE4"/>
              </a:solidFill>
              <a:ln>
                <a:noFill/>
                <a:prstDash val="solid"/>
              </a:ln>
            </spPr>
          </dPt>
          <dPt>
            <idx val="114"/>
            <invertIfNegative val="0"/>
            <spPr>
              <a:solidFill>
                <a:srgbClr val="D1EFE4"/>
              </a:solidFill>
              <a:ln>
                <a:noFill/>
                <a:prstDash val="solid"/>
              </a:ln>
            </spPr>
          </dPt>
          <dPt>
            <idx val="115"/>
            <invertIfNegative val="0"/>
            <spPr>
              <a:solidFill>
                <a:srgbClr val="D1EFE4"/>
              </a:solidFill>
              <a:ln>
                <a:noFill/>
                <a:prstDash val="solid"/>
              </a:ln>
            </spPr>
          </dPt>
          <dPt>
            <idx val="116"/>
            <invertIfNegative val="0"/>
            <spPr>
              <a:solidFill>
                <a:srgbClr val="D1EFE4"/>
              </a:solidFill>
              <a:ln>
                <a:noFill/>
                <a:prstDash val="solid"/>
              </a:ln>
            </spPr>
          </dPt>
          <dPt>
            <idx val="117"/>
            <invertIfNegative val="0"/>
            <spPr>
              <a:solidFill>
                <a:srgbClr val="D1EFE4"/>
              </a:solidFill>
              <a:ln>
                <a:noFill/>
                <a:prstDash val="solid"/>
              </a:ln>
            </spPr>
          </dPt>
          <dPt>
            <idx val="118"/>
            <invertIfNegative val="0"/>
            <spPr>
              <a:solidFill>
                <a:srgbClr val="D1EFE4"/>
              </a:solidFill>
              <a:ln>
                <a:noFill/>
                <a:prstDash val="solid"/>
              </a:ln>
            </spPr>
          </dPt>
          <dPt>
            <idx val="119"/>
            <invertIfNegative val="0"/>
            <spPr>
              <a:solidFill>
                <a:srgbClr val="D1EFE4"/>
              </a:solidFill>
              <a:ln>
                <a:noFill/>
                <a:prstDash val="solid"/>
              </a:ln>
            </spPr>
          </dPt>
          <dPt>
            <idx val="120"/>
            <invertIfNegative val="0"/>
            <spPr>
              <a:solidFill>
                <a:srgbClr val="D1EFE4"/>
              </a:solidFill>
              <a:ln>
                <a:noFill/>
                <a:prstDash val="solid"/>
              </a:ln>
            </spPr>
          </dPt>
          <dPt>
            <idx val="121"/>
            <invertIfNegative val="0"/>
            <spPr>
              <a:solidFill>
                <a:srgbClr val="D1EFE4"/>
              </a:solidFill>
              <a:ln>
                <a:noFill/>
                <a:prstDash val="solid"/>
              </a:ln>
            </spPr>
          </dPt>
          <dPt>
            <idx val="122"/>
            <invertIfNegative val="0"/>
            <spPr>
              <a:solidFill>
                <a:srgbClr val="D1EFE4"/>
              </a:solidFill>
              <a:ln>
                <a:noFill/>
                <a:prstDash val="solid"/>
              </a:ln>
            </spPr>
          </dPt>
          <dPt>
            <idx val="123"/>
            <invertIfNegative val="0"/>
            <spPr>
              <a:solidFill>
                <a:srgbClr val="D1EFE4"/>
              </a:solidFill>
              <a:ln>
                <a:noFill/>
                <a:prstDash val="solid"/>
              </a:ln>
            </spPr>
          </dPt>
          <dPt>
            <idx val="124"/>
            <invertIfNegative val="0"/>
            <spPr>
              <a:solidFill>
                <a:srgbClr val="D1EFE4"/>
              </a:solidFill>
              <a:ln>
                <a:noFill/>
                <a:prstDash val="solid"/>
              </a:ln>
            </spPr>
          </dPt>
          <dPt>
            <idx val="125"/>
            <invertIfNegative val="0"/>
            <spPr>
              <a:solidFill>
                <a:srgbClr val="D1EFE4"/>
              </a:solidFill>
              <a:ln>
                <a:noFill/>
                <a:prstDash val="solid"/>
              </a:ln>
            </spPr>
          </dPt>
          <dPt>
            <idx val="126"/>
            <invertIfNegative val="0"/>
            <spPr>
              <a:solidFill>
                <a:srgbClr val="D1EFE4"/>
              </a:solidFill>
              <a:ln>
                <a:noFill/>
                <a:prstDash val="solid"/>
              </a:ln>
            </spPr>
          </dPt>
          <dPt>
            <idx val="127"/>
            <invertIfNegative val="0"/>
            <spPr>
              <a:solidFill>
                <a:srgbClr val="D1EFE4"/>
              </a:solidFill>
              <a:ln>
                <a:noFill/>
                <a:prstDash val="solid"/>
              </a:ln>
            </spPr>
          </dPt>
          <dPt>
            <idx val="128"/>
            <invertIfNegative val="0"/>
            <spPr>
              <a:solidFill>
                <a:srgbClr val="D1EFE4"/>
              </a:solidFill>
              <a:ln>
                <a:noFill/>
                <a:prstDash val="solid"/>
              </a:ln>
            </spPr>
          </dPt>
          <dPt>
            <idx val="129"/>
            <invertIfNegative val="0"/>
            <spPr>
              <a:solidFill>
                <a:srgbClr val="D1EFE4"/>
              </a:solidFill>
              <a:ln>
                <a:noFill/>
                <a:prstDash val="solid"/>
              </a:ln>
            </spPr>
          </dPt>
          <dPt>
            <idx val="130"/>
            <invertIfNegative val="0"/>
            <spPr>
              <a:solidFill>
                <a:srgbClr val="D1EFE4"/>
              </a:solidFill>
              <a:ln>
                <a:noFill/>
                <a:prstDash val="solid"/>
              </a:ln>
            </spPr>
          </dPt>
          <dPt>
            <idx val="131"/>
            <invertIfNegative val="0"/>
            <spPr>
              <a:solidFill>
                <a:srgbClr val="D1EFE4"/>
              </a:solidFill>
              <a:ln>
                <a:noFill/>
                <a:prstDash val="solid"/>
              </a:ln>
            </spPr>
          </dPt>
          <dPt>
            <idx val="132"/>
            <invertIfNegative val="0"/>
            <spPr>
              <a:solidFill>
                <a:srgbClr val="D1EFE4"/>
              </a:solidFill>
              <a:ln>
                <a:noFill/>
                <a:prstDash val="solid"/>
              </a:ln>
            </spPr>
          </dPt>
          <dPt>
            <idx val="133"/>
            <invertIfNegative val="0"/>
            <spPr>
              <a:solidFill>
                <a:srgbClr val="D1EFE4"/>
              </a:solidFill>
              <a:ln>
                <a:noFill/>
                <a:prstDash val="solid"/>
              </a:ln>
            </spPr>
          </dPt>
          <dPt>
            <idx val="134"/>
            <invertIfNegative val="0"/>
            <spPr>
              <a:solidFill>
                <a:srgbClr val="D1EFE4"/>
              </a:solidFill>
              <a:ln>
                <a:noFill/>
                <a:prstDash val="solid"/>
              </a:ln>
            </spPr>
          </dPt>
          <dPt>
            <idx val="135"/>
            <invertIfNegative val="0"/>
            <spPr>
              <a:solidFill>
                <a:srgbClr val="D1EFE4"/>
              </a:solidFill>
              <a:ln>
                <a:noFill/>
                <a:prstDash val="solid"/>
              </a:ln>
            </spPr>
          </dPt>
          <dPt>
            <idx val="136"/>
            <invertIfNegative val="0"/>
            <spPr>
              <a:solidFill>
                <a:srgbClr val="D1EFE4"/>
              </a:solidFill>
              <a:ln>
                <a:noFill/>
                <a:prstDash val="solid"/>
              </a:ln>
            </spPr>
          </dPt>
          <dPt>
            <idx val="137"/>
            <invertIfNegative val="0"/>
            <spPr>
              <a:solidFill>
                <a:srgbClr val="D1EFE4"/>
              </a:solidFill>
              <a:ln>
                <a:noFill/>
                <a:prstDash val="solid"/>
              </a:ln>
            </spPr>
          </dPt>
          <dPt>
            <idx val="138"/>
            <invertIfNegative val="0"/>
            <spPr>
              <a:solidFill>
                <a:srgbClr val="D1EFE4"/>
              </a:solidFill>
              <a:ln>
                <a:noFill/>
                <a:prstDash val="solid"/>
              </a:ln>
            </spPr>
          </dPt>
          <dPt>
            <idx val="139"/>
            <invertIfNegative val="0"/>
            <spPr>
              <a:solidFill>
                <a:srgbClr val="D1EFE4"/>
              </a:solidFill>
              <a:ln>
                <a:noFill/>
                <a:prstDash val="solid"/>
              </a:ln>
            </spPr>
          </dPt>
          <dPt>
            <idx val="140"/>
            <invertIfNegative val="0"/>
            <spPr>
              <a:solidFill>
                <a:srgbClr val="D1EFE4"/>
              </a:solidFill>
              <a:ln>
                <a:noFill/>
                <a:prstDash val="solid"/>
              </a:ln>
            </spPr>
          </dPt>
          <dPt>
            <idx val="141"/>
            <invertIfNegative val="0"/>
            <spPr>
              <a:solidFill>
                <a:srgbClr val="D1EFE4"/>
              </a:solidFill>
              <a:ln>
                <a:noFill/>
                <a:prstDash val="solid"/>
              </a:ln>
            </spPr>
          </dPt>
          <dPt>
            <idx val="142"/>
            <invertIfNegative val="0"/>
            <spPr>
              <a:solidFill>
                <a:srgbClr val="D1EFE4"/>
              </a:solidFill>
              <a:ln>
                <a:noFill/>
                <a:prstDash val="solid"/>
              </a:ln>
            </spPr>
          </dPt>
          <dPt>
            <idx val="143"/>
            <invertIfNegative val="0"/>
            <spPr>
              <a:solidFill>
                <a:srgbClr val="D1EFE4"/>
              </a:solidFill>
              <a:ln>
                <a:noFill/>
                <a:prstDash val="solid"/>
              </a:ln>
            </spPr>
          </dPt>
          <dPt>
            <idx val="144"/>
            <invertIfNegative val="0"/>
            <spPr>
              <a:solidFill>
                <a:srgbClr val="D1EFE4"/>
              </a:solidFill>
              <a:ln>
                <a:noFill/>
                <a:prstDash val="solid"/>
              </a:ln>
            </spPr>
          </dPt>
          <dPt>
            <idx val="145"/>
            <invertIfNegative val="0"/>
            <spPr>
              <a:solidFill>
                <a:srgbClr val="D1EFE4"/>
              </a:solidFill>
              <a:ln>
                <a:noFill/>
                <a:prstDash val="solid"/>
              </a:ln>
            </spPr>
          </dPt>
          <dPt>
            <idx val="146"/>
            <invertIfNegative val="0"/>
            <spPr>
              <a:solidFill>
                <a:srgbClr val="D1EFE4"/>
              </a:solidFill>
              <a:ln>
                <a:noFill/>
                <a:prstDash val="solid"/>
              </a:ln>
            </spPr>
          </dPt>
          <dPt>
            <idx val="147"/>
            <invertIfNegative val="0"/>
            <spPr>
              <a:solidFill>
                <a:srgbClr val="D1EFE4"/>
              </a:solidFill>
              <a:ln>
                <a:noFill/>
                <a:prstDash val="solid"/>
              </a:ln>
            </spPr>
          </dPt>
          <dPt>
            <idx val="148"/>
            <invertIfNegative val="0"/>
            <spPr>
              <a:solidFill>
                <a:srgbClr val="D1EFE4"/>
              </a:solidFill>
              <a:ln>
                <a:noFill/>
                <a:prstDash val="solid"/>
              </a:ln>
            </spPr>
          </dPt>
          <dPt>
            <idx val="149"/>
            <invertIfNegative val="0"/>
            <spPr>
              <a:solidFill>
                <a:srgbClr val="D1EFE4"/>
              </a:solidFill>
              <a:ln>
                <a:noFill/>
                <a:prstDash val="solid"/>
              </a:ln>
            </spPr>
          </dPt>
          <dPt>
            <idx val="150"/>
            <invertIfNegative val="0"/>
            <spPr>
              <a:solidFill>
                <a:srgbClr val="D1EFE4"/>
              </a:solidFill>
              <a:ln>
                <a:noFill/>
                <a:prstDash val="solid"/>
              </a:ln>
            </spPr>
          </dPt>
          <dPt>
            <idx val="151"/>
            <invertIfNegative val="0"/>
            <spPr>
              <a:solidFill>
                <a:srgbClr val="D1EFE4"/>
              </a:solidFill>
              <a:ln>
                <a:noFill/>
                <a:prstDash val="solid"/>
              </a:ln>
            </spPr>
          </dPt>
          <dPt>
            <idx val="152"/>
            <invertIfNegative val="0"/>
            <spPr>
              <a:solidFill>
                <a:srgbClr val="D1EFE4"/>
              </a:solidFill>
              <a:ln>
                <a:noFill/>
                <a:prstDash val="solid"/>
              </a:ln>
            </spPr>
          </dPt>
          <dPt>
            <idx val="153"/>
            <invertIfNegative val="0"/>
            <spPr>
              <a:solidFill>
                <a:srgbClr val="D1EFE4"/>
              </a:solidFill>
              <a:ln>
                <a:noFill/>
                <a:prstDash val="solid"/>
              </a:ln>
            </spPr>
          </dPt>
          <dPt>
            <idx val="154"/>
            <invertIfNegative val="0"/>
            <spPr>
              <a:solidFill>
                <a:srgbClr val="D1EFE4"/>
              </a:solidFill>
              <a:ln>
                <a:noFill/>
                <a:prstDash val="solid"/>
              </a:ln>
            </spPr>
          </dPt>
          <dPt>
            <idx val="155"/>
            <invertIfNegative val="0"/>
            <spPr>
              <a:solidFill>
                <a:srgbClr val="D1EFE4"/>
              </a:solidFill>
              <a:ln>
                <a:noFill/>
                <a:prstDash val="solid"/>
              </a:ln>
            </spPr>
          </dPt>
          <cat>
            <numRef>
              <f>'Chart'!$A$2:$A$157</f>
            </numRef>
          </cat>
          <val>
            <numRef>
              <f>'Chart'!$D$2:$D$157</f>
            </numRef>
          </val>
        </ser>
        <ser>
          <idx val="3"/>
          <order val="3"/>
          <tx>
            <strRef>
              <f>'Chart'!E1</f>
            </strRef>
          </tx>
          <spPr>
            <a:solidFill>
              <a:srgbClr val="EDA100"/>
            </a:solidFill>
            <a:ln>
              <a:noFill/>
              <a:prstDash val="solid"/>
            </a:ln>
          </spPr>
          <dPt>
            <idx val="67"/>
            <invertIfNegative val="0"/>
            <spPr>
              <a:solidFill>
                <a:srgbClr val="F6D48C"/>
              </a:solidFill>
              <a:ln>
                <a:noFill/>
                <a:prstDash val="solid"/>
              </a:ln>
            </spPr>
          </dPt>
          <dPt>
            <idx val="68"/>
            <invertIfNegative val="0"/>
            <spPr>
              <a:solidFill>
                <a:srgbClr val="F6D48C"/>
              </a:solidFill>
              <a:ln>
                <a:noFill/>
                <a:prstDash val="solid"/>
              </a:ln>
            </spPr>
          </dPt>
          <dPt>
            <idx val="69"/>
            <invertIfNegative val="0"/>
            <spPr>
              <a:solidFill>
                <a:srgbClr val="F6D48C"/>
              </a:solidFill>
              <a:ln>
                <a:noFill/>
                <a:prstDash val="solid"/>
              </a:ln>
            </spPr>
          </dPt>
          <dPt>
            <idx val="70"/>
            <invertIfNegative val="0"/>
            <spPr>
              <a:solidFill>
                <a:srgbClr val="F6D48C"/>
              </a:solidFill>
              <a:ln>
                <a:noFill/>
                <a:prstDash val="solid"/>
              </a:ln>
            </spPr>
          </dPt>
          <dPt>
            <idx val="71"/>
            <invertIfNegative val="0"/>
            <spPr>
              <a:solidFill>
                <a:srgbClr val="F6D48C"/>
              </a:solidFill>
              <a:ln>
                <a:noFill/>
                <a:prstDash val="solid"/>
              </a:ln>
            </spPr>
          </dPt>
          <dPt>
            <idx val="72"/>
            <invertIfNegative val="0"/>
            <spPr>
              <a:solidFill>
                <a:srgbClr val="F6D48C"/>
              </a:solidFill>
              <a:ln>
                <a:noFill/>
                <a:prstDash val="solid"/>
              </a:ln>
            </spPr>
          </dPt>
          <dPt>
            <idx val="73"/>
            <invertIfNegative val="0"/>
            <spPr>
              <a:solidFill>
                <a:srgbClr val="F6D48C"/>
              </a:solidFill>
              <a:ln>
                <a:noFill/>
                <a:prstDash val="solid"/>
              </a:ln>
            </spPr>
          </dPt>
          <dPt>
            <idx val="74"/>
            <invertIfNegative val="0"/>
            <spPr>
              <a:solidFill>
                <a:srgbClr val="F6D48C"/>
              </a:solidFill>
              <a:ln>
                <a:noFill/>
                <a:prstDash val="solid"/>
              </a:ln>
            </spPr>
          </dPt>
          <dPt>
            <idx val="75"/>
            <invertIfNegative val="0"/>
            <spPr>
              <a:solidFill>
                <a:srgbClr val="F6D48C"/>
              </a:solidFill>
              <a:ln>
                <a:noFill/>
                <a:prstDash val="solid"/>
              </a:ln>
            </spPr>
          </dPt>
          <dPt>
            <idx val="76"/>
            <invertIfNegative val="0"/>
            <spPr>
              <a:solidFill>
                <a:srgbClr val="F6D48C"/>
              </a:solidFill>
              <a:ln>
                <a:noFill/>
                <a:prstDash val="solid"/>
              </a:ln>
            </spPr>
          </dPt>
          <dPt>
            <idx val="77"/>
            <invertIfNegative val="0"/>
            <spPr>
              <a:solidFill>
                <a:srgbClr val="F6D48C"/>
              </a:solidFill>
              <a:ln>
                <a:noFill/>
                <a:prstDash val="solid"/>
              </a:ln>
            </spPr>
          </dPt>
          <dPt>
            <idx val="78"/>
            <invertIfNegative val="0"/>
            <spPr>
              <a:solidFill>
                <a:srgbClr val="F6D48C"/>
              </a:solidFill>
              <a:ln>
                <a:noFill/>
                <a:prstDash val="solid"/>
              </a:ln>
            </spPr>
          </dPt>
          <dPt>
            <idx val="79"/>
            <invertIfNegative val="0"/>
            <spPr>
              <a:solidFill>
                <a:srgbClr val="F6D48C"/>
              </a:solidFill>
              <a:ln>
                <a:noFill/>
                <a:prstDash val="solid"/>
              </a:ln>
            </spPr>
          </dPt>
          <dPt>
            <idx val="80"/>
            <invertIfNegative val="0"/>
            <spPr>
              <a:solidFill>
                <a:srgbClr val="F6D48C"/>
              </a:solidFill>
              <a:ln>
                <a:noFill/>
                <a:prstDash val="solid"/>
              </a:ln>
            </spPr>
          </dPt>
          <dPt>
            <idx val="81"/>
            <invertIfNegative val="0"/>
            <spPr>
              <a:solidFill>
                <a:srgbClr val="F6D48C"/>
              </a:solidFill>
              <a:ln>
                <a:noFill/>
                <a:prstDash val="solid"/>
              </a:ln>
            </spPr>
          </dPt>
          <dPt>
            <idx val="82"/>
            <invertIfNegative val="0"/>
            <spPr>
              <a:solidFill>
                <a:srgbClr val="F6D48C"/>
              </a:solidFill>
              <a:ln>
                <a:noFill/>
                <a:prstDash val="solid"/>
              </a:ln>
            </spPr>
          </dPt>
          <dPt>
            <idx val="83"/>
            <invertIfNegative val="0"/>
            <spPr>
              <a:solidFill>
                <a:srgbClr val="F6D48C"/>
              </a:solidFill>
              <a:ln>
                <a:noFill/>
                <a:prstDash val="solid"/>
              </a:ln>
            </spPr>
          </dPt>
          <dPt>
            <idx val="84"/>
            <invertIfNegative val="0"/>
            <spPr>
              <a:solidFill>
                <a:srgbClr val="F6D48C"/>
              </a:solidFill>
              <a:ln>
                <a:noFill/>
                <a:prstDash val="solid"/>
              </a:ln>
            </spPr>
          </dPt>
          <dPt>
            <idx val="85"/>
            <invertIfNegative val="0"/>
            <spPr>
              <a:solidFill>
                <a:srgbClr val="F6D48C"/>
              </a:solidFill>
              <a:ln>
                <a:noFill/>
                <a:prstDash val="solid"/>
              </a:ln>
            </spPr>
          </dPt>
          <dPt>
            <idx val="86"/>
            <invertIfNegative val="0"/>
            <spPr>
              <a:solidFill>
                <a:srgbClr val="F6D48C"/>
              </a:solidFill>
              <a:ln>
                <a:noFill/>
                <a:prstDash val="solid"/>
              </a:ln>
            </spPr>
          </dPt>
          <dPt>
            <idx val="87"/>
            <invertIfNegative val="0"/>
            <spPr>
              <a:solidFill>
                <a:srgbClr val="F6D48C"/>
              </a:solidFill>
              <a:ln>
                <a:noFill/>
                <a:prstDash val="solid"/>
              </a:ln>
            </spPr>
          </dPt>
          <dPt>
            <idx val="88"/>
            <invertIfNegative val="0"/>
            <spPr>
              <a:solidFill>
                <a:srgbClr val="F6D48C"/>
              </a:solidFill>
              <a:ln>
                <a:noFill/>
                <a:prstDash val="solid"/>
              </a:ln>
            </spPr>
          </dPt>
          <dPt>
            <idx val="89"/>
            <invertIfNegative val="0"/>
            <spPr>
              <a:solidFill>
                <a:srgbClr val="F6D48C"/>
              </a:solidFill>
              <a:ln>
                <a:noFill/>
                <a:prstDash val="solid"/>
              </a:ln>
            </spPr>
          </dPt>
          <dPt>
            <idx val="90"/>
            <invertIfNegative val="0"/>
            <spPr>
              <a:solidFill>
                <a:srgbClr val="F6D48C"/>
              </a:solidFill>
              <a:ln>
                <a:noFill/>
                <a:prstDash val="solid"/>
              </a:ln>
            </spPr>
          </dPt>
          <dPt>
            <idx val="91"/>
            <invertIfNegative val="0"/>
            <spPr>
              <a:solidFill>
                <a:srgbClr val="F6D48C"/>
              </a:solidFill>
              <a:ln>
                <a:noFill/>
                <a:prstDash val="solid"/>
              </a:ln>
            </spPr>
          </dPt>
          <dPt>
            <idx val="92"/>
            <invertIfNegative val="0"/>
            <spPr>
              <a:solidFill>
                <a:srgbClr val="F6D48C"/>
              </a:solidFill>
              <a:ln>
                <a:noFill/>
                <a:prstDash val="solid"/>
              </a:ln>
            </spPr>
          </dPt>
          <dPt>
            <idx val="93"/>
            <invertIfNegative val="0"/>
            <spPr>
              <a:solidFill>
                <a:srgbClr val="F6D48C"/>
              </a:solidFill>
              <a:ln>
                <a:noFill/>
                <a:prstDash val="solid"/>
              </a:ln>
            </spPr>
          </dPt>
          <dPt>
            <idx val="94"/>
            <invertIfNegative val="0"/>
            <spPr>
              <a:solidFill>
                <a:srgbClr val="F6D48C"/>
              </a:solidFill>
              <a:ln>
                <a:noFill/>
                <a:prstDash val="solid"/>
              </a:ln>
            </spPr>
          </dPt>
          <dPt>
            <idx val="95"/>
            <invertIfNegative val="0"/>
            <spPr>
              <a:solidFill>
                <a:srgbClr val="F6D48C"/>
              </a:solidFill>
              <a:ln>
                <a:noFill/>
                <a:prstDash val="solid"/>
              </a:ln>
            </spPr>
          </dPt>
          <dPt>
            <idx val="96"/>
            <invertIfNegative val="0"/>
            <spPr>
              <a:solidFill>
                <a:srgbClr val="FBECCC"/>
              </a:solidFill>
              <a:ln>
                <a:noFill/>
                <a:prstDash val="solid"/>
              </a:ln>
            </spPr>
          </dPt>
          <dPt>
            <idx val="97"/>
            <invertIfNegative val="0"/>
            <spPr>
              <a:solidFill>
                <a:srgbClr val="FBECCC"/>
              </a:solidFill>
              <a:ln>
                <a:noFill/>
                <a:prstDash val="solid"/>
              </a:ln>
            </spPr>
          </dPt>
          <dPt>
            <idx val="98"/>
            <invertIfNegative val="0"/>
            <spPr>
              <a:solidFill>
                <a:srgbClr val="FBECCC"/>
              </a:solidFill>
              <a:ln>
                <a:noFill/>
                <a:prstDash val="solid"/>
              </a:ln>
            </spPr>
          </dPt>
          <dPt>
            <idx val="99"/>
            <invertIfNegative val="0"/>
            <spPr>
              <a:solidFill>
                <a:srgbClr val="FBECCC"/>
              </a:solidFill>
              <a:ln>
                <a:noFill/>
                <a:prstDash val="solid"/>
              </a:ln>
            </spPr>
          </dPt>
          <dPt>
            <idx val="100"/>
            <invertIfNegative val="0"/>
            <spPr>
              <a:solidFill>
                <a:srgbClr val="FBECCC"/>
              </a:solidFill>
              <a:ln>
                <a:noFill/>
                <a:prstDash val="solid"/>
              </a:ln>
            </spPr>
          </dPt>
          <dPt>
            <idx val="101"/>
            <invertIfNegative val="0"/>
            <spPr>
              <a:solidFill>
                <a:srgbClr val="FBECCC"/>
              </a:solidFill>
              <a:ln>
                <a:noFill/>
                <a:prstDash val="solid"/>
              </a:ln>
            </spPr>
          </dPt>
          <dPt>
            <idx val="102"/>
            <invertIfNegative val="0"/>
            <spPr>
              <a:solidFill>
                <a:srgbClr val="FBECCC"/>
              </a:solidFill>
              <a:ln>
                <a:noFill/>
                <a:prstDash val="solid"/>
              </a:ln>
            </spPr>
          </dPt>
          <dPt>
            <idx val="103"/>
            <invertIfNegative val="0"/>
            <spPr>
              <a:solidFill>
                <a:srgbClr val="FBECCC"/>
              </a:solidFill>
              <a:ln>
                <a:noFill/>
                <a:prstDash val="solid"/>
              </a:ln>
            </spPr>
          </dPt>
          <dPt>
            <idx val="104"/>
            <invertIfNegative val="0"/>
            <spPr>
              <a:solidFill>
                <a:srgbClr val="FBECCC"/>
              </a:solidFill>
              <a:ln>
                <a:noFill/>
                <a:prstDash val="solid"/>
              </a:ln>
            </spPr>
          </dPt>
          <dPt>
            <idx val="105"/>
            <invertIfNegative val="0"/>
            <spPr>
              <a:solidFill>
                <a:srgbClr val="FBECCC"/>
              </a:solidFill>
              <a:ln>
                <a:noFill/>
                <a:prstDash val="solid"/>
              </a:ln>
            </spPr>
          </dPt>
          <dPt>
            <idx val="106"/>
            <invertIfNegative val="0"/>
            <spPr>
              <a:solidFill>
                <a:srgbClr val="FBECCC"/>
              </a:solidFill>
              <a:ln>
                <a:noFill/>
                <a:prstDash val="solid"/>
              </a:ln>
            </spPr>
          </dPt>
          <dPt>
            <idx val="107"/>
            <invertIfNegative val="0"/>
            <spPr>
              <a:solidFill>
                <a:srgbClr val="FBECCC"/>
              </a:solidFill>
              <a:ln>
                <a:noFill/>
                <a:prstDash val="solid"/>
              </a:ln>
            </spPr>
          </dPt>
          <dPt>
            <idx val="108"/>
            <invertIfNegative val="0"/>
            <spPr>
              <a:solidFill>
                <a:srgbClr val="FBECCC"/>
              </a:solidFill>
              <a:ln>
                <a:noFill/>
                <a:prstDash val="solid"/>
              </a:ln>
            </spPr>
          </dPt>
          <dPt>
            <idx val="109"/>
            <invertIfNegative val="0"/>
            <spPr>
              <a:solidFill>
                <a:srgbClr val="FBECCC"/>
              </a:solidFill>
              <a:ln>
                <a:noFill/>
                <a:prstDash val="solid"/>
              </a:ln>
            </spPr>
          </dPt>
          <dPt>
            <idx val="110"/>
            <invertIfNegative val="0"/>
            <spPr>
              <a:solidFill>
                <a:srgbClr val="FBECCC"/>
              </a:solidFill>
              <a:ln>
                <a:noFill/>
                <a:prstDash val="solid"/>
              </a:ln>
            </spPr>
          </dPt>
          <dPt>
            <idx val="111"/>
            <invertIfNegative val="0"/>
            <spPr>
              <a:solidFill>
                <a:srgbClr val="FBECCC"/>
              </a:solidFill>
              <a:ln>
                <a:noFill/>
                <a:prstDash val="solid"/>
              </a:ln>
            </spPr>
          </dPt>
          <dPt>
            <idx val="112"/>
            <invertIfNegative val="0"/>
            <spPr>
              <a:solidFill>
                <a:srgbClr val="FBECCC"/>
              </a:solidFill>
              <a:ln>
                <a:noFill/>
                <a:prstDash val="solid"/>
              </a:ln>
            </spPr>
          </dPt>
          <dPt>
            <idx val="113"/>
            <invertIfNegative val="0"/>
            <spPr>
              <a:solidFill>
                <a:srgbClr val="FBECCC"/>
              </a:solidFill>
              <a:ln>
                <a:noFill/>
                <a:prstDash val="solid"/>
              </a:ln>
            </spPr>
          </dPt>
          <dPt>
            <idx val="114"/>
            <invertIfNegative val="0"/>
            <spPr>
              <a:solidFill>
                <a:srgbClr val="FBECCC"/>
              </a:solidFill>
              <a:ln>
                <a:noFill/>
                <a:prstDash val="solid"/>
              </a:ln>
            </spPr>
          </dPt>
          <dPt>
            <idx val="115"/>
            <invertIfNegative val="0"/>
            <spPr>
              <a:solidFill>
                <a:srgbClr val="FBECCC"/>
              </a:solidFill>
              <a:ln>
                <a:noFill/>
                <a:prstDash val="solid"/>
              </a:ln>
            </spPr>
          </dPt>
          <dPt>
            <idx val="116"/>
            <invertIfNegative val="0"/>
            <spPr>
              <a:solidFill>
                <a:srgbClr val="FBECCC"/>
              </a:solidFill>
              <a:ln>
                <a:noFill/>
                <a:prstDash val="solid"/>
              </a:ln>
            </spPr>
          </dPt>
          <dPt>
            <idx val="117"/>
            <invertIfNegative val="0"/>
            <spPr>
              <a:solidFill>
                <a:srgbClr val="FBECCC"/>
              </a:solidFill>
              <a:ln>
                <a:noFill/>
                <a:prstDash val="solid"/>
              </a:ln>
            </spPr>
          </dPt>
          <dPt>
            <idx val="118"/>
            <invertIfNegative val="0"/>
            <spPr>
              <a:solidFill>
                <a:srgbClr val="FBECCC"/>
              </a:solidFill>
              <a:ln>
                <a:noFill/>
                <a:prstDash val="solid"/>
              </a:ln>
            </spPr>
          </dPt>
          <dPt>
            <idx val="119"/>
            <invertIfNegative val="0"/>
            <spPr>
              <a:solidFill>
                <a:srgbClr val="FBECCC"/>
              </a:solidFill>
              <a:ln>
                <a:noFill/>
                <a:prstDash val="solid"/>
              </a:ln>
            </spPr>
          </dPt>
          <dPt>
            <idx val="120"/>
            <invertIfNegative val="0"/>
            <spPr>
              <a:solidFill>
                <a:srgbClr val="FBECCC"/>
              </a:solidFill>
              <a:ln>
                <a:noFill/>
                <a:prstDash val="solid"/>
              </a:ln>
            </spPr>
          </dPt>
          <dPt>
            <idx val="121"/>
            <invertIfNegative val="0"/>
            <spPr>
              <a:solidFill>
                <a:srgbClr val="FBECCC"/>
              </a:solidFill>
              <a:ln>
                <a:noFill/>
                <a:prstDash val="solid"/>
              </a:ln>
            </spPr>
          </dPt>
          <dPt>
            <idx val="122"/>
            <invertIfNegative val="0"/>
            <spPr>
              <a:solidFill>
                <a:srgbClr val="FBECCC"/>
              </a:solidFill>
              <a:ln>
                <a:noFill/>
                <a:prstDash val="solid"/>
              </a:ln>
            </spPr>
          </dPt>
          <dPt>
            <idx val="123"/>
            <invertIfNegative val="0"/>
            <spPr>
              <a:solidFill>
                <a:srgbClr val="FBECCC"/>
              </a:solidFill>
              <a:ln>
                <a:noFill/>
                <a:prstDash val="solid"/>
              </a:ln>
            </spPr>
          </dPt>
          <dPt>
            <idx val="124"/>
            <invertIfNegative val="0"/>
            <spPr>
              <a:solidFill>
                <a:srgbClr val="FBECCC"/>
              </a:solidFill>
              <a:ln>
                <a:noFill/>
                <a:prstDash val="solid"/>
              </a:ln>
            </spPr>
          </dPt>
          <dPt>
            <idx val="125"/>
            <invertIfNegative val="0"/>
            <spPr>
              <a:solidFill>
                <a:srgbClr val="FBECCC"/>
              </a:solidFill>
              <a:ln>
                <a:noFill/>
                <a:prstDash val="solid"/>
              </a:ln>
            </spPr>
          </dPt>
          <dPt>
            <idx val="126"/>
            <invertIfNegative val="0"/>
            <spPr>
              <a:solidFill>
                <a:srgbClr val="FBECCC"/>
              </a:solidFill>
              <a:ln>
                <a:noFill/>
                <a:prstDash val="solid"/>
              </a:ln>
            </spPr>
          </dPt>
          <dPt>
            <idx val="127"/>
            <invertIfNegative val="0"/>
            <spPr>
              <a:solidFill>
                <a:srgbClr val="FBECCC"/>
              </a:solidFill>
              <a:ln>
                <a:noFill/>
                <a:prstDash val="solid"/>
              </a:ln>
            </spPr>
          </dPt>
          <dPt>
            <idx val="128"/>
            <invertIfNegative val="0"/>
            <spPr>
              <a:solidFill>
                <a:srgbClr val="FBECCC"/>
              </a:solidFill>
              <a:ln>
                <a:noFill/>
                <a:prstDash val="solid"/>
              </a:ln>
            </spPr>
          </dPt>
          <dPt>
            <idx val="129"/>
            <invertIfNegative val="0"/>
            <spPr>
              <a:solidFill>
                <a:srgbClr val="FBECCC"/>
              </a:solidFill>
              <a:ln>
                <a:noFill/>
                <a:prstDash val="solid"/>
              </a:ln>
            </spPr>
          </dPt>
          <dPt>
            <idx val="130"/>
            <invertIfNegative val="0"/>
            <spPr>
              <a:solidFill>
                <a:srgbClr val="FBECCC"/>
              </a:solidFill>
              <a:ln>
                <a:noFill/>
                <a:prstDash val="solid"/>
              </a:ln>
            </spPr>
          </dPt>
          <dPt>
            <idx val="131"/>
            <invertIfNegative val="0"/>
            <spPr>
              <a:solidFill>
                <a:srgbClr val="FBECCC"/>
              </a:solidFill>
              <a:ln>
                <a:noFill/>
                <a:prstDash val="solid"/>
              </a:ln>
            </spPr>
          </dPt>
          <dPt>
            <idx val="132"/>
            <invertIfNegative val="0"/>
            <spPr>
              <a:solidFill>
                <a:srgbClr val="FBECCC"/>
              </a:solidFill>
              <a:ln>
                <a:noFill/>
                <a:prstDash val="solid"/>
              </a:ln>
            </spPr>
          </dPt>
          <dPt>
            <idx val="133"/>
            <invertIfNegative val="0"/>
            <spPr>
              <a:solidFill>
                <a:srgbClr val="FBECCC"/>
              </a:solidFill>
              <a:ln>
                <a:noFill/>
                <a:prstDash val="solid"/>
              </a:ln>
            </spPr>
          </dPt>
          <dPt>
            <idx val="134"/>
            <invertIfNegative val="0"/>
            <spPr>
              <a:solidFill>
                <a:srgbClr val="FBECCC"/>
              </a:solidFill>
              <a:ln>
                <a:noFill/>
                <a:prstDash val="solid"/>
              </a:ln>
            </spPr>
          </dPt>
          <dPt>
            <idx val="135"/>
            <invertIfNegative val="0"/>
            <spPr>
              <a:solidFill>
                <a:srgbClr val="FBECCC"/>
              </a:solidFill>
              <a:ln>
                <a:noFill/>
                <a:prstDash val="solid"/>
              </a:ln>
            </spPr>
          </dPt>
          <dPt>
            <idx val="136"/>
            <invertIfNegative val="0"/>
            <spPr>
              <a:solidFill>
                <a:srgbClr val="FBECCC"/>
              </a:solidFill>
              <a:ln>
                <a:noFill/>
                <a:prstDash val="solid"/>
              </a:ln>
            </spPr>
          </dPt>
          <dPt>
            <idx val="137"/>
            <invertIfNegative val="0"/>
            <spPr>
              <a:solidFill>
                <a:srgbClr val="FBECCC"/>
              </a:solidFill>
              <a:ln>
                <a:noFill/>
                <a:prstDash val="solid"/>
              </a:ln>
            </spPr>
          </dPt>
          <dPt>
            <idx val="138"/>
            <invertIfNegative val="0"/>
            <spPr>
              <a:solidFill>
                <a:srgbClr val="FBECCC"/>
              </a:solidFill>
              <a:ln>
                <a:noFill/>
                <a:prstDash val="solid"/>
              </a:ln>
            </spPr>
          </dPt>
          <dPt>
            <idx val="139"/>
            <invertIfNegative val="0"/>
            <spPr>
              <a:solidFill>
                <a:srgbClr val="FBECCC"/>
              </a:solidFill>
              <a:ln>
                <a:noFill/>
                <a:prstDash val="solid"/>
              </a:ln>
            </spPr>
          </dPt>
          <dPt>
            <idx val="140"/>
            <invertIfNegative val="0"/>
            <spPr>
              <a:solidFill>
                <a:srgbClr val="FBECCC"/>
              </a:solidFill>
              <a:ln>
                <a:noFill/>
                <a:prstDash val="solid"/>
              </a:ln>
            </spPr>
          </dPt>
          <dPt>
            <idx val="141"/>
            <invertIfNegative val="0"/>
            <spPr>
              <a:solidFill>
                <a:srgbClr val="FBECCC"/>
              </a:solidFill>
              <a:ln>
                <a:noFill/>
                <a:prstDash val="solid"/>
              </a:ln>
            </spPr>
          </dPt>
          <dPt>
            <idx val="142"/>
            <invertIfNegative val="0"/>
            <spPr>
              <a:solidFill>
                <a:srgbClr val="FBECCC"/>
              </a:solidFill>
              <a:ln>
                <a:noFill/>
                <a:prstDash val="solid"/>
              </a:ln>
            </spPr>
          </dPt>
          <dPt>
            <idx val="143"/>
            <invertIfNegative val="0"/>
            <spPr>
              <a:solidFill>
                <a:srgbClr val="FBECCC"/>
              </a:solidFill>
              <a:ln>
                <a:noFill/>
                <a:prstDash val="solid"/>
              </a:ln>
            </spPr>
          </dPt>
          <dPt>
            <idx val="144"/>
            <invertIfNegative val="0"/>
            <spPr>
              <a:solidFill>
                <a:srgbClr val="FBECCC"/>
              </a:solidFill>
              <a:ln>
                <a:noFill/>
                <a:prstDash val="solid"/>
              </a:ln>
            </spPr>
          </dPt>
          <dPt>
            <idx val="145"/>
            <invertIfNegative val="0"/>
            <spPr>
              <a:solidFill>
                <a:srgbClr val="FBECCC"/>
              </a:solidFill>
              <a:ln>
                <a:noFill/>
                <a:prstDash val="solid"/>
              </a:ln>
            </spPr>
          </dPt>
          <dPt>
            <idx val="146"/>
            <invertIfNegative val="0"/>
            <spPr>
              <a:solidFill>
                <a:srgbClr val="FBECCC"/>
              </a:solidFill>
              <a:ln>
                <a:noFill/>
                <a:prstDash val="solid"/>
              </a:ln>
            </spPr>
          </dPt>
          <dPt>
            <idx val="147"/>
            <invertIfNegative val="0"/>
            <spPr>
              <a:solidFill>
                <a:srgbClr val="FBECCC"/>
              </a:solidFill>
              <a:ln>
                <a:noFill/>
                <a:prstDash val="solid"/>
              </a:ln>
            </spPr>
          </dPt>
          <dPt>
            <idx val="148"/>
            <invertIfNegative val="0"/>
            <spPr>
              <a:solidFill>
                <a:srgbClr val="FBECCC"/>
              </a:solidFill>
              <a:ln>
                <a:noFill/>
                <a:prstDash val="solid"/>
              </a:ln>
            </spPr>
          </dPt>
          <dPt>
            <idx val="149"/>
            <invertIfNegative val="0"/>
            <spPr>
              <a:solidFill>
                <a:srgbClr val="FBECCC"/>
              </a:solidFill>
              <a:ln>
                <a:noFill/>
                <a:prstDash val="solid"/>
              </a:ln>
            </spPr>
          </dPt>
          <dPt>
            <idx val="150"/>
            <invertIfNegative val="0"/>
            <spPr>
              <a:solidFill>
                <a:srgbClr val="FBECCC"/>
              </a:solidFill>
              <a:ln>
                <a:noFill/>
                <a:prstDash val="solid"/>
              </a:ln>
            </spPr>
          </dPt>
          <dPt>
            <idx val="151"/>
            <invertIfNegative val="0"/>
            <spPr>
              <a:solidFill>
                <a:srgbClr val="FBECCC"/>
              </a:solidFill>
              <a:ln>
                <a:noFill/>
                <a:prstDash val="solid"/>
              </a:ln>
            </spPr>
          </dPt>
          <dPt>
            <idx val="152"/>
            <invertIfNegative val="0"/>
            <spPr>
              <a:solidFill>
                <a:srgbClr val="FBECCC"/>
              </a:solidFill>
              <a:ln>
                <a:noFill/>
                <a:prstDash val="solid"/>
              </a:ln>
            </spPr>
          </dPt>
          <dPt>
            <idx val="153"/>
            <invertIfNegative val="0"/>
            <spPr>
              <a:solidFill>
                <a:srgbClr val="FBECCC"/>
              </a:solidFill>
              <a:ln>
                <a:noFill/>
                <a:prstDash val="solid"/>
              </a:ln>
            </spPr>
          </dPt>
          <dPt>
            <idx val="154"/>
            <invertIfNegative val="0"/>
            <spPr>
              <a:solidFill>
                <a:srgbClr val="FBECCC"/>
              </a:solidFill>
              <a:ln>
                <a:noFill/>
                <a:prstDash val="solid"/>
              </a:ln>
            </spPr>
          </dPt>
          <dPt>
            <idx val="155"/>
            <invertIfNegative val="0"/>
            <spPr>
              <a:solidFill>
                <a:srgbClr val="FBECCC"/>
              </a:solidFill>
              <a:ln>
                <a:noFill/>
                <a:prstDash val="solid"/>
              </a:ln>
            </spPr>
          </dPt>
          <cat>
            <numRef>
              <f>'Chart'!$A$2:$A$157</f>
            </numRef>
          </cat>
          <val>
            <numRef>
              <f>'Chart'!$E$2:$E$157</f>
            </numRef>
          </val>
        </ser>
        <ser>
          <idx val="4"/>
          <order val="4"/>
          <tx>
            <strRef>
              <f>'Chart'!F1</f>
            </strRef>
          </tx>
          <spPr>
            <a:solidFill>
              <a:srgbClr val="E87BA4"/>
            </a:solidFill>
            <a:ln>
              <a:noFill/>
              <a:prstDash val="solid"/>
            </a:ln>
          </spPr>
          <dPt>
            <idx val="67"/>
            <invertIfNegative val="0"/>
            <spPr>
              <a:solidFill>
                <a:srgbClr val="F4C3D6"/>
              </a:solidFill>
              <a:ln>
                <a:noFill/>
                <a:prstDash val="solid"/>
              </a:ln>
            </spPr>
          </dPt>
          <dPt>
            <idx val="68"/>
            <invertIfNegative val="0"/>
            <spPr>
              <a:solidFill>
                <a:srgbClr val="F4C3D6"/>
              </a:solidFill>
              <a:ln>
                <a:noFill/>
                <a:prstDash val="solid"/>
              </a:ln>
            </spPr>
          </dPt>
          <dPt>
            <idx val="69"/>
            <invertIfNegative val="0"/>
            <spPr>
              <a:solidFill>
                <a:srgbClr val="F4C3D6"/>
              </a:solidFill>
              <a:ln>
                <a:noFill/>
                <a:prstDash val="solid"/>
              </a:ln>
            </spPr>
          </dPt>
          <dPt>
            <idx val="70"/>
            <invertIfNegative val="0"/>
            <spPr>
              <a:solidFill>
                <a:srgbClr val="F4C3D6"/>
              </a:solidFill>
              <a:ln>
                <a:noFill/>
                <a:prstDash val="solid"/>
              </a:ln>
            </spPr>
          </dPt>
          <dPt>
            <idx val="71"/>
            <invertIfNegative val="0"/>
            <spPr>
              <a:solidFill>
                <a:srgbClr val="F4C3D6"/>
              </a:solidFill>
              <a:ln>
                <a:noFill/>
                <a:prstDash val="solid"/>
              </a:ln>
            </spPr>
          </dPt>
          <dPt>
            <idx val="72"/>
            <invertIfNegative val="0"/>
            <spPr>
              <a:solidFill>
                <a:srgbClr val="F4C3D6"/>
              </a:solidFill>
              <a:ln>
                <a:noFill/>
                <a:prstDash val="solid"/>
              </a:ln>
            </spPr>
          </dPt>
          <dPt>
            <idx val="73"/>
            <invertIfNegative val="0"/>
            <spPr>
              <a:solidFill>
                <a:srgbClr val="F4C3D6"/>
              </a:solidFill>
              <a:ln>
                <a:noFill/>
                <a:prstDash val="solid"/>
              </a:ln>
            </spPr>
          </dPt>
          <dPt>
            <idx val="74"/>
            <invertIfNegative val="0"/>
            <spPr>
              <a:solidFill>
                <a:srgbClr val="F4C3D6"/>
              </a:solidFill>
              <a:ln>
                <a:noFill/>
                <a:prstDash val="solid"/>
              </a:ln>
            </spPr>
          </dPt>
          <dPt>
            <idx val="75"/>
            <invertIfNegative val="0"/>
            <spPr>
              <a:solidFill>
                <a:srgbClr val="F4C3D6"/>
              </a:solidFill>
              <a:ln>
                <a:noFill/>
                <a:prstDash val="solid"/>
              </a:ln>
            </spPr>
          </dPt>
          <dPt>
            <idx val="76"/>
            <invertIfNegative val="0"/>
            <spPr>
              <a:solidFill>
                <a:srgbClr val="F4C3D6"/>
              </a:solidFill>
              <a:ln>
                <a:noFill/>
                <a:prstDash val="solid"/>
              </a:ln>
            </spPr>
          </dPt>
          <dPt>
            <idx val="77"/>
            <invertIfNegative val="0"/>
            <spPr>
              <a:solidFill>
                <a:srgbClr val="F4C3D6"/>
              </a:solidFill>
              <a:ln>
                <a:noFill/>
                <a:prstDash val="solid"/>
              </a:ln>
            </spPr>
          </dPt>
          <dPt>
            <idx val="78"/>
            <invertIfNegative val="0"/>
            <spPr>
              <a:solidFill>
                <a:srgbClr val="F4C3D6"/>
              </a:solidFill>
              <a:ln>
                <a:noFill/>
                <a:prstDash val="solid"/>
              </a:ln>
            </spPr>
          </dPt>
          <dPt>
            <idx val="79"/>
            <invertIfNegative val="0"/>
            <spPr>
              <a:solidFill>
                <a:srgbClr val="F4C3D6"/>
              </a:solidFill>
              <a:ln>
                <a:noFill/>
                <a:prstDash val="solid"/>
              </a:ln>
            </spPr>
          </dPt>
          <dPt>
            <idx val="80"/>
            <invertIfNegative val="0"/>
            <spPr>
              <a:solidFill>
                <a:srgbClr val="F4C3D6"/>
              </a:solidFill>
              <a:ln>
                <a:noFill/>
                <a:prstDash val="solid"/>
              </a:ln>
            </spPr>
          </dPt>
          <dPt>
            <idx val="81"/>
            <invertIfNegative val="0"/>
            <spPr>
              <a:solidFill>
                <a:srgbClr val="F4C3D6"/>
              </a:solidFill>
              <a:ln>
                <a:noFill/>
                <a:prstDash val="solid"/>
              </a:ln>
            </spPr>
          </dPt>
          <dPt>
            <idx val="82"/>
            <invertIfNegative val="0"/>
            <spPr>
              <a:solidFill>
                <a:srgbClr val="F4C3D6"/>
              </a:solidFill>
              <a:ln>
                <a:noFill/>
                <a:prstDash val="solid"/>
              </a:ln>
            </spPr>
          </dPt>
          <dPt>
            <idx val="83"/>
            <invertIfNegative val="0"/>
            <spPr>
              <a:solidFill>
                <a:srgbClr val="F4C3D6"/>
              </a:solidFill>
              <a:ln>
                <a:noFill/>
                <a:prstDash val="solid"/>
              </a:ln>
            </spPr>
          </dPt>
          <dPt>
            <idx val="84"/>
            <invertIfNegative val="0"/>
            <spPr>
              <a:solidFill>
                <a:srgbClr val="F4C3D6"/>
              </a:solidFill>
              <a:ln>
                <a:noFill/>
                <a:prstDash val="solid"/>
              </a:ln>
            </spPr>
          </dPt>
          <dPt>
            <idx val="85"/>
            <invertIfNegative val="0"/>
            <spPr>
              <a:solidFill>
                <a:srgbClr val="F4C3D6"/>
              </a:solidFill>
              <a:ln>
                <a:noFill/>
                <a:prstDash val="solid"/>
              </a:ln>
            </spPr>
          </dPt>
          <dPt>
            <idx val="86"/>
            <invertIfNegative val="0"/>
            <spPr>
              <a:solidFill>
                <a:srgbClr val="F4C3D6"/>
              </a:solidFill>
              <a:ln>
                <a:noFill/>
                <a:prstDash val="solid"/>
              </a:ln>
            </spPr>
          </dPt>
          <dPt>
            <idx val="87"/>
            <invertIfNegative val="0"/>
            <spPr>
              <a:solidFill>
                <a:srgbClr val="F4C3D6"/>
              </a:solidFill>
              <a:ln>
                <a:noFill/>
                <a:prstDash val="solid"/>
              </a:ln>
            </spPr>
          </dPt>
          <dPt>
            <idx val="88"/>
            <invertIfNegative val="0"/>
            <spPr>
              <a:solidFill>
                <a:srgbClr val="F4C3D6"/>
              </a:solidFill>
              <a:ln>
                <a:noFill/>
                <a:prstDash val="solid"/>
              </a:ln>
            </spPr>
          </dPt>
          <dPt>
            <idx val="89"/>
            <invertIfNegative val="0"/>
            <spPr>
              <a:solidFill>
                <a:srgbClr val="F4C3D6"/>
              </a:solidFill>
              <a:ln>
                <a:noFill/>
                <a:prstDash val="solid"/>
              </a:ln>
            </spPr>
          </dPt>
          <dPt>
            <idx val="90"/>
            <invertIfNegative val="0"/>
            <spPr>
              <a:solidFill>
                <a:srgbClr val="F4C3D6"/>
              </a:solidFill>
              <a:ln>
                <a:noFill/>
                <a:prstDash val="solid"/>
              </a:ln>
            </spPr>
          </dPt>
          <dPt>
            <idx val="91"/>
            <invertIfNegative val="0"/>
            <spPr>
              <a:solidFill>
                <a:srgbClr val="F4C3D6"/>
              </a:solidFill>
              <a:ln>
                <a:noFill/>
                <a:prstDash val="solid"/>
              </a:ln>
            </spPr>
          </dPt>
          <dPt>
            <idx val="92"/>
            <invertIfNegative val="0"/>
            <spPr>
              <a:solidFill>
                <a:srgbClr val="F4C3D6"/>
              </a:solidFill>
              <a:ln>
                <a:noFill/>
                <a:prstDash val="solid"/>
              </a:ln>
            </spPr>
          </dPt>
          <dPt>
            <idx val="93"/>
            <invertIfNegative val="0"/>
            <spPr>
              <a:solidFill>
                <a:srgbClr val="F4C3D6"/>
              </a:solidFill>
              <a:ln>
                <a:noFill/>
                <a:prstDash val="solid"/>
              </a:ln>
            </spPr>
          </dPt>
          <dPt>
            <idx val="94"/>
            <invertIfNegative val="0"/>
            <spPr>
              <a:solidFill>
                <a:srgbClr val="F4C3D6"/>
              </a:solidFill>
              <a:ln>
                <a:noFill/>
                <a:prstDash val="solid"/>
              </a:ln>
            </spPr>
          </dPt>
          <dPt>
            <idx val="95"/>
            <invertIfNegative val="0"/>
            <spPr>
              <a:solidFill>
                <a:srgbClr val="F4C3D6"/>
              </a:solidFill>
              <a:ln>
                <a:noFill/>
                <a:prstDash val="solid"/>
              </a:ln>
            </spPr>
          </dPt>
          <dPt>
            <idx val="96"/>
            <invertIfNegative val="0"/>
            <spPr>
              <a:solidFill>
                <a:srgbClr val="FAE4EC"/>
              </a:solidFill>
              <a:ln>
                <a:noFill/>
                <a:prstDash val="solid"/>
              </a:ln>
            </spPr>
          </dPt>
          <dPt>
            <idx val="97"/>
            <invertIfNegative val="0"/>
            <spPr>
              <a:solidFill>
                <a:srgbClr val="FAE4EC"/>
              </a:solidFill>
              <a:ln>
                <a:noFill/>
                <a:prstDash val="solid"/>
              </a:ln>
            </spPr>
          </dPt>
          <dPt>
            <idx val="98"/>
            <invertIfNegative val="0"/>
            <spPr>
              <a:solidFill>
                <a:srgbClr val="FAE4EC"/>
              </a:solidFill>
              <a:ln>
                <a:noFill/>
                <a:prstDash val="solid"/>
              </a:ln>
            </spPr>
          </dPt>
          <dPt>
            <idx val="99"/>
            <invertIfNegative val="0"/>
            <spPr>
              <a:solidFill>
                <a:srgbClr val="FAE4EC"/>
              </a:solidFill>
              <a:ln>
                <a:noFill/>
                <a:prstDash val="solid"/>
              </a:ln>
            </spPr>
          </dPt>
          <dPt>
            <idx val="100"/>
            <invertIfNegative val="0"/>
            <spPr>
              <a:solidFill>
                <a:srgbClr val="FAE4EC"/>
              </a:solidFill>
              <a:ln>
                <a:noFill/>
                <a:prstDash val="solid"/>
              </a:ln>
            </spPr>
          </dPt>
          <dPt>
            <idx val="101"/>
            <invertIfNegative val="0"/>
            <spPr>
              <a:solidFill>
                <a:srgbClr val="FAE4EC"/>
              </a:solidFill>
              <a:ln>
                <a:noFill/>
                <a:prstDash val="solid"/>
              </a:ln>
            </spPr>
          </dPt>
          <dPt>
            <idx val="102"/>
            <invertIfNegative val="0"/>
            <spPr>
              <a:solidFill>
                <a:srgbClr val="FAE4EC"/>
              </a:solidFill>
              <a:ln>
                <a:noFill/>
                <a:prstDash val="solid"/>
              </a:ln>
            </spPr>
          </dPt>
          <dPt>
            <idx val="103"/>
            <invertIfNegative val="0"/>
            <spPr>
              <a:solidFill>
                <a:srgbClr val="FAE4EC"/>
              </a:solidFill>
              <a:ln>
                <a:noFill/>
                <a:prstDash val="solid"/>
              </a:ln>
            </spPr>
          </dPt>
          <dPt>
            <idx val="104"/>
            <invertIfNegative val="0"/>
            <spPr>
              <a:solidFill>
                <a:srgbClr val="FAE4EC"/>
              </a:solidFill>
              <a:ln>
                <a:noFill/>
                <a:prstDash val="solid"/>
              </a:ln>
            </spPr>
          </dPt>
          <dPt>
            <idx val="105"/>
            <invertIfNegative val="0"/>
            <spPr>
              <a:solidFill>
                <a:srgbClr val="FAE4EC"/>
              </a:solidFill>
              <a:ln>
                <a:noFill/>
                <a:prstDash val="solid"/>
              </a:ln>
            </spPr>
          </dPt>
          <dPt>
            <idx val="106"/>
            <invertIfNegative val="0"/>
            <spPr>
              <a:solidFill>
                <a:srgbClr val="FAE4EC"/>
              </a:solidFill>
              <a:ln>
                <a:noFill/>
                <a:prstDash val="solid"/>
              </a:ln>
            </spPr>
          </dPt>
          <dPt>
            <idx val="107"/>
            <invertIfNegative val="0"/>
            <spPr>
              <a:solidFill>
                <a:srgbClr val="FAE4EC"/>
              </a:solidFill>
              <a:ln>
                <a:noFill/>
                <a:prstDash val="solid"/>
              </a:ln>
            </spPr>
          </dPt>
          <dPt>
            <idx val="108"/>
            <invertIfNegative val="0"/>
            <spPr>
              <a:solidFill>
                <a:srgbClr val="FAE4EC"/>
              </a:solidFill>
              <a:ln>
                <a:noFill/>
                <a:prstDash val="solid"/>
              </a:ln>
            </spPr>
          </dPt>
          <dPt>
            <idx val="109"/>
            <invertIfNegative val="0"/>
            <spPr>
              <a:solidFill>
                <a:srgbClr val="FAE4EC"/>
              </a:solidFill>
              <a:ln>
                <a:noFill/>
                <a:prstDash val="solid"/>
              </a:ln>
            </spPr>
          </dPt>
          <dPt>
            <idx val="110"/>
            <invertIfNegative val="0"/>
            <spPr>
              <a:solidFill>
                <a:srgbClr val="FAE4EC"/>
              </a:solidFill>
              <a:ln>
                <a:noFill/>
                <a:prstDash val="solid"/>
              </a:ln>
            </spPr>
          </dPt>
          <dPt>
            <idx val="111"/>
            <invertIfNegative val="0"/>
            <spPr>
              <a:solidFill>
                <a:srgbClr val="FAE4EC"/>
              </a:solidFill>
              <a:ln>
                <a:noFill/>
                <a:prstDash val="solid"/>
              </a:ln>
            </spPr>
          </dPt>
          <dPt>
            <idx val="112"/>
            <invertIfNegative val="0"/>
            <spPr>
              <a:solidFill>
                <a:srgbClr val="FAE4EC"/>
              </a:solidFill>
              <a:ln>
                <a:noFill/>
                <a:prstDash val="solid"/>
              </a:ln>
            </spPr>
          </dPt>
          <dPt>
            <idx val="113"/>
            <invertIfNegative val="0"/>
            <spPr>
              <a:solidFill>
                <a:srgbClr val="FAE4EC"/>
              </a:solidFill>
              <a:ln>
                <a:noFill/>
                <a:prstDash val="solid"/>
              </a:ln>
            </spPr>
          </dPt>
          <dPt>
            <idx val="114"/>
            <invertIfNegative val="0"/>
            <spPr>
              <a:solidFill>
                <a:srgbClr val="FAE4EC"/>
              </a:solidFill>
              <a:ln>
                <a:noFill/>
                <a:prstDash val="solid"/>
              </a:ln>
            </spPr>
          </dPt>
          <dPt>
            <idx val="115"/>
            <invertIfNegative val="0"/>
            <spPr>
              <a:solidFill>
                <a:srgbClr val="FAE4EC"/>
              </a:solidFill>
              <a:ln>
                <a:noFill/>
                <a:prstDash val="solid"/>
              </a:ln>
            </spPr>
          </dPt>
          <dPt>
            <idx val="116"/>
            <invertIfNegative val="0"/>
            <spPr>
              <a:solidFill>
                <a:srgbClr val="FAE4EC"/>
              </a:solidFill>
              <a:ln>
                <a:noFill/>
                <a:prstDash val="solid"/>
              </a:ln>
            </spPr>
          </dPt>
          <dPt>
            <idx val="117"/>
            <invertIfNegative val="0"/>
            <spPr>
              <a:solidFill>
                <a:srgbClr val="FAE4EC"/>
              </a:solidFill>
              <a:ln>
                <a:noFill/>
                <a:prstDash val="solid"/>
              </a:ln>
            </spPr>
          </dPt>
          <dPt>
            <idx val="118"/>
            <invertIfNegative val="0"/>
            <spPr>
              <a:solidFill>
                <a:srgbClr val="FAE4EC"/>
              </a:solidFill>
              <a:ln>
                <a:noFill/>
                <a:prstDash val="solid"/>
              </a:ln>
            </spPr>
          </dPt>
          <dPt>
            <idx val="119"/>
            <invertIfNegative val="0"/>
            <spPr>
              <a:solidFill>
                <a:srgbClr val="FAE4EC"/>
              </a:solidFill>
              <a:ln>
                <a:noFill/>
                <a:prstDash val="solid"/>
              </a:ln>
            </spPr>
          </dPt>
          <dPt>
            <idx val="120"/>
            <invertIfNegative val="0"/>
            <spPr>
              <a:solidFill>
                <a:srgbClr val="FAE4EC"/>
              </a:solidFill>
              <a:ln>
                <a:noFill/>
                <a:prstDash val="solid"/>
              </a:ln>
            </spPr>
          </dPt>
          <dPt>
            <idx val="121"/>
            <invertIfNegative val="0"/>
            <spPr>
              <a:solidFill>
                <a:srgbClr val="FAE4EC"/>
              </a:solidFill>
              <a:ln>
                <a:noFill/>
                <a:prstDash val="solid"/>
              </a:ln>
            </spPr>
          </dPt>
          <dPt>
            <idx val="122"/>
            <invertIfNegative val="0"/>
            <spPr>
              <a:solidFill>
                <a:srgbClr val="FAE4EC"/>
              </a:solidFill>
              <a:ln>
                <a:noFill/>
                <a:prstDash val="solid"/>
              </a:ln>
            </spPr>
          </dPt>
          <dPt>
            <idx val="123"/>
            <invertIfNegative val="0"/>
            <spPr>
              <a:solidFill>
                <a:srgbClr val="FAE4EC"/>
              </a:solidFill>
              <a:ln>
                <a:noFill/>
                <a:prstDash val="solid"/>
              </a:ln>
            </spPr>
          </dPt>
          <dPt>
            <idx val="124"/>
            <invertIfNegative val="0"/>
            <spPr>
              <a:solidFill>
                <a:srgbClr val="FAE4EC"/>
              </a:solidFill>
              <a:ln>
                <a:noFill/>
                <a:prstDash val="solid"/>
              </a:ln>
            </spPr>
          </dPt>
          <dPt>
            <idx val="125"/>
            <invertIfNegative val="0"/>
            <spPr>
              <a:solidFill>
                <a:srgbClr val="FAE4EC"/>
              </a:solidFill>
              <a:ln>
                <a:noFill/>
                <a:prstDash val="solid"/>
              </a:ln>
            </spPr>
          </dPt>
          <dPt>
            <idx val="126"/>
            <invertIfNegative val="0"/>
            <spPr>
              <a:solidFill>
                <a:srgbClr val="FAE4EC"/>
              </a:solidFill>
              <a:ln>
                <a:noFill/>
                <a:prstDash val="solid"/>
              </a:ln>
            </spPr>
          </dPt>
          <dPt>
            <idx val="127"/>
            <invertIfNegative val="0"/>
            <spPr>
              <a:solidFill>
                <a:srgbClr val="FAE4EC"/>
              </a:solidFill>
              <a:ln>
                <a:noFill/>
                <a:prstDash val="solid"/>
              </a:ln>
            </spPr>
          </dPt>
          <dPt>
            <idx val="128"/>
            <invertIfNegative val="0"/>
            <spPr>
              <a:solidFill>
                <a:srgbClr val="FAE4EC"/>
              </a:solidFill>
              <a:ln>
                <a:noFill/>
                <a:prstDash val="solid"/>
              </a:ln>
            </spPr>
          </dPt>
          <dPt>
            <idx val="129"/>
            <invertIfNegative val="0"/>
            <spPr>
              <a:solidFill>
                <a:srgbClr val="FAE4EC"/>
              </a:solidFill>
              <a:ln>
                <a:noFill/>
                <a:prstDash val="solid"/>
              </a:ln>
            </spPr>
          </dPt>
          <dPt>
            <idx val="130"/>
            <invertIfNegative val="0"/>
            <spPr>
              <a:solidFill>
                <a:srgbClr val="FAE4EC"/>
              </a:solidFill>
              <a:ln>
                <a:noFill/>
                <a:prstDash val="solid"/>
              </a:ln>
            </spPr>
          </dPt>
          <dPt>
            <idx val="131"/>
            <invertIfNegative val="0"/>
            <spPr>
              <a:solidFill>
                <a:srgbClr val="FAE4EC"/>
              </a:solidFill>
              <a:ln>
                <a:noFill/>
                <a:prstDash val="solid"/>
              </a:ln>
            </spPr>
          </dPt>
          <dPt>
            <idx val="132"/>
            <invertIfNegative val="0"/>
            <spPr>
              <a:solidFill>
                <a:srgbClr val="FAE4EC"/>
              </a:solidFill>
              <a:ln>
                <a:noFill/>
                <a:prstDash val="solid"/>
              </a:ln>
            </spPr>
          </dPt>
          <dPt>
            <idx val="133"/>
            <invertIfNegative val="0"/>
            <spPr>
              <a:solidFill>
                <a:srgbClr val="FAE4EC"/>
              </a:solidFill>
              <a:ln>
                <a:noFill/>
                <a:prstDash val="solid"/>
              </a:ln>
            </spPr>
          </dPt>
          <dPt>
            <idx val="134"/>
            <invertIfNegative val="0"/>
            <spPr>
              <a:solidFill>
                <a:srgbClr val="FAE4EC"/>
              </a:solidFill>
              <a:ln>
                <a:noFill/>
                <a:prstDash val="solid"/>
              </a:ln>
            </spPr>
          </dPt>
          <dPt>
            <idx val="135"/>
            <invertIfNegative val="0"/>
            <spPr>
              <a:solidFill>
                <a:srgbClr val="FAE4EC"/>
              </a:solidFill>
              <a:ln>
                <a:noFill/>
                <a:prstDash val="solid"/>
              </a:ln>
            </spPr>
          </dPt>
          <dPt>
            <idx val="136"/>
            <invertIfNegative val="0"/>
            <spPr>
              <a:solidFill>
                <a:srgbClr val="FAE4EC"/>
              </a:solidFill>
              <a:ln>
                <a:noFill/>
                <a:prstDash val="solid"/>
              </a:ln>
            </spPr>
          </dPt>
          <dPt>
            <idx val="137"/>
            <invertIfNegative val="0"/>
            <spPr>
              <a:solidFill>
                <a:srgbClr val="FAE4EC"/>
              </a:solidFill>
              <a:ln>
                <a:noFill/>
                <a:prstDash val="solid"/>
              </a:ln>
            </spPr>
          </dPt>
          <dPt>
            <idx val="138"/>
            <invertIfNegative val="0"/>
            <spPr>
              <a:solidFill>
                <a:srgbClr val="FAE4EC"/>
              </a:solidFill>
              <a:ln>
                <a:noFill/>
                <a:prstDash val="solid"/>
              </a:ln>
            </spPr>
          </dPt>
          <dPt>
            <idx val="139"/>
            <invertIfNegative val="0"/>
            <spPr>
              <a:solidFill>
                <a:srgbClr val="FAE4EC"/>
              </a:solidFill>
              <a:ln>
                <a:noFill/>
                <a:prstDash val="solid"/>
              </a:ln>
            </spPr>
          </dPt>
          <dPt>
            <idx val="140"/>
            <invertIfNegative val="0"/>
            <spPr>
              <a:solidFill>
                <a:srgbClr val="FAE4EC"/>
              </a:solidFill>
              <a:ln>
                <a:noFill/>
                <a:prstDash val="solid"/>
              </a:ln>
            </spPr>
          </dPt>
          <dPt>
            <idx val="141"/>
            <invertIfNegative val="0"/>
            <spPr>
              <a:solidFill>
                <a:srgbClr val="FAE4EC"/>
              </a:solidFill>
              <a:ln>
                <a:noFill/>
                <a:prstDash val="solid"/>
              </a:ln>
            </spPr>
          </dPt>
          <dPt>
            <idx val="142"/>
            <invertIfNegative val="0"/>
            <spPr>
              <a:solidFill>
                <a:srgbClr val="FAE4EC"/>
              </a:solidFill>
              <a:ln>
                <a:noFill/>
                <a:prstDash val="solid"/>
              </a:ln>
            </spPr>
          </dPt>
          <dPt>
            <idx val="143"/>
            <invertIfNegative val="0"/>
            <spPr>
              <a:solidFill>
                <a:srgbClr val="FAE4EC"/>
              </a:solidFill>
              <a:ln>
                <a:noFill/>
                <a:prstDash val="solid"/>
              </a:ln>
            </spPr>
          </dPt>
          <dPt>
            <idx val="144"/>
            <invertIfNegative val="0"/>
            <spPr>
              <a:solidFill>
                <a:srgbClr val="FAE4EC"/>
              </a:solidFill>
              <a:ln>
                <a:noFill/>
                <a:prstDash val="solid"/>
              </a:ln>
            </spPr>
          </dPt>
          <dPt>
            <idx val="145"/>
            <invertIfNegative val="0"/>
            <spPr>
              <a:solidFill>
                <a:srgbClr val="FAE4EC"/>
              </a:solidFill>
              <a:ln>
                <a:noFill/>
                <a:prstDash val="solid"/>
              </a:ln>
            </spPr>
          </dPt>
          <dPt>
            <idx val="146"/>
            <invertIfNegative val="0"/>
            <spPr>
              <a:solidFill>
                <a:srgbClr val="FAE4EC"/>
              </a:solidFill>
              <a:ln>
                <a:noFill/>
                <a:prstDash val="solid"/>
              </a:ln>
            </spPr>
          </dPt>
          <dPt>
            <idx val="147"/>
            <invertIfNegative val="0"/>
            <spPr>
              <a:solidFill>
                <a:srgbClr val="FAE4EC"/>
              </a:solidFill>
              <a:ln>
                <a:noFill/>
                <a:prstDash val="solid"/>
              </a:ln>
            </spPr>
          </dPt>
          <dPt>
            <idx val="148"/>
            <invertIfNegative val="0"/>
            <spPr>
              <a:solidFill>
                <a:srgbClr val="FAE4EC"/>
              </a:solidFill>
              <a:ln>
                <a:noFill/>
                <a:prstDash val="solid"/>
              </a:ln>
            </spPr>
          </dPt>
          <dPt>
            <idx val="149"/>
            <invertIfNegative val="0"/>
            <spPr>
              <a:solidFill>
                <a:srgbClr val="FAE4EC"/>
              </a:solidFill>
              <a:ln>
                <a:noFill/>
                <a:prstDash val="solid"/>
              </a:ln>
            </spPr>
          </dPt>
          <dPt>
            <idx val="150"/>
            <invertIfNegative val="0"/>
            <spPr>
              <a:solidFill>
                <a:srgbClr val="FAE4EC"/>
              </a:solidFill>
              <a:ln>
                <a:noFill/>
                <a:prstDash val="solid"/>
              </a:ln>
            </spPr>
          </dPt>
          <dPt>
            <idx val="151"/>
            <invertIfNegative val="0"/>
            <spPr>
              <a:solidFill>
                <a:srgbClr val="FAE4EC"/>
              </a:solidFill>
              <a:ln>
                <a:noFill/>
                <a:prstDash val="solid"/>
              </a:ln>
            </spPr>
          </dPt>
          <dPt>
            <idx val="152"/>
            <invertIfNegative val="0"/>
            <spPr>
              <a:solidFill>
                <a:srgbClr val="FAE4EC"/>
              </a:solidFill>
              <a:ln>
                <a:noFill/>
                <a:prstDash val="solid"/>
              </a:ln>
            </spPr>
          </dPt>
          <dPt>
            <idx val="153"/>
            <invertIfNegative val="0"/>
            <spPr>
              <a:solidFill>
                <a:srgbClr val="FAE4EC"/>
              </a:solidFill>
              <a:ln>
                <a:noFill/>
                <a:prstDash val="solid"/>
              </a:ln>
            </spPr>
          </dPt>
          <dPt>
            <idx val="154"/>
            <invertIfNegative val="0"/>
            <spPr>
              <a:solidFill>
                <a:srgbClr val="FAE4EC"/>
              </a:solidFill>
              <a:ln>
                <a:noFill/>
                <a:prstDash val="solid"/>
              </a:ln>
            </spPr>
          </dPt>
          <dPt>
            <idx val="155"/>
            <invertIfNegative val="0"/>
            <spPr>
              <a:solidFill>
                <a:srgbClr val="FAE4EC"/>
              </a:solidFill>
              <a:ln>
                <a:noFill/>
                <a:prstDash val="solid"/>
              </a:ln>
            </spPr>
          </dPt>
          <cat>
            <numRef>
              <f>'Chart'!$A$2:$A$157</f>
            </numRef>
          </cat>
          <val>
            <numRef>
              <f>'Chart'!$F$2:$F$157</f>
            </numRef>
          </val>
        </ser>
        <ser>
          <idx val="5"/>
          <order val="5"/>
          <tx>
            <strRef>
              <f>'Chart'!G1</f>
            </strRef>
          </tx>
          <spPr>
            <a:solidFill>
              <a:srgbClr val="008300"/>
            </a:solidFill>
            <a:ln>
              <a:noFill/>
              <a:prstDash val="solid"/>
            </a:ln>
          </spPr>
          <dPt>
            <idx val="67"/>
            <invertIfNegative val="0"/>
            <spPr>
              <a:solidFill>
                <a:srgbClr val="8CC78C"/>
              </a:solidFill>
              <a:ln>
                <a:noFill/>
                <a:prstDash val="solid"/>
              </a:ln>
            </spPr>
          </dPt>
          <dPt>
            <idx val="68"/>
            <invertIfNegative val="0"/>
            <spPr>
              <a:solidFill>
                <a:srgbClr val="8CC78C"/>
              </a:solidFill>
              <a:ln>
                <a:noFill/>
                <a:prstDash val="solid"/>
              </a:ln>
            </spPr>
          </dPt>
          <dPt>
            <idx val="69"/>
            <invertIfNegative val="0"/>
            <spPr>
              <a:solidFill>
                <a:srgbClr val="8CC78C"/>
              </a:solidFill>
              <a:ln>
                <a:noFill/>
                <a:prstDash val="solid"/>
              </a:ln>
            </spPr>
          </dPt>
          <dPt>
            <idx val="70"/>
            <invertIfNegative val="0"/>
            <spPr>
              <a:solidFill>
                <a:srgbClr val="8CC78C"/>
              </a:solidFill>
              <a:ln>
                <a:noFill/>
                <a:prstDash val="solid"/>
              </a:ln>
            </spPr>
          </dPt>
          <dPt>
            <idx val="71"/>
            <invertIfNegative val="0"/>
            <spPr>
              <a:solidFill>
                <a:srgbClr val="8CC78C"/>
              </a:solidFill>
              <a:ln>
                <a:noFill/>
                <a:prstDash val="solid"/>
              </a:ln>
            </spPr>
          </dPt>
          <dPt>
            <idx val="72"/>
            <invertIfNegative val="0"/>
            <spPr>
              <a:solidFill>
                <a:srgbClr val="8CC78C"/>
              </a:solidFill>
              <a:ln>
                <a:noFill/>
                <a:prstDash val="solid"/>
              </a:ln>
            </spPr>
          </dPt>
          <dPt>
            <idx val="73"/>
            <invertIfNegative val="0"/>
            <spPr>
              <a:solidFill>
                <a:srgbClr val="8CC78C"/>
              </a:solidFill>
              <a:ln>
                <a:noFill/>
                <a:prstDash val="solid"/>
              </a:ln>
            </spPr>
          </dPt>
          <dPt>
            <idx val="74"/>
            <invertIfNegative val="0"/>
            <spPr>
              <a:solidFill>
                <a:srgbClr val="8CC78C"/>
              </a:solidFill>
              <a:ln>
                <a:noFill/>
                <a:prstDash val="solid"/>
              </a:ln>
            </spPr>
          </dPt>
          <dPt>
            <idx val="75"/>
            <invertIfNegative val="0"/>
            <spPr>
              <a:solidFill>
                <a:srgbClr val="8CC78C"/>
              </a:solidFill>
              <a:ln>
                <a:noFill/>
                <a:prstDash val="solid"/>
              </a:ln>
            </spPr>
          </dPt>
          <dPt>
            <idx val="76"/>
            <invertIfNegative val="0"/>
            <spPr>
              <a:solidFill>
                <a:srgbClr val="8CC78C"/>
              </a:solidFill>
              <a:ln>
                <a:noFill/>
                <a:prstDash val="solid"/>
              </a:ln>
            </spPr>
          </dPt>
          <dPt>
            <idx val="77"/>
            <invertIfNegative val="0"/>
            <spPr>
              <a:solidFill>
                <a:srgbClr val="8CC78C"/>
              </a:solidFill>
              <a:ln>
                <a:noFill/>
                <a:prstDash val="solid"/>
              </a:ln>
            </spPr>
          </dPt>
          <dPt>
            <idx val="78"/>
            <invertIfNegative val="0"/>
            <spPr>
              <a:solidFill>
                <a:srgbClr val="8CC78C"/>
              </a:solidFill>
              <a:ln>
                <a:noFill/>
                <a:prstDash val="solid"/>
              </a:ln>
            </spPr>
          </dPt>
          <dPt>
            <idx val="79"/>
            <invertIfNegative val="0"/>
            <spPr>
              <a:solidFill>
                <a:srgbClr val="8CC78C"/>
              </a:solidFill>
              <a:ln>
                <a:noFill/>
                <a:prstDash val="solid"/>
              </a:ln>
            </spPr>
          </dPt>
          <dPt>
            <idx val="80"/>
            <invertIfNegative val="0"/>
            <spPr>
              <a:solidFill>
                <a:srgbClr val="8CC78C"/>
              </a:solidFill>
              <a:ln>
                <a:noFill/>
                <a:prstDash val="solid"/>
              </a:ln>
            </spPr>
          </dPt>
          <dPt>
            <idx val="81"/>
            <invertIfNegative val="0"/>
            <spPr>
              <a:solidFill>
                <a:srgbClr val="8CC78C"/>
              </a:solidFill>
              <a:ln>
                <a:noFill/>
                <a:prstDash val="solid"/>
              </a:ln>
            </spPr>
          </dPt>
          <dPt>
            <idx val="82"/>
            <invertIfNegative val="0"/>
            <spPr>
              <a:solidFill>
                <a:srgbClr val="8CC78C"/>
              </a:solidFill>
              <a:ln>
                <a:noFill/>
                <a:prstDash val="solid"/>
              </a:ln>
            </spPr>
          </dPt>
          <dPt>
            <idx val="83"/>
            <invertIfNegative val="0"/>
            <spPr>
              <a:solidFill>
                <a:srgbClr val="8CC78C"/>
              </a:solidFill>
              <a:ln>
                <a:noFill/>
                <a:prstDash val="solid"/>
              </a:ln>
            </spPr>
          </dPt>
          <dPt>
            <idx val="84"/>
            <invertIfNegative val="0"/>
            <spPr>
              <a:solidFill>
                <a:srgbClr val="8CC78C"/>
              </a:solidFill>
              <a:ln>
                <a:noFill/>
                <a:prstDash val="solid"/>
              </a:ln>
            </spPr>
          </dPt>
          <dPt>
            <idx val="85"/>
            <invertIfNegative val="0"/>
            <spPr>
              <a:solidFill>
                <a:srgbClr val="8CC78C"/>
              </a:solidFill>
              <a:ln>
                <a:noFill/>
                <a:prstDash val="solid"/>
              </a:ln>
            </spPr>
          </dPt>
          <dPt>
            <idx val="86"/>
            <invertIfNegative val="0"/>
            <spPr>
              <a:solidFill>
                <a:srgbClr val="8CC78C"/>
              </a:solidFill>
              <a:ln>
                <a:noFill/>
                <a:prstDash val="solid"/>
              </a:ln>
            </spPr>
          </dPt>
          <dPt>
            <idx val="87"/>
            <invertIfNegative val="0"/>
            <spPr>
              <a:solidFill>
                <a:srgbClr val="8CC78C"/>
              </a:solidFill>
              <a:ln>
                <a:noFill/>
                <a:prstDash val="solid"/>
              </a:ln>
            </spPr>
          </dPt>
          <dPt>
            <idx val="88"/>
            <invertIfNegative val="0"/>
            <spPr>
              <a:solidFill>
                <a:srgbClr val="8CC78C"/>
              </a:solidFill>
              <a:ln>
                <a:noFill/>
                <a:prstDash val="solid"/>
              </a:ln>
            </spPr>
          </dPt>
          <dPt>
            <idx val="89"/>
            <invertIfNegative val="0"/>
            <spPr>
              <a:solidFill>
                <a:srgbClr val="8CC78C"/>
              </a:solidFill>
              <a:ln>
                <a:noFill/>
                <a:prstDash val="solid"/>
              </a:ln>
            </spPr>
          </dPt>
          <dPt>
            <idx val="90"/>
            <invertIfNegative val="0"/>
            <spPr>
              <a:solidFill>
                <a:srgbClr val="8CC78C"/>
              </a:solidFill>
              <a:ln>
                <a:noFill/>
                <a:prstDash val="solid"/>
              </a:ln>
            </spPr>
          </dPt>
          <dPt>
            <idx val="91"/>
            <invertIfNegative val="0"/>
            <spPr>
              <a:solidFill>
                <a:srgbClr val="8CC78C"/>
              </a:solidFill>
              <a:ln>
                <a:noFill/>
                <a:prstDash val="solid"/>
              </a:ln>
            </spPr>
          </dPt>
          <dPt>
            <idx val="92"/>
            <invertIfNegative val="0"/>
            <spPr>
              <a:solidFill>
                <a:srgbClr val="8CC78C"/>
              </a:solidFill>
              <a:ln>
                <a:noFill/>
                <a:prstDash val="solid"/>
              </a:ln>
            </spPr>
          </dPt>
          <dPt>
            <idx val="93"/>
            <invertIfNegative val="0"/>
            <spPr>
              <a:solidFill>
                <a:srgbClr val="8CC78C"/>
              </a:solidFill>
              <a:ln>
                <a:noFill/>
                <a:prstDash val="solid"/>
              </a:ln>
            </spPr>
          </dPt>
          <dPt>
            <idx val="94"/>
            <invertIfNegative val="0"/>
            <spPr>
              <a:solidFill>
                <a:srgbClr val="8CC78C"/>
              </a:solidFill>
              <a:ln>
                <a:noFill/>
                <a:prstDash val="solid"/>
              </a:ln>
            </spPr>
          </dPt>
          <dPt>
            <idx val="95"/>
            <invertIfNegative val="0"/>
            <spPr>
              <a:solidFill>
                <a:srgbClr val="8CC78C"/>
              </a:solidFill>
              <a:ln>
                <a:noFill/>
                <a:prstDash val="solid"/>
              </a:ln>
            </spPr>
          </dPt>
          <dPt>
            <idx val="96"/>
            <invertIfNegative val="0"/>
            <spPr>
              <a:solidFill>
                <a:srgbClr val="CCE6CC"/>
              </a:solidFill>
              <a:ln>
                <a:noFill/>
                <a:prstDash val="solid"/>
              </a:ln>
            </spPr>
          </dPt>
          <dPt>
            <idx val="97"/>
            <invertIfNegative val="0"/>
            <spPr>
              <a:solidFill>
                <a:srgbClr val="CCE6CC"/>
              </a:solidFill>
              <a:ln>
                <a:noFill/>
                <a:prstDash val="solid"/>
              </a:ln>
            </spPr>
          </dPt>
          <dPt>
            <idx val="98"/>
            <invertIfNegative val="0"/>
            <spPr>
              <a:solidFill>
                <a:srgbClr val="CCE6CC"/>
              </a:solidFill>
              <a:ln>
                <a:noFill/>
                <a:prstDash val="solid"/>
              </a:ln>
            </spPr>
          </dPt>
          <dPt>
            <idx val="99"/>
            <invertIfNegative val="0"/>
            <spPr>
              <a:solidFill>
                <a:srgbClr val="CCE6CC"/>
              </a:solidFill>
              <a:ln>
                <a:noFill/>
                <a:prstDash val="solid"/>
              </a:ln>
            </spPr>
          </dPt>
          <dPt>
            <idx val="100"/>
            <invertIfNegative val="0"/>
            <spPr>
              <a:solidFill>
                <a:srgbClr val="CCE6CC"/>
              </a:solidFill>
              <a:ln>
                <a:noFill/>
                <a:prstDash val="solid"/>
              </a:ln>
            </spPr>
          </dPt>
          <dPt>
            <idx val="101"/>
            <invertIfNegative val="0"/>
            <spPr>
              <a:solidFill>
                <a:srgbClr val="CCE6CC"/>
              </a:solidFill>
              <a:ln>
                <a:noFill/>
                <a:prstDash val="solid"/>
              </a:ln>
            </spPr>
          </dPt>
          <dPt>
            <idx val="102"/>
            <invertIfNegative val="0"/>
            <spPr>
              <a:solidFill>
                <a:srgbClr val="CCE6CC"/>
              </a:solidFill>
              <a:ln>
                <a:noFill/>
                <a:prstDash val="solid"/>
              </a:ln>
            </spPr>
          </dPt>
          <dPt>
            <idx val="103"/>
            <invertIfNegative val="0"/>
            <spPr>
              <a:solidFill>
                <a:srgbClr val="CCE6CC"/>
              </a:solidFill>
              <a:ln>
                <a:noFill/>
                <a:prstDash val="solid"/>
              </a:ln>
            </spPr>
          </dPt>
          <dPt>
            <idx val="104"/>
            <invertIfNegative val="0"/>
            <spPr>
              <a:solidFill>
                <a:srgbClr val="CCE6CC"/>
              </a:solidFill>
              <a:ln>
                <a:noFill/>
                <a:prstDash val="solid"/>
              </a:ln>
            </spPr>
          </dPt>
          <dPt>
            <idx val="105"/>
            <invertIfNegative val="0"/>
            <spPr>
              <a:solidFill>
                <a:srgbClr val="CCE6CC"/>
              </a:solidFill>
              <a:ln>
                <a:noFill/>
                <a:prstDash val="solid"/>
              </a:ln>
            </spPr>
          </dPt>
          <dPt>
            <idx val="106"/>
            <invertIfNegative val="0"/>
            <spPr>
              <a:solidFill>
                <a:srgbClr val="CCE6CC"/>
              </a:solidFill>
              <a:ln>
                <a:noFill/>
                <a:prstDash val="solid"/>
              </a:ln>
            </spPr>
          </dPt>
          <dPt>
            <idx val="107"/>
            <invertIfNegative val="0"/>
            <spPr>
              <a:solidFill>
                <a:srgbClr val="CCE6CC"/>
              </a:solidFill>
              <a:ln>
                <a:noFill/>
                <a:prstDash val="solid"/>
              </a:ln>
            </spPr>
          </dPt>
          <dPt>
            <idx val="108"/>
            <invertIfNegative val="0"/>
            <spPr>
              <a:solidFill>
                <a:srgbClr val="CCE6CC"/>
              </a:solidFill>
              <a:ln>
                <a:noFill/>
                <a:prstDash val="solid"/>
              </a:ln>
            </spPr>
          </dPt>
          <dPt>
            <idx val="109"/>
            <invertIfNegative val="0"/>
            <spPr>
              <a:solidFill>
                <a:srgbClr val="CCE6CC"/>
              </a:solidFill>
              <a:ln>
                <a:noFill/>
                <a:prstDash val="solid"/>
              </a:ln>
            </spPr>
          </dPt>
          <dPt>
            <idx val="110"/>
            <invertIfNegative val="0"/>
            <spPr>
              <a:solidFill>
                <a:srgbClr val="CCE6CC"/>
              </a:solidFill>
              <a:ln>
                <a:noFill/>
                <a:prstDash val="solid"/>
              </a:ln>
            </spPr>
          </dPt>
          <dPt>
            <idx val="111"/>
            <invertIfNegative val="0"/>
            <spPr>
              <a:solidFill>
                <a:srgbClr val="CCE6CC"/>
              </a:solidFill>
              <a:ln>
                <a:noFill/>
                <a:prstDash val="solid"/>
              </a:ln>
            </spPr>
          </dPt>
          <dPt>
            <idx val="112"/>
            <invertIfNegative val="0"/>
            <spPr>
              <a:solidFill>
                <a:srgbClr val="CCE6CC"/>
              </a:solidFill>
              <a:ln>
                <a:noFill/>
                <a:prstDash val="solid"/>
              </a:ln>
            </spPr>
          </dPt>
          <dPt>
            <idx val="113"/>
            <invertIfNegative val="0"/>
            <spPr>
              <a:solidFill>
                <a:srgbClr val="CCE6CC"/>
              </a:solidFill>
              <a:ln>
                <a:noFill/>
                <a:prstDash val="solid"/>
              </a:ln>
            </spPr>
          </dPt>
          <dPt>
            <idx val="114"/>
            <invertIfNegative val="0"/>
            <spPr>
              <a:solidFill>
                <a:srgbClr val="CCE6CC"/>
              </a:solidFill>
              <a:ln>
                <a:noFill/>
                <a:prstDash val="solid"/>
              </a:ln>
            </spPr>
          </dPt>
          <dPt>
            <idx val="115"/>
            <invertIfNegative val="0"/>
            <spPr>
              <a:solidFill>
                <a:srgbClr val="CCE6CC"/>
              </a:solidFill>
              <a:ln>
                <a:noFill/>
                <a:prstDash val="solid"/>
              </a:ln>
            </spPr>
          </dPt>
          <dPt>
            <idx val="116"/>
            <invertIfNegative val="0"/>
            <spPr>
              <a:solidFill>
                <a:srgbClr val="CCE6CC"/>
              </a:solidFill>
              <a:ln>
                <a:noFill/>
                <a:prstDash val="solid"/>
              </a:ln>
            </spPr>
          </dPt>
          <dPt>
            <idx val="117"/>
            <invertIfNegative val="0"/>
            <spPr>
              <a:solidFill>
                <a:srgbClr val="CCE6CC"/>
              </a:solidFill>
              <a:ln>
                <a:noFill/>
                <a:prstDash val="solid"/>
              </a:ln>
            </spPr>
          </dPt>
          <dPt>
            <idx val="118"/>
            <invertIfNegative val="0"/>
            <spPr>
              <a:solidFill>
                <a:srgbClr val="CCE6CC"/>
              </a:solidFill>
              <a:ln>
                <a:noFill/>
                <a:prstDash val="solid"/>
              </a:ln>
            </spPr>
          </dPt>
          <dPt>
            <idx val="119"/>
            <invertIfNegative val="0"/>
            <spPr>
              <a:solidFill>
                <a:srgbClr val="CCE6CC"/>
              </a:solidFill>
              <a:ln>
                <a:noFill/>
                <a:prstDash val="solid"/>
              </a:ln>
            </spPr>
          </dPt>
          <dPt>
            <idx val="120"/>
            <invertIfNegative val="0"/>
            <spPr>
              <a:solidFill>
                <a:srgbClr val="CCE6CC"/>
              </a:solidFill>
              <a:ln>
                <a:noFill/>
                <a:prstDash val="solid"/>
              </a:ln>
            </spPr>
          </dPt>
          <dPt>
            <idx val="121"/>
            <invertIfNegative val="0"/>
            <spPr>
              <a:solidFill>
                <a:srgbClr val="CCE6CC"/>
              </a:solidFill>
              <a:ln>
                <a:noFill/>
                <a:prstDash val="solid"/>
              </a:ln>
            </spPr>
          </dPt>
          <dPt>
            <idx val="122"/>
            <invertIfNegative val="0"/>
            <spPr>
              <a:solidFill>
                <a:srgbClr val="CCE6CC"/>
              </a:solidFill>
              <a:ln>
                <a:noFill/>
                <a:prstDash val="solid"/>
              </a:ln>
            </spPr>
          </dPt>
          <dPt>
            <idx val="123"/>
            <invertIfNegative val="0"/>
            <spPr>
              <a:solidFill>
                <a:srgbClr val="CCE6CC"/>
              </a:solidFill>
              <a:ln>
                <a:noFill/>
                <a:prstDash val="solid"/>
              </a:ln>
            </spPr>
          </dPt>
          <dPt>
            <idx val="124"/>
            <invertIfNegative val="0"/>
            <spPr>
              <a:solidFill>
                <a:srgbClr val="CCE6CC"/>
              </a:solidFill>
              <a:ln>
                <a:noFill/>
                <a:prstDash val="solid"/>
              </a:ln>
            </spPr>
          </dPt>
          <dPt>
            <idx val="125"/>
            <invertIfNegative val="0"/>
            <spPr>
              <a:solidFill>
                <a:srgbClr val="CCE6CC"/>
              </a:solidFill>
              <a:ln>
                <a:noFill/>
                <a:prstDash val="solid"/>
              </a:ln>
            </spPr>
          </dPt>
          <dPt>
            <idx val="126"/>
            <invertIfNegative val="0"/>
            <spPr>
              <a:solidFill>
                <a:srgbClr val="CCE6CC"/>
              </a:solidFill>
              <a:ln>
                <a:noFill/>
                <a:prstDash val="solid"/>
              </a:ln>
            </spPr>
          </dPt>
          <dPt>
            <idx val="127"/>
            <invertIfNegative val="0"/>
            <spPr>
              <a:solidFill>
                <a:srgbClr val="CCE6CC"/>
              </a:solidFill>
              <a:ln>
                <a:noFill/>
                <a:prstDash val="solid"/>
              </a:ln>
            </spPr>
          </dPt>
          <dPt>
            <idx val="128"/>
            <invertIfNegative val="0"/>
            <spPr>
              <a:solidFill>
                <a:srgbClr val="CCE6CC"/>
              </a:solidFill>
              <a:ln>
                <a:noFill/>
                <a:prstDash val="solid"/>
              </a:ln>
            </spPr>
          </dPt>
          <dPt>
            <idx val="129"/>
            <invertIfNegative val="0"/>
            <spPr>
              <a:solidFill>
                <a:srgbClr val="CCE6CC"/>
              </a:solidFill>
              <a:ln>
                <a:noFill/>
                <a:prstDash val="solid"/>
              </a:ln>
            </spPr>
          </dPt>
          <dPt>
            <idx val="130"/>
            <invertIfNegative val="0"/>
            <spPr>
              <a:solidFill>
                <a:srgbClr val="CCE6CC"/>
              </a:solidFill>
              <a:ln>
                <a:noFill/>
                <a:prstDash val="solid"/>
              </a:ln>
            </spPr>
          </dPt>
          <dPt>
            <idx val="131"/>
            <invertIfNegative val="0"/>
            <spPr>
              <a:solidFill>
                <a:srgbClr val="CCE6CC"/>
              </a:solidFill>
              <a:ln>
                <a:noFill/>
                <a:prstDash val="solid"/>
              </a:ln>
            </spPr>
          </dPt>
          <dPt>
            <idx val="132"/>
            <invertIfNegative val="0"/>
            <spPr>
              <a:solidFill>
                <a:srgbClr val="CCE6CC"/>
              </a:solidFill>
              <a:ln>
                <a:noFill/>
                <a:prstDash val="solid"/>
              </a:ln>
            </spPr>
          </dPt>
          <dPt>
            <idx val="133"/>
            <invertIfNegative val="0"/>
            <spPr>
              <a:solidFill>
                <a:srgbClr val="CCE6CC"/>
              </a:solidFill>
              <a:ln>
                <a:noFill/>
                <a:prstDash val="solid"/>
              </a:ln>
            </spPr>
          </dPt>
          <dPt>
            <idx val="134"/>
            <invertIfNegative val="0"/>
            <spPr>
              <a:solidFill>
                <a:srgbClr val="CCE6CC"/>
              </a:solidFill>
              <a:ln>
                <a:noFill/>
                <a:prstDash val="solid"/>
              </a:ln>
            </spPr>
          </dPt>
          <dPt>
            <idx val="135"/>
            <invertIfNegative val="0"/>
            <spPr>
              <a:solidFill>
                <a:srgbClr val="CCE6CC"/>
              </a:solidFill>
              <a:ln>
                <a:noFill/>
                <a:prstDash val="solid"/>
              </a:ln>
            </spPr>
          </dPt>
          <dPt>
            <idx val="136"/>
            <invertIfNegative val="0"/>
            <spPr>
              <a:solidFill>
                <a:srgbClr val="CCE6CC"/>
              </a:solidFill>
              <a:ln>
                <a:noFill/>
                <a:prstDash val="solid"/>
              </a:ln>
            </spPr>
          </dPt>
          <dPt>
            <idx val="137"/>
            <invertIfNegative val="0"/>
            <spPr>
              <a:solidFill>
                <a:srgbClr val="CCE6CC"/>
              </a:solidFill>
              <a:ln>
                <a:noFill/>
                <a:prstDash val="solid"/>
              </a:ln>
            </spPr>
          </dPt>
          <dPt>
            <idx val="138"/>
            <invertIfNegative val="0"/>
            <spPr>
              <a:solidFill>
                <a:srgbClr val="CCE6CC"/>
              </a:solidFill>
              <a:ln>
                <a:noFill/>
                <a:prstDash val="solid"/>
              </a:ln>
            </spPr>
          </dPt>
          <dPt>
            <idx val="139"/>
            <invertIfNegative val="0"/>
            <spPr>
              <a:solidFill>
                <a:srgbClr val="CCE6CC"/>
              </a:solidFill>
              <a:ln>
                <a:noFill/>
                <a:prstDash val="solid"/>
              </a:ln>
            </spPr>
          </dPt>
          <dPt>
            <idx val="140"/>
            <invertIfNegative val="0"/>
            <spPr>
              <a:solidFill>
                <a:srgbClr val="CCE6CC"/>
              </a:solidFill>
              <a:ln>
                <a:noFill/>
                <a:prstDash val="solid"/>
              </a:ln>
            </spPr>
          </dPt>
          <dPt>
            <idx val="141"/>
            <invertIfNegative val="0"/>
            <spPr>
              <a:solidFill>
                <a:srgbClr val="CCE6CC"/>
              </a:solidFill>
              <a:ln>
                <a:noFill/>
                <a:prstDash val="solid"/>
              </a:ln>
            </spPr>
          </dPt>
          <dPt>
            <idx val="142"/>
            <invertIfNegative val="0"/>
            <spPr>
              <a:solidFill>
                <a:srgbClr val="CCE6CC"/>
              </a:solidFill>
              <a:ln>
                <a:noFill/>
                <a:prstDash val="solid"/>
              </a:ln>
            </spPr>
          </dPt>
          <dPt>
            <idx val="143"/>
            <invertIfNegative val="0"/>
            <spPr>
              <a:solidFill>
                <a:srgbClr val="CCE6CC"/>
              </a:solidFill>
              <a:ln>
                <a:noFill/>
                <a:prstDash val="solid"/>
              </a:ln>
            </spPr>
          </dPt>
          <dPt>
            <idx val="144"/>
            <invertIfNegative val="0"/>
            <spPr>
              <a:solidFill>
                <a:srgbClr val="CCE6CC"/>
              </a:solidFill>
              <a:ln>
                <a:noFill/>
                <a:prstDash val="solid"/>
              </a:ln>
            </spPr>
          </dPt>
          <dPt>
            <idx val="145"/>
            <invertIfNegative val="0"/>
            <spPr>
              <a:solidFill>
                <a:srgbClr val="CCE6CC"/>
              </a:solidFill>
              <a:ln>
                <a:noFill/>
                <a:prstDash val="solid"/>
              </a:ln>
            </spPr>
          </dPt>
          <dPt>
            <idx val="146"/>
            <invertIfNegative val="0"/>
            <spPr>
              <a:solidFill>
                <a:srgbClr val="CCE6CC"/>
              </a:solidFill>
              <a:ln>
                <a:noFill/>
                <a:prstDash val="solid"/>
              </a:ln>
            </spPr>
          </dPt>
          <dPt>
            <idx val="147"/>
            <invertIfNegative val="0"/>
            <spPr>
              <a:solidFill>
                <a:srgbClr val="CCE6CC"/>
              </a:solidFill>
              <a:ln>
                <a:noFill/>
                <a:prstDash val="solid"/>
              </a:ln>
            </spPr>
          </dPt>
          <dPt>
            <idx val="148"/>
            <invertIfNegative val="0"/>
            <spPr>
              <a:solidFill>
                <a:srgbClr val="CCE6CC"/>
              </a:solidFill>
              <a:ln>
                <a:noFill/>
                <a:prstDash val="solid"/>
              </a:ln>
            </spPr>
          </dPt>
          <dPt>
            <idx val="149"/>
            <invertIfNegative val="0"/>
            <spPr>
              <a:solidFill>
                <a:srgbClr val="CCE6CC"/>
              </a:solidFill>
              <a:ln>
                <a:noFill/>
                <a:prstDash val="solid"/>
              </a:ln>
            </spPr>
          </dPt>
          <dPt>
            <idx val="150"/>
            <invertIfNegative val="0"/>
            <spPr>
              <a:solidFill>
                <a:srgbClr val="CCE6CC"/>
              </a:solidFill>
              <a:ln>
                <a:noFill/>
                <a:prstDash val="solid"/>
              </a:ln>
            </spPr>
          </dPt>
          <dPt>
            <idx val="151"/>
            <invertIfNegative val="0"/>
            <spPr>
              <a:solidFill>
                <a:srgbClr val="CCE6CC"/>
              </a:solidFill>
              <a:ln>
                <a:noFill/>
                <a:prstDash val="solid"/>
              </a:ln>
            </spPr>
          </dPt>
          <dPt>
            <idx val="152"/>
            <invertIfNegative val="0"/>
            <spPr>
              <a:solidFill>
                <a:srgbClr val="CCE6CC"/>
              </a:solidFill>
              <a:ln>
                <a:noFill/>
                <a:prstDash val="solid"/>
              </a:ln>
            </spPr>
          </dPt>
          <dPt>
            <idx val="153"/>
            <invertIfNegative val="0"/>
            <spPr>
              <a:solidFill>
                <a:srgbClr val="CCE6CC"/>
              </a:solidFill>
              <a:ln>
                <a:noFill/>
                <a:prstDash val="solid"/>
              </a:ln>
            </spPr>
          </dPt>
          <dPt>
            <idx val="154"/>
            <invertIfNegative val="0"/>
            <spPr>
              <a:solidFill>
                <a:srgbClr val="CCE6CC"/>
              </a:solidFill>
              <a:ln>
                <a:noFill/>
                <a:prstDash val="solid"/>
              </a:ln>
            </spPr>
          </dPt>
          <dPt>
            <idx val="155"/>
            <invertIfNegative val="0"/>
            <spPr>
              <a:solidFill>
                <a:srgbClr val="CCE6CC"/>
              </a:solidFill>
              <a:ln>
                <a:noFill/>
                <a:prstDash val="solid"/>
              </a:ln>
            </spPr>
          </dPt>
          <cat>
            <numRef>
              <f>'Chart'!$A$2:$A$157</f>
            </numRef>
          </cat>
          <val>
            <numRef>
              <f>'Chart'!$G$2:$G$157</f>
            </numRef>
          </val>
        </ser>
        <ser>
          <idx val="6"/>
          <order val="6"/>
          <tx>
            <strRef>
              <f>'Chart'!H1</f>
            </strRef>
          </tx>
          <spPr>
            <a:solidFill>
              <a:srgbClr val="4A3AA7"/>
            </a:solidFill>
            <a:ln>
              <a:noFill/>
              <a:prstDash val="solid"/>
            </a:ln>
          </spPr>
          <dPt>
            <idx val="67"/>
            <invertIfNegative val="0"/>
            <spPr>
              <a:solidFill>
                <a:srgbClr val="ADA6D7"/>
              </a:solidFill>
              <a:ln>
                <a:noFill/>
                <a:prstDash val="solid"/>
              </a:ln>
            </spPr>
          </dPt>
          <dPt>
            <idx val="68"/>
            <invertIfNegative val="0"/>
            <spPr>
              <a:solidFill>
                <a:srgbClr val="ADA6D7"/>
              </a:solidFill>
              <a:ln>
                <a:noFill/>
                <a:prstDash val="solid"/>
              </a:ln>
            </spPr>
          </dPt>
          <dPt>
            <idx val="69"/>
            <invertIfNegative val="0"/>
            <spPr>
              <a:solidFill>
                <a:srgbClr val="ADA6D7"/>
              </a:solidFill>
              <a:ln>
                <a:noFill/>
                <a:prstDash val="solid"/>
              </a:ln>
            </spPr>
          </dPt>
          <dPt>
            <idx val="70"/>
            <invertIfNegative val="0"/>
            <spPr>
              <a:solidFill>
                <a:srgbClr val="ADA6D7"/>
              </a:solidFill>
              <a:ln>
                <a:noFill/>
                <a:prstDash val="solid"/>
              </a:ln>
            </spPr>
          </dPt>
          <dPt>
            <idx val="71"/>
            <invertIfNegative val="0"/>
            <spPr>
              <a:solidFill>
                <a:srgbClr val="ADA6D7"/>
              </a:solidFill>
              <a:ln>
                <a:noFill/>
                <a:prstDash val="solid"/>
              </a:ln>
            </spPr>
          </dPt>
          <dPt>
            <idx val="72"/>
            <invertIfNegative val="0"/>
            <spPr>
              <a:solidFill>
                <a:srgbClr val="ADA6D7"/>
              </a:solidFill>
              <a:ln>
                <a:noFill/>
                <a:prstDash val="solid"/>
              </a:ln>
            </spPr>
          </dPt>
          <dPt>
            <idx val="73"/>
            <invertIfNegative val="0"/>
            <spPr>
              <a:solidFill>
                <a:srgbClr val="ADA6D7"/>
              </a:solidFill>
              <a:ln>
                <a:noFill/>
                <a:prstDash val="solid"/>
              </a:ln>
            </spPr>
          </dPt>
          <dPt>
            <idx val="74"/>
            <invertIfNegative val="0"/>
            <spPr>
              <a:solidFill>
                <a:srgbClr val="ADA6D7"/>
              </a:solidFill>
              <a:ln>
                <a:noFill/>
                <a:prstDash val="solid"/>
              </a:ln>
            </spPr>
          </dPt>
          <dPt>
            <idx val="75"/>
            <invertIfNegative val="0"/>
            <spPr>
              <a:solidFill>
                <a:srgbClr val="ADA6D7"/>
              </a:solidFill>
              <a:ln>
                <a:noFill/>
                <a:prstDash val="solid"/>
              </a:ln>
            </spPr>
          </dPt>
          <dPt>
            <idx val="76"/>
            <invertIfNegative val="0"/>
            <spPr>
              <a:solidFill>
                <a:srgbClr val="ADA6D7"/>
              </a:solidFill>
              <a:ln>
                <a:noFill/>
                <a:prstDash val="solid"/>
              </a:ln>
            </spPr>
          </dPt>
          <dPt>
            <idx val="77"/>
            <invertIfNegative val="0"/>
            <spPr>
              <a:solidFill>
                <a:srgbClr val="ADA6D7"/>
              </a:solidFill>
              <a:ln>
                <a:noFill/>
                <a:prstDash val="solid"/>
              </a:ln>
            </spPr>
          </dPt>
          <dPt>
            <idx val="78"/>
            <invertIfNegative val="0"/>
            <spPr>
              <a:solidFill>
                <a:srgbClr val="ADA6D7"/>
              </a:solidFill>
              <a:ln>
                <a:noFill/>
                <a:prstDash val="solid"/>
              </a:ln>
            </spPr>
          </dPt>
          <dPt>
            <idx val="79"/>
            <invertIfNegative val="0"/>
            <spPr>
              <a:solidFill>
                <a:srgbClr val="ADA6D7"/>
              </a:solidFill>
              <a:ln>
                <a:noFill/>
                <a:prstDash val="solid"/>
              </a:ln>
            </spPr>
          </dPt>
          <dPt>
            <idx val="80"/>
            <invertIfNegative val="0"/>
            <spPr>
              <a:solidFill>
                <a:srgbClr val="ADA6D7"/>
              </a:solidFill>
              <a:ln>
                <a:noFill/>
                <a:prstDash val="solid"/>
              </a:ln>
            </spPr>
          </dPt>
          <dPt>
            <idx val="81"/>
            <invertIfNegative val="0"/>
            <spPr>
              <a:solidFill>
                <a:srgbClr val="ADA6D7"/>
              </a:solidFill>
              <a:ln>
                <a:noFill/>
                <a:prstDash val="solid"/>
              </a:ln>
            </spPr>
          </dPt>
          <dPt>
            <idx val="82"/>
            <invertIfNegative val="0"/>
            <spPr>
              <a:solidFill>
                <a:srgbClr val="ADA6D7"/>
              </a:solidFill>
              <a:ln>
                <a:noFill/>
                <a:prstDash val="solid"/>
              </a:ln>
            </spPr>
          </dPt>
          <dPt>
            <idx val="83"/>
            <invertIfNegative val="0"/>
            <spPr>
              <a:solidFill>
                <a:srgbClr val="ADA6D7"/>
              </a:solidFill>
              <a:ln>
                <a:noFill/>
                <a:prstDash val="solid"/>
              </a:ln>
            </spPr>
          </dPt>
          <dPt>
            <idx val="84"/>
            <invertIfNegative val="0"/>
            <spPr>
              <a:solidFill>
                <a:srgbClr val="ADA6D7"/>
              </a:solidFill>
              <a:ln>
                <a:noFill/>
                <a:prstDash val="solid"/>
              </a:ln>
            </spPr>
          </dPt>
          <dPt>
            <idx val="85"/>
            <invertIfNegative val="0"/>
            <spPr>
              <a:solidFill>
                <a:srgbClr val="ADA6D7"/>
              </a:solidFill>
              <a:ln>
                <a:noFill/>
                <a:prstDash val="solid"/>
              </a:ln>
            </spPr>
          </dPt>
          <dPt>
            <idx val="86"/>
            <invertIfNegative val="0"/>
            <spPr>
              <a:solidFill>
                <a:srgbClr val="ADA6D7"/>
              </a:solidFill>
              <a:ln>
                <a:noFill/>
                <a:prstDash val="solid"/>
              </a:ln>
            </spPr>
          </dPt>
          <dPt>
            <idx val="87"/>
            <invertIfNegative val="0"/>
            <spPr>
              <a:solidFill>
                <a:srgbClr val="ADA6D7"/>
              </a:solidFill>
              <a:ln>
                <a:noFill/>
                <a:prstDash val="solid"/>
              </a:ln>
            </spPr>
          </dPt>
          <dPt>
            <idx val="88"/>
            <invertIfNegative val="0"/>
            <spPr>
              <a:solidFill>
                <a:srgbClr val="ADA6D7"/>
              </a:solidFill>
              <a:ln>
                <a:noFill/>
                <a:prstDash val="solid"/>
              </a:ln>
            </spPr>
          </dPt>
          <dPt>
            <idx val="89"/>
            <invertIfNegative val="0"/>
            <spPr>
              <a:solidFill>
                <a:srgbClr val="ADA6D7"/>
              </a:solidFill>
              <a:ln>
                <a:noFill/>
                <a:prstDash val="solid"/>
              </a:ln>
            </spPr>
          </dPt>
          <dPt>
            <idx val="90"/>
            <invertIfNegative val="0"/>
            <spPr>
              <a:solidFill>
                <a:srgbClr val="ADA6D7"/>
              </a:solidFill>
              <a:ln>
                <a:noFill/>
                <a:prstDash val="solid"/>
              </a:ln>
            </spPr>
          </dPt>
          <dPt>
            <idx val="91"/>
            <invertIfNegative val="0"/>
            <spPr>
              <a:solidFill>
                <a:srgbClr val="ADA6D7"/>
              </a:solidFill>
              <a:ln>
                <a:noFill/>
                <a:prstDash val="solid"/>
              </a:ln>
            </spPr>
          </dPt>
          <dPt>
            <idx val="92"/>
            <invertIfNegative val="0"/>
            <spPr>
              <a:solidFill>
                <a:srgbClr val="ADA6D7"/>
              </a:solidFill>
              <a:ln>
                <a:noFill/>
                <a:prstDash val="solid"/>
              </a:ln>
            </spPr>
          </dPt>
          <dPt>
            <idx val="93"/>
            <invertIfNegative val="0"/>
            <spPr>
              <a:solidFill>
                <a:srgbClr val="ADA6D7"/>
              </a:solidFill>
              <a:ln>
                <a:noFill/>
                <a:prstDash val="solid"/>
              </a:ln>
            </spPr>
          </dPt>
          <dPt>
            <idx val="94"/>
            <invertIfNegative val="0"/>
            <spPr>
              <a:solidFill>
                <a:srgbClr val="ADA6D7"/>
              </a:solidFill>
              <a:ln>
                <a:noFill/>
                <a:prstDash val="solid"/>
              </a:ln>
            </spPr>
          </dPt>
          <dPt>
            <idx val="95"/>
            <invertIfNegative val="0"/>
            <spPr>
              <a:solidFill>
                <a:srgbClr val="ADA6D7"/>
              </a:solidFill>
              <a:ln>
                <a:noFill/>
                <a:prstDash val="solid"/>
              </a:ln>
            </spPr>
          </dPt>
          <dPt>
            <idx val="96"/>
            <invertIfNegative val="0"/>
            <spPr>
              <a:solidFill>
                <a:srgbClr val="DAD7ED"/>
              </a:solidFill>
              <a:ln>
                <a:noFill/>
                <a:prstDash val="solid"/>
              </a:ln>
            </spPr>
          </dPt>
          <dPt>
            <idx val="97"/>
            <invertIfNegative val="0"/>
            <spPr>
              <a:solidFill>
                <a:srgbClr val="DAD7ED"/>
              </a:solidFill>
              <a:ln>
                <a:noFill/>
                <a:prstDash val="solid"/>
              </a:ln>
            </spPr>
          </dPt>
          <dPt>
            <idx val="98"/>
            <invertIfNegative val="0"/>
            <spPr>
              <a:solidFill>
                <a:srgbClr val="DAD7ED"/>
              </a:solidFill>
              <a:ln>
                <a:noFill/>
                <a:prstDash val="solid"/>
              </a:ln>
            </spPr>
          </dPt>
          <dPt>
            <idx val="99"/>
            <invertIfNegative val="0"/>
            <spPr>
              <a:solidFill>
                <a:srgbClr val="DAD7ED"/>
              </a:solidFill>
              <a:ln>
                <a:noFill/>
                <a:prstDash val="solid"/>
              </a:ln>
            </spPr>
          </dPt>
          <dPt>
            <idx val="100"/>
            <invertIfNegative val="0"/>
            <spPr>
              <a:solidFill>
                <a:srgbClr val="DAD7ED"/>
              </a:solidFill>
              <a:ln>
                <a:noFill/>
                <a:prstDash val="solid"/>
              </a:ln>
            </spPr>
          </dPt>
          <dPt>
            <idx val="101"/>
            <invertIfNegative val="0"/>
            <spPr>
              <a:solidFill>
                <a:srgbClr val="DAD7ED"/>
              </a:solidFill>
              <a:ln>
                <a:noFill/>
                <a:prstDash val="solid"/>
              </a:ln>
            </spPr>
          </dPt>
          <dPt>
            <idx val="102"/>
            <invertIfNegative val="0"/>
            <spPr>
              <a:solidFill>
                <a:srgbClr val="DAD7ED"/>
              </a:solidFill>
              <a:ln>
                <a:noFill/>
                <a:prstDash val="solid"/>
              </a:ln>
            </spPr>
          </dPt>
          <dPt>
            <idx val="103"/>
            <invertIfNegative val="0"/>
            <spPr>
              <a:solidFill>
                <a:srgbClr val="DAD7ED"/>
              </a:solidFill>
              <a:ln>
                <a:noFill/>
                <a:prstDash val="solid"/>
              </a:ln>
            </spPr>
          </dPt>
          <dPt>
            <idx val="104"/>
            <invertIfNegative val="0"/>
            <spPr>
              <a:solidFill>
                <a:srgbClr val="DAD7ED"/>
              </a:solidFill>
              <a:ln>
                <a:noFill/>
                <a:prstDash val="solid"/>
              </a:ln>
            </spPr>
          </dPt>
          <dPt>
            <idx val="105"/>
            <invertIfNegative val="0"/>
            <spPr>
              <a:solidFill>
                <a:srgbClr val="DAD7ED"/>
              </a:solidFill>
              <a:ln>
                <a:noFill/>
                <a:prstDash val="solid"/>
              </a:ln>
            </spPr>
          </dPt>
          <dPt>
            <idx val="106"/>
            <invertIfNegative val="0"/>
            <spPr>
              <a:solidFill>
                <a:srgbClr val="DAD7ED"/>
              </a:solidFill>
              <a:ln>
                <a:noFill/>
                <a:prstDash val="solid"/>
              </a:ln>
            </spPr>
          </dPt>
          <dPt>
            <idx val="107"/>
            <invertIfNegative val="0"/>
            <spPr>
              <a:solidFill>
                <a:srgbClr val="DAD7ED"/>
              </a:solidFill>
              <a:ln>
                <a:noFill/>
                <a:prstDash val="solid"/>
              </a:ln>
            </spPr>
          </dPt>
          <dPt>
            <idx val="108"/>
            <invertIfNegative val="0"/>
            <spPr>
              <a:solidFill>
                <a:srgbClr val="DAD7ED"/>
              </a:solidFill>
              <a:ln>
                <a:noFill/>
                <a:prstDash val="solid"/>
              </a:ln>
            </spPr>
          </dPt>
          <dPt>
            <idx val="109"/>
            <invertIfNegative val="0"/>
            <spPr>
              <a:solidFill>
                <a:srgbClr val="DAD7ED"/>
              </a:solidFill>
              <a:ln>
                <a:noFill/>
                <a:prstDash val="solid"/>
              </a:ln>
            </spPr>
          </dPt>
          <dPt>
            <idx val="110"/>
            <invertIfNegative val="0"/>
            <spPr>
              <a:solidFill>
                <a:srgbClr val="DAD7ED"/>
              </a:solidFill>
              <a:ln>
                <a:noFill/>
                <a:prstDash val="solid"/>
              </a:ln>
            </spPr>
          </dPt>
          <dPt>
            <idx val="111"/>
            <invertIfNegative val="0"/>
            <spPr>
              <a:solidFill>
                <a:srgbClr val="DAD7ED"/>
              </a:solidFill>
              <a:ln>
                <a:noFill/>
                <a:prstDash val="solid"/>
              </a:ln>
            </spPr>
          </dPt>
          <dPt>
            <idx val="112"/>
            <invertIfNegative val="0"/>
            <spPr>
              <a:solidFill>
                <a:srgbClr val="DAD7ED"/>
              </a:solidFill>
              <a:ln>
                <a:noFill/>
                <a:prstDash val="solid"/>
              </a:ln>
            </spPr>
          </dPt>
          <dPt>
            <idx val="113"/>
            <invertIfNegative val="0"/>
            <spPr>
              <a:solidFill>
                <a:srgbClr val="DAD7ED"/>
              </a:solidFill>
              <a:ln>
                <a:noFill/>
                <a:prstDash val="solid"/>
              </a:ln>
            </spPr>
          </dPt>
          <dPt>
            <idx val="114"/>
            <invertIfNegative val="0"/>
            <spPr>
              <a:solidFill>
                <a:srgbClr val="DAD7ED"/>
              </a:solidFill>
              <a:ln>
                <a:noFill/>
                <a:prstDash val="solid"/>
              </a:ln>
            </spPr>
          </dPt>
          <dPt>
            <idx val="115"/>
            <invertIfNegative val="0"/>
            <spPr>
              <a:solidFill>
                <a:srgbClr val="DAD7ED"/>
              </a:solidFill>
              <a:ln>
                <a:noFill/>
                <a:prstDash val="solid"/>
              </a:ln>
            </spPr>
          </dPt>
          <dPt>
            <idx val="116"/>
            <invertIfNegative val="0"/>
            <spPr>
              <a:solidFill>
                <a:srgbClr val="DAD7ED"/>
              </a:solidFill>
              <a:ln>
                <a:noFill/>
                <a:prstDash val="solid"/>
              </a:ln>
            </spPr>
          </dPt>
          <dPt>
            <idx val="117"/>
            <invertIfNegative val="0"/>
            <spPr>
              <a:solidFill>
                <a:srgbClr val="DAD7ED"/>
              </a:solidFill>
              <a:ln>
                <a:noFill/>
                <a:prstDash val="solid"/>
              </a:ln>
            </spPr>
          </dPt>
          <dPt>
            <idx val="118"/>
            <invertIfNegative val="0"/>
            <spPr>
              <a:solidFill>
                <a:srgbClr val="DAD7ED"/>
              </a:solidFill>
              <a:ln>
                <a:noFill/>
                <a:prstDash val="solid"/>
              </a:ln>
            </spPr>
          </dPt>
          <dPt>
            <idx val="119"/>
            <invertIfNegative val="0"/>
            <spPr>
              <a:solidFill>
                <a:srgbClr val="DAD7ED"/>
              </a:solidFill>
              <a:ln>
                <a:noFill/>
                <a:prstDash val="solid"/>
              </a:ln>
            </spPr>
          </dPt>
          <dPt>
            <idx val="120"/>
            <invertIfNegative val="0"/>
            <spPr>
              <a:solidFill>
                <a:srgbClr val="DAD7ED"/>
              </a:solidFill>
              <a:ln>
                <a:noFill/>
                <a:prstDash val="solid"/>
              </a:ln>
            </spPr>
          </dPt>
          <dPt>
            <idx val="121"/>
            <invertIfNegative val="0"/>
            <spPr>
              <a:solidFill>
                <a:srgbClr val="DAD7ED"/>
              </a:solidFill>
              <a:ln>
                <a:noFill/>
                <a:prstDash val="solid"/>
              </a:ln>
            </spPr>
          </dPt>
          <dPt>
            <idx val="122"/>
            <invertIfNegative val="0"/>
            <spPr>
              <a:solidFill>
                <a:srgbClr val="DAD7ED"/>
              </a:solidFill>
              <a:ln>
                <a:noFill/>
                <a:prstDash val="solid"/>
              </a:ln>
            </spPr>
          </dPt>
          <dPt>
            <idx val="123"/>
            <invertIfNegative val="0"/>
            <spPr>
              <a:solidFill>
                <a:srgbClr val="DAD7ED"/>
              </a:solidFill>
              <a:ln>
                <a:noFill/>
                <a:prstDash val="solid"/>
              </a:ln>
            </spPr>
          </dPt>
          <dPt>
            <idx val="124"/>
            <invertIfNegative val="0"/>
            <spPr>
              <a:solidFill>
                <a:srgbClr val="DAD7ED"/>
              </a:solidFill>
              <a:ln>
                <a:noFill/>
                <a:prstDash val="solid"/>
              </a:ln>
            </spPr>
          </dPt>
          <dPt>
            <idx val="125"/>
            <invertIfNegative val="0"/>
            <spPr>
              <a:solidFill>
                <a:srgbClr val="DAD7ED"/>
              </a:solidFill>
              <a:ln>
                <a:noFill/>
                <a:prstDash val="solid"/>
              </a:ln>
            </spPr>
          </dPt>
          <dPt>
            <idx val="126"/>
            <invertIfNegative val="0"/>
            <spPr>
              <a:solidFill>
                <a:srgbClr val="DAD7ED"/>
              </a:solidFill>
              <a:ln>
                <a:noFill/>
                <a:prstDash val="solid"/>
              </a:ln>
            </spPr>
          </dPt>
          <dPt>
            <idx val="127"/>
            <invertIfNegative val="0"/>
            <spPr>
              <a:solidFill>
                <a:srgbClr val="DAD7ED"/>
              </a:solidFill>
              <a:ln>
                <a:noFill/>
                <a:prstDash val="solid"/>
              </a:ln>
            </spPr>
          </dPt>
          <dPt>
            <idx val="128"/>
            <invertIfNegative val="0"/>
            <spPr>
              <a:solidFill>
                <a:srgbClr val="DAD7ED"/>
              </a:solidFill>
              <a:ln>
                <a:noFill/>
                <a:prstDash val="solid"/>
              </a:ln>
            </spPr>
          </dPt>
          <dPt>
            <idx val="129"/>
            <invertIfNegative val="0"/>
            <spPr>
              <a:solidFill>
                <a:srgbClr val="DAD7ED"/>
              </a:solidFill>
              <a:ln>
                <a:noFill/>
                <a:prstDash val="solid"/>
              </a:ln>
            </spPr>
          </dPt>
          <dPt>
            <idx val="130"/>
            <invertIfNegative val="0"/>
            <spPr>
              <a:solidFill>
                <a:srgbClr val="DAD7ED"/>
              </a:solidFill>
              <a:ln>
                <a:noFill/>
                <a:prstDash val="solid"/>
              </a:ln>
            </spPr>
          </dPt>
          <dPt>
            <idx val="131"/>
            <invertIfNegative val="0"/>
            <spPr>
              <a:solidFill>
                <a:srgbClr val="DAD7ED"/>
              </a:solidFill>
              <a:ln>
                <a:noFill/>
                <a:prstDash val="solid"/>
              </a:ln>
            </spPr>
          </dPt>
          <dPt>
            <idx val="132"/>
            <invertIfNegative val="0"/>
            <spPr>
              <a:solidFill>
                <a:srgbClr val="DAD7ED"/>
              </a:solidFill>
              <a:ln>
                <a:noFill/>
                <a:prstDash val="solid"/>
              </a:ln>
            </spPr>
          </dPt>
          <dPt>
            <idx val="133"/>
            <invertIfNegative val="0"/>
            <spPr>
              <a:solidFill>
                <a:srgbClr val="DAD7ED"/>
              </a:solidFill>
              <a:ln>
                <a:noFill/>
                <a:prstDash val="solid"/>
              </a:ln>
            </spPr>
          </dPt>
          <dPt>
            <idx val="134"/>
            <invertIfNegative val="0"/>
            <spPr>
              <a:solidFill>
                <a:srgbClr val="DAD7ED"/>
              </a:solidFill>
              <a:ln>
                <a:noFill/>
                <a:prstDash val="solid"/>
              </a:ln>
            </spPr>
          </dPt>
          <dPt>
            <idx val="135"/>
            <invertIfNegative val="0"/>
            <spPr>
              <a:solidFill>
                <a:srgbClr val="DAD7ED"/>
              </a:solidFill>
              <a:ln>
                <a:noFill/>
                <a:prstDash val="solid"/>
              </a:ln>
            </spPr>
          </dPt>
          <dPt>
            <idx val="136"/>
            <invertIfNegative val="0"/>
            <spPr>
              <a:solidFill>
                <a:srgbClr val="DAD7ED"/>
              </a:solidFill>
              <a:ln>
                <a:noFill/>
                <a:prstDash val="solid"/>
              </a:ln>
            </spPr>
          </dPt>
          <dPt>
            <idx val="137"/>
            <invertIfNegative val="0"/>
            <spPr>
              <a:solidFill>
                <a:srgbClr val="DAD7ED"/>
              </a:solidFill>
              <a:ln>
                <a:noFill/>
                <a:prstDash val="solid"/>
              </a:ln>
            </spPr>
          </dPt>
          <dPt>
            <idx val="138"/>
            <invertIfNegative val="0"/>
            <spPr>
              <a:solidFill>
                <a:srgbClr val="DAD7ED"/>
              </a:solidFill>
              <a:ln>
                <a:noFill/>
                <a:prstDash val="solid"/>
              </a:ln>
            </spPr>
          </dPt>
          <dPt>
            <idx val="139"/>
            <invertIfNegative val="0"/>
            <spPr>
              <a:solidFill>
                <a:srgbClr val="DAD7ED"/>
              </a:solidFill>
              <a:ln>
                <a:noFill/>
                <a:prstDash val="solid"/>
              </a:ln>
            </spPr>
          </dPt>
          <dPt>
            <idx val="140"/>
            <invertIfNegative val="0"/>
            <spPr>
              <a:solidFill>
                <a:srgbClr val="DAD7ED"/>
              </a:solidFill>
              <a:ln>
                <a:noFill/>
                <a:prstDash val="solid"/>
              </a:ln>
            </spPr>
          </dPt>
          <dPt>
            <idx val="141"/>
            <invertIfNegative val="0"/>
            <spPr>
              <a:solidFill>
                <a:srgbClr val="DAD7ED"/>
              </a:solidFill>
              <a:ln>
                <a:noFill/>
                <a:prstDash val="solid"/>
              </a:ln>
            </spPr>
          </dPt>
          <dPt>
            <idx val="142"/>
            <invertIfNegative val="0"/>
            <spPr>
              <a:solidFill>
                <a:srgbClr val="DAD7ED"/>
              </a:solidFill>
              <a:ln>
                <a:noFill/>
                <a:prstDash val="solid"/>
              </a:ln>
            </spPr>
          </dPt>
          <dPt>
            <idx val="143"/>
            <invertIfNegative val="0"/>
            <spPr>
              <a:solidFill>
                <a:srgbClr val="DAD7ED"/>
              </a:solidFill>
              <a:ln>
                <a:noFill/>
                <a:prstDash val="solid"/>
              </a:ln>
            </spPr>
          </dPt>
          <dPt>
            <idx val="144"/>
            <invertIfNegative val="0"/>
            <spPr>
              <a:solidFill>
                <a:srgbClr val="DAD7ED"/>
              </a:solidFill>
              <a:ln>
                <a:noFill/>
                <a:prstDash val="solid"/>
              </a:ln>
            </spPr>
          </dPt>
          <dPt>
            <idx val="145"/>
            <invertIfNegative val="0"/>
            <spPr>
              <a:solidFill>
                <a:srgbClr val="DAD7ED"/>
              </a:solidFill>
              <a:ln>
                <a:noFill/>
                <a:prstDash val="solid"/>
              </a:ln>
            </spPr>
          </dPt>
          <dPt>
            <idx val="146"/>
            <invertIfNegative val="0"/>
            <spPr>
              <a:solidFill>
                <a:srgbClr val="DAD7ED"/>
              </a:solidFill>
              <a:ln>
                <a:noFill/>
                <a:prstDash val="solid"/>
              </a:ln>
            </spPr>
          </dPt>
          <dPt>
            <idx val="147"/>
            <invertIfNegative val="0"/>
            <spPr>
              <a:solidFill>
                <a:srgbClr val="DAD7ED"/>
              </a:solidFill>
              <a:ln>
                <a:noFill/>
                <a:prstDash val="solid"/>
              </a:ln>
            </spPr>
          </dPt>
          <dPt>
            <idx val="148"/>
            <invertIfNegative val="0"/>
            <spPr>
              <a:solidFill>
                <a:srgbClr val="DAD7ED"/>
              </a:solidFill>
              <a:ln>
                <a:noFill/>
                <a:prstDash val="solid"/>
              </a:ln>
            </spPr>
          </dPt>
          <dPt>
            <idx val="149"/>
            <invertIfNegative val="0"/>
            <spPr>
              <a:solidFill>
                <a:srgbClr val="DAD7ED"/>
              </a:solidFill>
              <a:ln>
                <a:noFill/>
                <a:prstDash val="solid"/>
              </a:ln>
            </spPr>
          </dPt>
          <dPt>
            <idx val="150"/>
            <invertIfNegative val="0"/>
            <spPr>
              <a:solidFill>
                <a:srgbClr val="DAD7ED"/>
              </a:solidFill>
              <a:ln>
                <a:noFill/>
                <a:prstDash val="solid"/>
              </a:ln>
            </spPr>
          </dPt>
          <dPt>
            <idx val="151"/>
            <invertIfNegative val="0"/>
            <spPr>
              <a:solidFill>
                <a:srgbClr val="DAD7ED"/>
              </a:solidFill>
              <a:ln>
                <a:noFill/>
                <a:prstDash val="solid"/>
              </a:ln>
            </spPr>
          </dPt>
          <dPt>
            <idx val="152"/>
            <invertIfNegative val="0"/>
            <spPr>
              <a:solidFill>
                <a:srgbClr val="DAD7ED"/>
              </a:solidFill>
              <a:ln>
                <a:noFill/>
                <a:prstDash val="solid"/>
              </a:ln>
            </spPr>
          </dPt>
          <dPt>
            <idx val="153"/>
            <invertIfNegative val="0"/>
            <spPr>
              <a:solidFill>
                <a:srgbClr val="DAD7ED"/>
              </a:solidFill>
              <a:ln>
                <a:noFill/>
                <a:prstDash val="solid"/>
              </a:ln>
            </spPr>
          </dPt>
          <dPt>
            <idx val="154"/>
            <invertIfNegative val="0"/>
            <spPr>
              <a:solidFill>
                <a:srgbClr val="DAD7ED"/>
              </a:solidFill>
              <a:ln>
                <a:noFill/>
                <a:prstDash val="solid"/>
              </a:ln>
            </spPr>
          </dPt>
          <dPt>
            <idx val="155"/>
            <invertIfNegative val="0"/>
            <spPr>
              <a:solidFill>
                <a:srgbClr val="DAD7ED"/>
              </a:solidFill>
              <a:ln>
                <a:noFill/>
                <a:prstDash val="solid"/>
              </a:ln>
            </spPr>
          </dPt>
          <cat>
            <numRef>
              <f>'Chart'!$A$2:$A$157</f>
            </numRef>
          </cat>
          <val>
            <numRef>
              <f>'Chart'!$H$2:$H$157</f>
            </numRef>
          </val>
        </ser>
        <ser>
          <idx val="7"/>
          <order val="7"/>
          <tx>
            <strRef>
              <f>'Chart'!I1</f>
            </strRef>
          </tx>
          <spPr>
            <a:solidFill>
              <a:srgbClr val="4A3AA7"/>
            </a:solidFill>
            <a:ln>
              <a:noFill/>
              <a:prstDash val="solid"/>
            </a:ln>
          </spPr>
          <dPt>
            <idx val="67"/>
            <invertIfNegative val="0"/>
            <spPr>
              <a:solidFill>
                <a:srgbClr val="ADA6D7"/>
              </a:solidFill>
              <a:ln>
                <a:noFill/>
                <a:prstDash val="solid"/>
              </a:ln>
            </spPr>
          </dPt>
          <dPt>
            <idx val="68"/>
            <invertIfNegative val="0"/>
            <spPr>
              <a:solidFill>
                <a:srgbClr val="ADA6D7"/>
              </a:solidFill>
              <a:ln>
                <a:noFill/>
                <a:prstDash val="solid"/>
              </a:ln>
            </spPr>
          </dPt>
          <dPt>
            <idx val="69"/>
            <invertIfNegative val="0"/>
            <spPr>
              <a:solidFill>
                <a:srgbClr val="ADA6D7"/>
              </a:solidFill>
              <a:ln>
                <a:noFill/>
                <a:prstDash val="solid"/>
              </a:ln>
            </spPr>
          </dPt>
          <dPt>
            <idx val="70"/>
            <invertIfNegative val="0"/>
            <spPr>
              <a:solidFill>
                <a:srgbClr val="ADA6D7"/>
              </a:solidFill>
              <a:ln>
                <a:noFill/>
                <a:prstDash val="solid"/>
              </a:ln>
            </spPr>
          </dPt>
          <dPt>
            <idx val="71"/>
            <invertIfNegative val="0"/>
            <spPr>
              <a:solidFill>
                <a:srgbClr val="ADA6D7"/>
              </a:solidFill>
              <a:ln>
                <a:noFill/>
                <a:prstDash val="solid"/>
              </a:ln>
            </spPr>
          </dPt>
          <dPt>
            <idx val="72"/>
            <invertIfNegative val="0"/>
            <spPr>
              <a:solidFill>
                <a:srgbClr val="ADA6D7"/>
              </a:solidFill>
              <a:ln>
                <a:noFill/>
                <a:prstDash val="solid"/>
              </a:ln>
            </spPr>
          </dPt>
          <dPt>
            <idx val="73"/>
            <invertIfNegative val="0"/>
            <spPr>
              <a:solidFill>
                <a:srgbClr val="ADA6D7"/>
              </a:solidFill>
              <a:ln>
                <a:noFill/>
                <a:prstDash val="solid"/>
              </a:ln>
            </spPr>
          </dPt>
          <dPt>
            <idx val="74"/>
            <invertIfNegative val="0"/>
            <spPr>
              <a:solidFill>
                <a:srgbClr val="ADA6D7"/>
              </a:solidFill>
              <a:ln>
                <a:noFill/>
                <a:prstDash val="solid"/>
              </a:ln>
            </spPr>
          </dPt>
          <dPt>
            <idx val="75"/>
            <invertIfNegative val="0"/>
            <spPr>
              <a:solidFill>
                <a:srgbClr val="ADA6D7"/>
              </a:solidFill>
              <a:ln>
                <a:noFill/>
                <a:prstDash val="solid"/>
              </a:ln>
            </spPr>
          </dPt>
          <dPt>
            <idx val="76"/>
            <invertIfNegative val="0"/>
            <spPr>
              <a:solidFill>
                <a:srgbClr val="ADA6D7"/>
              </a:solidFill>
              <a:ln>
                <a:noFill/>
                <a:prstDash val="solid"/>
              </a:ln>
            </spPr>
          </dPt>
          <dPt>
            <idx val="77"/>
            <invertIfNegative val="0"/>
            <spPr>
              <a:solidFill>
                <a:srgbClr val="ADA6D7"/>
              </a:solidFill>
              <a:ln>
                <a:noFill/>
                <a:prstDash val="solid"/>
              </a:ln>
            </spPr>
          </dPt>
          <dPt>
            <idx val="78"/>
            <invertIfNegative val="0"/>
            <spPr>
              <a:solidFill>
                <a:srgbClr val="ADA6D7"/>
              </a:solidFill>
              <a:ln>
                <a:noFill/>
                <a:prstDash val="solid"/>
              </a:ln>
            </spPr>
          </dPt>
          <dPt>
            <idx val="79"/>
            <invertIfNegative val="0"/>
            <spPr>
              <a:solidFill>
                <a:srgbClr val="ADA6D7"/>
              </a:solidFill>
              <a:ln>
                <a:noFill/>
                <a:prstDash val="solid"/>
              </a:ln>
            </spPr>
          </dPt>
          <dPt>
            <idx val="80"/>
            <invertIfNegative val="0"/>
            <spPr>
              <a:solidFill>
                <a:srgbClr val="ADA6D7"/>
              </a:solidFill>
              <a:ln>
                <a:noFill/>
                <a:prstDash val="solid"/>
              </a:ln>
            </spPr>
          </dPt>
          <dPt>
            <idx val="81"/>
            <invertIfNegative val="0"/>
            <spPr>
              <a:solidFill>
                <a:srgbClr val="ADA6D7"/>
              </a:solidFill>
              <a:ln>
                <a:noFill/>
                <a:prstDash val="solid"/>
              </a:ln>
            </spPr>
          </dPt>
          <dPt>
            <idx val="82"/>
            <invertIfNegative val="0"/>
            <spPr>
              <a:solidFill>
                <a:srgbClr val="ADA6D7"/>
              </a:solidFill>
              <a:ln>
                <a:noFill/>
                <a:prstDash val="solid"/>
              </a:ln>
            </spPr>
          </dPt>
          <dPt>
            <idx val="83"/>
            <invertIfNegative val="0"/>
            <spPr>
              <a:solidFill>
                <a:srgbClr val="ADA6D7"/>
              </a:solidFill>
              <a:ln>
                <a:noFill/>
                <a:prstDash val="solid"/>
              </a:ln>
            </spPr>
          </dPt>
          <dPt>
            <idx val="84"/>
            <invertIfNegative val="0"/>
            <spPr>
              <a:solidFill>
                <a:srgbClr val="ADA6D7"/>
              </a:solidFill>
              <a:ln>
                <a:noFill/>
                <a:prstDash val="solid"/>
              </a:ln>
            </spPr>
          </dPt>
          <dPt>
            <idx val="85"/>
            <invertIfNegative val="0"/>
            <spPr>
              <a:solidFill>
                <a:srgbClr val="ADA6D7"/>
              </a:solidFill>
              <a:ln>
                <a:noFill/>
                <a:prstDash val="solid"/>
              </a:ln>
            </spPr>
          </dPt>
          <dPt>
            <idx val="86"/>
            <invertIfNegative val="0"/>
            <spPr>
              <a:solidFill>
                <a:srgbClr val="ADA6D7"/>
              </a:solidFill>
              <a:ln>
                <a:noFill/>
                <a:prstDash val="solid"/>
              </a:ln>
            </spPr>
          </dPt>
          <dPt>
            <idx val="87"/>
            <invertIfNegative val="0"/>
            <spPr>
              <a:solidFill>
                <a:srgbClr val="ADA6D7"/>
              </a:solidFill>
              <a:ln>
                <a:noFill/>
                <a:prstDash val="solid"/>
              </a:ln>
            </spPr>
          </dPt>
          <dPt>
            <idx val="88"/>
            <invertIfNegative val="0"/>
            <spPr>
              <a:solidFill>
                <a:srgbClr val="ADA6D7"/>
              </a:solidFill>
              <a:ln>
                <a:noFill/>
                <a:prstDash val="solid"/>
              </a:ln>
            </spPr>
          </dPt>
          <dPt>
            <idx val="89"/>
            <invertIfNegative val="0"/>
            <spPr>
              <a:solidFill>
                <a:srgbClr val="ADA6D7"/>
              </a:solidFill>
              <a:ln>
                <a:noFill/>
                <a:prstDash val="solid"/>
              </a:ln>
            </spPr>
          </dPt>
          <dPt>
            <idx val="90"/>
            <invertIfNegative val="0"/>
            <spPr>
              <a:solidFill>
                <a:srgbClr val="ADA6D7"/>
              </a:solidFill>
              <a:ln>
                <a:noFill/>
                <a:prstDash val="solid"/>
              </a:ln>
            </spPr>
          </dPt>
          <dPt>
            <idx val="91"/>
            <invertIfNegative val="0"/>
            <spPr>
              <a:solidFill>
                <a:srgbClr val="ADA6D7"/>
              </a:solidFill>
              <a:ln>
                <a:noFill/>
                <a:prstDash val="solid"/>
              </a:ln>
            </spPr>
          </dPt>
          <dPt>
            <idx val="92"/>
            <invertIfNegative val="0"/>
            <spPr>
              <a:solidFill>
                <a:srgbClr val="ADA6D7"/>
              </a:solidFill>
              <a:ln>
                <a:noFill/>
                <a:prstDash val="solid"/>
              </a:ln>
            </spPr>
          </dPt>
          <dPt>
            <idx val="93"/>
            <invertIfNegative val="0"/>
            <spPr>
              <a:solidFill>
                <a:srgbClr val="ADA6D7"/>
              </a:solidFill>
              <a:ln>
                <a:noFill/>
                <a:prstDash val="solid"/>
              </a:ln>
            </spPr>
          </dPt>
          <dPt>
            <idx val="94"/>
            <invertIfNegative val="0"/>
            <spPr>
              <a:solidFill>
                <a:srgbClr val="ADA6D7"/>
              </a:solidFill>
              <a:ln>
                <a:noFill/>
                <a:prstDash val="solid"/>
              </a:ln>
            </spPr>
          </dPt>
          <dPt>
            <idx val="95"/>
            <invertIfNegative val="0"/>
            <spPr>
              <a:solidFill>
                <a:srgbClr val="ADA6D7"/>
              </a:solidFill>
              <a:ln>
                <a:noFill/>
                <a:prstDash val="solid"/>
              </a:ln>
            </spPr>
          </dPt>
          <dPt>
            <idx val="96"/>
            <invertIfNegative val="0"/>
            <spPr>
              <a:solidFill>
                <a:srgbClr val="DAD7ED"/>
              </a:solidFill>
              <a:ln>
                <a:noFill/>
                <a:prstDash val="solid"/>
              </a:ln>
            </spPr>
          </dPt>
          <dPt>
            <idx val="97"/>
            <invertIfNegative val="0"/>
            <spPr>
              <a:solidFill>
                <a:srgbClr val="DAD7ED"/>
              </a:solidFill>
              <a:ln>
                <a:noFill/>
                <a:prstDash val="solid"/>
              </a:ln>
            </spPr>
          </dPt>
          <dPt>
            <idx val="98"/>
            <invertIfNegative val="0"/>
            <spPr>
              <a:solidFill>
                <a:srgbClr val="DAD7ED"/>
              </a:solidFill>
              <a:ln>
                <a:noFill/>
                <a:prstDash val="solid"/>
              </a:ln>
            </spPr>
          </dPt>
          <dPt>
            <idx val="99"/>
            <invertIfNegative val="0"/>
            <spPr>
              <a:solidFill>
                <a:srgbClr val="DAD7ED"/>
              </a:solidFill>
              <a:ln>
                <a:noFill/>
                <a:prstDash val="solid"/>
              </a:ln>
            </spPr>
          </dPt>
          <dPt>
            <idx val="100"/>
            <invertIfNegative val="0"/>
            <spPr>
              <a:solidFill>
                <a:srgbClr val="DAD7ED"/>
              </a:solidFill>
              <a:ln>
                <a:noFill/>
                <a:prstDash val="solid"/>
              </a:ln>
            </spPr>
          </dPt>
          <dPt>
            <idx val="101"/>
            <invertIfNegative val="0"/>
            <spPr>
              <a:solidFill>
                <a:srgbClr val="DAD7ED"/>
              </a:solidFill>
              <a:ln>
                <a:noFill/>
                <a:prstDash val="solid"/>
              </a:ln>
            </spPr>
          </dPt>
          <dPt>
            <idx val="102"/>
            <invertIfNegative val="0"/>
            <spPr>
              <a:solidFill>
                <a:srgbClr val="DAD7ED"/>
              </a:solidFill>
              <a:ln>
                <a:noFill/>
                <a:prstDash val="solid"/>
              </a:ln>
            </spPr>
          </dPt>
          <dPt>
            <idx val="103"/>
            <invertIfNegative val="0"/>
            <spPr>
              <a:solidFill>
                <a:srgbClr val="DAD7ED"/>
              </a:solidFill>
              <a:ln>
                <a:noFill/>
                <a:prstDash val="solid"/>
              </a:ln>
            </spPr>
          </dPt>
          <dPt>
            <idx val="104"/>
            <invertIfNegative val="0"/>
            <spPr>
              <a:solidFill>
                <a:srgbClr val="DAD7ED"/>
              </a:solidFill>
              <a:ln>
                <a:noFill/>
                <a:prstDash val="solid"/>
              </a:ln>
            </spPr>
          </dPt>
          <dPt>
            <idx val="105"/>
            <invertIfNegative val="0"/>
            <spPr>
              <a:solidFill>
                <a:srgbClr val="DAD7ED"/>
              </a:solidFill>
              <a:ln>
                <a:noFill/>
                <a:prstDash val="solid"/>
              </a:ln>
            </spPr>
          </dPt>
          <dPt>
            <idx val="106"/>
            <invertIfNegative val="0"/>
            <spPr>
              <a:solidFill>
                <a:srgbClr val="DAD7ED"/>
              </a:solidFill>
              <a:ln>
                <a:noFill/>
                <a:prstDash val="solid"/>
              </a:ln>
            </spPr>
          </dPt>
          <dPt>
            <idx val="107"/>
            <invertIfNegative val="0"/>
            <spPr>
              <a:solidFill>
                <a:srgbClr val="DAD7ED"/>
              </a:solidFill>
              <a:ln>
                <a:noFill/>
                <a:prstDash val="solid"/>
              </a:ln>
            </spPr>
          </dPt>
          <dPt>
            <idx val="108"/>
            <invertIfNegative val="0"/>
            <spPr>
              <a:solidFill>
                <a:srgbClr val="DAD7ED"/>
              </a:solidFill>
              <a:ln>
                <a:noFill/>
                <a:prstDash val="solid"/>
              </a:ln>
            </spPr>
          </dPt>
          <dPt>
            <idx val="109"/>
            <invertIfNegative val="0"/>
            <spPr>
              <a:solidFill>
                <a:srgbClr val="DAD7ED"/>
              </a:solidFill>
              <a:ln>
                <a:noFill/>
                <a:prstDash val="solid"/>
              </a:ln>
            </spPr>
          </dPt>
          <dPt>
            <idx val="110"/>
            <invertIfNegative val="0"/>
            <spPr>
              <a:solidFill>
                <a:srgbClr val="DAD7ED"/>
              </a:solidFill>
              <a:ln>
                <a:noFill/>
                <a:prstDash val="solid"/>
              </a:ln>
            </spPr>
          </dPt>
          <dPt>
            <idx val="111"/>
            <invertIfNegative val="0"/>
            <spPr>
              <a:solidFill>
                <a:srgbClr val="DAD7ED"/>
              </a:solidFill>
              <a:ln>
                <a:noFill/>
                <a:prstDash val="solid"/>
              </a:ln>
            </spPr>
          </dPt>
          <dPt>
            <idx val="112"/>
            <invertIfNegative val="0"/>
            <spPr>
              <a:solidFill>
                <a:srgbClr val="DAD7ED"/>
              </a:solidFill>
              <a:ln>
                <a:noFill/>
                <a:prstDash val="solid"/>
              </a:ln>
            </spPr>
          </dPt>
          <dPt>
            <idx val="113"/>
            <invertIfNegative val="0"/>
            <spPr>
              <a:solidFill>
                <a:srgbClr val="DAD7ED"/>
              </a:solidFill>
              <a:ln>
                <a:noFill/>
                <a:prstDash val="solid"/>
              </a:ln>
            </spPr>
          </dPt>
          <dPt>
            <idx val="114"/>
            <invertIfNegative val="0"/>
            <spPr>
              <a:solidFill>
                <a:srgbClr val="DAD7ED"/>
              </a:solidFill>
              <a:ln>
                <a:noFill/>
                <a:prstDash val="solid"/>
              </a:ln>
            </spPr>
          </dPt>
          <dPt>
            <idx val="115"/>
            <invertIfNegative val="0"/>
            <spPr>
              <a:solidFill>
                <a:srgbClr val="DAD7ED"/>
              </a:solidFill>
              <a:ln>
                <a:noFill/>
                <a:prstDash val="solid"/>
              </a:ln>
            </spPr>
          </dPt>
          <dPt>
            <idx val="116"/>
            <invertIfNegative val="0"/>
            <spPr>
              <a:solidFill>
                <a:srgbClr val="DAD7ED"/>
              </a:solidFill>
              <a:ln>
                <a:noFill/>
                <a:prstDash val="solid"/>
              </a:ln>
            </spPr>
          </dPt>
          <dPt>
            <idx val="117"/>
            <invertIfNegative val="0"/>
            <spPr>
              <a:solidFill>
                <a:srgbClr val="DAD7ED"/>
              </a:solidFill>
              <a:ln>
                <a:noFill/>
                <a:prstDash val="solid"/>
              </a:ln>
            </spPr>
          </dPt>
          <dPt>
            <idx val="118"/>
            <invertIfNegative val="0"/>
            <spPr>
              <a:solidFill>
                <a:srgbClr val="DAD7ED"/>
              </a:solidFill>
              <a:ln>
                <a:noFill/>
                <a:prstDash val="solid"/>
              </a:ln>
            </spPr>
          </dPt>
          <dPt>
            <idx val="119"/>
            <invertIfNegative val="0"/>
            <spPr>
              <a:solidFill>
                <a:srgbClr val="DAD7ED"/>
              </a:solidFill>
              <a:ln>
                <a:noFill/>
                <a:prstDash val="solid"/>
              </a:ln>
            </spPr>
          </dPt>
          <dPt>
            <idx val="120"/>
            <invertIfNegative val="0"/>
            <spPr>
              <a:solidFill>
                <a:srgbClr val="DAD7ED"/>
              </a:solidFill>
              <a:ln>
                <a:noFill/>
                <a:prstDash val="solid"/>
              </a:ln>
            </spPr>
          </dPt>
          <dPt>
            <idx val="121"/>
            <invertIfNegative val="0"/>
            <spPr>
              <a:solidFill>
                <a:srgbClr val="DAD7ED"/>
              </a:solidFill>
              <a:ln>
                <a:noFill/>
                <a:prstDash val="solid"/>
              </a:ln>
            </spPr>
          </dPt>
          <dPt>
            <idx val="122"/>
            <invertIfNegative val="0"/>
            <spPr>
              <a:solidFill>
                <a:srgbClr val="DAD7ED"/>
              </a:solidFill>
              <a:ln>
                <a:noFill/>
                <a:prstDash val="solid"/>
              </a:ln>
            </spPr>
          </dPt>
          <dPt>
            <idx val="123"/>
            <invertIfNegative val="0"/>
            <spPr>
              <a:solidFill>
                <a:srgbClr val="DAD7ED"/>
              </a:solidFill>
              <a:ln>
                <a:noFill/>
                <a:prstDash val="solid"/>
              </a:ln>
            </spPr>
          </dPt>
          <dPt>
            <idx val="124"/>
            <invertIfNegative val="0"/>
            <spPr>
              <a:solidFill>
                <a:srgbClr val="DAD7ED"/>
              </a:solidFill>
              <a:ln>
                <a:noFill/>
                <a:prstDash val="solid"/>
              </a:ln>
            </spPr>
          </dPt>
          <dPt>
            <idx val="125"/>
            <invertIfNegative val="0"/>
            <spPr>
              <a:solidFill>
                <a:srgbClr val="DAD7ED"/>
              </a:solidFill>
              <a:ln>
                <a:noFill/>
                <a:prstDash val="solid"/>
              </a:ln>
            </spPr>
          </dPt>
          <dPt>
            <idx val="126"/>
            <invertIfNegative val="0"/>
            <spPr>
              <a:solidFill>
                <a:srgbClr val="DAD7ED"/>
              </a:solidFill>
              <a:ln>
                <a:noFill/>
                <a:prstDash val="solid"/>
              </a:ln>
            </spPr>
          </dPt>
          <dPt>
            <idx val="127"/>
            <invertIfNegative val="0"/>
            <spPr>
              <a:solidFill>
                <a:srgbClr val="DAD7ED"/>
              </a:solidFill>
              <a:ln>
                <a:noFill/>
                <a:prstDash val="solid"/>
              </a:ln>
            </spPr>
          </dPt>
          <dPt>
            <idx val="128"/>
            <invertIfNegative val="0"/>
            <spPr>
              <a:solidFill>
                <a:srgbClr val="DAD7ED"/>
              </a:solidFill>
              <a:ln>
                <a:noFill/>
                <a:prstDash val="solid"/>
              </a:ln>
            </spPr>
          </dPt>
          <dPt>
            <idx val="129"/>
            <invertIfNegative val="0"/>
            <spPr>
              <a:solidFill>
                <a:srgbClr val="DAD7ED"/>
              </a:solidFill>
              <a:ln>
                <a:noFill/>
                <a:prstDash val="solid"/>
              </a:ln>
            </spPr>
          </dPt>
          <dPt>
            <idx val="130"/>
            <invertIfNegative val="0"/>
            <spPr>
              <a:solidFill>
                <a:srgbClr val="DAD7ED"/>
              </a:solidFill>
              <a:ln>
                <a:noFill/>
                <a:prstDash val="solid"/>
              </a:ln>
            </spPr>
          </dPt>
          <dPt>
            <idx val="131"/>
            <invertIfNegative val="0"/>
            <spPr>
              <a:solidFill>
                <a:srgbClr val="DAD7ED"/>
              </a:solidFill>
              <a:ln>
                <a:noFill/>
                <a:prstDash val="solid"/>
              </a:ln>
            </spPr>
          </dPt>
          <dPt>
            <idx val="132"/>
            <invertIfNegative val="0"/>
            <spPr>
              <a:solidFill>
                <a:srgbClr val="DAD7ED"/>
              </a:solidFill>
              <a:ln>
                <a:noFill/>
                <a:prstDash val="solid"/>
              </a:ln>
            </spPr>
          </dPt>
          <dPt>
            <idx val="133"/>
            <invertIfNegative val="0"/>
            <spPr>
              <a:solidFill>
                <a:srgbClr val="DAD7ED"/>
              </a:solidFill>
              <a:ln>
                <a:noFill/>
                <a:prstDash val="solid"/>
              </a:ln>
            </spPr>
          </dPt>
          <dPt>
            <idx val="134"/>
            <invertIfNegative val="0"/>
            <spPr>
              <a:solidFill>
                <a:srgbClr val="DAD7ED"/>
              </a:solidFill>
              <a:ln>
                <a:noFill/>
                <a:prstDash val="solid"/>
              </a:ln>
            </spPr>
          </dPt>
          <dPt>
            <idx val="135"/>
            <invertIfNegative val="0"/>
            <spPr>
              <a:solidFill>
                <a:srgbClr val="DAD7ED"/>
              </a:solidFill>
              <a:ln>
                <a:noFill/>
                <a:prstDash val="solid"/>
              </a:ln>
            </spPr>
          </dPt>
          <dPt>
            <idx val="136"/>
            <invertIfNegative val="0"/>
            <spPr>
              <a:solidFill>
                <a:srgbClr val="DAD7ED"/>
              </a:solidFill>
              <a:ln>
                <a:noFill/>
                <a:prstDash val="solid"/>
              </a:ln>
            </spPr>
          </dPt>
          <dPt>
            <idx val="137"/>
            <invertIfNegative val="0"/>
            <spPr>
              <a:solidFill>
                <a:srgbClr val="DAD7ED"/>
              </a:solidFill>
              <a:ln>
                <a:noFill/>
                <a:prstDash val="solid"/>
              </a:ln>
            </spPr>
          </dPt>
          <dPt>
            <idx val="138"/>
            <invertIfNegative val="0"/>
            <spPr>
              <a:solidFill>
                <a:srgbClr val="DAD7ED"/>
              </a:solidFill>
              <a:ln>
                <a:noFill/>
                <a:prstDash val="solid"/>
              </a:ln>
            </spPr>
          </dPt>
          <dPt>
            <idx val="139"/>
            <invertIfNegative val="0"/>
            <spPr>
              <a:solidFill>
                <a:srgbClr val="DAD7ED"/>
              </a:solidFill>
              <a:ln>
                <a:noFill/>
                <a:prstDash val="solid"/>
              </a:ln>
            </spPr>
          </dPt>
          <dPt>
            <idx val="140"/>
            <invertIfNegative val="0"/>
            <spPr>
              <a:solidFill>
                <a:srgbClr val="DAD7ED"/>
              </a:solidFill>
              <a:ln>
                <a:noFill/>
                <a:prstDash val="solid"/>
              </a:ln>
            </spPr>
          </dPt>
          <dPt>
            <idx val="141"/>
            <invertIfNegative val="0"/>
            <spPr>
              <a:solidFill>
                <a:srgbClr val="DAD7ED"/>
              </a:solidFill>
              <a:ln>
                <a:noFill/>
                <a:prstDash val="solid"/>
              </a:ln>
            </spPr>
          </dPt>
          <dPt>
            <idx val="142"/>
            <invertIfNegative val="0"/>
            <spPr>
              <a:solidFill>
                <a:srgbClr val="DAD7ED"/>
              </a:solidFill>
              <a:ln>
                <a:noFill/>
                <a:prstDash val="solid"/>
              </a:ln>
            </spPr>
          </dPt>
          <dPt>
            <idx val="143"/>
            <invertIfNegative val="0"/>
            <spPr>
              <a:solidFill>
                <a:srgbClr val="DAD7ED"/>
              </a:solidFill>
              <a:ln>
                <a:noFill/>
                <a:prstDash val="solid"/>
              </a:ln>
            </spPr>
          </dPt>
          <dPt>
            <idx val="144"/>
            <invertIfNegative val="0"/>
            <spPr>
              <a:solidFill>
                <a:srgbClr val="DAD7ED"/>
              </a:solidFill>
              <a:ln>
                <a:noFill/>
                <a:prstDash val="solid"/>
              </a:ln>
            </spPr>
          </dPt>
          <dPt>
            <idx val="145"/>
            <invertIfNegative val="0"/>
            <spPr>
              <a:solidFill>
                <a:srgbClr val="DAD7ED"/>
              </a:solidFill>
              <a:ln>
                <a:noFill/>
                <a:prstDash val="solid"/>
              </a:ln>
            </spPr>
          </dPt>
          <dPt>
            <idx val="146"/>
            <invertIfNegative val="0"/>
            <spPr>
              <a:solidFill>
                <a:srgbClr val="DAD7ED"/>
              </a:solidFill>
              <a:ln>
                <a:noFill/>
                <a:prstDash val="solid"/>
              </a:ln>
            </spPr>
          </dPt>
          <dPt>
            <idx val="147"/>
            <invertIfNegative val="0"/>
            <spPr>
              <a:solidFill>
                <a:srgbClr val="DAD7ED"/>
              </a:solidFill>
              <a:ln>
                <a:noFill/>
                <a:prstDash val="solid"/>
              </a:ln>
            </spPr>
          </dPt>
          <dPt>
            <idx val="148"/>
            <invertIfNegative val="0"/>
            <spPr>
              <a:solidFill>
                <a:srgbClr val="DAD7ED"/>
              </a:solidFill>
              <a:ln>
                <a:noFill/>
                <a:prstDash val="solid"/>
              </a:ln>
            </spPr>
          </dPt>
          <dPt>
            <idx val="149"/>
            <invertIfNegative val="0"/>
            <spPr>
              <a:solidFill>
                <a:srgbClr val="DAD7ED"/>
              </a:solidFill>
              <a:ln>
                <a:noFill/>
                <a:prstDash val="solid"/>
              </a:ln>
            </spPr>
          </dPt>
          <dPt>
            <idx val="150"/>
            <invertIfNegative val="0"/>
            <spPr>
              <a:solidFill>
                <a:srgbClr val="DAD7ED"/>
              </a:solidFill>
              <a:ln>
                <a:noFill/>
                <a:prstDash val="solid"/>
              </a:ln>
            </spPr>
          </dPt>
          <dPt>
            <idx val="151"/>
            <invertIfNegative val="0"/>
            <spPr>
              <a:solidFill>
                <a:srgbClr val="DAD7ED"/>
              </a:solidFill>
              <a:ln>
                <a:noFill/>
                <a:prstDash val="solid"/>
              </a:ln>
            </spPr>
          </dPt>
          <dPt>
            <idx val="152"/>
            <invertIfNegative val="0"/>
            <spPr>
              <a:solidFill>
                <a:srgbClr val="DAD7ED"/>
              </a:solidFill>
              <a:ln>
                <a:noFill/>
                <a:prstDash val="solid"/>
              </a:ln>
            </spPr>
          </dPt>
          <dPt>
            <idx val="153"/>
            <invertIfNegative val="0"/>
            <spPr>
              <a:solidFill>
                <a:srgbClr val="DAD7ED"/>
              </a:solidFill>
              <a:ln>
                <a:noFill/>
                <a:prstDash val="solid"/>
              </a:ln>
            </spPr>
          </dPt>
          <dPt>
            <idx val="154"/>
            <invertIfNegative val="0"/>
            <spPr>
              <a:solidFill>
                <a:srgbClr val="DAD7ED"/>
              </a:solidFill>
              <a:ln>
                <a:noFill/>
                <a:prstDash val="solid"/>
              </a:ln>
            </spPr>
          </dPt>
          <dPt>
            <idx val="155"/>
            <invertIfNegative val="0"/>
            <spPr>
              <a:solidFill>
                <a:srgbClr val="DAD7ED"/>
              </a:solidFill>
              <a:ln>
                <a:noFill/>
                <a:prstDash val="solid"/>
              </a:ln>
            </spPr>
          </dPt>
          <cat>
            <numRef>
              <f>'Chart'!$A$2:$A$157</f>
            </numRef>
          </cat>
          <val>
            <numRef>
              <f>'Chart'!$I$2:$I$157</f>
            </numRef>
          </val>
        </ser>
        <gapWidth val="30"/>
        <overlap val="100"/>
        <axId val="10"/>
        <axId val="100"/>
      </barChart>
      <lineChart>
        <grouping val="standard"/>
        <ser>
          <idx val="8"/>
          <order val="8"/>
          <tx>
            <strRef>
              <f>'Chart'!J1</f>
            </strRef>
          </tx>
          <spPr>
            <a:ln w="28575">
              <a:solidFill>
                <a:srgbClr val="6D4C41"/>
              </a:solidFill>
              <a:prstDash val="dash"/>
            </a:ln>
          </spPr>
          <marker>
            <symbol val="none"/>
            <spPr>
              <a:ln>
                <a:prstDash val="solid"/>
              </a:ln>
            </spPr>
          </marker>
          <cat>
            <numRef>
              <f>'Chart'!$A$2:$A$157</f>
            </numRef>
          </cat>
          <val>
            <numRef>
              <f>'Chart'!$J$2:$J$157</f>
            </numRef>
          </val>
          <smooth val="0"/>
        </ser>
        <ser>
          <idx val="9"/>
          <order val="9"/>
          <tx>
            <strRef>
              <f>'Chart'!K1</f>
            </strRef>
          </tx>
          <spPr>
            <a:ln w="28575">
              <a:solidFill>
                <a:srgbClr val="6D4C41"/>
              </a:solidFill>
              <a:prstDash val="solid"/>
            </a:ln>
          </spPr>
          <marker>
            <symbol val="none"/>
            <spPr>
              <a:ln>
                <a:prstDash val="solid"/>
              </a:ln>
            </spPr>
          </marker>
          <cat>
            <numRef>
              <f>'Chart'!$A$2:$A$157</f>
            </numRef>
          </cat>
          <val>
            <numRef>
              <f>'Chart'!$K$2:$K$157</f>
            </numRef>
          </val>
          <smooth val="0"/>
        </ser>
        <ser>
          <idx val="10"/>
          <order val="10"/>
          <tx>
            <strRef>
              <f>'Chart'!L1</f>
            </strRef>
          </tx>
          <spPr>
            <a:ln w="28575">
              <a:solidFill>
                <a:srgbClr val="7F7F7F"/>
              </a:solidFill>
              <a:prstDash val="dash"/>
            </a:ln>
          </spPr>
          <marker>
            <symbol val="none"/>
            <spPr>
              <a:ln>
                <a:prstDash val="solid"/>
              </a:ln>
            </spPr>
          </marker>
          <cat>
            <numRef>
              <f>'Chart'!$A$2:$A$157</f>
            </numRef>
          </cat>
          <val>
            <numRef>
              <f>'Chart'!$L$2:$L$157</f>
            </numRef>
          </val>
          <smooth val="0"/>
        </ser>
        <ser>
          <idx val="11"/>
          <order val="11"/>
          <tx>
            <strRef>
              <f>'Chart'!M1</f>
            </strRef>
          </tx>
          <spPr>
            <a:ln w="28575">
              <a:solidFill>
                <a:srgbClr val="252525"/>
              </a:solidFill>
              <a:prstDash val="sysDot"/>
            </a:ln>
          </spPr>
          <marker>
            <symbol val="none"/>
            <spPr>
              <a:ln>
                <a:prstDash val="solid"/>
              </a:ln>
            </spPr>
          </marker>
          <cat>
            <numRef>
              <f>'Chart'!$A$2:$A$157</f>
            </numRef>
          </cat>
          <val>
            <numRef>
              <f>'Chart'!$M$2:$M$157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Gulf demand with ILLUSTRATIVE Louisiana LNG projects stacked on top (not forecasts)</a:t>
            </a:r>
          </a:p>
          <a:p>
            <a:pPr>
              <a:defRPr/>
            </a:pPr>
            <a:r>
              <a:rPr sz="1200" b="1"/>
              <a:t>Layer = nameplate x 1.09 x ramp from an assumed first-LNG month; supply beyond 2028 = damped STEO extension (to Dec/33; forecast from Jan/28, scenario from Jan/31, lightest bars)</a:t>
            </a:r>
          </a:p>
        </rich>
      </tx>
      <overlay val="0"/>
    </title>
    <plotArea>
      <barChart>
        <barDir val="col"/>
        <grouping val="stacked"/>
        <ser>
          <idx val="0"/>
          <order val="0"/>
          <tx>
            <strRef>
              <f>'Chart - Louisiana sensitivity'!B1</f>
            </strRef>
          </tx>
          <spPr>
            <a:solidFill>
              <a:srgbClr val="2A78D6"/>
            </a:solidFill>
            <a:ln>
              <a:noFill/>
              <a:prstDash val="solid"/>
            </a:ln>
          </spPr>
          <dPt>
            <idx val="0"/>
            <invertIfNegative val="0"/>
            <spPr>
              <a:solidFill>
                <a:srgbClr val="9FC2EC"/>
              </a:solidFill>
              <a:ln>
                <a:noFill/>
                <a:prstDash val="solid"/>
              </a:ln>
            </spPr>
          </dPt>
          <dPt>
            <idx val="1"/>
            <invertIfNegative val="0"/>
            <spPr>
              <a:solidFill>
                <a:srgbClr val="9FC2EC"/>
              </a:solidFill>
              <a:ln>
                <a:noFill/>
                <a:prstDash val="solid"/>
              </a:ln>
            </spPr>
          </dPt>
          <dPt>
            <idx val="2"/>
            <invertIfNegative val="0"/>
            <spPr>
              <a:solidFill>
                <a:srgbClr val="9FC2EC"/>
              </a:solidFill>
              <a:ln>
                <a:noFill/>
                <a:prstDash val="solid"/>
              </a:ln>
            </spPr>
          </dPt>
          <dPt>
            <idx val="3"/>
            <invertIfNegative val="0"/>
            <spPr>
              <a:solidFill>
                <a:srgbClr val="9FC2EC"/>
              </a:solidFill>
              <a:ln>
                <a:noFill/>
                <a:prstDash val="solid"/>
              </a:ln>
            </spPr>
          </dPt>
          <dPt>
            <idx val="4"/>
            <invertIfNegative val="0"/>
            <spPr>
              <a:solidFill>
                <a:srgbClr val="9FC2EC"/>
              </a:solidFill>
              <a:ln>
                <a:noFill/>
                <a:prstDash val="solid"/>
              </a:ln>
            </spPr>
          </dPt>
          <dPt>
            <idx val="5"/>
            <invertIfNegative val="0"/>
            <spPr>
              <a:solidFill>
                <a:srgbClr val="9FC2EC"/>
              </a:solidFill>
              <a:ln>
                <a:noFill/>
                <a:prstDash val="solid"/>
              </a:ln>
            </spPr>
          </dPt>
          <dPt>
            <idx val="6"/>
            <invertIfNegative val="0"/>
            <spPr>
              <a:solidFill>
                <a:srgbClr val="9FC2EC"/>
              </a:solidFill>
              <a:ln>
                <a:noFill/>
                <a:prstDash val="solid"/>
              </a:ln>
            </spPr>
          </dPt>
          <dPt>
            <idx val="7"/>
            <invertIfNegative val="0"/>
            <spPr>
              <a:solidFill>
                <a:srgbClr val="9FC2EC"/>
              </a:solidFill>
              <a:ln>
                <a:noFill/>
                <a:prstDash val="solid"/>
              </a:ln>
            </spPr>
          </dPt>
          <dPt>
            <idx val="8"/>
            <invertIfNegative val="0"/>
            <spPr>
              <a:solidFill>
                <a:srgbClr val="9FC2EC"/>
              </a:solidFill>
              <a:ln>
                <a:noFill/>
                <a:prstDash val="solid"/>
              </a:ln>
            </spPr>
          </dPt>
          <dPt>
            <idx val="9"/>
            <invertIfNegative val="0"/>
            <spPr>
              <a:solidFill>
                <a:srgbClr val="9FC2EC"/>
              </a:solidFill>
              <a:ln>
                <a:noFill/>
                <a:prstDash val="solid"/>
              </a:ln>
            </spPr>
          </dPt>
          <dPt>
            <idx val="10"/>
            <invertIfNegative val="0"/>
            <spPr>
              <a:solidFill>
                <a:srgbClr val="9FC2EC"/>
              </a:solidFill>
              <a:ln>
                <a:noFill/>
                <a:prstDash val="solid"/>
              </a:ln>
            </spPr>
          </dPt>
          <dPt>
            <idx val="11"/>
            <invertIfNegative val="0"/>
            <spPr>
              <a:solidFill>
                <a:srgbClr val="9FC2EC"/>
              </a:solidFill>
              <a:ln>
                <a:noFill/>
                <a:prstDash val="solid"/>
              </a:ln>
            </spPr>
          </dPt>
          <dPt>
            <idx val="12"/>
            <invertIfNegative val="0"/>
            <spPr>
              <a:solidFill>
                <a:srgbClr val="9FC2EC"/>
              </a:solidFill>
              <a:ln>
                <a:noFill/>
                <a:prstDash val="solid"/>
              </a:ln>
            </spPr>
          </dPt>
          <dPt>
            <idx val="13"/>
            <invertIfNegative val="0"/>
            <spPr>
              <a:solidFill>
                <a:srgbClr val="9FC2EC"/>
              </a:solidFill>
              <a:ln>
                <a:noFill/>
                <a:prstDash val="solid"/>
              </a:ln>
            </spPr>
          </dPt>
          <dPt>
            <idx val="14"/>
            <invertIfNegative val="0"/>
            <spPr>
              <a:solidFill>
                <a:srgbClr val="9FC2EC"/>
              </a:solidFill>
              <a:ln>
                <a:noFill/>
                <a:prstDash val="solid"/>
              </a:ln>
            </spPr>
          </dPt>
          <dPt>
            <idx val="15"/>
            <invertIfNegative val="0"/>
            <spPr>
              <a:solidFill>
                <a:srgbClr val="9FC2EC"/>
              </a:solidFill>
              <a:ln>
                <a:noFill/>
                <a:prstDash val="solid"/>
              </a:ln>
            </spPr>
          </dPt>
          <dPt>
            <idx val="16"/>
            <invertIfNegative val="0"/>
            <spPr>
              <a:solidFill>
                <a:srgbClr val="9FC2EC"/>
              </a:solidFill>
              <a:ln>
                <a:noFill/>
                <a:prstDash val="solid"/>
              </a:ln>
            </spPr>
          </dPt>
          <dPt>
            <idx val="17"/>
            <invertIfNegative val="0"/>
            <spPr>
              <a:solidFill>
                <a:srgbClr val="9FC2EC"/>
              </a:solidFill>
              <a:ln>
                <a:noFill/>
                <a:prstDash val="solid"/>
              </a:ln>
            </spPr>
          </dPt>
          <dPt>
            <idx val="18"/>
            <invertIfNegative val="0"/>
            <spPr>
              <a:solidFill>
                <a:srgbClr val="9FC2EC"/>
              </a:solidFill>
              <a:ln>
                <a:noFill/>
                <a:prstDash val="solid"/>
              </a:ln>
            </spPr>
          </dPt>
          <dPt>
            <idx val="19"/>
            <invertIfNegative val="0"/>
            <spPr>
              <a:solidFill>
                <a:srgbClr val="9FC2EC"/>
              </a:solidFill>
              <a:ln>
                <a:noFill/>
                <a:prstDash val="solid"/>
              </a:ln>
            </spPr>
          </dPt>
          <dPt>
            <idx val="20"/>
            <invertIfNegative val="0"/>
            <spPr>
              <a:solidFill>
                <a:srgbClr val="9FC2EC"/>
              </a:solidFill>
              <a:ln>
                <a:noFill/>
                <a:prstDash val="solid"/>
              </a:ln>
            </spPr>
          </dPt>
          <dPt>
            <idx val="21"/>
            <invertIfNegative val="0"/>
            <spPr>
              <a:solidFill>
                <a:srgbClr val="9FC2EC"/>
              </a:solidFill>
              <a:ln>
                <a:noFill/>
                <a:prstDash val="solid"/>
              </a:ln>
            </spPr>
          </dPt>
          <dPt>
            <idx val="22"/>
            <invertIfNegative val="0"/>
            <spPr>
              <a:solidFill>
                <a:srgbClr val="9FC2EC"/>
              </a:solidFill>
              <a:ln>
                <a:noFill/>
                <a:prstDash val="solid"/>
              </a:ln>
            </spPr>
          </dPt>
          <dPt>
            <idx val="23"/>
            <invertIfNegative val="0"/>
            <spPr>
              <a:solidFill>
                <a:srgbClr val="9FC2EC"/>
              </a:solidFill>
              <a:ln>
                <a:noFill/>
                <a:prstDash val="solid"/>
              </a:ln>
            </spPr>
          </dPt>
          <dPt>
            <idx val="24"/>
            <invertIfNegative val="0"/>
            <spPr>
              <a:solidFill>
                <a:srgbClr val="9FC2EC"/>
              </a:solidFill>
              <a:ln>
                <a:noFill/>
                <a:prstDash val="solid"/>
              </a:ln>
            </spPr>
          </dPt>
          <dPt>
            <idx val="25"/>
            <invertIfNegative val="0"/>
            <spPr>
              <a:solidFill>
                <a:srgbClr val="9FC2EC"/>
              </a:solidFill>
              <a:ln>
                <a:noFill/>
                <a:prstDash val="solid"/>
              </a:ln>
            </spPr>
          </dPt>
          <dPt>
            <idx val="26"/>
            <invertIfNegative val="0"/>
            <spPr>
              <a:solidFill>
                <a:srgbClr val="9FC2EC"/>
              </a:solidFill>
              <a:ln>
                <a:noFill/>
                <a:prstDash val="solid"/>
              </a:ln>
            </spPr>
          </dPt>
          <dPt>
            <idx val="27"/>
            <invertIfNegative val="0"/>
            <spPr>
              <a:solidFill>
                <a:srgbClr val="9FC2EC"/>
              </a:solidFill>
              <a:ln>
                <a:noFill/>
                <a:prstDash val="solid"/>
              </a:ln>
            </spPr>
          </dPt>
          <dPt>
            <idx val="28"/>
            <invertIfNegative val="0"/>
            <spPr>
              <a:solidFill>
                <a:srgbClr val="9FC2EC"/>
              </a:solidFill>
              <a:ln>
                <a:noFill/>
                <a:prstDash val="solid"/>
              </a:ln>
            </spPr>
          </dPt>
          <dPt>
            <idx val="29"/>
            <invertIfNegative val="0"/>
            <spPr>
              <a:solidFill>
                <a:srgbClr val="9FC2EC"/>
              </a:solidFill>
              <a:ln>
                <a:noFill/>
                <a:prstDash val="solid"/>
              </a:ln>
            </spPr>
          </dPt>
          <dPt>
            <idx val="30"/>
            <invertIfNegative val="0"/>
            <spPr>
              <a:solidFill>
                <a:srgbClr val="9FC2EC"/>
              </a:solidFill>
              <a:ln>
                <a:noFill/>
                <a:prstDash val="solid"/>
              </a:ln>
            </spPr>
          </dPt>
          <dPt>
            <idx val="31"/>
            <invertIfNegative val="0"/>
            <spPr>
              <a:solidFill>
                <a:srgbClr val="9FC2EC"/>
              </a:solidFill>
              <a:ln>
                <a:noFill/>
                <a:prstDash val="solid"/>
              </a:ln>
            </spPr>
          </dPt>
          <dPt>
            <idx val="32"/>
            <invertIfNegative val="0"/>
            <spPr>
              <a:solidFill>
                <a:srgbClr val="9FC2EC"/>
              </a:solidFill>
              <a:ln>
                <a:noFill/>
                <a:prstDash val="solid"/>
              </a:ln>
            </spPr>
          </dPt>
          <dPt>
            <idx val="33"/>
            <invertIfNegative val="0"/>
            <spPr>
              <a:solidFill>
                <a:srgbClr val="9FC2EC"/>
              </a:solidFill>
              <a:ln>
                <a:noFill/>
                <a:prstDash val="solid"/>
              </a:ln>
            </spPr>
          </dPt>
          <dPt>
            <idx val="34"/>
            <invertIfNegative val="0"/>
            <spPr>
              <a:solidFill>
                <a:srgbClr val="9FC2EC"/>
              </a:solidFill>
              <a:ln>
                <a:noFill/>
                <a:prstDash val="solid"/>
              </a:ln>
            </spPr>
          </dPt>
          <dPt>
            <idx val="35"/>
            <invertIfNegative val="0"/>
            <spPr>
              <a:solidFill>
                <a:srgbClr val="9FC2EC"/>
              </a:solidFill>
              <a:ln>
                <a:noFill/>
                <a:prstDash val="solid"/>
              </a:ln>
            </spPr>
          </dPt>
          <dPt>
            <idx val="36"/>
            <invertIfNegative val="0"/>
            <spPr>
              <a:solidFill>
                <a:srgbClr val="D4E4F6"/>
              </a:solidFill>
              <a:ln>
                <a:noFill/>
                <a:prstDash val="solid"/>
              </a:ln>
            </spPr>
          </dPt>
          <dPt>
            <idx val="37"/>
            <invertIfNegative val="0"/>
            <spPr>
              <a:solidFill>
                <a:srgbClr val="D4E4F6"/>
              </a:solidFill>
              <a:ln>
                <a:noFill/>
                <a:prstDash val="solid"/>
              </a:ln>
            </spPr>
          </dPt>
          <dPt>
            <idx val="38"/>
            <invertIfNegative val="0"/>
            <spPr>
              <a:solidFill>
                <a:srgbClr val="D4E4F6"/>
              </a:solidFill>
              <a:ln>
                <a:noFill/>
                <a:prstDash val="solid"/>
              </a:ln>
            </spPr>
          </dPt>
          <dPt>
            <idx val="39"/>
            <invertIfNegative val="0"/>
            <spPr>
              <a:solidFill>
                <a:srgbClr val="D4E4F6"/>
              </a:solidFill>
              <a:ln>
                <a:noFill/>
                <a:prstDash val="solid"/>
              </a:ln>
            </spPr>
          </dPt>
          <dPt>
            <idx val="40"/>
            <invertIfNegative val="0"/>
            <spPr>
              <a:solidFill>
                <a:srgbClr val="D4E4F6"/>
              </a:solidFill>
              <a:ln>
                <a:noFill/>
                <a:prstDash val="solid"/>
              </a:ln>
            </spPr>
          </dPt>
          <dPt>
            <idx val="41"/>
            <invertIfNegative val="0"/>
            <spPr>
              <a:solidFill>
                <a:srgbClr val="D4E4F6"/>
              </a:solidFill>
              <a:ln>
                <a:noFill/>
                <a:prstDash val="solid"/>
              </a:ln>
            </spPr>
          </dPt>
          <dPt>
            <idx val="42"/>
            <invertIfNegative val="0"/>
            <spPr>
              <a:solidFill>
                <a:srgbClr val="D4E4F6"/>
              </a:solidFill>
              <a:ln>
                <a:noFill/>
                <a:prstDash val="solid"/>
              </a:ln>
            </spPr>
          </dPt>
          <dPt>
            <idx val="43"/>
            <invertIfNegative val="0"/>
            <spPr>
              <a:solidFill>
                <a:srgbClr val="D4E4F6"/>
              </a:solidFill>
              <a:ln>
                <a:noFill/>
                <a:prstDash val="solid"/>
              </a:ln>
            </spPr>
          </dPt>
          <dPt>
            <idx val="44"/>
            <invertIfNegative val="0"/>
            <spPr>
              <a:solidFill>
                <a:srgbClr val="D4E4F6"/>
              </a:solidFill>
              <a:ln>
                <a:noFill/>
                <a:prstDash val="solid"/>
              </a:ln>
            </spPr>
          </dPt>
          <dPt>
            <idx val="45"/>
            <invertIfNegative val="0"/>
            <spPr>
              <a:solidFill>
                <a:srgbClr val="D4E4F6"/>
              </a:solidFill>
              <a:ln>
                <a:noFill/>
                <a:prstDash val="solid"/>
              </a:ln>
            </spPr>
          </dPt>
          <dPt>
            <idx val="46"/>
            <invertIfNegative val="0"/>
            <spPr>
              <a:solidFill>
                <a:srgbClr val="D4E4F6"/>
              </a:solidFill>
              <a:ln>
                <a:noFill/>
                <a:prstDash val="solid"/>
              </a:ln>
            </spPr>
          </dPt>
          <dPt>
            <idx val="47"/>
            <invertIfNegative val="0"/>
            <spPr>
              <a:solidFill>
                <a:srgbClr val="D4E4F6"/>
              </a:solidFill>
              <a:ln>
                <a:noFill/>
                <a:prstDash val="solid"/>
              </a:ln>
            </spPr>
          </dPt>
          <dPt>
            <idx val="48"/>
            <invertIfNegative val="0"/>
            <spPr>
              <a:solidFill>
                <a:srgbClr val="D4E4F6"/>
              </a:solidFill>
              <a:ln>
                <a:noFill/>
                <a:prstDash val="solid"/>
              </a:ln>
            </spPr>
          </dPt>
          <dPt>
            <idx val="49"/>
            <invertIfNegative val="0"/>
            <spPr>
              <a:solidFill>
                <a:srgbClr val="D4E4F6"/>
              </a:solidFill>
              <a:ln>
                <a:noFill/>
                <a:prstDash val="solid"/>
              </a:ln>
            </spPr>
          </dPt>
          <dPt>
            <idx val="50"/>
            <invertIfNegative val="0"/>
            <spPr>
              <a:solidFill>
                <a:srgbClr val="D4E4F6"/>
              </a:solidFill>
              <a:ln>
                <a:noFill/>
                <a:prstDash val="solid"/>
              </a:ln>
            </spPr>
          </dPt>
          <dPt>
            <idx val="51"/>
            <invertIfNegative val="0"/>
            <spPr>
              <a:solidFill>
                <a:srgbClr val="D4E4F6"/>
              </a:solidFill>
              <a:ln>
                <a:noFill/>
                <a:prstDash val="solid"/>
              </a:ln>
            </spPr>
          </dPt>
          <dPt>
            <idx val="52"/>
            <invertIfNegative val="0"/>
            <spPr>
              <a:solidFill>
                <a:srgbClr val="D4E4F6"/>
              </a:solidFill>
              <a:ln>
                <a:noFill/>
                <a:prstDash val="solid"/>
              </a:ln>
            </spPr>
          </dPt>
          <dPt>
            <idx val="53"/>
            <invertIfNegative val="0"/>
            <spPr>
              <a:solidFill>
                <a:srgbClr val="D4E4F6"/>
              </a:solidFill>
              <a:ln>
                <a:noFill/>
                <a:prstDash val="solid"/>
              </a:ln>
            </spPr>
          </dPt>
          <dPt>
            <idx val="54"/>
            <invertIfNegative val="0"/>
            <spPr>
              <a:solidFill>
                <a:srgbClr val="D4E4F6"/>
              </a:solidFill>
              <a:ln>
                <a:noFill/>
                <a:prstDash val="solid"/>
              </a:ln>
            </spPr>
          </dPt>
          <dPt>
            <idx val="55"/>
            <invertIfNegative val="0"/>
            <spPr>
              <a:solidFill>
                <a:srgbClr val="D4E4F6"/>
              </a:solidFill>
              <a:ln>
                <a:noFill/>
                <a:prstDash val="solid"/>
              </a:ln>
            </spPr>
          </dPt>
          <dPt>
            <idx val="56"/>
            <invertIfNegative val="0"/>
            <spPr>
              <a:solidFill>
                <a:srgbClr val="D4E4F6"/>
              </a:solidFill>
              <a:ln>
                <a:noFill/>
                <a:prstDash val="solid"/>
              </a:ln>
            </spPr>
          </dPt>
          <dPt>
            <idx val="57"/>
            <invertIfNegative val="0"/>
            <spPr>
              <a:solidFill>
                <a:srgbClr val="D4E4F6"/>
              </a:solidFill>
              <a:ln>
                <a:noFill/>
                <a:prstDash val="solid"/>
              </a:ln>
            </spPr>
          </dPt>
          <dPt>
            <idx val="58"/>
            <invertIfNegative val="0"/>
            <spPr>
              <a:solidFill>
                <a:srgbClr val="D4E4F6"/>
              </a:solidFill>
              <a:ln>
                <a:noFill/>
                <a:prstDash val="solid"/>
              </a:ln>
            </spPr>
          </dPt>
          <dPt>
            <idx val="59"/>
            <invertIfNegative val="0"/>
            <spPr>
              <a:solidFill>
                <a:srgbClr val="D4E4F6"/>
              </a:solidFill>
              <a:ln>
                <a:noFill/>
                <a:prstDash val="solid"/>
              </a:ln>
            </spPr>
          </dPt>
          <dPt>
            <idx val="60"/>
            <invertIfNegative val="0"/>
            <spPr>
              <a:solidFill>
                <a:srgbClr val="D4E4F6"/>
              </a:solidFill>
              <a:ln>
                <a:noFill/>
                <a:prstDash val="solid"/>
              </a:ln>
            </spPr>
          </dPt>
          <dPt>
            <idx val="61"/>
            <invertIfNegative val="0"/>
            <spPr>
              <a:solidFill>
                <a:srgbClr val="D4E4F6"/>
              </a:solidFill>
              <a:ln>
                <a:noFill/>
                <a:prstDash val="solid"/>
              </a:ln>
            </spPr>
          </dPt>
          <dPt>
            <idx val="62"/>
            <invertIfNegative val="0"/>
            <spPr>
              <a:solidFill>
                <a:srgbClr val="D4E4F6"/>
              </a:solidFill>
              <a:ln>
                <a:noFill/>
                <a:prstDash val="solid"/>
              </a:ln>
            </spPr>
          </dPt>
          <dPt>
            <idx val="63"/>
            <invertIfNegative val="0"/>
            <spPr>
              <a:solidFill>
                <a:srgbClr val="D4E4F6"/>
              </a:solidFill>
              <a:ln>
                <a:noFill/>
                <a:prstDash val="solid"/>
              </a:ln>
            </spPr>
          </dPt>
          <dPt>
            <idx val="64"/>
            <invertIfNegative val="0"/>
            <spPr>
              <a:solidFill>
                <a:srgbClr val="D4E4F6"/>
              </a:solidFill>
              <a:ln>
                <a:noFill/>
                <a:prstDash val="solid"/>
              </a:ln>
            </spPr>
          </dPt>
          <dPt>
            <idx val="65"/>
            <invertIfNegative val="0"/>
            <spPr>
              <a:solidFill>
                <a:srgbClr val="D4E4F6"/>
              </a:solidFill>
              <a:ln>
                <a:noFill/>
                <a:prstDash val="solid"/>
              </a:ln>
            </spPr>
          </dPt>
          <dPt>
            <idx val="66"/>
            <invertIfNegative val="0"/>
            <spPr>
              <a:solidFill>
                <a:srgbClr val="D4E4F6"/>
              </a:solidFill>
              <a:ln>
                <a:noFill/>
                <a:prstDash val="solid"/>
              </a:ln>
            </spPr>
          </dPt>
          <dPt>
            <idx val="67"/>
            <invertIfNegative val="0"/>
            <spPr>
              <a:solidFill>
                <a:srgbClr val="D4E4F6"/>
              </a:solidFill>
              <a:ln>
                <a:noFill/>
                <a:prstDash val="solid"/>
              </a:ln>
            </spPr>
          </dPt>
          <dPt>
            <idx val="68"/>
            <invertIfNegative val="0"/>
            <spPr>
              <a:solidFill>
                <a:srgbClr val="D4E4F6"/>
              </a:solidFill>
              <a:ln>
                <a:noFill/>
                <a:prstDash val="solid"/>
              </a:ln>
            </spPr>
          </dPt>
          <dPt>
            <idx val="69"/>
            <invertIfNegative val="0"/>
            <spPr>
              <a:solidFill>
                <a:srgbClr val="D4E4F6"/>
              </a:solidFill>
              <a:ln>
                <a:noFill/>
                <a:prstDash val="solid"/>
              </a:ln>
            </spPr>
          </dPt>
          <dPt>
            <idx val="70"/>
            <invertIfNegative val="0"/>
            <spPr>
              <a:solidFill>
                <a:srgbClr val="D4E4F6"/>
              </a:solidFill>
              <a:ln>
                <a:noFill/>
                <a:prstDash val="solid"/>
              </a:ln>
            </spPr>
          </dPt>
          <dPt>
            <idx val="71"/>
            <invertIfNegative val="0"/>
            <spPr>
              <a:solidFill>
                <a:srgbClr val="D4E4F6"/>
              </a:solidFill>
              <a:ln>
                <a:noFill/>
                <a:prstDash val="solid"/>
              </a:ln>
            </spPr>
          </dPt>
          <cat>
            <numRef>
              <f>'Chart - Louisiana sensitivity'!$A$2:$A$73</f>
            </numRef>
          </cat>
          <val>
            <numRef>
              <f>'Chart - Louisiana sensitivity'!$B$2:$B$73</f>
            </numRef>
          </val>
        </ser>
        <ser>
          <idx val="1"/>
          <order val="1"/>
          <tx>
            <strRef>
              <f>'Chart - Louisiana sensitivity'!C1</f>
            </strRef>
          </tx>
          <spPr>
            <a:solidFill>
              <a:srgbClr val="EB6834"/>
            </a:solidFill>
            <a:ln>
              <a:noFill/>
              <a:prstDash val="solid"/>
            </a:ln>
          </spPr>
          <dPt>
            <idx val="0"/>
            <invertIfNegative val="0"/>
            <spPr>
              <a:solidFill>
                <a:srgbClr val="F6BBA3"/>
              </a:solidFill>
              <a:ln>
                <a:noFill/>
                <a:prstDash val="solid"/>
              </a:ln>
            </spPr>
          </dPt>
          <dPt>
            <idx val="1"/>
            <invertIfNegative val="0"/>
            <spPr>
              <a:solidFill>
                <a:srgbClr val="F6BBA3"/>
              </a:solidFill>
              <a:ln>
                <a:noFill/>
                <a:prstDash val="solid"/>
              </a:ln>
            </spPr>
          </dPt>
          <dPt>
            <idx val="2"/>
            <invertIfNegative val="0"/>
            <spPr>
              <a:solidFill>
                <a:srgbClr val="F6BBA3"/>
              </a:solidFill>
              <a:ln>
                <a:noFill/>
                <a:prstDash val="solid"/>
              </a:ln>
            </spPr>
          </dPt>
          <dPt>
            <idx val="3"/>
            <invertIfNegative val="0"/>
            <spPr>
              <a:solidFill>
                <a:srgbClr val="F6BBA3"/>
              </a:solidFill>
              <a:ln>
                <a:noFill/>
                <a:prstDash val="solid"/>
              </a:ln>
            </spPr>
          </dPt>
          <dPt>
            <idx val="4"/>
            <invertIfNegative val="0"/>
            <spPr>
              <a:solidFill>
                <a:srgbClr val="F6BBA3"/>
              </a:solidFill>
              <a:ln>
                <a:noFill/>
                <a:prstDash val="solid"/>
              </a:ln>
            </spPr>
          </dPt>
          <dPt>
            <idx val="5"/>
            <invertIfNegative val="0"/>
            <spPr>
              <a:solidFill>
                <a:srgbClr val="F6BBA3"/>
              </a:solidFill>
              <a:ln>
                <a:noFill/>
                <a:prstDash val="solid"/>
              </a:ln>
            </spPr>
          </dPt>
          <dPt>
            <idx val="6"/>
            <invertIfNegative val="0"/>
            <spPr>
              <a:solidFill>
                <a:srgbClr val="F6BBA3"/>
              </a:solidFill>
              <a:ln>
                <a:noFill/>
                <a:prstDash val="solid"/>
              </a:ln>
            </spPr>
          </dPt>
          <dPt>
            <idx val="7"/>
            <invertIfNegative val="0"/>
            <spPr>
              <a:solidFill>
                <a:srgbClr val="F6BBA3"/>
              </a:solidFill>
              <a:ln>
                <a:noFill/>
                <a:prstDash val="solid"/>
              </a:ln>
            </spPr>
          </dPt>
          <dPt>
            <idx val="8"/>
            <invertIfNegative val="0"/>
            <spPr>
              <a:solidFill>
                <a:srgbClr val="F6BBA3"/>
              </a:solidFill>
              <a:ln>
                <a:noFill/>
                <a:prstDash val="solid"/>
              </a:ln>
            </spPr>
          </dPt>
          <dPt>
            <idx val="9"/>
            <invertIfNegative val="0"/>
            <spPr>
              <a:solidFill>
                <a:srgbClr val="F6BBA3"/>
              </a:solidFill>
              <a:ln>
                <a:noFill/>
                <a:prstDash val="solid"/>
              </a:ln>
            </spPr>
          </dPt>
          <dPt>
            <idx val="10"/>
            <invertIfNegative val="0"/>
            <spPr>
              <a:solidFill>
                <a:srgbClr val="F6BBA3"/>
              </a:solidFill>
              <a:ln>
                <a:noFill/>
                <a:prstDash val="solid"/>
              </a:ln>
            </spPr>
          </dPt>
          <dPt>
            <idx val="11"/>
            <invertIfNegative val="0"/>
            <spPr>
              <a:solidFill>
                <a:srgbClr val="F6BBA3"/>
              </a:solidFill>
              <a:ln>
                <a:noFill/>
                <a:prstDash val="solid"/>
              </a:ln>
            </spPr>
          </dPt>
          <dPt>
            <idx val="12"/>
            <invertIfNegative val="0"/>
            <spPr>
              <a:solidFill>
                <a:srgbClr val="F6BBA3"/>
              </a:solidFill>
              <a:ln>
                <a:noFill/>
                <a:prstDash val="solid"/>
              </a:ln>
            </spPr>
          </dPt>
          <dPt>
            <idx val="13"/>
            <invertIfNegative val="0"/>
            <spPr>
              <a:solidFill>
                <a:srgbClr val="F6BBA3"/>
              </a:solidFill>
              <a:ln>
                <a:noFill/>
                <a:prstDash val="solid"/>
              </a:ln>
            </spPr>
          </dPt>
          <dPt>
            <idx val="14"/>
            <invertIfNegative val="0"/>
            <spPr>
              <a:solidFill>
                <a:srgbClr val="F6BBA3"/>
              </a:solidFill>
              <a:ln>
                <a:noFill/>
                <a:prstDash val="solid"/>
              </a:ln>
            </spPr>
          </dPt>
          <dPt>
            <idx val="15"/>
            <invertIfNegative val="0"/>
            <spPr>
              <a:solidFill>
                <a:srgbClr val="F6BBA3"/>
              </a:solidFill>
              <a:ln>
                <a:noFill/>
                <a:prstDash val="solid"/>
              </a:ln>
            </spPr>
          </dPt>
          <dPt>
            <idx val="16"/>
            <invertIfNegative val="0"/>
            <spPr>
              <a:solidFill>
                <a:srgbClr val="F6BBA3"/>
              </a:solidFill>
              <a:ln>
                <a:noFill/>
                <a:prstDash val="solid"/>
              </a:ln>
            </spPr>
          </dPt>
          <dPt>
            <idx val="17"/>
            <invertIfNegative val="0"/>
            <spPr>
              <a:solidFill>
                <a:srgbClr val="F6BBA3"/>
              </a:solidFill>
              <a:ln>
                <a:noFill/>
                <a:prstDash val="solid"/>
              </a:ln>
            </spPr>
          </dPt>
          <dPt>
            <idx val="18"/>
            <invertIfNegative val="0"/>
            <spPr>
              <a:solidFill>
                <a:srgbClr val="F6BBA3"/>
              </a:solidFill>
              <a:ln>
                <a:noFill/>
                <a:prstDash val="solid"/>
              </a:ln>
            </spPr>
          </dPt>
          <dPt>
            <idx val="19"/>
            <invertIfNegative val="0"/>
            <spPr>
              <a:solidFill>
                <a:srgbClr val="F6BBA3"/>
              </a:solidFill>
              <a:ln>
                <a:noFill/>
                <a:prstDash val="solid"/>
              </a:ln>
            </spPr>
          </dPt>
          <dPt>
            <idx val="20"/>
            <invertIfNegative val="0"/>
            <spPr>
              <a:solidFill>
                <a:srgbClr val="F6BBA3"/>
              </a:solidFill>
              <a:ln>
                <a:noFill/>
                <a:prstDash val="solid"/>
              </a:ln>
            </spPr>
          </dPt>
          <dPt>
            <idx val="21"/>
            <invertIfNegative val="0"/>
            <spPr>
              <a:solidFill>
                <a:srgbClr val="F6BBA3"/>
              </a:solidFill>
              <a:ln>
                <a:noFill/>
                <a:prstDash val="solid"/>
              </a:ln>
            </spPr>
          </dPt>
          <dPt>
            <idx val="22"/>
            <invertIfNegative val="0"/>
            <spPr>
              <a:solidFill>
                <a:srgbClr val="F6BBA3"/>
              </a:solidFill>
              <a:ln>
                <a:noFill/>
                <a:prstDash val="solid"/>
              </a:ln>
            </spPr>
          </dPt>
          <dPt>
            <idx val="23"/>
            <invertIfNegative val="0"/>
            <spPr>
              <a:solidFill>
                <a:srgbClr val="F6BBA3"/>
              </a:solidFill>
              <a:ln>
                <a:noFill/>
                <a:prstDash val="solid"/>
              </a:ln>
            </spPr>
          </dPt>
          <dPt>
            <idx val="24"/>
            <invertIfNegative val="0"/>
            <spPr>
              <a:solidFill>
                <a:srgbClr val="F6BBA3"/>
              </a:solidFill>
              <a:ln>
                <a:noFill/>
                <a:prstDash val="solid"/>
              </a:ln>
            </spPr>
          </dPt>
          <dPt>
            <idx val="25"/>
            <invertIfNegative val="0"/>
            <spPr>
              <a:solidFill>
                <a:srgbClr val="F6BBA3"/>
              </a:solidFill>
              <a:ln>
                <a:noFill/>
                <a:prstDash val="solid"/>
              </a:ln>
            </spPr>
          </dPt>
          <dPt>
            <idx val="26"/>
            <invertIfNegative val="0"/>
            <spPr>
              <a:solidFill>
                <a:srgbClr val="F6BBA3"/>
              </a:solidFill>
              <a:ln>
                <a:noFill/>
                <a:prstDash val="solid"/>
              </a:ln>
            </spPr>
          </dPt>
          <dPt>
            <idx val="27"/>
            <invertIfNegative val="0"/>
            <spPr>
              <a:solidFill>
                <a:srgbClr val="F6BBA3"/>
              </a:solidFill>
              <a:ln>
                <a:noFill/>
                <a:prstDash val="solid"/>
              </a:ln>
            </spPr>
          </dPt>
          <dPt>
            <idx val="28"/>
            <invertIfNegative val="0"/>
            <spPr>
              <a:solidFill>
                <a:srgbClr val="F6BBA3"/>
              </a:solidFill>
              <a:ln>
                <a:noFill/>
                <a:prstDash val="solid"/>
              </a:ln>
            </spPr>
          </dPt>
          <dPt>
            <idx val="29"/>
            <invertIfNegative val="0"/>
            <spPr>
              <a:solidFill>
                <a:srgbClr val="F6BBA3"/>
              </a:solidFill>
              <a:ln>
                <a:noFill/>
                <a:prstDash val="solid"/>
              </a:ln>
            </spPr>
          </dPt>
          <dPt>
            <idx val="30"/>
            <invertIfNegative val="0"/>
            <spPr>
              <a:solidFill>
                <a:srgbClr val="F6BBA3"/>
              </a:solidFill>
              <a:ln>
                <a:noFill/>
                <a:prstDash val="solid"/>
              </a:ln>
            </spPr>
          </dPt>
          <dPt>
            <idx val="31"/>
            <invertIfNegative val="0"/>
            <spPr>
              <a:solidFill>
                <a:srgbClr val="F6BBA3"/>
              </a:solidFill>
              <a:ln>
                <a:noFill/>
                <a:prstDash val="solid"/>
              </a:ln>
            </spPr>
          </dPt>
          <dPt>
            <idx val="32"/>
            <invertIfNegative val="0"/>
            <spPr>
              <a:solidFill>
                <a:srgbClr val="F6BBA3"/>
              </a:solidFill>
              <a:ln>
                <a:noFill/>
                <a:prstDash val="solid"/>
              </a:ln>
            </spPr>
          </dPt>
          <dPt>
            <idx val="33"/>
            <invertIfNegative val="0"/>
            <spPr>
              <a:solidFill>
                <a:srgbClr val="F6BBA3"/>
              </a:solidFill>
              <a:ln>
                <a:noFill/>
                <a:prstDash val="solid"/>
              </a:ln>
            </spPr>
          </dPt>
          <dPt>
            <idx val="34"/>
            <invertIfNegative val="0"/>
            <spPr>
              <a:solidFill>
                <a:srgbClr val="F6BBA3"/>
              </a:solidFill>
              <a:ln>
                <a:noFill/>
                <a:prstDash val="solid"/>
              </a:ln>
            </spPr>
          </dPt>
          <dPt>
            <idx val="35"/>
            <invertIfNegative val="0"/>
            <spPr>
              <a:solidFill>
                <a:srgbClr val="F6BBA3"/>
              </a:solidFill>
              <a:ln>
                <a:noFill/>
                <a:prstDash val="solid"/>
              </a:ln>
            </spPr>
          </dPt>
          <dPt>
            <idx val="36"/>
            <invertIfNegative val="0"/>
            <spPr>
              <a:solidFill>
                <a:srgbClr val="FBE0D6"/>
              </a:solidFill>
              <a:ln>
                <a:noFill/>
                <a:prstDash val="solid"/>
              </a:ln>
            </spPr>
          </dPt>
          <dPt>
            <idx val="37"/>
            <invertIfNegative val="0"/>
            <spPr>
              <a:solidFill>
                <a:srgbClr val="FBE0D6"/>
              </a:solidFill>
              <a:ln>
                <a:noFill/>
                <a:prstDash val="solid"/>
              </a:ln>
            </spPr>
          </dPt>
          <dPt>
            <idx val="38"/>
            <invertIfNegative val="0"/>
            <spPr>
              <a:solidFill>
                <a:srgbClr val="FBE0D6"/>
              </a:solidFill>
              <a:ln>
                <a:noFill/>
                <a:prstDash val="solid"/>
              </a:ln>
            </spPr>
          </dPt>
          <dPt>
            <idx val="39"/>
            <invertIfNegative val="0"/>
            <spPr>
              <a:solidFill>
                <a:srgbClr val="FBE0D6"/>
              </a:solidFill>
              <a:ln>
                <a:noFill/>
                <a:prstDash val="solid"/>
              </a:ln>
            </spPr>
          </dPt>
          <dPt>
            <idx val="40"/>
            <invertIfNegative val="0"/>
            <spPr>
              <a:solidFill>
                <a:srgbClr val="FBE0D6"/>
              </a:solidFill>
              <a:ln>
                <a:noFill/>
                <a:prstDash val="solid"/>
              </a:ln>
            </spPr>
          </dPt>
          <dPt>
            <idx val="41"/>
            <invertIfNegative val="0"/>
            <spPr>
              <a:solidFill>
                <a:srgbClr val="FBE0D6"/>
              </a:solidFill>
              <a:ln>
                <a:noFill/>
                <a:prstDash val="solid"/>
              </a:ln>
            </spPr>
          </dPt>
          <dPt>
            <idx val="42"/>
            <invertIfNegative val="0"/>
            <spPr>
              <a:solidFill>
                <a:srgbClr val="FBE0D6"/>
              </a:solidFill>
              <a:ln>
                <a:noFill/>
                <a:prstDash val="solid"/>
              </a:ln>
            </spPr>
          </dPt>
          <dPt>
            <idx val="43"/>
            <invertIfNegative val="0"/>
            <spPr>
              <a:solidFill>
                <a:srgbClr val="FBE0D6"/>
              </a:solidFill>
              <a:ln>
                <a:noFill/>
                <a:prstDash val="solid"/>
              </a:ln>
            </spPr>
          </dPt>
          <dPt>
            <idx val="44"/>
            <invertIfNegative val="0"/>
            <spPr>
              <a:solidFill>
                <a:srgbClr val="FBE0D6"/>
              </a:solidFill>
              <a:ln>
                <a:noFill/>
                <a:prstDash val="solid"/>
              </a:ln>
            </spPr>
          </dPt>
          <dPt>
            <idx val="45"/>
            <invertIfNegative val="0"/>
            <spPr>
              <a:solidFill>
                <a:srgbClr val="FBE0D6"/>
              </a:solidFill>
              <a:ln>
                <a:noFill/>
                <a:prstDash val="solid"/>
              </a:ln>
            </spPr>
          </dPt>
          <dPt>
            <idx val="46"/>
            <invertIfNegative val="0"/>
            <spPr>
              <a:solidFill>
                <a:srgbClr val="FBE0D6"/>
              </a:solidFill>
              <a:ln>
                <a:noFill/>
                <a:prstDash val="solid"/>
              </a:ln>
            </spPr>
          </dPt>
          <dPt>
            <idx val="47"/>
            <invertIfNegative val="0"/>
            <spPr>
              <a:solidFill>
                <a:srgbClr val="FBE0D6"/>
              </a:solidFill>
              <a:ln>
                <a:noFill/>
                <a:prstDash val="solid"/>
              </a:ln>
            </spPr>
          </dPt>
          <dPt>
            <idx val="48"/>
            <invertIfNegative val="0"/>
            <spPr>
              <a:solidFill>
                <a:srgbClr val="FBE0D6"/>
              </a:solidFill>
              <a:ln>
                <a:noFill/>
                <a:prstDash val="solid"/>
              </a:ln>
            </spPr>
          </dPt>
          <dPt>
            <idx val="49"/>
            <invertIfNegative val="0"/>
            <spPr>
              <a:solidFill>
                <a:srgbClr val="FBE0D6"/>
              </a:solidFill>
              <a:ln>
                <a:noFill/>
                <a:prstDash val="solid"/>
              </a:ln>
            </spPr>
          </dPt>
          <dPt>
            <idx val="50"/>
            <invertIfNegative val="0"/>
            <spPr>
              <a:solidFill>
                <a:srgbClr val="FBE0D6"/>
              </a:solidFill>
              <a:ln>
                <a:noFill/>
                <a:prstDash val="solid"/>
              </a:ln>
            </spPr>
          </dPt>
          <dPt>
            <idx val="51"/>
            <invertIfNegative val="0"/>
            <spPr>
              <a:solidFill>
                <a:srgbClr val="FBE0D6"/>
              </a:solidFill>
              <a:ln>
                <a:noFill/>
                <a:prstDash val="solid"/>
              </a:ln>
            </spPr>
          </dPt>
          <dPt>
            <idx val="52"/>
            <invertIfNegative val="0"/>
            <spPr>
              <a:solidFill>
                <a:srgbClr val="FBE0D6"/>
              </a:solidFill>
              <a:ln>
                <a:noFill/>
                <a:prstDash val="solid"/>
              </a:ln>
            </spPr>
          </dPt>
          <dPt>
            <idx val="53"/>
            <invertIfNegative val="0"/>
            <spPr>
              <a:solidFill>
                <a:srgbClr val="FBE0D6"/>
              </a:solidFill>
              <a:ln>
                <a:noFill/>
                <a:prstDash val="solid"/>
              </a:ln>
            </spPr>
          </dPt>
          <dPt>
            <idx val="54"/>
            <invertIfNegative val="0"/>
            <spPr>
              <a:solidFill>
                <a:srgbClr val="FBE0D6"/>
              </a:solidFill>
              <a:ln>
                <a:noFill/>
                <a:prstDash val="solid"/>
              </a:ln>
            </spPr>
          </dPt>
          <dPt>
            <idx val="55"/>
            <invertIfNegative val="0"/>
            <spPr>
              <a:solidFill>
                <a:srgbClr val="FBE0D6"/>
              </a:solidFill>
              <a:ln>
                <a:noFill/>
                <a:prstDash val="solid"/>
              </a:ln>
            </spPr>
          </dPt>
          <dPt>
            <idx val="56"/>
            <invertIfNegative val="0"/>
            <spPr>
              <a:solidFill>
                <a:srgbClr val="FBE0D6"/>
              </a:solidFill>
              <a:ln>
                <a:noFill/>
                <a:prstDash val="solid"/>
              </a:ln>
            </spPr>
          </dPt>
          <dPt>
            <idx val="57"/>
            <invertIfNegative val="0"/>
            <spPr>
              <a:solidFill>
                <a:srgbClr val="FBE0D6"/>
              </a:solidFill>
              <a:ln>
                <a:noFill/>
                <a:prstDash val="solid"/>
              </a:ln>
            </spPr>
          </dPt>
          <dPt>
            <idx val="58"/>
            <invertIfNegative val="0"/>
            <spPr>
              <a:solidFill>
                <a:srgbClr val="FBE0D6"/>
              </a:solidFill>
              <a:ln>
                <a:noFill/>
                <a:prstDash val="solid"/>
              </a:ln>
            </spPr>
          </dPt>
          <dPt>
            <idx val="59"/>
            <invertIfNegative val="0"/>
            <spPr>
              <a:solidFill>
                <a:srgbClr val="FBE0D6"/>
              </a:solidFill>
              <a:ln>
                <a:noFill/>
                <a:prstDash val="solid"/>
              </a:ln>
            </spPr>
          </dPt>
          <dPt>
            <idx val="60"/>
            <invertIfNegative val="0"/>
            <spPr>
              <a:solidFill>
                <a:srgbClr val="FBE0D6"/>
              </a:solidFill>
              <a:ln>
                <a:noFill/>
                <a:prstDash val="solid"/>
              </a:ln>
            </spPr>
          </dPt>
          <dPt>
            <idx val="61"/>
            <invertIfNegative val="0"/>
            <spPr>
              <a:solidFill>
                <a:srgbClr val="FBE0D6"/>
              </a:solidFill>
              <a:ln>
                <a:noFill/>
                <a:prstDash val="solid"/>
              </a:ln>
            </spPr>
          </dPt>
          <dPt>
            <idx val="62"/>
            <invertIfNegative val="0"/>
            <spPr>
              <a:solidFill>
                <a:srgbClr val="FBE0D6"/>
              </a:solidFill>
              <a:ln>
                <a:noFill/>
                <a:prstDash val="solid"/>
              </a:ln>
            </spPr>
          </dPt>
          <dPt>
            <idx val="63"/>
            <invertIfNegative val="0"/>
            <spPr>
              <a:solidFill>
                <a:srgbClr val="FBE0D6"/>
              </a:solidFill>
              <a:ln>
                <a:noFill/>
                <a:prstDash val="solid"/>
              </a:ln>
            </spPr>
          </dPt>
          <dPt>
            <idx val="64"/>
            <invertIfNegative val="0"/>
            <spPr>
              <a:solidFill>
                <a:srgbClr val="FBE0D6"/>
              </a:solidFill>
              <a:ln>
                <a:noFill/>
                <a:prstDash val="solid"/>
              </a:ln>
            </spPr>
          </dPt>
          <dPt>
            <idx val="65"/>
            <invertIfNegative val="0"/>
            <spPr>
              <a:solidFill>
                <a:srgbClr val="FBE0D6"/>
              </a:solidFill>
              <a:ln>
                <a:noFill/>
                <a:prstDash val="solid"/>
              </a:ln>
            </spPr>
          </dPt>
          <dPt>
            <idx val="66"/>
            <invertIfNegative val="0"/>
            <spPr>
              <a:solidFill>
                <a:srgbClr val="FBE0D6"/>
              </a:solidFill>
              <a:ln>
                <a:noFill/>
                <a:prstDash val="solid"/>
              </a:ln>
            </spPr>
          </dPt>
          <dPt>
            <idx val="67"/>
            <invertIfNegative val="0"/>
            <spPr>
              <a:solidFill>
                <a:srgbClr val="FBE0D6"/>
              </a:solidFill>
              <a:ln>
                <a:noFill/>
                <a:prstDash val="solid"/>
              </a:ln>
            </spPr>
          </dPt>
          <dPt>
            <idx val="68"/>
            <invertIfNegative val="0"/>
            <spPr>
              <a:solidFill>
                <a:srgbClr val="FBE0D6"/>
              </a:solidFill>
              <a:ln>
                <a:noFill/>
                <a:prstDash val="solid"/>
              </a:ln>
            </spPr>
          </dPt>
          <dPt>
            <idx val="69"/>
            <invertIfNegative val="0"/>
            <spPr>
              <a:solidFill>
                <a:srgbClr val="FBE0D6"/>
              </a:solidFill>
              <a:ln>
                <a:noFill/>
                <a:prstDash val="solid"/>
              </a:ln>
            </spPr>
          </dPt>
          <dPt>
            <idx val="70"/>
            <invertIfNegative val="0"/>
            <spPr>
              <a:solidFill>
                <a:srgbClr val="FBE0D6"/>
              </a:solidFill>
              <a:ln>
                <a:noFill/>
                <a:prstDash val="solid"/>
              </a:ln>
            </spPr>
          </dPt>
          <dPt>
            <idx val="71"/>
            <invertIfNegative val="0"/>
            <spPr>
              <a:solidFill>
                <a:srgbClr val="FBE0D6"/>
              </a:solidFill>
              <a:ln>
                <a:noFill/>
                <a:prstDash val="solid"/>
              </a:ln>
            </spPr>
          </dPt>
          <cat>
            <numRef>
              <f>'Chart - Louisiana sensitivity'!$A$2:$A$73</f>
            </numRef>
          </cat>
          <val>
            <numRef>
              <f>'Chart - Louisiana sensitivity'!$C$2:$C$73</f>
            </numRef>
          </val>
        </ser>
        <ser>
          <idx val="2"/>
          <order val="2"/>
          <tx>
            <strRef>
              <f>'Chart - Louisiana sensitivity'!D1</f>
            </strRef>
          </tx>
          <spPr>
            <a:solidFill>
              <a:srgbClr val="1BAF7A"/>
            </a:solidFill>
            <a:ln>
              <a:noFill/>
              <a:prstDash val="solid"/>
            </a:ln>
          </spPr>
          <dPt>
            <idx val="0"/>
            <invertIfNegative val="0"/>
            <spPr>
              <a:solidFill>
                <a:srgbClr val="98DBC3"/>
              </a:solidFill>
              <a:ln>
                <a:noFill/>
                <a:prstDash val="solid"/>
              </a:ln>
            </spPr>
          </dPt>
          <dPt>
            <idx val="1"/>
            <invertIfNegative val="0"/>
            <spPr>
              <a:solidFill>
                <a:srgbClr val="98DBC3"/>
              </a:solidFill>
              <a:ln>
                <a:noFill/>
                <a:prstDash val="solid"/>
              </a:ln>
            </spPr>
          </dPt>
          <dPt>
            <idx val="2"/>
            <invertIfNegative val="0"/>
            <spPr>
              <a:solidFill>
                <a:srgbClr val="98DBC3"/>
              </a:solidFill>
              <a:ln>
                <a:noFill/>
                <a:prstDash val="solid"/>
              </a:ln>
            </spPr>
          </dPt>
          <dPt>
            <idx val="3"/>
            <invertIfNegative val="0"/>
            <spPr>
              <a:solidFill>
                <a:srgbClr val="98DBC3"/>
              </a:solidFill>
              <a:ln>
                <a:noFill/>
                <a:prstDash val="solid"/>
              </a:ln>
            </spPr>
          </dPt>
          <dPt>
            <idx val="4"/>
            <invertIfNegative val="0"/>
            <spPr>
              <a:solidFill>
                <a:srgbClr val="98DBC3"/>
              </a:solidFill>
              <a:ln>
                <a:noFill/>
                <a:prstDash val="solid"/>
              </a:ln>
            </spPr>
          </dPt>
          <dPt>
            <idx val="5"/>
            <invertIfNegative val="0"/>
            <spPr>
              <a:solidFill>
                <a:srgbClr val="98DBC3"/>
              </a:solidFill>
              <a:ln>
                <a:noFill/>
                <a:prstDash val="solid"/>
              </a:ln>
            </spPr>
          </dPt>
          <dPt>
            <idx val="6"/>
            <invertIfNegative val="0"/>
            <spPr>
              <a:solidFill>
                <a:srgbClr val="98DBC3"/>
              </a:solidFill>
              <a:ln>
                <a:noFill/>
                <a:prstDash val="solid"/>
              </a:ln>
            </spPr>
          </dPt>
          <dPt>
            <idx val="7"/>
            <invertIfNegative val="0"/>
            <spPr>
              <a:solidFill>
                <a:srgbClr val="98DBC3"/>
              </a:solidFill>
              <a:ln>
                <a:noFill/>
                <a:prstDash val="solid"/>
              </a:ln>
            </spPr>
          </dPt>
          <dPt>
            <idx val="8"/>
            <invertIfNegative val="0"/>
            <spPr>
              <a:solidFill>
                <a:srgbClr val="98DBC3"/>
              </a:solidFill>
              <a:ln>
                <a:noFill/>
                <a:prstDash val="solid"/>
              </a:ln>
            </spPr>
          </dPt>
          <dPt>
            <idx val="9"/>
            <invertIfNegative val="0"/>
            <spPr>
              <a:solidFill>
                <a:srgbClr val="98DBC3"/>
              </a:solidFill>
              <a:ln>
                <a:noFill/>
                <a:prstDash val="solid"/>
              </a:ln>
            </spPr>
          </dPt>
          <dPt>
            <idx val="10"/>
            <invertIfNegative val="0"/>
            <spPr>
              <a:solidFill>
                <a:srgbClr val="98DBC3"/>
              </a:solidFill>
              <a:ln>
                <a:noFill/>
                <a:prstDash val="solid"/>
              </a:ln>
            </spPr>
          </dPt>
          <dPt>
            <idx val="11"/>
            <invertIfNegative val="0"/>
            <spPr>
              <a:solidFill>
                <a:srgbClr val="98DBC3"/>
              </a:solidFill>
              <a:ln>
                <a:noFill/>
                <a:prstDash val="solid"/>
              </a:ln>
            </spPr>
          </dPt>
          <dPt>
            <idx val="12"/>
            <invertIfNegative val="0"/>
            <spPr>
              <a:solidFill>
                <a:srgbClr val="98DBC3"/>
              </a:solidFill>
              <a:ln>
                <a:noFill/>
                <a:prstDash val="solid"/>
              </a:ln>
            </spPr>
          </dPt>
          <dPt>
            <idx val="13"/>
            <invertIfNegative val="0"/>
            <spPr>
              <a:solidFill>
                <a:srgbClr val="98DBC3"/>
              </a:solidFill>
              <a:ln>
                <a:noFill/>
                <a:prstDash val="solid"/>
              </a:ln>
            </spPr>
          </dPt>
          <dPt>
            <idx val="14"/>
            <invertIfNegative val="0"/>
            <spPr>
              <a:solidFill>
                <a:srgbClr val="98DBC3"/>
              </a:solidFill>
              <a:ln>
                <a:noFill/>
                <a:prstDash val="solid"/>
              </a:ln>
            </spPr>
          </dPt>
          <dPt>
            <idx val="15"/>
            <invertIfNegative val="0"/>
            <spPr>
              <a:solidFill>
                <a:srgbClr val="98DBC3"/>
              </a:solidFill>
              <a:ln>
                <a:noFill/>
                <a:prstDash val="solid"/>
              </a:ln>
            </spPr>
          </dPt>
          <dPt>
            <idx val="16"/>
            <invertIfNegative val="0"/>
            <spPr>
              <a:solidFill>
                <a:srgbClr val="98DBC3"/>
              </a:solidFill>
              <a:ln>
                <a:noFill/>
                <a:prstDash val="solid"/>
              </a:ln>
            </spPr>
          </dPt>
          <dPt>
            <idx val="17"/>
            <invertIfNegative val="0"/>
            <spPr>
              <a:solidFill>
                <a:srgbClr val="98DBC3"/>
              </a:solidFill>
              <a:ln>
                <a:noFill/>
                <a:prstDash val="solid"/>
              </a:ln>
            </spPr>
          </dPt>
          <dPt>
            <idx val="18"/>
            <invertIfNegative val="0"/>
            <spPr>
              <a:solidFill>
                <a:srgbClr val="98DBC3"/>
              </a:solidFill>
              <a:ln>
                <a:noFill/>
                <a:prstDash val="solid"/>
              </a:ln>
            </spPr>
          </dPt>
          <dPt>
            <idx val="19"/>
            <invertIfNegative val="0"/>
            <spPr>
              <a:solidFill>
                <a:srgbClr val="98DBC3"/>
              </a:solidFill>
              <a:ln>
                <a:noFill/>
                <a:prstDash val="solid"/>
              </a:ln>
            </spPr>
          </dPt>
          <dPt>
            <idx val="20"/>
            <invertIfNegative val="0"/>
            <spPr>
              <a:solidFill>
                <a:srgbClr val="98DBC3"/>
              </a:solidFill>
              <a:ln>
                <a:noFill/>
                <a:prstDash val="solid"/>
              </a:ln>
            </spPr>
          </dPt>
          <dPt>
            <idx val="21"/>
            <invertIfNegative val="0"/>
            <spPr>
              <a:solidFill>
                <a:srgbClr val="98DBC3"/>
              </a:solidFill>
              <a:ln>
                <a:noFill/>
                <a:prstDash val="solid"/>
              </a:ln>
            </spPr>
          </dPt>
          <dPt>
            <idx val="22"/>
            <invertIfNegative val="0"/>
            <spPr>
              <a:solidFill>
                <a:srgbClr val="98DBC3"/>
              </a:solidFill>
              <a:ln>
                <a:noFill/>
                <a:prstDash val="solid"/>
              </a:ln>
            </spPr>
          </dPt>
          <dPt>
            <idx val="23"/>
            <invertIfNegative val="0"/>
            <spPr>
              <a:solidFill>
                <a:srgbClr val="98DBC3"/>
              </a:solidFill>
              <a:ln>
                <a:noFill/>
                <a:prstDash val="solid"/>
              </a:ln>
            </spPr>
          </dPt>
          <dPt>
            <idx val="24"/>
            <invertIfNegative val="0"/>
            <spPr>
              <a:solidFill>
                <a:srgbClr val="98DBC3"/>
              </a:solidFill>
              <a:ln>
                <a:noFill/>
                <a:prstDash val="solid"/>
              </a:ln>
            </spPr>
          </dPt>
          <dPt>
            <idx val="25"/>
            <invertIfNegative val="0"/>
            <spPr>
              <a:solidFill>
                <a:srgbClr val="98DBC3"/>
              </a:solidFill>
              <a:ln>
                <a:noFill/>
                <a:prstDash val="solid"/>
              </a:ln>
            </spPr>
          </dPt>
          <dPt>
            <idx val="26"/>
            <invertIfNegative val="0"/>
            <spPr>
              <a:solidFill>
                <a:srgbClr val="98DBC3"/>
              </a:solidFill>
              <a:ln>
                <a:noFill/>
                <a:prstDash val="solid"/>
              </a:ln>
            </spPr>
          </dPt>
          <dPt>
            <idx val="27"/>
            <invertIfNegative val="0"/>
            <spPr>
              <a:solidFill>
                <a:srgbClr val="98DBC3"/>
              </a:solidFill>
              <a:ln>
                <a:noFill/>
                <a:prstDash val="solid"/>
              </a:ln>
            </spPr>
          </dPt>
          <dPt>
            <idx val="28"/>
            <invertIfNegative val="0"/>
            <spPr>
              <a:solidFill>
                <a:srgbClr val="98DBC3"/>
              </a:solidFill>
              <a:ln>
                <a:noFill/>
                <a:prstDash val="solid"/>
              </a:ln>
            </spPr>
          </dPt>
          <dPt>
            <idx val="29"/>
            <invertIfNegative val="0"/>
            <spPr>
              <a:solidFill>
                <a:srgbClr val="98DBC3"/>
              </a:solidFill>
              <a:ln>
                <a:noFill/>
                <a:prstDash val="solid"/>
              </a:ln>
            </spPr>
          </dPt>
          <dPt>
            <idx val="30"/>
            <invertIfNegative val="0"/>
            <spPr>
              <a:solidFill>
                <a:srgbClr val="98DBC3"/>
              </a:solidFill>
              <a:ln>
                <a:noFill/>
                <a:prstDash val="solid"/>
              </a:ln>
            </spPr>
          </dPt>
          <dPt>
            <idx val="31"/>
            <invertIfNegative val="0"/>
            <spPr>
              <a:solidFill>
                <a:srgbClr val="98DBC3"/>
              </a:solidFill>
              <a:ln>
                <a:noFill/>
                <a:prstDash val="solid"/>
              </a:ln>
            </spPr>
          </dPt>
          <dPt>
            <idx val="32"/>
            <invertIfNegative val="0"/>
            <spPr>
              <a:solidFill>
                <a:srgbClr val="98DBC3"/>
              </a:solidFill>
              <a:ln>
                <a:noFill/>
                <a:prstDash val="solid"/>
              </a:ln>
            </spPr>
          </dPt>
          <dPt>
            <idx val="33"/>
            <invertIfNegative val="0"/>
            <spPr>
              <a:solidFill>
                <a:srgbClr val="98DBC3"/>
              </a:solidFill>
              <a:ln>
                <a:noFill/>
                <a:prstDash val="solid"/>
              </a:ln>
            </spPr>
          </dPt>
          <dPt>
            <idx val="34"/>
            <invertIfNegative val="0"/>
            <spPr>
              <a:solidFill>
                <a:srgbClr val="98DBC3"/>
              </a:solidFill>
              <a:ln>
                <a:noFill/>
                <a:prstDash val="solid"/>
              </a:ln>
            </spPr>
          </dPt>
          <dPt>
            <idx val="35"/>
            <invertIfNegative val="0"/>
            <spPr>
              <a:solidFill>
                <a:srgbClr val="98DBC3"/>
              </a:solidFill>
              <a:ln>
                <a:noFill/>
                <a:prstDash val="solid"/>
              </a:ln>
            </spPr>
          </dPt>
          <dPt>
            <idx val="36"/>
            <invertIfNegative val="0"/>
            <spPr>
              <a:solidFill>
                <a:srgbClr val="D1EFE4"/>
              </a:solidFill>
              <a:ln>
                <a:noFill/>
                <a:prstDash val="solid"/>
              </a:ln>
            </spPr>
          </dPt>
          <dPt>
            <idx val="37"/>
            <invertIfNegative val="0"/>
            <spPr>
              <a:solidFill>
                <a:srgbClr val="D1EFE4"/>
              </a:solidFill>
              <a:ln>
                <a:noFill/>
                <a:prstDash val="solid"/>
              </a:ln>
            </spPr>
          </dPt>
          <dPt>
            <idx val="38"/>
            <invertIfNegative val="0"/>
            <spPr>
              <a:solidFill>
                <a:srgbClr val="D1EFE4"/>
              </a:solidFill>
              <a:ln>
                <a:noFill/>
                <a:prstDash val="solid"/>
              </a:ln>
            </spPr>
          </dPt>
          <dPt>
            <idx val="39"/>
            <invertIfNegative val="0"/>
            <spPr>
              <a:solidFill>
                <a:srgbClr val="D1EFE4"/>
              </a:solidFill>
              <a:ln>
                <a:noFill/>
                <a:prstDash val="solid"/>
              </a:ln>
            </spPr>
          </dPt>
          <dPt>
            <idx val="40"/>
            <invertIfNegative val="0"/>
            <spPr>
              <a:solidFill>
                <a:srgbClr val="D1EFE4"/>
              </a:solidFill>
              <a:ln>
                <a:noFill/>
                <a:prstDash val="solid"/>
              </a:ln>
            </spPr>
          </dPt>
          <dPt>
            <idx val="41"/>
            <invertIfNegative val="0"/>
            <spPr>
              <a:solidFill>
                <a:srgbClr val="D1EFE4"/>
              </a:solidFill>
              <a:ln>
                <a:noFill/>
                <a:prstDash val="solid"/>
              </a:ln>
            </spPr>
          </dPt>
          <dPt>
            <idx val="42"/>
            <invertIfNegative val="0"/>
            <spPr>
              <a:solidFill>
                <a:srgbClr val="D1EFE4"/>
              </a:solidFill>
              <a:ln>
                <a:noFill/>
                <a:prstDash val="solid"/>
              </a:ln>
            </spPr>
          </dPt>
          <dPt>
            <idx val="43"/>
            <invertIfNegative val="0"/>
            <spPr>
              <a:solidFill>
                <a:srgbClr val="D1EFE4"/>
              </a:solidFill>
              <a:ln>
                <a:noFill/>
                <a:prstDash val="solid"/>
              </a:ln>
            </spPr>
          </dPt>
          <dPt>
            <idx val="44"/>
            <invertIfNegative val="0"/>
            <spPr>
              <a:solidFill>
                <a:srgbClr val="D1EFE4"/>
              </a:solidFill>
              <a:ln>
                <a:noFill/>
                <a:prstDash val="solid"/>
              </a:ln>
            </spPr>
          </dPt>
          <dPt>
            <idx val="45"/>
            <invertIfNegative val="0"/>
            <spPr>
              <a:solidFill>
                <a:srgbClr val="D1EFE4"/>
              </a:solidFill>
              <a:ln>
                <a:noFill/>
                <a:prstDash val="solid"/>
              </a:ln>
            </spPr>
          </dPt>
          <dPt>
            <idx val="46"/>
            <invertIfNegative val="0"/>
            <spPr>
              <a:solidFill>
                <a:srgbClr val="D1EFE4"/>
              </a:solidFill>
              <a:ln>
                <a:noFill/>
                <a:prstDash val="solid"/>
              </a:ln>
            </spPr>
          </dPt>
          <dPt>
            <idx val="47"/>
            <invertIfNegative val="0"/>
            <spPr>
              <a:solidFill>
                <a:srgbClr val="D1EFE4"/>
              </a:solidFill>
              <a:ln>
                <a:noFill/>
                <a:prstDash val="solid"/>
              </a:ln>
            </spPr>
          </dPt>
          <dPt>
            <idx val="48"/>
            <invertIfNegative val="0"/>
            <spPr>
              <a:solidFill>
                <a:srgbClr val="D1EFE4"/>
              </a:solidFill>
              <a:ln>
                <a:noFill/>
                <a:prstDash val="solid"/>
              </a:ln>
            </spPr>
          </dPt>
          <dPt>
            <idx val="49"/>
            <invertIfNegative val="0"/>
            <spPr>
              <a:solidFill>
                <a:srgbClr val="D1EFE4"/>
              </a:solidFill>
              <a:ln>
                <a:noFill/>
                <a:prstDash val="solid"/>
              </a:ln>
            </spPr>
          </dPt>
          <dPt>
            <idx val="50"/>
            <invertIfNegative val="0"/>
            <spPr>
              <a:solidFill>
                <a:srgbClr val="D1EFE4"/>
              </a:solidFill>
              <a:ln>
                <a:noFill/>
                <a:prstDash val="solid"/>
              </a:ln>
            </spPr>
          </dPt>
          <dPt>
            <idx val="51"/>
            <invertIfNegative val="0"/>
            <spPr>
              <a:solidFill>
                <a:srgbClr val="D1EFE4"/>
              </a:solidFill>
              <a:ln>
                <a:noFill/>
                <a:prstDash val="solid"/>
              </a:ln>
            </spPr>
          </dPt>
          <dPt>
            <idx val="52"/>
            <invertIfNegative val="0"/>
            <spPr>
              <a:solidFill>
                <a:srgbClr val="D1EFE4"/>
              </a:solidFill>
              <a:ln>
                <a:noFill/>
                <a:prstDash val="solid"/>
              </a:ln>
            </spPr>
          </dPt>
          <dPt>
            <idx val="53"/>
            <invertIfNegative val="0"/>
            <spPr>
              <a:solidFill>
                <a:srgbClr val="D1EFE4"/>
              </a:solidFill>
              <a:ln>
                <a:noFill/>
                <a:prstDash val="solid"/>
              </a:ln>
            </spPr>
          </dPt>
          <dPt>
            <idx val="54"/>
            <invertIfNegative val="0"/>
            <spPr>
              <a:solidFill>
                <a:srgbClr val="D1EFE4"/>
              </a:solidFill>
              <a:ln>
                <a:noFill/>
                <a:prstDash val="solid"/>
              </a:ln>
            </spPr>
          </dPt>
          <dPt>
            <idx val="55"/>
            <invertIfNegative val="0"/>
            <spPr>
              <a:solidFill>
                <a:srgbClr val="D1EFE4"/>
              </a:solidFill>
              <a:ln>
                <a:noFill/>
                <a:prstDash val="solid"/>
              </a:ln>
            </spPr>
          </dPt>
          <dPt>
            <idx val="56"/>
            <invertIfNegative val="0"/>
            <spPr>
              <a:solidFill>
                <a:srgbClr val="D1EFE4"/>
              </a:solidFill>
              <a:ln>
                <a:noFill/>
                <a:prstDash val="solid"/>
              </a:ln>
            </spPr>
          </dPt>
          <dPt>
            <idx val="57"/>
            <invertIfNegative val="0"/>
            <spPr>
              <a:solidFill>
                <a:srgbClr val="D1EFE4"/>
              </a:solidFill>
              <a:ln>
                <a:noFill/>
                <a:prstDash val="solid"/>
              </a:ln>
            </spPr>
          </dPt>
          <dPt>
            <idx val="58"/>
            <invertIfNegative val="0"/>
            <spPr>
              <a:solidFill>
                <a:srgbClr val="D1EFE4"/>
              </a:solidFill>
              <a:ln>
                <a:noFill/>
                <a:prstDash val="solid"/>
              </a:ln>
            </spPr>
          </dPt>
          <dPt>
            <idx val="59"/>
            <invertIfNegative val="0"/>
            <spPr>
              <a:solidFill>
                <a:srgbClr val="D1EFE4"/>
              </a:solidFill>
              <a:ln>
                <a:noFill/>
                <a:prstDash val="solid"/>
              </a:ln>
            </spPr>
          </dPt>
          <dPt>
            <idx val="60"/>
            <invertIfNegative val="0"/>
            <spPr>
              <a:solidFill>
                <a:srgbClr val="D1EFE4"/>
              </a:solidFill>
              <a:ln>
                <a:noFill/>
                <a:prstDash val="solid"/>
              </a:ln>
            </spPr>
          </dPt>
          <dPt>
            <idx val="61"/>
            <invertIfNegative val="0"/>
            <spPr>
              <a:solidFill>
                <a:srgbClr val="D1EFE4"/>
              </a:solidFill>
              <a:ln>
                <a:noFill/>
                <a:prstDash val="solid"/>
              </a:ln>
            </spPr>
          </dPt>
          <dPt>
            <idx val="62"/>
            <invertIfNegative val="0"/>
            <spPr>
              <a:solidFill>
                <a:srgbClr val="D1EFE4"/>
              </a:solidFill>
              <a:ln>
                <a:noFill/>
                <a:prstDash val="solid"/>
              </a:ln>
            </spPr>
          </dPt>
          <dPt>
            <idx val="63"/>
            <invertIfNegative val="0"/>
            <spPr>
              <a:solidFill>
                <a:srgbClr val="D1EFE4"/>
              </a:solidFill>
              <a:ln>
                <a:noFill/>
                <a:prstDash val="solid"/>
              </a:ln>
            </spPr>
          </dPt>
          <dPt>
            <idx val="64"/>
            <invertIfNegative val="0"/>
            <spPr>
              <a:solidFill>
                <a:srgbClr val="D1EFE4"/>
              </a:solidFill>
              <a:ln>
                <a:noFill/>
                <a:prstDash val="solid"/>
              </a:ln>
            </spPr>
          </dPt>
          <dPt>
            <idx val="65"/>
            <invertIfNegative val="0"/>
            <spPr>
              <a:solidFill>
                <a:srgbClr val="D1EFE4"/>
              </a:solidFill>
              <a:ln>
                <a:noFill/>
                <a:prstDash val="solid"/>
              </a:ln>
            </spPr>
          </dPt>
          <dPt>
            <idx val="66"/>
            <invertIfNegative val="0"/>
            <spPr>
              <a:solidFill>
                <a:srgbClr val="D1EFE4"/>
              </a:solidFill>
              <a:ln>
                <a:noFill/>
                <a:prstDash val="solid"/>
              </a:ln>
            </spPr>
          </dPt>
          <dPt>
            <idx val="67"/>
            <invertIfNegative val="0"/>
            <spPr>
              <a:solidFill>
                <a:srgbClr val="D1EFE4"/>
              </a:solidFill>
              <a:ln>
                <a:noFill/>
                <a:prstDash val="solid"/>
              </a:ln>
            </spPr>
          </dPt>
          <dPt>
            <idx val="68"/>
            <invertIfNegative val="0"/>
            <spPr>
              <a:solidFill>
                <a:srgbClr val="D1EFE4"/>
              </a:solidFill>
              <a:ln>
                <a:noFill/>
                <a:prstDash val="solid"/>
              </a:ln>
            </spPr>
          </dPt>
          <dPt>
            <idx val="69"/>
            <invertIfNegative val="0"/>
            <spPr>
              <a:solidFill>
                <a:srgbClr val="D1EFE4"/>
              </a:solidFill>
              <a:ln>
                <a:noFill/>
                <a:prstDash val="solid"/>
              </a:ln>
            </spPr>
          </dPt>
          <dPt>
            <idx val="70"/>
            <invertIfNegative val="0"/>
            <spPr>
              <a:solidFill>
                <a:srgbClr val="D1EFE4"/>
              </a:solidFill>
              <a:ln>
                <a:noFill/>
                <a:prstDash val="solid"/>
              </a:ln>
            </spPr>
          </dPt>
          <dPt>
            <idx val="71"/>
            <invertIfNegative val="0"/>
            <spPr>
              <a:solidFill>
                <a:srgbClr val="D1EFE4"/>
              </a:solidFill>
              <a:ln>
                <a:noFill/>
                <a:prstDash val="solid"/>
              </a:ln>
            </spPr>
          </dPt>
          <cat>
            <numRef>
              <f>'Chart - Louisiana sensitivity'!$A$2:$A$73</f>
            </numRef>
          </cat>
          <val>
            <numRef>
              <f>'Chart - Louisiana sensitivity'!$D$2:$D$73</f>
            </numRef>
          </val>
        </ser>
        <ser>
          <idx val="3"/>
          <order val="3"/>
          <tx>
            <strRef>
              <f>'Chart - Louisiana sensitivity'!E1</f>
            </strRef>
          </tx>
          <spPr>
            <a:solidFill>
              <a:srgbClr val="EDA100"/>
            </a:solidFill>
            <a:ln>
              <a:noFill/>
              <a:prstDash val="solid"/>
            </a:ln>
          </spPr>
          <dPt>
            <idx val="0"/>
            <invertIfNegative val="0"/>
            <spPr>
              <a:solidFill>
                <a:srgbClr val="F6D48C"/>
              </a:solidFill>
              <a:ln>
                <a:noFill/>
                <a:prstDash val="solid"/>
              </a:ln>
            </spPr>
          </dPt>
          <dPt>
            <idx val="1"/>
            <invertIfNegative val="0"/>
            <spPr>
              <a:solidFill>
                <a:srgbClr val="F6D48C"/>
              </a:solidFill>
              <a:ln>
                <a:noFill/>
                <a:prstDash val="solid"/>
              </a:ln>
            </spPr>
          </dPt>
          <dPt>
            <idx val="2"/>
            <invertIfNegative val="0"/>
            <spPr>
              <a:solidFill>
                <a:srgbClr val="F6D48C"/>
              </a:solidFill>
              <a:ln>
                <a:noFill/>
                <a:prstDash val="solid"/>
              </a:ln>
            </spPr>
          </dPt>
          <dPt>
            <idx val="3"/>
            <invertIfNegative val="0"/>
            <spPr>
              <a:solidFill>
                <a:srgbClr val="F6D48C"/>
              </a:solidFill>
              <a:ln>
                <a:noFill/>
                <a:prstDash val="solid"/>
              </a:ln>
            </spPr>
          </dPt>
          <dPt>
            <idx val="4"/>
            <invertIfNegative val="0"/>
            <spPr>
              <a:solidFill>
                <a:srgbClr val="F6D48C"/>
              </a:solidFill>
              <a:ln>
                <a:noFill/>
                <a:prstDash val="solid"/>
              </a:ln>
            </spPr>
          </dPt>
          <dPt>
            <idx val="5"/>
            <invertIfNegative val="0"/>
            <spPr>
              <a:solidFill>
                <a:srgbClr val="F6D48C"/>
              </a:solidFill>
              <a:ln>
                <a:noFill/>
                <a:prstDash val="solid"/>
              </a:ln>
            </spPr>
          </dPt>
          <dPt>
            <idx val="6"/>
            <invertIfNegative val="0"/>
            <spPr>
              <a:solidFill>
                <a:srgbClr val="F6D48C"/>
              </a:solidFill>
              <a:ln>
                <a:noFill/>
                <a:prstDash val="solid"/>
              </a:ln>
            </spPr>
          </dPt>
          <dPt>
            <idx val="7"/>
            <invertIfNegative val="0"/>
            <spPr>
              <a:solidFill>
                <a:srgbClr val="F6D48C"/>
              </a:solidFill>
              <a:ln>
                <a:noFill/>
                <a:prstDash val="solid"/>
              </a:ln>
            </spPr>
          </dPt>
          <dPt>
            <idx val="8"/>
            <invertIfNegative val="0"/>
            <spPr>
              <a:solidFill>
                <a:srgbClr val="F6D48C"/>
              </a:solidFill>
              <a:ln>
                <a:noFill/>
                <a:prstDash val="solid"/>
              </a:ln>
            </spPr>
          </dPt>
          <dPt>
            <idx val="9"/>
            <invertIfNegative val="0"/>
            <spPr>
              <a:solidFill>
                <a:srgbClr val="F6D48C"/>
              </a:solidFill>
              <a:ln>
                <a:noFill/>
                <a:prstDash val="solid"/>
              </a:ln>
            </spPr>
          </dPt>
          <dPt>
            <idx val="10"/>
            <invertIfNegative val="0"/>
            <spPr>
              <a:solidFill>
                <a:srgbClr val="F6D48C"/>
              </a:solidFill>
              <a:ln>
                <a:noFill/>
                <a:prstDash val="solid"/>
              </a:ln>
            </spPr>
          </dPt>
          <dPt>
            <idx val="11"/>
            <invertIfNegative val="0"/>
            <spPr>
              <a:solidFill>
                <a:srgbClr val="F6D48C"/>
              </a:solidFill>
              <a:ln>
                <a:noFill/>
                <a:prstDash val="solid"/>
              </a:ln>
            </spPr>
          </dPt>
          <dPt>
            <idx val="12"/>
            <invertIfNegative val="0"/>
            <spPr>
              <a:solidFill>
                <a:srgbClr val="F6D48C"/>
              </a:solidFill>
              <a:ln>
                <a:noFill/>
                <a:prstDash val="solid"/>
              </a:ln>
            </spPr>
          </dPt>
          <dPt>
            <idx val="13"/>
            <invertIfNegative val="0"/>
            <spPr>
              <a:solidFill>
                <a:srgbClr val="F6D48C"/>
              </a:solidFill>
              <a:ln>
                <a:noFill/>
                <a:prstDash val="solid"/>
              </a:ln>
            </spPr>
          </dPt>
          <dPt>
            <idx val="14"/>
            <invertIfNegative val="0"/>
            <spPr>
              <a:solidFill>
                <a:srgbClr val="F6D48C"/>
              </a:solidFill>
              <a:ln>
                <a:noFill/>
                <a:prstDash val="solid"/>
              </a:ln>
            </spPr>
          </dPt>
          <dPt>
            <idx val="15"/>
            <invertIfNegative val="0"/>
            <spPr>
              <a:solidFill>
                <a:srgbClr val="F6D48C"/>
              </a:solidFill>
              <a:ln>
                <a:noFill/>
                <a:prstDash val="solid"/>
              </a:ln>
            </spPr>
          </dPt>
          <dPt>
            <idx val="16"/>
            <invertIfNegative val="0"/>
            <spPr>
              <a:solidFill>
                <a:srgbClr val="F6D48C"/>
              </a:solidFill>
              <a:ln>
                <a:noFill/>
                <a:prstDash val="solid"/>
              </a:ln>
            </spPr>
          </dPt>
          <dPt>
            <idx val="17"/>
            <invertIfNegative val="0"/>
            <spPr>
              <a:solidFill>
                <a:srgbClr val="F6D48C"/>
              </a:solidFill>
              <a:ln>
                <a:noFill/>
                <a:prstDash val="solid"/>
              </a:ln>
            </spPr>
          </dPt>
          <dPt>
            <idx val="18"/>
            <invertIfNegative val="0"/>
            <spPr>
              <a:solidFill>
                <a:srgbClr val="F6D48C"/>
              </a:solidFill>
              <a:ln>
                <a:noFill/>
                <a:prstDash val="solid"/>
              </a:ln>
            </spPr>
          </dPt>
          <dPt>
            <idx val="19"/>
            <invertIfNegative val="0"/>
            <spPr>
              <a:solidFill>
                <a:srgbClr val="F6D48C"/>
              </a:solidFill>
              <a:ln>
                <a:noFill/>
                <a:prstDash val="solid"/>
              </a:ln>
            </spPr>
          </dPt>
          <dPt>
            <idx val="20"/>
            <invertIfNegative val="0"/>
            <spPr>
              <a:solidFill>
                <a:srgbClr val="F6D48C"/>
              </a:solidFill>
              <a:ln>
                <a:noFill/>
                <a:prstDash val="solid"/>
              </a:ln>
            </spPr>
          </dPt>
          <dPt>
            <idx val="21"/>
            <invertIfNegative val="0"/>
            <spPr>
              <a:solidFill>
                <a:srgbClr val="F6D48C"/>
              </a:solidFill>
              <a:ln>
                <a:noFill/>
                <a:prstDash val="solid"/>
              </a:ln>
            </spPr>
          </dPt>
          <dPt>
            <idx val="22"/>
            <invertIfNegative val="0"/>
            <spPr>
              <a:solidFill>
                <a:srgbClr val="F6D48C"/>
              </a:solidFill>
              <a:ln>
                <a:noFill/>
                <a:prstDash val="solid"/>
              </a:ln>
            </spPr>
          </dPt>
          <dPt>
            <idx val="23"/>
            <invertIfNegative val="0"/>
            <spPr>
              <a:solidFill>
                <a:srgbClr val="F6D48C"/>
              </a:solidFill>
              <a:ln>
                <a:noFill/>
                <a:prstDash val="solid"/>
              </a:ln>
            </spPr>
          </dPt>
          <dPt>
            <idx val="24"/>
            <invertIfNegative val="0"/>
            <spPr>
              <a:solidFill>
                <a:srgbClr val="F6D48C"/>
              </a:solidFill>
              <a:ln>
                <a:noFill/>
                <a:prstDash val="solid"/>
              </a:ln>
            </spPr>
          </dPt>
          <dPt>
            <idx val="25"/>
            <invertIfNegative val="0"/>
            <spPr>
              <a:solidFill>
                <a:srgbClr val="F6D48C"/>
              </a:solidFill>
              <a:ln>
                <a:noFill/>
                <a:prstDash val="solid"/>
              </a:ln>
            </spPr>
          </dPt>
          <dPt>
            <idx val="26"/>
            <invertIfNegative val="0"/>
            <spPr>
              <a:solidFill>
                <a:srgbClr val="F6D48C"/>
              </a:solidFill>
              <a:ln>
                <a:noFill/>
                <a:prstDash val="solid"/>
              </a:ln>
            </spPr>
          </dPt>
          <dPt>
            <idx val="27"/>
            <invertIfNegative val="0"/>
            <spPr>
              <a:solidFill>
                <a:srgbClr val="F6D48C"/>
              </a:solidFill>
              <a:ln>
                <a:noFill/>
                <a:prstDash val="solid"/>
              </a:ln>
            </spPr>
          </dPt>
          <dPt>
            <idx val="28"/>
            <invertIfNegative val="0"/>
            <spPr>
              <a:solidFill>
                <a:srgbClr val="F6D48C"/>
              </a:solidFill>
              <a:ln>
                <a:noFill/>
                <a:prstDash val="solid"/>
              </a:ln>
            </spPr>
          </dPt>
          <dPt>
            <idx val="29"/>
            <invertIfNegative val="0"/>
            <spPr>
              <a:solidFill>
                <a:srgbClr val="F6D48C"/>
              </a:solidFill>
              <a:ln>
                <a:noFill/>
                <a:prstDash val="solid"/>
              </a:ln>
            </spPr>
          </dPt>
          <dPt>
            <idx val="30"/>
            <invertIfNegative val="0"/>
            <spPr>
              <a:solidFill>
                <a:srgbClr val="F6D48C"/>
              </a:solidFill>
              <a:ln>
                <a:noFill/>
                <a:prstDash val="solid"/>
              </a:ln>
            </spPr>
          </dPt>
          <dPt>
            <idx val="31"/>
            <invertIfNegative val="0"/>
            <spPr>
              <a:solidFill>
                <a:srgbClr val="F6D48C"/>
              </a:solidFill>
              <a:ln>
                <a:noFill/>
                <a:prstDash val="solid"/>
              </a:ln>
            </spPr>
          </dPt>
          <dPt>
            <idx val="32"/>
            <invertIfNegative val="0"/>
            <spPr>
              <a:solidFill>
                <a:srgbClr val="F6D48C"/>
              </a:solidFill>
              <a:ln>
                <a:noFill/>
                <a:prstDash val="solid"/>
              </a:ln>
            </spPr>
          </dPt>
          <dPt>
            <idx val="33"/>
            <invertIfNegative val="0"/>
            <spPr>
              <a:solidFill>
                <a:srgbClr val="F6D48C"/>
              </a:solidFill>
              <a:ln>
                <a:noFill/>
                <a:prstDash val="solid"/>
              </a:ln>
            </spPr>
          </dPt>
          <dPt>
            <idx val="34"/>
            <invertIfNegative val="0"/>
            <spPr>
              <a:solidFill>
                <a:srgbClr val="F6D48C"/>
              </a:solidFill>
              <a:ln>
                <a:noFill/>
                <a:prstDash val="solid"/>
              </a:ln>
            </spPr>
          </dPt>
          <dPt>
            <idx val="35"/>
            <invertIfNegative val="0"/>
            <spPr>
              <a:solidFill>
                <a:srgbClr val="F6D48C"/>
              </a:solidFill>
              <a:ln>
                <a:noFill/>
                <a:prstDash val="solid"/>
              </a:ln>
            </spPr>
          </dPt>
          <dPt>
            <idx val="36"/>
            <invertIfNegative val="0"/>
            <spPr>
              <a:solidFill>
                <a:srgbClr val="FBECCC"/>
              </a:solidFill>
              <a:ln>
                <a:noFill/>
                <a:prstDash val="solid"/>
              </a:ln>
            </spPr>
          </dPt>
          <dPt>
            <idx val="37"/>
            <invertIfNegative val="0"/>
            <spPr>
              <a:solidFill>
                <a:srgbClr val="FBECCC"/>
              </a:solidFill>
              <a:ln>
                <a:noFill/>
                <a:prstDash val="solid"/>
              </a:ln>
            </spPr>
          </dPt>
          <dPt>
            <idx val="38"/>
            <invertIfNegative val="0"/>
            <spPr>
              <a:solidFill>
                <a:srgbClr val="FBECCC"/>
              </a:solidFill>
              <a:ln>
                <a:noFill/>
                <a:prstDash val="solid"/>
              </a:ln>
            </spPr>
          </dPt>
          <dPt>
            <idx val="39"/>
            <invertIfNegative val="0"/>
            <spPr>
              <a:solidFill>
                <a:srgbClr val="FBECCC"/>
              </a:solidFill>
              <a:ln>
                <a:noFill/>
                <a:prstDash val="solid"/>
              </a:ln>
            </spPr>
          </dPt>
          <dPt>
            <idx val="40"/>
            <invertIfNegative val="0"/>
            <spPr>
              <a:solidFill>
                <a:srgbClr val="FBECCC"/>
              </a:solidFill>
              <a:ln>
                <a:noFill/>
                <a:prstDash val="solid"/>
              </a:ln>
            </spPr>
          </dPt>
          <dPt>
            <idx val="41"/>
            <invertIfNegative val="0"/>
            <spPr>
              <a:solidFill>
                <a:srgbClr val="FBECCC"/>
              </a:solidFill>
              <a:ln>
                <a:noFill/>
                <a:prstDash val="solid"/>
              </a:ln>
            </spPr>
          </dPt>
          <dPt>
            <idx val="42"/>
            <invertIfNegative val="0"/>
            <spPr>
              <a:solidFill>
                <a:srgbClr val="FBECCC"/>
              </a:solidFill>
              <a:ln>
                <a:noFill/>
                <a:prstDash val="solid"/>
              </a:ln>
            </spPr>
          </dPt>
          <dPt>
            <idx val="43"/>
            <invertIfNegative val="0"/>
            <spPr>
              <a:solidFill>
                <a:srgbClr val="FBECCC"/>
              </a:solidFill>
              <a:ln>
                <a:noFill/>
                <a:prstDash val="solid"/>
              </a:ln>
            </spPr>
          </dPt>
          <dPt>
            <idx val="44"/>
            <invertIfNegative val="0"/>
            <spPr>
              <a:solidFill>
                <a:srgbClr val="FBECCC"/>
              </a:solidFill>
              <a:ln>
                <a:noFill/>
                <a:prstDash val="solid"/>
              </a:ln>
            </spPr>
          </dPt>
          <dPt>
            <idx val="45"/>
            <invertIfNegative val="0"/>
            <spPr>
              <a:solidFill>
                <a:srgbClr val="FBECCC"/>
              </a:solidFill>
              <a:ln>
                <a:noFill/>
                <a:prstDash val="solid"/>
              </a:ln>
            </spPr>
          </dPt>
          <dPt>
            <idx val="46"/>
            <invertIfNegative val="0"/>
            <spPr>
              <a:solidFill>
                <a:srgbClr val="FBECCC"/>
              </a:solidFill>
              <a:ln>
                <a:noFill/>
                <a:prstDash val="solid"/>
              </a:ln>
            </spPr>
          </dPt>
          <dPt>
            <idx val="47"/>
            <invertIfNegative val="0"/>
            <spPr>
              <a:solidFill>
                <a:srgbClr val="FBECCC"/>
              </a:solidFill>
              <a:ln>
                <a:noFill/>
                <a:prstDash val="solid"/>
              </a:ln>
            </spPr>
          </dPt>
          <dPt>
            <idx val="48"/>
            <invertIfNegative val="0"/>
            <spPr>
              <a:solidFill>
                <a:srgbClr val="FBECCC"/>
              </a:solidFill>
              <a:ln>
                <a:noFill/>
                <a:prstDash val="solid"/>
              </a:ln>
            </spPr>
          </dPt>
          <dPt>
            <idx val="49"/>
            <invertIfNegative val="0"/>
            <spPr>
              <a:solidFill>
                <a:srgbClr val="FBECCC"/>
              </a:solidFill>
              <a:ln>
                <a:noFill/>
                <a:prstDash val="solid"/>
              </a:ln>
            </spPr>
          </dPt>
          <dPt>
            <idx val="50"/>
            <invertIfNegative val="0"/>
            <spPr>
              <a:solidFill>
                <a:srgbClr val="FBECCC"/>
              </a:solidFill>
              <a:ln>
                <a:noFill/>
                <a:prstDash val="solid"/>
              </a:ln>
            </spPr>
          </dPt>
          <dPt>
            <idx val="51"/>
            <invertIfNegative val="0"/>
            <spPr>
              <a:solidFill>
                <a:srgbClr val="FBECCC"/>
              </a:solidFill>
              <a:ln>
                <a:noFill/>
                <a:prstDash val="solid"/>
              </a:ln>
            </spPr>
          </dPt>
          <dPt>
            <idx val="52"/>
            <invertIfNegative val="0"/>
            <spPr>
              <a:solidFill>
                <a:srgbClr val="FBECCC"/>
              </a:solidFill>
              <a:ln>
                <a:noFill/>
                <a:prstDash val="solid"/>
              </a:ln>
            </spPr>
          </dPt>
          <dPt>
            <idx val="53"/>
            <invertIfNegative val="0"/>
            <spPr>
              <a:solidFill>
                <a:srgbClr val="FBECCC"/>
              </a:solidFill>
              <a:ln>
                <a:noFill/>
                <a:prstDash val="solid"/>
              </a:ln>
            </spPr>
          </dPt>
          <dPt>
            <idx val="54"/>
            <invertIfNegative val="0"/>
            <spPr>
              <a:solidFill>
                <a:srgbClr val="FBECCC"/>
              </a:solidFill>
              <a:ln>
                <a:noFill/>
                <a:prstDash val="solid"/>
              </a:ln>
            </spPr>
          </dPt>
          <dPt>
            <idx val="55"/>
            <invertIfNegative val="0"/>
            <spPr>
              <a:solidFill>
                <a:srgbClr val="FBECCC"/>
              </a:solidFill>
              <a:ln>
                <a:noFill/>
                <a:prstDash val="solid"/>
              </a:ln>
            </spPr>
          </dPt>
          <dPt>
            <idx val="56"/>
            <invertIfNegative val="0"/>
            <spPr>
              <a:solidFill>
                <a:srgbClr val="FBECCC"/>
              </a:solidFill>
              <a:ln>
                <a:noFill/>
                <a:prstDash val="solid"/>
              </a:ln>
            </spPr>
          </dPt>
          <dPt>
            <idx val="57"/>
            <invertIfNegative val="0"/>
            <spPr>
              <a:solidFill>
                <a:srgbClr val="FBECCC"/>
              </a:solidFill>
              <a:ln>
                <a:noFill/>
                <a:prstDash val="solid"/>
              </a:ln>
            </spPr>
          </dPt>
          <dPt>
            <idx val="58"/>
            <invertIfNegative val="0"/>
            <spPr>
              <a:solidFill>
                <a:srgbClr val="FBECCC"/>
              </a:solidFill>
              <a:ln>
                <a:noFill/>
                <a:prstDash val="solid"/>
              </a:ln>
            </spPr>
          </dPt>
          <dPt>
            <idx val="59"/>
            <invertIfNegative val="0"/>
            <spPr>
              <a:solidFill>
                <a:srgbClr val="FBECCC"/>
              </a:solidFill>
              <a:ln>
                <a:noFill/>
                <a:prstDash val="solid"/>
              </a:ln>
            </spPr>
          </dPt>
          <dPt>
            <idx val="60"/>
            <invertIfNegative val="0"/>
            <spPr>
              <a:solidFill>
                <a:srgbClr val="FBECCC"/>
              </a:solidFill>
              <a:ln>
                <a:noFill/>
                <a:prstDash val="solid"/>
              </a:ln>
            </spPr>
          </dPt>
          <dPt>
            <idx val="61"/>
            <invertIfNegative val="0"/>
            <spPr>
              <a:solidFill>
                <a:srgbClr val="FBECCC"/>
              </a:solidFill>
              <a:ln>
                <a:noFill/>
                <a:prstDash val="solid"/>
              </a:ln>
            </spPr>
          </dPt>
          <dPt>
            <idx val="62"/>
            <invertIfNegative val="0"/>
            <spPr>
              <a:solidFill>
                <a:srgbClr val="FBECCC"/>
              </a:solidFill>
              <a:ln>
                <a:noFill/>
                <a:prstDash val="solid"/>
              </a:ln>
            </spPr>
          </dPt>
          <dPt>
            <idx val="63"/>
            <invertIfNegative val="0"/>
            <spPr>
              <a:solidFill>
                <a:srgbClr val="FBECCC"/>
              </a:solidFill>
              <a:ln>
                <a:noFill/>
                <a:prstDash val="solid"/>
              </a:ln>
            </spPr>
          </dPt>
          <dPt>
            <idx val="64"/>
            <invertIfNegative val="0"/>
            <spPr>
              <a:solidFill>
                <a:srgbClr val="FBECCC"/>
              </a:solidFill>
              <a:ln>
                <a:noFill/>
                <a:prstDash val="solid"/>
              </a:ln>
            </spPr>
          </dPt>
          <dPt>
            <idx val="65"/>
            <invertIfNegative val="0"/>
            <spPr>
              <a:solidFill>
                <a:srgbClr val="FBECCC"/>
              </a:solidFill>
              <a:ln>
                <a:noFill/>
                <a:prstDash val="solid"/>
              </a:ln>
            </spPr>
          </dPt>
          <dPt>
            <idx val="66"/>
            <invertIfNegative val="0"/>
            <spPr>
              <a:solidFill>
                <a:srgbClr val="FBECCC"/>
              </a:solidFill>
              <a:ln>
                <a:noFill/>
                <a:prstDash val="solid"/>
              </a:ln>
            </spPr>
          </dPt>
          <dPt>
            <idx val="67"/>
            <invertIfNegative val="0"/>
            <spPr>
              <a:solidFill>
                <a:srgbClr val="FBECCC"/>
              </a:solidFill>
              <a:ln>
                <a:noFill/>
                <a:prstDash val="solid"/>
              </a:ln>
            </spPr>
          </dPt>
          <dPt>
            <idx val="68"/>
            <invertIfNegative val="0"/>
            <spPr>
              <a:solidFill>
                <a:srgbClr val="FBECCC"/>
              </a:solidFill>
              <a:ln>
                <a:noFill/>
                <a:prstDash val="solid"/>
              </a:ln>
            </spPr>
          </dPt>
          <dPt>
            <idx val="69"/>
            <invertIfNegative val="0"/>
            <spPr>
              <a:solidFill>
                <a:srgbClr val="FBECCC"/>
              </a:solidFill>
              <a:ln>
                <a:noFill/>
                <a:prstDash val="solid"/>
              </a:ln>
            </spPr>
          </dPt>
          <dPt>
            <idx val="70"/>
            <invertIfNegative val="0"/>
            <spPr>
              <a:solidFill>
                <a:srgbClr val="FBECCC"/>
              </a:solidFill>
              <a:ln>
                <a:noFill/>
                <a:prstDash val="solid"/>
              </a:ln>
            </spPr>
          </dPt>
          <dPt>
            <idx val="71"/>
            <invertIfNegative val="0"/>
            <spPr>
              <a:solidFill>
                <a:srgbClr val="FBECCC"/>
              </a:solidFill>
              <a:ln>
                <a:noFill/>
                <a:prstDash val="solid"/>
              </a:ln>
            </spPr>
          </dPt>
          <cat>
            <numRef>
              <f>'Chart - Louisiana sensitivity'!$A$2:$A$73</f>
            </numRef>
          </cat>
          <val>
            <numRef>
              <f>'Chart - Louisiana sensitivity'!$E$2:$E$73</f>
            </numRef>
          </val>
        </ser>
        <ser>
          <idx val="4"/>
          <order val="4"/>
          <tx>
            <strRef>
              <f>'Chart - Louisiana sensitivity'!F1</f>
            </strRef>
          </tx>
          <spPr>
            <a:solidFill>
              <a:srgbClr val="E87BA4"/>
            </a:solidFill>
            <a:ln>
              <a:noFill/>
              <a:prstDash val="solid"/>
            </a:ln>
          </spPr>
          <dPt>
            <idx val="0"/>
            <invertIfNegative val="0"/>
            <spPr>
              <a:solidFill>
                <a:srgbClr val="F4C3D6"/>
              </a:solidFill>
              <a:ln>
                <a:noFill/>
                <a:prstDash val="solid"/>
              </a:ln>
            </spPr>
          </dPt>
          <dPt>
            <idx val="1"/>
            <invertIfNegative val="0"/>
            <spPr>
              <a:solidFill>
                <a:srgbClr val="F4C3D6"/>
              </a:solidFill>
              <a:ln>
                <a:noFill/>
                <a:prstDash val="solid"/>
              </a:ln>
            </spPr>
          </dPt>
          <dPt>
            <idx val="2"/>
            <invertIfNegative val="0"/>
            <spPr>
              <a:solidFill>
                <a:srgbClr val="F4C3D6"/>
              </a:solidFill>
              <a:ln>
                <a:noFill/>
                <a:prstDash val="solid"/>
              </a:ln>
            </spPr>
          </dPt>
          <dPt>
            <idx val="3"/>
            <invertIfNegative val="0"/>
            <spPr>
              <a:solidFill>
                <a:srgbClr val="F4C3D6"/>
              </a:solidFill>
              <a:ln>
                <a:noFill/>
                <a:prstDash val="solid"/>
              </a:ln>
            </spPr>
          </dPt>
          <dPt>
            <idx val="4"/>
            <invertIfNegative val="0"/>
            <spPr>
              <a:solidFill>
                <a:srgbClr val="F4C3D6"/>
              </a:solidFill>
              <a:ln>
                <a:noFill/>
                <a:prstDash val="solid"/>
              </a:ln>
            </spPr>
          </dPt>
          <dPt>
            <idx val="5"/>
            <invertIfNegative val="0"/>
            <spPr>
              <a:solidFill>
                <a:srgbClr val="F4C3D6"/>
              </a:solidFill>
              <a:ln>
                <a:noFill/>
                <a:prstDash val="solid"/>
              </a:ln>
            </spPr>
          </dPt>
          <dPt>
            <idx val="6"/>
            <invertIfNegative val="0"/>
            <spPr>
              <a:solidFill>
                <a:srgbClr val="F4C3D6"/>
              </a:solidFill>
              <a:ln>
                <a:noFill/>
                <a:prstDash val="solid"/>
              </a:ln>
            </spPr>
          </dPt>
          <dPt>
            <idx val="7"/>
            <invertIfNegative val="0"/>
            <spPr>
              <a:solidFill>
                <a:srgbClr val="F4C3D6"/>
              </a:solidFill>
              <a:ln>
                <a:noFill/>
                <a:prstDash val="solid"/>
              </a:ln>
            </spPr>
          </dPt>
          <dPt>
            <idx val="8"/>
            <invertIfNegative val="0"/>
            <spPr>
              <a:solidFill>
                <a:srgbClr val="F4C3D6"/>
              </a:solidFill>
              <a:ln>
                <a:noFill/>
                <a:prstDash val="solid"/>
              </a:ln>
            </spPr>
          </dPt>
          <dPt>
            <idx val="9"/>
            <invertIfNegative val="0"/>
            <spPr>
              <a:solidFill>
                <a:srgbClr val="F4C3D6"/>
              </a:solidFill>
              <a:ln>
                <a:noFill/>
                <a:prstDash val="solid"/>
              </a:ln>
            </spPr>
          </dPt>
          <dPt>
            <idx val="10"/>
            <invertIfNegative val="0"/>
            <spPr>
              <a:solidFill>
                <a:srgbClr val="F4C3D6"/>
              </a:solidFill>
              <a:ln>
                <a:noFill/>
                <a:prstDash val="solid"/>
              </a:ln>
            </spPr>
          </dPt>
          <dPt>
            <idx val="11"/>
            <invertIfNegative val="0"/>
            <spPr>
              <a:solidFill>
                <a:srgbClr val="F4C3D6"/>
              </a:solidFill>
              <a:ln>
                <a:noFill/>
                <a:prstDash val="solid"/>
              </a:ln>
            </spPr>
          </dPt>
          <dPt>
            <idx val="12"/>
            <invertIfNegative val="0"/>
            <spPr>
              <a:solidFill>
                <a:srgbClr val="F4C3D6"/>
              </a:solidFill>
              <a:ln>
                <a:noFill/>
                <a:prstDash val="solid"/>
              </a:ln>
            </spPr>
          </dPt>
          <dPt>
            <idx val="13"/>
            <invertIfNegative val="0"/>
            <spPr>
              <a:solidFill>
                <a:srgbClr val="F4C3D6"/>
              </a:solidFill>
              <a:ln>
                <a:noFill/>
                <a:prstDash val="solid"/>
              </a:ln>
            </spPr>
          </dPt>
          <dPt>
            <idx val="14"/>
            <invertIfNegative val="0"/>
            <spPr>
              <a:solidFill>
                <a:srgbClr val="F4C3D6"/>
              </a:solidFill>
              <a:ln>
                <a:noFill/>
                <a:prstDash val="solid"/>
              </a:ln>
            </spPr>
          </dPt>
          <dPt>
            <idx val="15"/>
            <invertIfNegative val="0"/>
            <spPr>
              <a:solidFill>
                <a:srgbClr val="F4C3D6"/>
              </a:solidFill>
              <a:ln>
                <a:noFill/>
                <a:prstDash val="solid"/>
              </a:ln>
            </spPr>
          </dPt>
          <dPt>
            <idx val="16"/>
            <invertIfNegative val="0"/>
            <spPr>
              <a:solidFill>
                <a:srgbClr val="F4C3D6"/>
              </a:solidFill>
              <a:ln>
                <a:noFill/>
                <a:prstDash val="solid"/>
              </a:ln>
            </spPr>
          </dPt>
          <dPt>
            <idx val="17"/>
            <invertIfNegative val="0"/>
            <spPr>
              <a:solidFill>
                <a:srgbClr val="F4C3D6"/>
              </a:solidFill>
              <a:ln>
                <a:noFill/>
                <a:prstDash val="solid"/>
              </a:ln>
            </spPr>
          </dPt>
          <dPt>
            <idx val="18"/>
            <invertIfNegative val="0"/>
            <spPr>
              <a:solidFill>
                <a:srgbClr val="F4C3D6"/>
              </a:solidFill>
              <a:ln>
                <a:noFill/>
                <a:prstDash val="solid"/>
              </a:ln>
            </spPr>
          </dPt>
          <dPt>
            <idx val="19"/>
            <invertIfNegative val="0"/>
            <spPr>
              <a:solidFill>
                <a:srgbClr val="F4C3D6"/>
              </a:solidFill>
              <a:ln>
                <a:noFill/>
                <a:prstDash val="solid"/>
              </a:ln>
            </spPr>
          </dPt>
          <dPt>
            <idx val="20"/>
            <invertIfNegative val="0"/>
            <spPr>
              <a:solidFill>
                <a:srgbClr val="F4C3D6"/>
              </a:solidFill>
              <a:ln>
                <a:noFill/>
                <a:prstDash val="solid"/>
              </a:ln>
            </spPr>
          </dPt>
          <dPt>
            <idx val="21"/>
            <invertIfNegative val="0"/>
            <spPr>
              <a:solidFill>
                <a:srgbClr val="F4C3D6"/>
              </a:solidFill>
              <a:ln>
                <a:noFill/>
                <a:prstDash val="solid"/>
              </a:ln>
            </spPr>
          </dPt>
          <dPt>
            <idx val="22"/>
            <invertIfNegative val="0"/>
            <spPr>
              <a:solidFill>
                <a:srgbClr val="F4C3D6"/>
              </a:solidFill>
              <a:ln>
                <a:noFill/>
                <a:prstDash val="solid"/>
              </a:ln>
            </spPr>
          </dPt>
          <dPt>
            <idx val="23"/>
            <invertIfNegative val="0"/>
            <spPr>
              <a:solidFill>
                <a:srgbClr val="F4C3D6"/>
              </a:solidFill>
              <a:ln>
                <a:noFill/>
                <a:prstDash val="solid"/>
              </a:ln>
            </spPr>
          </dPt>
          <dPt>
            <idx val="24"/>
            <invertIfNegative val="0"/>
            <spPr>
              <a:solidFill>
                <a:srgbClr val="F4C3D6"/>
              </a:solidFill>
              <a:ln>
                <a:noFill/>
                <a:prstDash val="solid"/>
              </a:ln>
            </spPr>
          </dPt>
          <dPt>
            <idx val="25"/>
            <invertIfNegative val="0"/>
            <spPr>
              <a:solidFill>
                <a:srgbClr val="F4C3D6"/>
              </a:solidFill>
              <a:ln>
                <a:noFill/>
                <a:prstDash val="solid"/>
              </a:ln>
            </spPr>
          </dPt>
          <dPt>
            <idx val="26"/>
            <invertIfNegative val="0"/>
            <spPr>
              <a:solidFill>
                <a:srgbClr val="F4C3D6"/>
              </a:solidFill>
              <a:ln>
                <a:noFill/>
                <a:prstDash val="solid"/>
              </a:ln>
            </spPr>
          </dPt>
          <dPt>
            <idx val="27"/>
            <invertIfNegative val="0"/>
            <spPr>
              <a:solidFill>
                <a:srgbClr val="F4C3D6"/>
              </a:solidFill>
              <a:ln>
                <a:noFill/>
                <a:prstDash val="solid"/>
              </a:ln>
            </spPr>
          </dPt>
          <dPt>
            <idx val="28"/>
            <invertIfNegative val="0"/>
            <spPr>
              <a:solidFill>
                <a:srgbClr val="F4C3D6"/>
              </a:solidFill>
              <a:ln>
                <a:noFill/>
                <a:prstDash val="solid"/>
              </a:ln>
            </spPr>
          </dPt>
          <dPt>
            <idx val="29"/>
            <invertIfNegative val="0"/>
            <spPr>
              <a:solidFill>
                <a:srgbClr val="F4C3D6"/>
              </a:solidFill>
              <a:ln>
                <a:noFill/>
                <a:prstDash val="solid"/>
              </a:ln>
            </spPr>
          </dPt>
          <dPt>
            <idx val="30"/>
            <invertIfNegative val="0"/>
            <spPr>
              <a:solidFill>
                <a:srgbClr val="F4C3D6"/>
              </a:solidFill>
              <a:ln>
                <a:noFill/>
                <a:prstDash val="solid"/>
              </a:ln>
            </spPr>
          </dPt>
          <dPt>
            <idx val="31"/>
            <invertIfNegative val="0"/>
            <spPr>
              <a:solidFill>
                <a:srgbClr val="F4C3D6"/>
              </a:solidFill>
              <a:ln>
                <a:noFill/>
                <a:prstDash val="solid"/>
              </a:ln>
            </spPr>
          </dPt>
          <dPt>
            <idx val="32"/>
            <invertIfNegative val="0"/>
            <spPr>
              <a:solidFill>
                <a:srgbClr val="F4C3D6"/>
              </a:solidFill>
              <a:ln>
                <a:noFill/>
                <a:prstDash val="solid"/>
              </a:ln>
            </spPr>
          </dPt>
          <dPt>
            <idx val="33"/>
            <invertIfNegative val="0"/>
            <spPr>
              <a:solidFill>
                <a:srgbClr val="F4C3D6"/>
              </a:solidFill>
              <a:ln>
                <a:noFill/>
                <a:prstDash val="solid"/>
              </a:ln>
            </spPr>
          </dPt>
          <dPt>
            <idx val="34"/>
            <invertIfNegative val="0"/>
            <spPr>
              <a:solidFill>
                <a:srgbClr val="F4C3D6"/>
              </a:solidFill>
              <a:ln>
                <a:noFill/>
                <a:prstDash val="solid"/>
              </a:ln>
            </spPr>
          </dPt>
          <dPt>
            <idx val="35"/>
            <invertIfNegative val="0"/>
            <spPr>
              <a:solidFill>
                <a:srgbClr val="F4C3D6"/>
              </a:solidFill>
              <a:ln>
                <a:noFill/>
                <a:prstDash val="solid"/>
              </a:ln>
            </spPr>
          </dPt>
          <dPt>
            <idx val="36"/>
            <invertIfNegative val="0"/>
            <spPr>
              <a:solidFill>
                <a:srgbClr val="FAE4EC"/>
              </a:solidFill>
              <a:ln>
                <a:noFill/>
                <a:prstDash val="solid"/>
              </a:ln>
            </spPr>
          </dPt>
          <dPt>
            <idx val="37"/>
            <invertIfNegative val="0"/>
            <spPr>
              <a:solidFill>
                <a:srgbClr val="FAE4EC"/>
              </a:solidFill>
              <a:ln>
                <a:noFill/>
                <a:prstDash val="solid"/>
              </a:ln>
            </spPr>
          </dPt>
          <dPt>
            <idx val="38"/>
            <invertIfNegative val="0"/>
            <spPr>
              <a:solidFill>
                <a:srgbClr val="FAE4EC"/>
              </a:solidFill>
              <a:ln>
                <a:noFill/>
                <a:prstDash val="solid"/>
              </a:ln>
            </spPr>
          </dPt>
          <dPt>
            <idx val="39"/>
            <invertIfNegative val="0"/>
            <spPr>
              <a:solidFill>
                <a:srgbClr val="FAE4EC"/>
              </a:solidFill>
              <a:ln>
                <a:noFill/>
                <a:prstDash val="solid"/>
              </a:ln>
            </spPr>
          </dPt>
          <dPt>
            <idx val="40"/>
            <invertIfNegative val="0"/>
            <spPr>
              <a:solidFill>
                <a:srgbClr val="FAE4EC"/>
              </a:solidFill>
              <a:ln>
                <a:noFill/>
                <a:prstDash val="solid"/>
              </a:ln>
            </spPr>
          </dPt>
          <dPt>
            <idx val="41"/>
            <invertIfNegative val="0"/>
            <spPr>
              <a:solidFill>
                <a:srgbClr val="FAE4EC"/>
              </a:solidFill>
              <a:ln>
                <a:noFill/>
                <a:prstDash val="solid"/>
              </a:ln>
            </spPr>
          </dPt>
          <dPt>
            <idx val="42"/>
            <invertIfNegative val="0"/>
            <spPr>
              <a:solidFill>
                <a:srgbClr val="FAE4EC"/>
              </a:solidFill>
              <a:ln>
                <a:noFill/>
                <a:prstDash val="solid"/>
              </a:ln>
            </spPr>
          </dPt>
          <dPt>
            <idx val="43"/>
            <invertIfNegative val="0"/>
            <spPr>
              <a:solidFill>
                <a:srgbClr val="FAE4EC"/>
              </a:solidFill>
              <a:ln>
                <a:noFill/>
                <a:prstDash val="solid"/>
              </a:ln>
            </spPr>
          </dPt>
          <dPt>
            <idx val="44"/>
            <invertIfNegative val="0"/>
            <spPr>
              <a:solidFill>
                <a:srgbClr val="FAE4EC"/>
              </a:solidFill>
              <a:ln>
                <a:noFill/>
                <a:prstDash val="solid"/>
              </a:ln>
            </spPr>
          </dPt>
          <dPt>
            <idx val="45"/>
            <invertIfNegative val="0"/>
            <spPr>
              <a:solidFill>
                <a:srgbClr val="FAE4EC"/>
              </a:solidFill>
              <a:ln>
                <a:noFill/>
                <a:prstDash val="solid"/>
              </a:ln>
            </spPr>
          </dPt>
          <dPt>
            <idx val="46"/>
            <invertIfNegative val="0"/>
            <spPr>
              <a:solidFill>
                <a:srgbClr val="FAE4EC"/>
              </a:solidFill>
              <a:ln>
                <a:noFill/>
                <a:prstDash val="solid"/>
              </a:ln>
            </spPr>
          </dPt>
          <dPt>
            <idx val="47"/>
            <invertIfNegative val="0"/>
            <spPr>
              <a:solidFill>
                <a:srgbClr val="FAE4EC"/>
              </a:solidFill>
              <a:ln>
                <a:noFill/>
                <a:prstDash val="solid"/>
              </a:ln>
            </spPr>
          </dPt>
          <dPt>
            <idx val="48"/>
            <invertIfNegative val="0"/>
            <spPr>
              <a:solidFill>
                <a:srgbClr val="FAE4EC"/>
              </a:solidFill>
              <a:ln>
                <a:noFill/>
                <a:prstDash val="solid"/>
              </a:ln>
            </spPr>
          </dPt>
          <dPt>
            <idx val="49"/>
            <invertIfNegative val="0"/>
            <spPr>
              <a:solidFill>
                <a:srgbClr val="FAE4EC"/>
              </a:solidFill>
              <a:ln>
                <a:noFill/>
                <a:prstDash val="solid"/>
              </a:ln>
            </spPr>
          </dPt>
          <dPt>
            <idx val="50"/>
            <invertIfNegative val="0"/>
            <spPr>
              <a:solidFill>
                <a:srgbClr val="FAE4EC"/>
              </a:solidFill>
              <a:ln>
                <a:noFill/>
                <a:prstDash val="solid"/>
              </a:ln>
            </spPr>
          </dPt>
          <dPt>
            <idx val="51"/>
            <invertIfNegative val="0"/>
            <spPr>
              <a:solidFill>
                <a:srgbClr val="FAE4EC"/>
              </a:solidFill>
              <a:ln>
                <a:noFill/>
                <a:prstDash val="solid"/>
              </a:ln>
            </spPr>
          </dPt>
          <dPt>
            <idx val="52"/>
            <invertIfNegative val="0"/>
            <spPr>
              <a:solidFill>
                <a:srgbClr val="FAE4EC"/>
              </a:solidFill>
              <a:ln>
                <a:noFill/>
                <a:prstDash val="solid"/>
              </a:ln>
            </spPr>
          </dPt>
          <dPt>
            <idx val="53"/>
            <invertIfNegative val="0"/>
            <spPr>
              <a:solidFill>
                <a:srgbClr val="FAE4EC"/>
              </a:solidFill>
              <a:ln>
                <a:noFill/>
                <a:prstDash val="solid"/>
              </a:ln>
            </spPr>
          </dPt>
          <dPt>
            <idx val="54"/>
            <invertIfNegative val="0"/>
            <spPr>
              <a:solidFill>
                <a:srgbClr val="FAE4EC"/>
              </a:solidFill>
              <a:ln>
                <a:noFill/>
                <a:prstDash val="solid"/>
              </a:ln>
            </spPr>
          </dPt>
          <dPt>
            <idx val="55"/>
            <invertIfNegative val="0"/>
            <spPr>
              <a:solidFill>
                <a:srgbClr val="FAE4EC"/>
              </a:solidFill>
              <a:ln>
                <a:noFill/>
                <a:prstDash val="solid"/>
              </a:ln>
            </spPr>
          </dPt>
          <dPt>
            <idx val="56"/>
            <invertIfNegative val="0"/>
            <spPr>
              <a:solidFill>
                <a:srgbClr val="FAE4EC"/>
              </a:solidFill>
              <a:ln>
                <a:noFill/>
                <a:prstDash val="solid"/>
              </a:ln>
            </spPr>
          </dPt>
          <dPt>
            <idx val="57"/>
            <invertIfNegative val="0"/>
            <spPr>
              <a:solidFill>
                <a:srgbClr val="FAE4EC"/>
              </a:solidFill>
              <a:ln>
                <a:noFill/>
                <a:prstDash val="solid"/>
              </a:ln>
            </spPr>
          </dPt>
          <dPt>
            <idx val="58"/>
            <invertIfNegative val="0"/>
            <spPr>
              <a:solidFill>
                <a:srgbClr val="FAE4EC"/>
              </a:solidFill>
              <a:ln>
                <a:noFill/>
                <a:prstDash val="solid"/>
              </a:ln>
            </spPr>
          </dPt>
          <dPt>
            <idx val="59"/>
            <invertIfNegative val="0"/>
            <spPr>
              <a:solidFill>
                <a:srgbClr val="FAE4EC"/>
              </a:solidFill>
              <a:ln>
                <a:noFill/>
                <a:prstDash val="solid"/>
              </a:ln>
            </spPr>
          </dPt>
          <dPt>
            <idx val="60"/>
            <invertIfNegative val="0"/>
            <spPr>
              <a:solidFill>
                <a:srgbClr val="FAE4EC"/>
              </a:solidFill>
              <a:ln>
                <a:noFill/>
                <a:prstDash val="solid"/>
              </a:ln>
            </spPr>
          </dPt>
          <dPt>
            <idx val="61"/>
            <invertIfNegative val="0"/>
            <spPr>
              <a:solidFill>
                <a:srgbClr val="FAE4EC"/>
              </a:solidFill>
              <a:ln>
                <a:noFill/>
                <a:prstDash val="solid"/>
              </a:ln>
            </spPr>
          </dPt>
          <dPt>
            <idx val="62"/>
            <invertIfNegative val="0"/>
            <spPr>
              <a:solidFill>
                <a:srgbClr val="FAE4EC"/>
              </a:solidFill>
              <a:ln>
                <a:noFill/>
                <a:prstDash val="solid"/>
              </a:ln>
            </spPr>
          </dPt>
          <dPt>
            <idx val="63"/>
            <invertIfNegative val="0"/>
            <spPr>
              <a:solidFill>
                <a:srgbClr val="FAE4EC"/>
              </a:solidFill>
              <a:ln>
                <a:noFill/>
                <a:prstDash val="solid"/>
              </a:ln>
            </spPr>
          </dPt>
          <dPt>
            <idx val="64"/>
            <invertIfNegative val="0"/>
            <spPr>
              <a:solidFill>
                <a:srgbClr val="FAE4EC"/>
              </a:solidFill>
              <a:ln>
                <a:noFill/>
                <a:prstDash val="solid"/>
              </a:ln>
            </spPr>
          </dPt>
          <dPt>
            <idx val="65"/>
            <invertIfNegative val="0"/>
            <spPr>
              <a:solidFill>
                <a:srgbClr val="FAE4EC"/>
              </a:solidFill>
              <a:ln>
                <a:noFill/>
                <a:prstDash val="solid"/>
              </a:ln>
            </spPr>
          </dPt>
          <dPt>
            <idx val="66"/>
            <invertIfNegative val="0"/>
            <spPr>
              <a:solidFill>
                <a:srgbClr val="FAE4EC"/>
              </a:solidFill>
              <a:ln>
                <a:noFill/>
                <a:prstDash val="solid"/>
              </a:ln>
            </spPr>
          </dPt>
          <dPt>
            <idx val="67"/>
            <invertIfNegative val="0"/>
            <spPr>
              <a:solidFill>
                <a:srgbClr val="FAE4EC"/>
              </a:solidFill>
              <a:ln>
                <a:noFill/>
                <a:prstDash val="solid"/>
              </a:ln>
            </spPr>
          </dPt>
          <dPt>
            <idx val="68"/>
            <invertIfNegative val="0"/>
            <spPr>
              <a:solidFill>
                <a:srgbClr val="FAE4EC"/>
              </a:solidFill>
              <a:ln>
                <a:noFill/>
                <a:prstDash val="solid"/>
              </a:ln>
            </spPr>
          </dPt>
          <dPt>
            <idx val="69"/>
            <invertIfNegative val="0"/>
            <spPr>
              <a:solidFill>
                <a:srgbClr val="FAE4EC"/>
              </a:solidFill>
              <a:ln>
                <a:noFill/>
                <a:prstDash val="solid"/>
              </a:ln>
            </spPr>
          </dPt>
          <dPt>
            <idx val="70"/>
            <invertIfNegative val="0"/>
            <spPr>
              <a:solidFill>
                <a:srgbClr val="FAE4EC"/>
              </a:solidFill>
              <a:ln>
                <a:noFill/>
                <a:prstDash val="solid"/>
              </a:ln>
            </spPr>
          </dPt>
          <dPt>
            <idx val="71"/>
            <invertIfNegative val="0"/>
            <spPr>
              <a:solidFill>
                <a:srgbClr val="FAE4EC"/>
              </a:solidFill>
              <a:ln>
                <a:noFill/>
                <a:prstDash val="solid"/>
              </a:ln>
            </spPr>
          </dPt>
          <cat>
            <numRef>
              <f>'Chart - Louisiana sensitivity'!$A$2:$A$73</f>
            </numRef>
          </cat>
          <val>
            <numRef>
              <f>'Chart - Louisiana sensitivity'!$F$2:$F$73</f>
            </numRef>
          </val>
        </ser>
        <gapWidth val="30"/>
        <overlap val="100"/>
        <axId val="10"/>
        <axId val="100"/>
      </barChart>
      <lineChart>
        <grouping val="standard"/>
        <ser>
          <idx val="5"/>
          <order val="5"/>
          <tx>
            <strRef>
              <f>'Chart - Louisiana sensitivity'!G1</f>
            </strRef>
          </tx>
          <spPr>
            <a:ln w="28575">
              <a:solidFill>
                <a:srgbClr val="6D4C41"/>
              </a:solidFill>
              <a:prstDash val="solid"/>
            </a:ln>
          </spPr>
          <marker>
            <symbol val="none"/>
            <spPr>
              <a:ln>
                <a:prstDash val="solid"/>
              </a:ln>
            </spPr>
          </marker>
          <cat>
            <numRef>
              <f>'Chart - Louisiana sensitivity'!$A$2:$A$73</f>
            </numRef>
          </cat>
          <val>
            <numRef>
              <f>'Chart - Louisiana sensitivity'!$G$2:$G$73</f>
            </numRef>
          </val>
          <smooth val="0"/>
        </ser>
        <ser>
          <idx val="6"/>
          <order val="6"/>
          <tx>
            <strRef>
              <f>'Chart - Louisiana sensitivity'!H1</f>
            </strRef>
          </tx>
          <spPr>
            <a:ln w="28575">
              <a:solidFill>
                <a:srgbClr val="252525"/>
              </a:solidFill>
              <a:prstDash val="dash"/>
            </a:ln>
          </spPr>
          <marker>
            <symbol val="none"/>
            <spPr>
              <a:ln>
                <a:prstDash val="solid"/>
              </a:ln>
            </spPr>
          </marker>
          <cat>
            <numRef>
              <f>'Chart - Louisiana sensitivity'!$A$2:$A$73</f>
            </numRef>
          </cat>
          <val>
            <numRef>
              <f>'Chart - Louisiana sensitivity'!$H$2:$H$73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6"/>
        <tickMarkSkip val="6"/>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Louisiana sensitivity layers (bars, incremental feedgas) and the Gulf implied net outflow before / after them (lines)</a:t>
            </a:r>
          </a:p>
          <a:p>
            <a:pPr>
              <a:defRPr/>
            </a:pPr>
            <a:r>
              <a:rPr sz="1200" b="1"/>
              <a:t>Below zero = Gulf demand exceeds Gulf supply incl. storage; first-LNG months are ASSUMPTIONS, not forecasts (to Dec/33; forecast from Jan/29, scenario from Jan/31, lightest bars)</a:t>
            </a:r>
          </a:p>
        </rich>
      </tx>
      <overlay val="0"/>
    </title>
    <plotArea>
      <barChart>
        <barDir val="col"/>
        <grouping val="stacked"/>
        <ser>
          <idx val="0"/>
          <order val="0"/>
          <tx>
            <strRef>
              <f>'Chart - Louisiana sensitivity -'!B1</f>
            </strRef>
          </tx>
          <spPr>
            <a:solidFill>
              <a:srgbClr val="2A78D6"/>
            </a:solidFill>
            <a:ln>
              <a:noFill/>
              <a:prstDash val="solid"/>
            </a:ln>
          </spPr>
          <dPt>
            <idx val="0"/>
            <invertIfNegative val="0"/>
            <spPr>
              <a:solidFill>
                <a:srgbClr val="9FC2EC"/>
              </a:solidFill>
              <a:ln>
                <a:noFill/>
                <a:prstDash val="solid"/>
              </a:ln>
            </spPr>
          </dPt>
          <dPt>
            <idx val="1"/>
            <invertIfNegative val="0"/>
            <spPr>
              <a:solidFill>
                <a:srgbClr val="9FC2EC"/>
              </a:solidFill>
              <a:ln>
                <a:noFill/>
                <a:prstDash val="solid"/>
              </a:ln>
            </spPr>
          </dPt>
          <dPt>
            <idx val="2"/>
            <invertIfNegative val="0"/>
            <spPr>
              <a:solidFill>
                <a:srgbClr val="9FC2EC"/>
              </a:solidFill>
              <a:ln>
                <a:noFill/>
                <a:prstDash val="solid"/>
              </a:ln>
            </spPr>
          </dPt>
          <dPt>
            <idx val="3"/>
            <invertIfNegative val="0"/>
            <spPr>
              <a:solidFill>
                <a:srgbClr val="9FC2EC"/>
              </a:solidFill>
              <a:ln>
                <a:noFill/>
                <a:prstDash val="solid"/>
              </a:ln>
            </spPr>
          </dPt>
          <dPt>
            <idx val="4"/>
            <invertIfNegative val="0"/>
            <spPr>
              <a:solidFill>
                <a:srgbClr val="9FC2EC"/>
              </a:solidFill>
              <a:ln>
                <a:noFill/>
                <a:prstDash val="solid"/>
              </a:ln>
            </spPr>
          </dPt>
          <dPt>
            <idx val="5"/>
            <invertIfNegative val="0"/>
            <spPr>
              <a:solidFill>
                <a:srgbClr val="9FC2EC"/>
              </a:solidFill>
              <a:ln>
                <a:noFill/>
                <a:prstDash val="solid"/>
              </a:ln>
            </spPr>
          </dPt>
          <dPt>
            <idx val="6"/>
            <invertIfNegative val="0"/>
            <spPr>
              <a:solidFill>
                <a:srgbClr val="9FC2EC"/>
              </a:solidFill>
              <a:ln>
                <a:noFill/>
                <a:prstDash val="solid"/>
              </a:ln>
            </spPr>
          </dPt>
          <dPt>
            <idx val="7"/>
            <invertIfNegative val="0"/>
            <spPr>
              <a:solidFill>
                <a:srgbClr val="9FC2EC"/>
              </a:solidFill>
              <a:ln>
                <a:noFill/>
                <a:prstDash val="solid"/>
              </a:ln>
            </spPr>
          </dPt>
          <dPt>
            <idx val="8"/>
            <invertIfNegative val="0"/>
            <spPr>
              <a:solidFill>
                <a:srgbClr val="9FC2EC"/>
              </a:solidFill>
              <a:ln>
                <a:noFill/>
                <a:prstDash val="solid"/>
              </a:ln>
            </spPr>
          </dPt>
          <dPt>
            <idx val="9"/>
            <invertIfNegative val="0"/>
            <spPr>
              <a:solidFill>
                <a:srgbClr val="9FC2EC"/>
              </a:solidFill>
              <a:ln>
                <a:noFill/>
                <a:prstDash val="solid"/>
              </a:ln>
            </spPr>
          </dPt>
          <dPt>
            <idx val="10"/>
            <invertIfNegative val="0"/>
            <spPr>
              <a:solidFill>
                <a:srgbClr val="9FC2EC"/>
              </a:solidFill>
              <a:ln>
                <a:noFill/>
                <a:prstDash val="solid"/>
              </a:ln>
            </spPr>
          </dPt>
          <dPt>
            <idx val="11"/>
            <invertIfNegative val="0"/>
            <spPr>
              <a:solidFill>
                <a:srgbClr val="9FC2EC"/>
              </a:solidFill>
              <a:ln>
                <a:noFill/>
                <a:prstDash val="solid"/>
              </a:ln>
            </spPr>
          </dPt>
          <dPt>
            <idx val="12"/>
            <invertIfNegative val="0"/>
            <spPr>
              <a:solidFill>
                <a:srgbClr val="9FC2EC"/>
              </a:solidFill>
              <a:ln>
                <a:noFill/>
                <a:prstDash val="solid"/>
              </a:ln>
            </spPr>
          </dPt>
          <dPt>
            <idx val="13"/>
            <invertIfNegative val="0"/>
            <spPr>
              <a:solidFill>
                <a:srgbClr val="9FC2EC"/>
              </a:solidFill>
              <a:ln>
                <a:noFill/>
                <a:prstDash val="solid"/>
              </a:ln>
            </spPr>
          </dPt>
          <dPt>
            <idx val="14"/>
            <invertIfNegative val="0"/>
            <spPr>
              <a:solidFill>
                <a:srgbClr val="9FC2EC"/>
              </a:solidFill>
              <a:ln>
                <a:noFill/>
                <a:prstDash val="solid"/>
              </a:ln>
            </spPr>
          </dPt>
          <dPt>
            <idx val="15"/>
            <invertIfNegative val="0"/>
            <spPr>
              <a:solidFill>
                <a:srgbClr val="9FC2EC"/>
              </a:solidFill>
              <a:ln>
                <a:noFill/>
                <a:prstDash val="solid"/>
              </a:ln>
            </spPr>
          </dPt>
          <dPt>
            <idx val="16"/>
            <invertIfNegative val="0"/>
            <spPr>
              <a:solidFill>
                <a:srgbClr val="9FC2EC"/>
              </a:solidFill>
              <a:ln>
                <a:noFill/>
                <a:prstDash val="solid"/>
              </a:ln>
            </spPr>
          </dPt>
          <dPt>
            <idx val="17"/>
            <invertIfNegative val="0"/>
            <spPr>
              <a:solidFill>
                <a:srgbClr val="9FC2EC"/>
              </a:solidFill>
              <a:ln>
                <a:noFill/>
                <a:prstDash val="solid"/>
              </a:ln>
            </spPr>
          </dPt>
          <dPt>
            <idx val="18"/>
            <invertIfNegative val="0"/>
            <spPr>
              <a:solidFill>
                <a:srgbClr val="9FC2EC"/>
              </a:solidFill>
              <a:ln>
                <a:noFill/>
                <a:prstDash val="solid"/>
              </a:ln>
            </spPr>
          </dPt>
          <dPt>
            <idx val="19"/>
            <invertIfNegative val="0"/>
            <spPr>
              <a:solidFill>
                <a:srgbClr val="9FC2EC"/>
              </a:solidFill>
              <a:ln>
                <a:noFill/>
                <a:prstDash val="solid"/>
              </a:ln>
            </spPr>
          </dPt>
          <dPt>
            <idx val="20"/>
            <invertIfNegative val="0"/>
            <spPr>
              <a:solidFill>
                <a:srgbClr val="9FC2EC"/>
              </a:solidFill>
              <a:ln>
                <a:noFill/>
                <a:prstDash val="solid"/>
              </a:ln>
            </spPr>
          </dPt>
          <dPt>
            <idx val="21"/>
            <invertIfNegative val="0"/>
            <spPr>
              <a:solidFill>
                <a:srgbClr val="9FC2EC"/>
              </a:solidFill>
              <a:ln>
                <a:noFill/>
                <a:prstDash val="solid"/>
              </a:ln>
            </spPr>
          </dPt>
          <dPt>
            <idx val="22"/>
            <invertIfNegative val="0"/>
            <spPr>
              <a:solidFill>
                <a:srgbClr val="9FC2EC"/>
              </a:solidFill>
              <a:ln>
                <a:noFill/>
                <a:prstDash val="solid"/>
              </a:ln>
            </spPr>
          </dPt>
          <dPt>
            <idx val="23"/>
            <invertIfNegative val="0"/>
            <spPr>
              <a:solidFill>
                <a:srgbClr val="9FC2EC"/>
              </a:solidFill>
              <a:ln>
                <a:noFill/>
                <a:prstDash val="solid"/>
              </a:ln>
            </spPr>
          </dPt>
          <dPt>
            <idx val="24"/>
            <invertIfNegative val="0"/>
            <spPr>
              <a:solidFill>
                <a:srgbClr val="D4E4F6"/>
              </a:solidFill>
              <a:ln>
                <a:noFill/>
                <a:prstDash val="solid"/>
              </a:ln>
            </spPr>
          </dPt>
          <dPt>
            <idx val="25"/>
            <invertIfNegative val="0"/>
            <spPr>
              <a:solidFill>
                <a:srgbClr val="D4E4F6"/>
              </a:solidFill>
              <a:ln>
                <a:noFill/>
                <a:prstDash val="solid"/>
              </a:ln>
            </spPr>
          </dPt>
          <dPt>
            <idx val="26"/>
            <invertIfNegative val="0"/>
            <spPr>
              <a:solidFill>
                <a:srgbClr val="D4E4F6"/>
              </a:solidFill>
              <a:ln>
                <a:noFill/>
                <a:prstDash val="solid"/>
              </a:ln>
            </spPr>
          </dPt>
          <dPt>
            <idx val="27"/>
            <invertIfNegative val="0"/>
            <spPr>
              <a:solidFill>
                <a:srgbClr val="D4E4F6"/>
              </a:solidFill>
              <a:ln>
                <a:noFill/>
                <a:prstDash val="solid"/>
              </a:ln>
            </spPr>
          </dPt>
          <dPt>
            <idx val="28"/>
            <invertIfNegative val="0"/>
            <spPr>
              <a:solidFill>
                <a:srgbClr val="D4E4F6"/>
              </a:solidFill>
              <a:ln>
                <a:noFill/>
                <a:prstDash val="solid"/>
              </a:ln>
            </spPr>
          </dPt>
          <dPt>
            <idx val="29"/>
            <invertIfNegative val="0"/>
            <spPr>
              <a:solidFill>
                <a:srgbClr val="D4E4F6"/>
              </a:solidFill>
              <a:ln>
                <a:noFill/>
                <a:prstDash val="solid"/>
              </a:ln>
            </spPr>
          </dPt>
          <dPt>
            <idx val="30"/>
            <invertIfNegative val="0"/>
            <spPr>
              <a:solidFill>
                <a:srgbClr val="D4E4F6"/>
              </a:solidFill>
              <a:ln>
                <a:noFill/>
                <a:prstDash val="solid"/>
              </a:ln>
            </spPr>
          </dPt>
          <dPt>
            <idx val="31"/>
            <invertIfNegative val="0"/>
            <spPr>
              <a:solidFill>
                <a:srgbClr val="D4E4F6"/>
              </a:solidFill>
              <a:ln>
                <a:noFill/>
                <a:prstDash val="solid"/>
              </a:ln>
            </spPr>
          </dPt>
          <dPt>
            <idx val="32"/>
            <invertIfNegative val="0"/>
            <spPr>
              <a:solidFill>
                <a:srgbClr val="D4E4F6"/>
              </a:solidFill>
              <a:ln>
                <a:noFill/>
                <a:prstDash val="solid"/>
              </a:ln>
            </spPr>
          </dPt>
          <dPt>
            <idx val="33"/>
            <invertIfNegative val="0"/>
            <spPr>
              <a:solidFill>
                <a:srgbClr val="D4E4F6"/>
              </a:solidFill>
              <a:ln>
                <a:noFill/>
                <a:prstDash val="solid"/>
              </a:ln>
            </spPr>
          </dPt>
          <dPt>
            <idx val="34"/>
            <invertIfNegative val="0"/>
            <spPr>
              <a:solidFill>
                <a:srgbClr val="D4E4F6"/>
              </a:solidFill>
              <a:ln>
                <a:noFill/>
                <a:prstDash val="solid"/>
              </a:ln>
            </spPr>
          </dPt>
          <dPt>
            <idx val="35"/>
            <invertIfNegative val="0"/>
            <spPr>
              <a:solidFill>
                <a:srgbClr val="D4E4F6"/>
              </a:solidFill>
              <a:ln>
                <a:noFill/>
                <a:prstDash val="solid"/>
              </a:ln>
            </spPr>
          </dPt>
          <dPt>
            <idx val="36"/>
            <invertIfNegative val="0"/>
            <spPr>
              <a:solidFill>
                <a:srgbClr val="D4E4F6"/>
              </a:solidFill>
              <a:ln>
                <a:noFill/>
                <a:prstDash val="solid"/>
              </a:ln>
            </spPr>
          </dPt>
          <dPt>
            <idx val="37"/>
            <invertIfNegative val="0"/>
            <spPr>
              <a:solidFill>
                <a:srgbClr val="D4E4F6"/>
              </a:solidFill>
              <a:ln>
                <a:noFill/>
                <a:prstDash val="solid"/>
              </a:ln>
            </spPr>
          </dPt>
          <dPt>
            <idx val="38"/>
            <invertIfNegative val="0"/>
            <spPr>
              <a:solidFill>
                <a:srgbClr val="D4E4F6"/>
              </a:solidFill>
              <a:ln>
                <a:noFill/>
                <a:prstDash val="solid"/>
              </a:ln>
            </spPr>
          </dPt>
          <dPt>
            <idx val="39"/>
            <invertIfNegative val="0"/>
            <spPr>
              <a:solidFill>
                <a:srgbClr val="D4E4F6"/>
              </a:solidFill>
              <a:ln>
                <a:noFill/>
                <a:prstDash val="solid"/>
              </a:ln>
            </spPr>
          </dPt>
          <dPt>
            <idx val="40"/>
            <invertIfNegative val="0"/>
            <spPr>
              <a:solidFill>
                <a:srgbClr val="D4E4F6"/>
              </a:solidFill>
              <a:ln>
                <a:noFill/>
                <a:prstDash val="solid"/>
              </a:ln>
            </spPr>
          </dPt>
          <dPt>
            <idx val="41"/>
            <invertIfNegative val="0"/>
            <spPr>
              <a:solidFill>
                <a:srgbClr val="D4E4F6"/>
              </a:solidFill>
              <a:ln>
                <a:noFill/>
                <a:prstDash val="solid"/>
              </a:ln>
            </spPr>
          </dPt>
          <dPt>
            <idx val="42"/>
            <invertIfNegative val="0"/>
            <spPr>
              <a:solidFill>
                <a:srgbClr val="D4E4F6"/>
              </a:solidFill>
              <a:ln>
                <a:noFill/>
                <a:prstDash val="solid"/>
              </a:ln>
            </spPr>
          </dPt>
          <dPt>
            <idx val="43"/>
            <invertIfNegative val="0"/>
            <spPr>
              <a:solidFill>
                <a:srgbClr val="D4E4F6"/>
              </a:solidFill>
              <a:ln>
                <a:noFill/>
                <a:prstDash val="solid"/>
              </a:ln>
            </spPr>
          </dPt>
          <dPt>
            <idx val="44"/>
            <invertIfNegative val="0"/>
            <spPr>
              <a:solidFill>
                <a:srgbClr val="D4E4F6"/>
              </a:solidFill>
              <a:ln>
                <a:noFill/>
                <a:prstDash val="solid"/>
              </a:ln>
            </spPr>
          </dPt>
          <dPt>
            <idx val="45"/>
            <invertIfNegative val="0"/>
            <spPr>
              <a:solidFill>
                <a:srgbClr val="D4E4F6"/>
              </a:solidFill>
              <a:ln>
                <a:noFill/>
                <a:prstDash val="solid"/>
              </a:ln>
            </spPr>
          </dPt>
          <dPt>
            <idx val="46"/>
            <invertIfNegative val="0"/>
            <spPr>
              <a:solidFill>
                <a:srgbClr val="D4E4F6"/>
              </a:solidFill>
              <a:ln>
                <a:noFill/>
                <a:prstDash val="solid"/>
              </a:ln>
            </spPr>
          </dPt>
          <dPt>
            <idx val="47"/>
            <invertIfNegative val="0"/>
            <spPr>
              <a:solidFill>
                <a:srgbClr val="D4E4F6"/>
              </a:solidFill>
              <a:ln>
                <a:noFill/>
                <a:prstDash val="solid"/>
              </a:ln>
            </spPr>
          </dPt>
          <dPt>
            <idx val="48"/>
            <invertIfNegative val="0"/>
            <spPr>
              <a:solidFill>
                <a:srgbClr val="D4E4F6"/>
              </a:solidFill>
              <a:ln>
                <a:noFill/>
                <a:prstDash val="solid"/>
              </a:ln>
            </spPr>
          </dPt>
          <dPt>
            <idx val="49"/>
            <invertIfNegative val="0"/>
            <spPr>
              <a:solidFill>
                <a:srgbClr val="D4E4F6"/>
              </a:solidFill>
              <a:ln>
                <a:noFill/>
                <a:prstDash val="solid"/>
              </a:ln>
            </spPr>
          </dPt>
          <dPt>
            <idx val="50"/>
            <invertIfNegative val="0"/>
            <spPr>
              <a:solidFill>
                <a:srgbClr val="D4E4F6"/>
              </a:solidFill>
              <a:ln>
                <a:noFill/>
                <a:prstDash val="solid"/>
              </a:ln>
            </spPr>
          </dPt>
          <dPt>
            <idx val="51"/>
            <invertIfNegative val="0"/>
            <spPr>
              <a:solidFill>
                <a:srgbClr val="D4E4F6"/>
              </a:solidFill>
              <a:ln>
                <a:noFill/>
                <a:prstDash val="solid"/>
              </a:ln>
            </spPr>
          </dPt>
          <dPt>
            <idx val="52"/>
            <invertIfNegative val="0"/>
            <spPr>
              <a:solidFill>
                <a:srgbClr val="D4E4F6"/>
              </a:solidFill>
              <a:ln>
                <a:noFill/>
                <a:prstDash val="solid"/>
              </a:ln>
            </spPr>
          </dPt>
          <dPt>
            <idx val="53"/>
            <invertIfNegative val="0"/>
            <spPr>
              <a:solidFill>
                <a:srgbClr val="D4E4F6"/>
              </a:solidFill>
              <a:ln>
                <a:noFill/>
                <a:prstDash val="solid"/>
              </a:ln>
            </spPr>
          </dPt>
          <dPt>
            <idx val="54"/>
            <invertIfNegative val="0"/>
            <spPr>
              <a:solidFill>
                <a:srgbClr val="D4E4F6"/>
              </a:solidFill>
              <a:ln>
                <a:noFill/>
                <a:prstDash val="solid"/>
              </a:ln>
            </spPr>
          </dPt>
          <dPt>
            <idx val="55"/>
            <invertIfNegative val="0"/>
            <spPr>
              <a:solidFill>
                <a:srgbClr val="D4E4F6"/>
              </a:solidFill>
              <a:ln>
                <a:noFill/>
                <a:prstDash val="solid"/>
              </a:ln>
            </spPr>
          </dPt>
          <dPt>
            <idx val="56"/>
            <invertIfNegative val="0"/>
            <spPr>
              <a:solidFill>
                <a:srgbClr val="D4E4F6"/>
              </a:solidFill>
              <a:ln>
                <a:noFill/>
                <a:prstDash val="solid"/>
              </a:ln>
            </spPr>
          </dPt>
          <dPt>
            <idx val="57"/>
            <invertIfNegative val="0"/>
            <spPr>
              <a:solidFill>
                <a:srgbClr val="D4E4F6"/>
              </a:solidFill>
              <a:ln>
                <a:noFill/>
                <a:prstDash val="solid"/>
              </a:ln>
            </spPr>
          </dPt>
          <dPt>
            <idx val="58"/>
            <invertIfNegative val="0"/>
            <spPr>
              <a:solidFill>
                <a:srgbClr val="D4E4F6"/>
              </a:solidFill>
              <a:ln>
                <a:noFill/>
                <a:prstDash val="solid"/>
              </a:ln>
            </spPr>
          </dPt>
          <dPt>
            <idx val="59"/>
            <invertIfNegative val="0"/>
            <spPr>
              <a:solidFill>
                <a:srgbClr val="D4E4F6"/>
              </a:solidFill>
              <a:ln>
                <a:noFill/>
                <a:prstDash val="solid"/>
              </a:ln>
            </spPr>
          </dPt>
          <cat>
            <numRef>
              <f>'Chart - Louisiana sensitivity -'!$A$2:$A$61</f>
            </numRef>
          </cat>
          <val>
            <numRef>
              <f>'Chart - Louisiana sensitivity -'!$B$2:$B$61</f>
            </numRef>
          </val>
        </ser>
        <ser>
          <idx val="1"/>
          <order val="1"/>
          <tx>
            <strRef>
              <f>'Chart - Louisiana sensitivity -'!C1</f>
            </strRef>
          </tx>
          <spPr>
            <a:solidFill>
              <a:srgbClr val="EB6834"/>
            </a:solidFill>
            <a:ln>
              <a:noFill/>
              <a:prstDash val="solid"/>
            </a:ln>
          </spPr>
          <dPt>
            <idx val="0"/>
            <invertIfNegative val="0"/>
            <spPr>
              <a:solidFill>
                <a:srgbClr val="F6BBA3"/>
              </a:solidFill>
              <a:ln>
                <a:noFill/>
                <a:prstDash val="solid"/>
              </a:ln>
            </spPr>
          </dPt>
          <dPt>
            <idx val="1"/>
            <invertIfNegative val="0"/>
            <spPr>
              <a:solidFill>
                <a:srgbClr val="F6BBA3"/>
              </a:solidFill>
              <a:ln>
                <a:noFill/>
                <a:prstDash val="solid"/>
              </a:ln>
            </spPr>
          </dPt>
          <dPt>
            <idx val="2"/>
            <invertIfNegative val="0"/>
            <spPr>
              <a:solidFill>
                <a:srgbClr val="F6BBA3"/>
              </a:solidFill>
              <a:ln>
                <a:noFill/>
                <a:prstDash val="solid"/>
              </a:ln>
            </spPr>
          </dPt>
          <dPt>
            <idx val="3"/>
            <invertIfNegative val="0"/>
            <spPr>
              <a:solidFill>
                <a:srgbClr val="F6BBA3"/>
              </a:solidFill>
              <a:ln>
                <a:noFill/>
                <a:prstDash val="solid"/>
              </a:ln>
            </spPr>
          </dPt>
          <dPt>
            <idx val="4"/>
            <invertIfNegative val="0"/>
            <spPr>
              <a:solidFill>
                <a:srgbClr val="F6BBA3"/>
              </a:solidFill>
              <a:ln>
                <a:noFill/>
                <a:prstDash val="solid"/>
              </a:ln>
            </spPr>
          </dPt>
          <dPt>
            <idx val="5"/>
            <invertIfNegative val="0"/>
            <spPr>
              <a:solidFill>
                <a:srgbClr val="F6BBA3"/>
              </a:solidFill>
              <a:ln>
                <a:noFill/>
                <a:prstDash val="solid"/>
              </a:ln>
            </spPr>
          </dPt>
          <dPt>
            <idx val="6"/>
            <invertIfNegative val="0"/>
            <spPr>
              <a:solidFill>
                <a:srgbClr val="F6BBA3"/>
              </a:solidFill>
              <a:ln>
                <a:noFill/>
                <a:prstDash val="solid"/>
              </a:ln>
            </spPr>
          </dPt>
          <dPt>
            <idx val="7"/>
            <invertIfNegative val="0"/>
            <spPr>
              <a:solidFill>
                <a:srgbClr val="F6BBA3"/>
              </a:solidFill>
              <a:ln>
                <a:noFill/>
                <a:prstDash val="solid"/>
              </a:ln>
            </spPr>
          </dPt>
          <dPt>
            <idx val="8"/>
            <invertIfNegative val="0"/>
            <spPr>
              <a:solidFill>
                <a:srgbClr val="F6BBA3"/>
              </a:solidFill>
              <a:ln>
                <a:noFill/>
                <a:prstDash val="solid"/>
              </a:ln>
            </spPr>
          </dPt>
          <dPt>
            <idx val="9"/>
            <invertIfNegative val="0"/>
            <spPr>
              <a:solidFill>
                <a:srgbClr val="F6BBA3"/>
              </a:solidFill>
              <a:ln>
                <a:noFill/>
                <a:prstDash val="solid"/>
              </a:ln>
            </spPr>
          </dPt>
          <dPt>
            <idx val="10"/>
            <invertIfNegative val="0"/>
            <spPr>
              <a:solidFill>
                <a:srgbClr val="F6BBA3"/>
              </a:solidFill>
              <a:ln>
                <a:noFill/>
                <a:prstDash val="solid"/>
              </a:ln>
            </spPr>
          </dPt>
          <dPt>
            <idx val="11"/>
            <invertIfNegative val="0"/>
            <spPr>
              <a:solidFill>
                <a:srgbClr val="F6BBA3"/>
              </a:solidFill>
              <a:ln>
                <a:noFill/>
                <a:prstDash val="solid"/>
              </a:ln>
            </spPr>
          </dPt>
          <dPt>
            <idx val="12"/>
            <invertIfNegative val="0"/>
            <spPr>
              <a:solidFill>
                <a:srgbClr val="F6BBA3"/>
              </a:solidFill>
              <a:ln>
                <a:noFill/>
                <a:prstDash val="solid"/>
              </a:ln>
            </spPr>
          </dPt>
          <dPt>
            <idx val="13"/>
            <invertIfNegative val="0"/>
            <spPr>
              <a:solidFill>
                <a:srgbClr val="F6BBA3"/>
              </a:solidFill>
              <a:ln>
                <a:noFill/>
                <a:prstDash val="solid"/>
              </a:ln>
            </spPr>
          </dPt>
          <dPt>
            <idx val="14"/>
            <invertIfNegative val="0"/>
            <spPr>
              <a:solidFill>
                <a:srgbClr val="F6BBA3"/>
              </a:solidFill>
              <a:ln>
                <a:noFill/>
                <a:prstDash val="solid"/>
              </a:ln>
            </spPr>
          </dPt>
          <dPt>
            <idx val="15"/>
            <invertIfNegative val="0"/>
            <spPr>
              <a:solidFill>
                <a:srgbClr val="F6BBA3"/>
              </a:solidFill>
              <a:ln>
                <a:noFill/>
                <a:prstDash val="solid"/>
              </a:ln>
            </spPr>
          </dPt>
          <dPt>
            <idx val="16"/>
            <invertIfNegative val="0"/>
            <spPr>
              <a:solidFill>
                <a:srgbClr val="F6BBA3"/>
              </a:solidFill>
              <a:ln>
                <a:noFill/>
                <a:prstDash val="solid"/>
              </a:ln>
            </spPr>
          </dPt>
          <dPt>
            <idx val="17"/>
            <invertIfNegative val="0"/>
            <spPr>
              <a:solidFill>
                <a:srgbClr val="F6BBA3"/>
              </a:solidFill>
              <a:ln>
                <a:noFill/>
                <a:prstDash val="solid"/>
              </a:ln>
            </spPr>
          </dPt>
          <dPt>
            <idx val="18"/>
            <invertIfNegative val="0"/>
            <spPr>
              <a:solidFill>
                <a:srgbClr val="F6BBA3"/>
              </a:solidFill>
              <a:ln>
                <a:noFill/>
                <a:prstDash val="solid"/>
              </a:ln>
            </spPr>
          </dPt>
          <dPt>
            <idx val="19"/>
            <invertIfNegative val="0"/>
            <spPr>
              <a:solidFill>
                <a:srgbClr val="F6BBA3"/>
              </a:solidFill>
              <a:ln>
                <a:noFill/>
                <a:prstDash val="solid"/>
              </a:ln>
            </spPr>
          </dPt>
          <dPt>
            <idx val="20"/>
            <invertIfNegative val="0"/>
            <spPr>
              <a:solidFill>
                <a:srgbClr val="F6BBA3"/>
              </a:solidFill>
              <a:ln>
                <a:noFill/>
                <a:prstDash val="solid"/>
              </a:ln>
            </spPr>
          </dPt>
          <dPt>
            <idx val="21"/>
            <invertIfNegative val="0"/>
            <spPr>
              <a:solidFill>
                <a:srgbClr val="F6BBA3"/>
              </a:solidFill>
              <a:ln>
                <a:noFill/>
                <a:prstDash val="solid"/>
              </a:ln>
            </spPr>
          </dPt>
          <dPt>
            <idx val="22"/>
            <invertIfNegative val="0"/>
            <spPr>
              <a:solidFill>
                <a:srgbClr val="F6BBA3"/>
              </a:solidFill>
              <a:ln>
                <a:noFill/>
                <a:prstDash val="solid"/>
              </a:ln>
            </spPr>
          </dPt>
          <dPt>
            <idx val="23"/>
            <invertIfNegative val="0"/>
            <spPr>
              <a:solidFill>
                <a:srgbClr val="F6BBA3"/>
              </a:solidFill>
              <a:ln>
                <a:noFill/>
                <a:prstDash val="solid"/>
              </a:ln>
            </spPr>
          </dPt>
          <dPt>
            <idx val="24"/>
            <invertIfNegative val="0"/>
            <spPr>
              <a:solidFill>
                <a:srgbClr val="FBE0D6"/>
              </a:solidFill>
              <a:ln>
                <a:noFill/>
                <a:prstDash val="solid"/>
              </a:ln>
            </spPr>
          </dPt>
          <dPt>
            <idx val="25"/>
            <invertIfNegative val="0"/>
            <spPr>
              <a:solidFill>
                <a:srgbClr val="FBE0D6"/>
              </a:solidFill>
              <a:ln>
                <a:noFill/>
                <a:prstDash val="solid"/>
              </a:ln>
            </spPr>
          </dPt>
          <dPt>
            <idx val="26"/>
            <invertIfNegative val="0"/>
            <spPr>
              <a:solidFill>
                <a:srgbClr val="FBE0D6"/>
              </a:solidFill>
              <a:ln>
                <a:noFill/>
                <a:prstDash val="solid"/>
              </a:ln>
            </spPr>
          </dPt>
          <dPt>
            <idx val="27"/>
            <invertIfNegative val="0"/>
            <spPr>
              <a:solidFill>
                <a:srgbClr val="FBE0D6"/>
              </a:solidFill>
              <a:ln>
                <a:noFill/>
                <a:prstDash val="solid"/>
              </a:ln>
            </spPr>
          </dPt>
          <dPt>
            <idx val="28"/>
            <invertIfNegative val="0"/>
            <spPr>
              <a:solidFill>
                <a:srgbClr val="FBE0D6"/>
              </a:solidFill>
              <a:ln>
                <a:noFill/>
                <a:prstDash val="solid"/>
              </a:ln>
            </spPr>
          </dPt>
          <dPt>
            <idx val="29"/>
            <invertIfNegative val="0"/>
            <spPr>
              <a:solidFill>
                <a:srgbClr val="FBE0D6"/>
              </a:solidFill>
              <a:ln>
                <a:noFill/>
                <a:prstDash val="solid"/>
              </a:ln>
            </spPr>
          </dPt>
          <dPt>
            <idx val="30"/>
            <invertIfNegative val="0"/>
            <spPr>
              <a:solidFill>
                <a:srgbClr val="FBE0D6"/>
              </a:solidFill>
              <a:ln>
                <a:noFill/>
                <a:prstDash val="solid"/>
              </a:ln>
            </spPr>
          </dPt>
          <dPt>
            <idx val="31"/>
            <invertIfNegative val="0"/>
            <spPr>
              <a:solidFill>
                <a:srgbClr val="FBE0D6"/>
              </a:solidFill>
              <a:ln>
                <a:noFill/>
                <a:prstDash val="solid"/>
              </a:ln>
            </spPr>
          </dPt>
          <dPt>
            <idx val="32"/>
            <invertIfNegative val="0"/>
            <spPr>
              <a:solidFill>
                <a:srgbClr val="FBE0D6"/>
              </a:solidFill>
              <a:ln>
                <a:noFill/>
                <a:prstDash val="solid"/>
              </a:ln>
            </spPr>
          </dPt>
          <dPt>
            <idx val="33"/>
            <invertIfNegative val="0"/>
            <spPr>
              <a:solidFill>
                <a:srgbClr val="FBE0D6"/>
              </a:solidFill>
              <a:ln>
                <a:noFill/>
                <a:prstDash val="solid"/>
              </a:ln>
            </spPr>
          </dPt>
          <dPt>
            <idx val="34"/>
            <invertIfNegative val="0"/>
            <spPr>
              <a:solidFill>
                <a:srgbClr val="FBE0D6"/>
              </a:solidFill>
              <a:ln>
                <a:noFill/>
                <a:prstDash val="solid"/>
              </a:ln>
            </spPr>
          </dPt>
          <dPt>
            <idx val="35"/>
            <invertIfNegative val="0"/>
            <spPr>
              <a:solidFill>
                <a:srgbClr val="FBE0D6"/>
              </a:solidFill>
              <a:ln>
                <a:noFill/>
                <a:prstDash val="solid"/>
              </a:ln>
            </spPr>
          </dPt>
          <dPt>
            <idx val="36"/>
            <invertIfNegative val="0"/>
            <spPr>
              <a:solidFill>
                <a:srgbClr val="FBE0D6"/>
              </a:solidFill>
              <a:ln>
                <a:noFill/>
                <a:prstDash val="solid"/>
              </a:ln>
            </spPr>
          </dPt>
          <dPt>
            <idx val="37"/>
            <invertIfNegative val="0"/>
            <spPr>
              <a:solidFill>
                <a:srgbClr val="FBE0D6"/>
              </a:solidFill>
              <a:ln>
                <a:noFill/>
                <a:prstDash val="solid"/>
              </a:ln>
            </spPr>
          </dPt>
          <dPt>
            <idx val="38"/>
            <invertIfNegative val="0"/>
            <spPr>
              <a:solidFill>
                <a:srgbClr val="FBE0D6"/>
              </a:solidFill>
              <a:ln>
                <a:noFill/>
                <a:prstDash val="solid"/>
              </a:ln>
            </spPr>
          </dPt>
          <dPt>
            <idx val="39"/>
            <invertIfNegative val="0"/>
            <spPr>
              <a:solidFill>
                <a:srgbClr val="FBE0D6"/>
              </a:solidFill>
              <a:ln>
                <a:noFill/>
                <a:prstDash val="solid"/>
              </a:ln>
            </spPr>
          </dPt>
          <dPt>
            <idx val="40"/>
            <invertIfNegative val="0"/>
            <spPr>
              <a:solidFill>
                <a:srgbClr val="FBE0D6"/>
              </a:solidFill>
              <a:ln>
                <a:noFill/>
                <a:prstDash val="solid"/>
              </a:ln>
            </spPr>
          </dPt>
          <dPt>
            <idx val="41"/>
            <invertIfNegative val="0"/>
            <spPr>
              <a:solidFill>
                <a:srgbClr val="FBE0D6"/>
              </a:solidFill>
              <a:ln>
                <a:noFill/>
                <a:prstDash val="solid"/>
              </a:ln>
            </spPr>
          </dPt>
          <dPt>
            <idx val="42"/>
            <invertIfNegative val="0"/>
            <spPr>
              <a:solidFill>
                <a:srgbClr val="FBE0D6"/>
              </a:solidFill>
              <a:ln>
                <a:noFill/>
                <a:prstDash val="solid"/>
              </a:ln>
            </spPr>
          </dPt>
          <dPt>
            <idx val="43"/>
            <invertIfNegative val="0"/>
            <spPr>
              <a:solidFill>
                <a:srgbClr val="FBE0D6"/>
              </a:solidFill>
              <a:ln>
                <a:noFill/>
                <a:prstDash val="solid"/>
              </a:ln>
            </spPr>
          </dPt>
          <dPt>
            <idx val="44"/>
            <invertIfNegative val="0"/>
            <spPr>
              <a:solidFill>
                <a:srgbClr val="FBE0D6"/>
              </a:solidFill>
              <a:ln>
                <a:noFill/>
                <a:prstDash val="solid"/>
              </a:ln>
            </spPr>
          </dPt>
          <dPt>
            <idx val="45"/>
            <invertIfNegative val="0"/>
            <spPr>
              <a:solidFill>
                <a:srgbClr val="FBE0D6"/>
              </a:solidFill>
              <a:ln>
                <a:noFill/>
                <a:prstDash val="solid"/>
              </a:ln>
            </spPr>
          </dPt>
          <dPt>
            <idx val="46"/>
            <invertIfNegative val="0"/>
            <spPr>
              <a:solidFill>
                <a:srgbClr val="FBE0D6"/>
              </a:solidFill>
              <a:ln>
                <a:noFill/>
                <a:prstDash val="solid"/>
              </a:ln>
            </spPr>
          </dPt>
          <dPt>
            <idx val="47"/>
            <invertIfNegative val="0"/>
            <spPr>
              <a:solidFill>
                <a:srgbClr val="FBE0D6"/>
              </a:solidFill>
              <a:ln>
                <a:noFill/>
                <a:prstDash val="solid"/>
              </a:ln>
            </spPr>
          </dPt>
          <dPt>
            <idx val="48"/>
            <invertIfNegative val="0"/>
            <spPr>
              <a:solidFill>
                <a:srgbClr val="FBE0D6"/>
              </a:solidFill>
              <a:ln>
                <a:noFill/>
                <a:prstDash val="solid"/>
              </a:ln>
            </spPr>
          </dPt>
          <dPt>
            <idx val="49"/>
            <invertIfNegative val="0"/>
            <spPr>
              <a:solidFill>
                <a:srgbClr val="FBE0D6"/>
              </a:solidFill>
              <a:ln>
                <a:noFill/>
                <a:prstDash val="solid"/>
              </a:ln>
            </spPr>
          </dPt>
          <dPt>
            <idx val="50"/>
            <invertIfNegative val="0"/>
            <spPr>
              <a:solidFill>
                <a:srgbClr val="FBE0D6"/>
              </a:solidFill>
              <a:ln>
                <a:noFill/>
                <a:prstDash val="solid"/>
              </a:ln>
            </spPr>
          </dPt>
          <dPt>
            <idx val="51"/>
            <invertIfNegative val="0"/>
            <spPr>
              <a:solidFill>
                <a:srgbClr val="FBE0D6"/>
              </a:solidFill>
              <a:ln>
                <a:noFill/>
                <a:prstDash val="solid"/>
              </a:ln>
            </spPr>
          </dPt>
          <dPt>
            <idx val="52"/>
            <invertIfNegative val="0"/>
            <spPr>
              <a:solidFill>
                <a:srgbClr val="FBE0D6"/>
              </a:solidFill>
              <a:ln>
                <a:noFill/>
                <a:prstDash val="solid"/>
              </a:ln>
            </spPr>
          </dPt>
          <dPt>
            <idx val="53"/>
            <invertIfNegative val="0"/>
            <spPr>
              <a:solidFill>
                <a:srgbClr val="FBE0D6"/>
              </a:solidFill>
              <a:ln>
                <a:noFill/>
                <a:prstDash val="solid"/>
              </a:ln>
            </spPr>
          </dPt>
          <dPt>
            <idx val="54"/>
            <invertIfNegative val="0"/>
            <spPr>
              <a:solidFill>
                <a:srgbClr val="FBE0D6"/>
              </a:solidFill>
              <a:ln>
                <a:noFill/>
                <a:prstDash val="solid"/>
              </a:ln>
            </spPr>
          </dPt>
          <dPt>
            <idx val="55"/>
            <invertIfNegative val="0"/>
            <spPr>
              <a:solidFill>
                <a:srgbClr val="FBE0D6"/>
              </a:solidFill>
              <a:ln>
                <a:noFill/>
                <a:prstDash val="solid"/>
              </a:ln>
            </spPr>
          </dPt>
          <dPt>
            <idx val="56"/>
            <invertIfNegative val="0"/>
            <spPr>
              <a:solidFill>
                <a:srgbClr val="FBE0D6"/>
              </a:solidFill>
              <a:ln>
                <a:noFill/>
                <a:prstDash val="solid"/>
              </a:ln>
            </spPr>
          </dPt>
          <dPt>
            <idx val="57"/>
            <invertIfNegative val="0"/>
            <spPr>
              <a:solidFill>
                <a:srgbClr val="FBE0D6"/>
              </a:solidFill>
              <a:ln>
                <a:noFill/>
                <a:prstDash val="solid"/>
              </a:ln>
            </spPr>
          </dPt>
          <dPt>
            <idx val="58"/>
            <invertIfNegative val="0"/>
            <spPr>
              <a:solidFill>
                <a:srgbClr val="FBE0D6"/>
              </a:solidFill>
              <a:ln>
                <a:noFill/>
                <a:prstDash val="solid"/>
              </a:ln>
            </spPr>
          </dPt>
          <dPt>
            <idx val="59"/>
            <invertIfNegative val="0"/>
            <spPr>
              <a:solidFill>
                <a:srgbClr val="FBE0D6"/>
              </a:solidFill>
              <a:ln>
                <a:noFill/>
                <a:prstDash val="solid"/>
              </a:ln>
            </spPr>
          </dPt>
          <cat>
            <numRef>
              <f>'Chart - Louisiana sensitivity -'!$A$2:$A$61</f>
            </numRef>
          </cat>
          <val>
            <numRef>
              <f>'Chart - Louisiana sensitivity -'!$C$2:$C$61</f>
            </numRef>
          </val>
        </ser>
        <ser>
          <idx val="2"/>
          <order val="2"/>
          <tx>
            <strRef>
              <f>'Chart - Louisiana sensitivity -'!D1</f>
            </strRef>
          </tx>
          <spPr>
            <a:solidFill>
              <a:srgbClr val="1BAF7A"/>
            </a:solidFill>
            <a:ln>
              <a:noFill/>
              <a:prstDash val="solid"/>
            </a:ln>
          </spPr>
          <dPt>
            <idx val="0"/>
            <invertIfNegative val="0"/>
            <spPr>
              <a:solidFill>
                <a:srgbClr val="98DBC3"/>
              </a:solidFill>
              <a:ln>
                <a:noFill/>
                <a:prstDash val="solid"/>
              </a:ln>
            </spPr>
          </dPt>
          <dPt>
            <idx val="1"/>
            <invertIfNegative val="0"/>
            <spPr>
              <a:solidFill>
                <a:srgbClr val="98DBC3"/>
              </a:solidFill>
              <a:ln>
                <a:noFill/>
                <a:prstDash val="solid"/>
              </a:ln>
            </spPr>
          </dPt>
          <dPt>
            <idx val="2"/>
            <invertIfNegative val="0"/>
            <spPr>
              <a:solidFill>
                <a:srgbClr val="98DBC3"/>
              </a:solidFill>
              <a:ln>
                <a:noFill/>
                <a:prstDash val="solid"/>
              </a:ln>
            </spPr>
          </dPt>
          <dPt>
            <idx val="3"/>
            <invertIfNegative val="0"/>
            <spPr>
              <a:solidFill>
                <a:srgbClr val="98DBC3"/>
              </a:solidFill>
              <a:ln>
                <a:noFill/>
                <a:prstDash val="solid"/>
              </a:ln>
            </spPr>
          </dPt>
          <dPt>
            <idx val="4"/>
            <invertIfNegative val="0"/>
            <spPr>
              <a:solidFill>
                <a:srgbClr val="98DBC3"/>
              </a:solidFill>
              <a:ln>
                <a:noFill/>
                <a:prstDash val="solid"/>
              </a:ln>
            </spPr>
          </dPt>
          <dPt>
            <idx val="5"/>
            <invertIfNegative val="0"/>
            <spPr>
              <a:solidFill>
                <a:srgbClr val="98DBC3"/>
              </a:solidFill>
              <a:ln>
                <a:noFill/>
                <a:prstDash val="solid"/>
              </a:ln>
            </spPr>
          </dPt>
          <dPt>
            <idx val="6"/>
            <invertIfNegative val="0"/>
            <spPr>
              <a:solidFill>
                <a:srgbClr val="98DBC3"/>
              </a:solidFill>
              <a:ln>
                <a:noFill/>
                <a:prstDash val="solid"/>
              </a:ln>
            </spPr>
          </dPt>
          <dPt>
            <idx val="7"/>
            <invertIfNegative val="0"/>
            <spPr>
              <a:solidFill>
                <a:srgbClr val="98DBC3"/>
              </a:solidFill>
              <a:ln>
                <a:noFill/>
                <a:prstDash val="solid"/>
              </a:ln>
            </spPr>
          </dPt>
          <dPt>
            <idx val="8"/>
            <invertIfNegative val="0"/>
            <spPr>
              <a:solidFill>
                <a:srgbClr val="98DBC3"/>
              </a:solidFill>
              <a:ln>
                <a:noFill/>
                <a:prstDash val="solid"/>
              </a:ln>
            </spPr>
          </dPt>
          <dPt>
            <idx val="9"/>
            <invertIfNegative val="0"/>
            <spPr>
              <a:solidFill>
                <a:srgbClr val="98DBC3"/>
              </a:solidFill>
              <a:ln>
                <a:noFill/>
                <a:prstDash val="solid"/>
              </a:ln>
            </spPr>
          </dPt>
          <dPt>
            <idx val="10"/>
            <invertIfNegative val="0"/>
            <spPr>
              <a:solidFill>
                <a:srgbClr val="98DBC3"/>
              </a:solidFill>
              <a:ln>
                <a:noFill/>
                <a:prstDash val="solid"/>
              </a:ln>
            </spPr>
          </dPt>
          <dPt>
            <idx val="11"/>
            <invertIfNegative val="0"/>
            <spPr>
              <a:solidFill>
                <a:srgbClr val="98DBC3"/>
              </a:solidFill>
              <a:ln>
                <a:noFill/>
                <a:prstDash val="solid"/>
              </a:ln>
            </spPr>
          </dPt>
          <dPt>
            <idx val="12"/>
            <invertIfNegative val="0"/>
            <spPr>
              <a:solidFill>
                <a:srgbClr val="98DBC3"/>
              </a:solidFill>
              <a:ln>
                <a:noFill/>
                <a:prstDash val="solid"/>
              </a:ln>
            </spPr>
          </dPt>
          <dPt>
            <idx val="13"/>
            <invertIfNegative val="0"/>
            <spPr>
              <a:solidFill>
                <a:srgbClr val="98DBC3"/>
              </a:solidFill>
              <a:ln>
                <a:noFill/>
                <a:prstDash val="solid"/>
              </a:ln>
            </spPr>
          </dPt>
          <dPt>
            <idx val="14"/>
            <invertIfNegative val="0"/>
            <spPr>
              <a:solidFill>
                <a:srgbClr val="98DBC3"/>
              </a:solidFill>
              <a:ln>
                <a:noFill/>
                <a:prstDash val="solid"/>
              </a:ln>
            </spPr>
          </dPt>
          <dPt>
            <idx val="15"/>
            <invertIfNegative val="0"/>
            <spPr>
              <a:solidFill>
                <a:srgbClr val="98DBC3"/>
              </a:solidFill>
              <a:ln>
                <a:noFill/>
                <a:prstDash val="solid"/>
              </a:ln>
            </spPr>
          </dPt>
          <dPt>
            <idx val="16"/>
            <invertIfNegative val="0"/>
            <spPr>
              <a:solidFill>
                <a:srgbClr val="98DBC3"/>
              </a:solidFill>
              <a:ln>
                <a:noFill/>
                <a:prstDash val="solid"/>
              </a:ln>
            </spPr>
          </dPt>
          <dPt>
            <idx val="17"/>
            <invertIfNegative val="0"/>
            <spPr>
              <a:solidFill>
                <a:srgbClr val="98DBC3"/>
              </a:solidFill>
              <a:ln>
                <a:noFill/>
                <a:prstDash val="solid"/>
              </a:ln>
            </spPr>
          </dPt>
          <dPt>
            <idx val="18"/>
            <invertIfNegative val="0"/>
            <spPr>
              <a:solidFill>
                <a:srgbClr val="98DBC3"/>
              </a:solidFill>
              <a:ln>
                <a:noFill/>
                <a:prstDash val="solid"/>
              </a:ln>
            </spPr>
          </dPt>
          <dPt>
            <idx val="19"/>
            <invertIfNegative val="0"/>
            <spPr>
              <a:solidFill>
                <a:srgbClr val="98DBC3"/>
              </a:solidFill>
              <a:ln>
                <a:noFill/>
                <a:prstDash val="solid"/>
              </a:ln>
            </spPr>
          </dPt>
          <dPt>
            <idx val="20"/>
            <invertIfNegative val="0"/>
            <spPr>
              <a:solidFill>
                <a:srgbClr val="98DBC3"/>
              </a:solidFill>
              <a:ln>
                <a:noFill/>
                <a:prstDash val="solid"/>
              </a:ln>
            </spPr>
          </dPt>
          <dPt>
            <idx val="21"/>
            <invertIfNegative val="0"/>
            <spPr>
              <a:solidFill>
                <a:srgbClr val="98DBC3"/>
              </a:solidFill>
              <a:ln>
                <a:noFill/>
                <a:prstDash val="solid"/>
              </a:ln>
            </spPr>
          </dPt>
          <dPt>
            <idx val="22"/>
            <invertIfNegative val="0"/>
            <spPr>
              <a:solidFill>
                <a:srgbClr val="98DBC3"/>
              </a:solidFill>
              <a:ln>
                <a:noFill/>
                <a:prstDash val="solid"/>
              </a:ln>
            </spPr>
          </dPt>
          <dPt>
            <idx val="23"/>
            <invertIfNegative val="0"/>
            <spPr>
              <a:solidFill>
                <a:srgbClr val="98DBC3"/>
              </a:solidFill>
              <a:ln>
                <a:noFill/>
                <a:prstDash val="solid"/>
              </a:ln>
            </spPr>
          </dPt>
          <dPt>
            <idx val="24"/>
            <invertIfNegative val="0"/>
            <spPr>
              <a:solidFill>
                <a:srgbClr val="D1EFE4"/>
              </a:solidFill>
              <a:ln>
                <a:noFill/>
                <a:prstDash val="solid"/>
              </a:ln>
            </spPr>
          </dPt>
          <dPt>
            <idx val="25"/>
            <invertIfNegative val="0"/>
            <spPr>
              <a:solidFill>
                <a:srgbClr val="D1EFE4"/>
              </a:solidFill>
              <a:ln>
                <a:noFill/>
                <a:prstDash val="solid"/>
              </a:ln>
            </spPr>
          </dPt>
          <dPt>
            <idx val="26"/>
            <invertIfNegative val="0"/>
            <spPr>
              <a:solidFill>
                <a:srgbClr val="D1EFE4"/>
              </a:solidFill>
              <a:ln>
                <a:noFill/>
                <a:prstDash val="solid"/>
              </a:ln>
            </spPr>
          </dPt>
          <dPt>
            <idx val="27"/>
            <invertIfNegative val="0"/>
            <spPr>
              <a:solidFill>
                <a:srgbClr val="D1EFE4"/>
              </a:solidFill>
              <a:ln>
                <a:noFill/>
                <a:prstDash val="solid"/>
              </a:ln>
            </spPr>
          </dPt>
          <dPt>
            <idx val="28"/>
            <invertIfNegative val="0"/>
            <spPr>
              <a:solidFill>
                <a:srgbClr val="D1EFE4"/>
              </a:solidFill>
              <a:ln>
                <a:noFill/>
                <a:prstDash val="solid"/>
              </a:ln>
            </spPr>
          </dPt>
          <dPt>
            <idx val="29"/>
            <invertIfNegative val="0"/>
            <spPr>
              <a:solidFill>
                <a:srgbClr val="D1EFE4"/>
              </a:solidFill>
              <a:ln>
                <a:noFill/>
                <a:prstDash val="solid"/>
              </a:ln>
            </spPr>
          </dPt>
          <dPt>
            <idx val="30"/>
            <invertIfNegative val="0"/>
            <spPr>
              <a:solidFill>
                <a:srgbClr val="D1EFE4"/>
              </a:solidFill>
              <a:ln>
                <a:noFill/>
                <a:prstDash val="solid"/>
              </a:ln>
            </spPr>
          </dPt>
          <dPt>
            <idx val="31"/>
            <invertIfNegative val="0"/>
            <spPr>
              <a:solidFill>
                <a:srgbClr val="D1EFE4"/>
              </a:solidFill>
              <a:ln>
                <a:noFill/>
                <a:prstDash val="solid"/>
              </a:ln>
            </spPr>
          </dPt>
          <dPt>
            <idx val="32"/>
            <invertIfNegative val="0"/>
            <spPr>
              <a:solidFill>
                <a:srgbClr val="D1EFE4"/>
              </a:solidFill>
              <a:ln>
                <a:noFill/>
                <a:prstDash val="solid"/>
              </a:ln>
            </spPr>
          </dPt>
          <dPt>
            <idx val="33"/>
            <invertIfNegative val="0"/>
            <spPr>
              <a:solidFill>
                <a:srgbClr val="D1EFE4"/>
              </a:solidFill>
              <a:ln>
                <a:noFill/>
                <a:prstDash val="solid"/>
              </a:ln>
            </spPr>
          </dPt>
          <dPt>
            <idx val="34"/>
            <invertIfNegative val="0"/>
            <spPr>
              <a:solidFill>
                <a:srgbClr val="D1EFE4"/>
              </a:solidFill>
              <a:ln>
                <a:noFill/>
                <a:prstDash val="solid"/>
              </a:ln>
            </spPr>
          </dPt>
          <dPt>
            <idx val="35"/>
            <invertIfNegative val="0"/>
            <spPr>
              <a:solidFill>
                <a:srgbClr val="D1EFE4"/>
              </a:solidFill>
              <a:ln>
                <a:noFill/>
                <a:prstDash val="solid"/>
              </a:ln>
            </spPr>
          </dPt>
          <dPt>
            <idx val="36"/>
            <invertIfNegative val="0"/>
            <spPr>
              <a:solidFill>
                <a:srgbClr val="D1EFE4"/>
              </a:solidFill>
              <a:ln>
                <a:noFill/>
                <a:prstDash val="solid"/>
              </a:ln>
            </spPr>
          </dPt>
          <dPt>
            <idx val="37"/>
            <invertIfNegative val="0"/>
            <spPr>
              <a:solidFill>
                <a:srgbClr val="D1EFE4"/>
              </a:solidFill>
              <a:ln>
                <a:noFill/>
                <a:prstDash val="solid"/>
              </a:ln>
            </spPr>
          </dPt>
          <dPt>
            <idx val="38"/>
            <invertIfNegative val="0"/>
            <spPr>
              <a:solidFill>
                <a:srgbClr val="D1EFE4"/>
              </a:solidFill>
              <a:ln>
                <a:noFill/>
                <a:prstDash val="solid"/>
              </a:ln>
            </spPr>
          </dPt>
          <dPt>
            <idx val="39"/>
            <invertIfNegative val="0"/>
            <spPr>
              <a:solidFill>
                <a:srgbClr val="D1EFE4"/>
              </a:solidFill>
              <a:ln>
                <a:noFill/>
                <a:prstDash val="solid"/>
              </a:ln>
            </spPr>
          </dPt>
          <dPt>
            <idx val="40"/>
            <invertIfNegative val="0"/>
            <spPr>
              <a:solidFill>
                <a:srgbClr val="D1EFE4"/>
              </a:solidFill>
              <a:ln>
                <a:noFill/>
                <a:prstDash val="solid"/>
              </a:ln>
            </spPr>
          </dPt>
          <dPt>
            <idx val="41"/>
            <invertIfNegative val="0"/>
            <spPr>
              <a:solidFill>
                <a:srgbClr val="D1EFE4"/>
              </a:solidFill>
              <a:ln>
                <a:noFill/>
                <a:prstDash val="solid"/>
              </a:ln>
            </spPr>
          </dPt>
          <dPt>
            <idx val="42"/>
            <invertIfNegative val="0"/>
            <spPr>
              <a:solidFill>
                <a:srgbClr val="D1EFE4"/>
              </a:solidFill>
              <a:ln>
                <a:noFill/>
                <a:prstDash val="solid"/>
              </a:ln>
            </spPr>
          </dPt>
          <dPt>
            <idx val="43"/>
            <invertIfNegative val="0"/>
            <spPr>
              <a:solidFill>
                <a:srgbClr val="D1EFE4"/>
              </a:solidFill>
              <a:ln>
                <a:noFill/>
                <a:prstDash val="solid"/>
              </a:ln>
            </spPr>
          </dPt>
          <dPt>
            <idx val="44"/>
            <invertIfNegative val="0"/>
            <spPr>
              <a:solidFill>
                <a:srgbClr val="D1EFE4"/>
              </a:solidFill>
              <a:ln>
                <a:noFill/>
                <a:prstDash val="solid"/>
              </a:ln>
            </spPr>
          </dPt>
          <dPt>
            <idx val="45"/>
            <invertIfNegative val="0"/>
            <spPr>
              <a:solidFill>
                <a:srgbClr val="D1EFE4"/>
              </a:solidFill>
              <a:ln>
                <a:noFill/>
                <a:prstDash val="solid"/>
              </a:ln>
            </spPr>
          </dPt>
          <dPt>
            <idx val="46"/>
            <invertIfNegative val="0"/>
            <spPr>
              <a:solidFill>
                <a:srgbClr val="D1EFE4"/>
              </a:solidFill>
              <a:ln>
                <a:noFill/>
                <a:prstDash val="solid"/>
              </a:ln>
            </spPr>
          </dPt>
          <dPt>
            <idx val="47"/>
            <invertIfNegative val="0"/>
            <spPr>
              <a:solidFill>
                <a:srgbClr val="D1EFE4"/>
              </a:solidFill>
              <a:ln>
                <a:noFill/>
                <a:prstDash val="solid"/>
              </a:ln>
            </spPr>
          </dPt>
          <dPt>
            <idx val="48"/>
            <invertIfNegative val="0"/>
            <spPr>
              <a:solidFill>
                <a:srgbClr val="D1EFE4"/>
              </a:solidFill>
              <a:ln>
                <a:noFill/>
                <a:prstDash val="solid"/>
              </a:ln>
            </spPr>
          </dPt>
          <dPt>
            <idx val="49"/>
            <invertIfNegative val="0"/>
            <spPr>
              <a:solidFill>
                <a:srgbClr val="D1EFE4"/>
              </a:solidFill>
              <a:ln>
                <a:noFill/>
                <a:prstDash val="solid"/>
              </a:ln>
            </spPr>
          </dPt>
          <dPt>
            <idx val="50"/>
            <invertIfNegative val="0"/>
            <spPr>
              <a:solidFill>
                <a:srgbClr val="D1EFE4"/>
              </a:solidFill>
              <a:ln>
                <a:noFill/>
                <a:prstDash val="solid"/>
              </a:ln>
            </spPr>
          </dPt>
          <dPt>
            <idx val="51"/>
            <invertIfNegative val="0"/>
            <spPr>
              <a:solidFill>
                <a:srgbClr val="D1EFE4"/>
              </a:solidFill>
              <a:ln>
                <a:noFill/>
                <a:prstDash val="solid"/>
              </a:ln>
            </spPr>
          </dPt>
          <dPt>
            <idx val="52"/>
            <invertIfNegative val="0"/>
            <spPr>
              <a:solidFill>
                <a:srgbClr val="D1EFE4"/>
              </a:solidFill>
              <a:ln>
                <a:noFill/>
                <a:prstDash val="solid"/>
              </a:ln>
            </spPr>
          </dPt>
          <dPt>
            <idx val="53"/>
            <invertIfNegative val="0"/>
            <spPr>
              <a:solidFill>
                <a:srgbClr val="D1EFE4"/>
              </a:solidFill>
              <a:ln>
                <a:noFill/>
                <a:prstDash val="solid"/>
              </a:ln>
            </spPr>
          </dPt>
          <dPt>
            <idx val="54"/>
            <invertIfNegative val="0"/>
            <spPr>
              <a:solidFill>
                <a:srgbClr val="D1EFE4"/>
              </a:solidFill>
              <a:ln>
                <a:noFill/>
                <a:prstDash val="solid"/>
              </a:ln>
            </spPr>
          </dPt>
          <dPt>
            <idx val="55"/>
            <invertIfNegative val="0"/>
            <spPr>
              <a:solidFill>
                <a:srgbClr val="D1EFE4"/>
              </a:solidFill>
              <a:ln>
                <a:noFill/>
                <a:prstDash val="solid"/>
              </a:ln>
            </spPr>
          </dPt>
          <dPt>
            <idx val="56"/>
            <invertIfNegative val="0"/>
            <spPr>
              <a:solidFill>
                <a:srgbClr val="D1EFE4"/>
              </a:solidFill>
              <a:ln>
                <a:noFill/>
                <a:prstDash val="solid"/>
              </a:ln>
            </spPr>
          </dPt>
          <dPt>
            <idx val="57"/>
            <invertIfNegative val="0"/>
            <spPr>
              <a:solidFill>
                <a:srgbClr val="D1EFE4"/>
              </a:solidFill>
              <a:ln>
                <a:noFill/>
                <a:prstDash val="solid"/>
              </a:ln>
            </spPr>
          </dPt>
          <dPt>
            <idx val="58"/>
            <invertIfNegative val="0"/>
            <spPr>
              <a:solidFill>
                <a:srgbClr val="D1EFE4"/>
              </a:solidFill>
              <a:ln>
                <a:noFill/>
                <a:prstDash val="solid"/>
              </a:ln>
            </spPr>
          </dPt>
          <dPt>
            <idx val="59"/>
            <invertIfNegative val="0"/>
            <spPr>
              <a:solidFill>
                <a:srgbClr val="D1EFE4"/>
              </a:solidFill>
              <a:ln>
                <a:noFill/>
                <a:prstDash val="solid"/>
              </a:ln>
            </spPr>
          </dPt>
          <cat>
            <numRef>
              <f>'Chart - Louisiana sensitivity -'!$A$2:$A$61</f>
            </numRef>
          </cat>
          <val>
            <numRef>
              <f>'Chart - Louisiana sensitivity -'!$D$2:$D$61</f>
            </numRef>
          </val>
        </ser>
        <ser>
          <idx val="3"/>
          <order val="3"/>
          <tx>
            <strRef>
              <f>'Chart - Louisiana sensitivity -'!E1</f>
            </strRef>
          </tx>
          <spPr>
            <a:solidFill>
              <a:srgbClr val="EDA100"/>
            </a:solidFill>
            <a:ln>
              <a:noFill/>
              <a:prstDash val="solid"/>
            </a:ln>
          </spPr>
          <dPt>
            <idx val="0"/>
            <invertIfNegative val="0"/>
            <spPr>
              <a:solidFill>
                <a:srgbClr val="F6D48C"/>
              </a:solidFill>
              <a:ln>
                <a:noFill/>
                <a:prstDash val="solid"/>
              </a:ln>
            </spPr>
          </dPt>
          <dPt>
            <idx val="1"/>
            <invertIfNegative val="0"/>
            <spPr>
              <a:solidFill>
                <a:srgbClr val="F6D48C"/>
              </a:solidFill>
              <a:ln>
                <a:noFill/>
                <a:prstDash val="solid"/>
              </a:ln>
            </spPr>
          </dPt>
          <dPt>
            <idx val="2"/>
            <invertIfNegative val="0"/>
            <spPr>
              <a:solidFill>
                <a:srgbClr val="F6D48C"/>
              </a:solidFill>
              <a:ln>
                <a:noFill/>
                <a:prstDash val="solid"/>
              </a:ln>
            </spPr>
          </dPt>
          <dPt>
            <idx val="3"/>
            <invertIfNegative val="0"/>
            <spPr>
              <a:solidFill>
                <a:srgbClr val="F6D48C"/>
              </a:solidFill>
              <a:ln>
                <a:noFill/>
                <a:prstDash val="solid"/>
              </a:ln>
            </spPr>
          </dPt>
          <dPt>
            <idx val="4"/>
            <invertIfNegative val="0"/>
            <spPr>
              <a:solidFill>
                <a:srgbClr val="F6D48C"/>
              </a:solidFill>
              <a:ln>
                <a:noFill/>
                <a:prstDash val="solid"/>
              </a:ln>
            </spPr>
          </dPt>
          <dPt>
            <idx val="5"/>
            <invertIfNegative val="0"/>
            <spPr>
              <a:solidFill>
                <a:srgbClr val="F6D48C"/>
              </a:solidFill>
              <a:ln>
                <a:noFill/>
                <a:prstDash val="solid"/>
              </a:ln>
            </spPr>
          </dPt>
          <dPt>
            <idx val="6"/>
            <invertIfNegative val="0"/>
            <spPr>
              <a:solidFill>
                <a:srgbClr val="F6D48C"/>
              </a:solidFill>
              <a:ln>
                <a:noFill/>
                <a:prstDash val="solid"/>
              </a:ln>
            </spPr>
          </dPt>
          <dPt>
            <idx val="7"/>
            <invertIfNegative val="0"/>
            <spPr>
              <a:solidFill>
                <a:srgbClr val="F6D48C"/>
              </a:solidFill>
              <a:ln>
                <a:noFill/>
                <a:prstDash val="solid"/>
              </a:ln>
            </spPr>
          </dPt>
          <dPt>
            <idx val="8"/>
            <invertIfNegative val="0"/>
            <spPr>
              <a:solidFill>
                <a:srgbClr val="F6D48C"/>
              </a:solidFill>
              <a:ln>
                <a:noFill/>
                <a:prstDash val="solid"/>
              </a:ln>
            </spPr>
          </dPt>
          <dPt>
            <idx val="9"/>
            <invertIfNegative val="0"/>
            <spPr>
              <a:solidFill>
                <a:srgbClr val="F6D48C"/>
              </a:solidFill>
              <a:ln>
                <a:noFill/>
                <a:prstDash val="solid"/>
              </a:ln>
            </spPr>
          </dPt>
          <dPt>
            <idx val="10"/>
            <invertIfNegative val="0"/>
            <spPr>
              <a:solidFill>
                <a:srgbClr val="F6D48C"/>
              </a:solidFill>
              <a:ln>
                <a:noFill/>
                <a:prstDash val="solid"/>
              </a:ln>
            </spPr>
          </dPt>
          <dPt>
            <idx val="11"/>
            <invertIfNegative val="0"/>
            <spPr>
              <a:solidFill>
                <a:srgbClr val="F6D48C"/>
              </a:solidFill>
              <a:ln>
                <a:noFill/>
                <a:prstDash val="solid"/>
              </a:ln>
            </spPr>
          </dPt>
          <dPt>
            <idx val="12"/>
            <invertIfNegative val="0"/>
            <spPr>
              <a:solidFill>
                <a:srgbClr val="F6D48C"/>
              </a:solidFill>
              <a:ln>
                <a:noFill/>
                <a:prstDash val="solid"/>
              </a:ln>
            </spPr>
          </dPt>
          <dPt>
            <idx val="13"/>
            <invertIfNegative val="0"/>
            <spPr>
              <a:solidFill>
                <a:srgbClr val="F6D48C"/>
              </a:solidFill>
              <a:ln>
                <a:noFill/>
                <a:prstDash val="solid"/>
              </a:ln>
            </spPr>
          </dPt>
          <dPt>
            <idx val="14"/>
            <invertIfNegative val="0"/>
            <spPr>
              <a:solidFill>
                <a:srgbClr val="F6D48C"/>
              </a:solidFill>
              <a:ln>
                <a:noFill/>
                <a:prstDash val="solid"/>
              </a:ln>
            </spPr>
          </dPt>
          <dPt>
            <idx val="15"/>
            <invertIfNegative val="0"/>
            <spPr>
              <a:solidFill>
                <a:srgbClr val="F6D48C"/>
              </a:solidFill>
              <a:ln>
                <a:noFill/>
                <a:prstDash val="solid"/>
              </a:ln>
            </spPr>
          </dPt>
          <dPt>
            <idx val="16"/>
            <invertIfNegative val="0"/>
            <spPr>
              <a:solidFill>
                <a:srgbClr val="F6D48C"/>
              </a:solidFill>
              <a:ln>
                <a:noFill/>
                <a:prstDash val="solid"/>
              </a:ln>
            </spPr>
          </dPt>
          <dPt>
            <idx val="17"/>
            <invertIfNegative val="0"/>
            <spPr>
              <a:solidFill>
                <a:srgbClr val="F6D48C"/>
              </a:solidFill>
              <a:ln>
                <a:noFill/>
                <a:prstDash val="solid"/>
              </a:ln>
            </spPr>
          </dPt>
          <dPt>
            <idx val="18"/>
            <invertIfNegative val="0"/>
            <spPr>
              <a:solidFill>
                <a:srgbClr val="F6D48C"/>
              </a:solidFill>
              <a:ln>
                <a:noFill/>
                <a:prstDash val="solid"/>
              </a:ln>
            </spPr>
          </dPt>
          <dPt>
            <idx val="19"/>
            <invertIfNegative val="0"/>
            <spPr>
              <a:solidFill>
                <a:srgbClr val="F6D48C"/>
              </a:solidFill>
              <a:ln>
                <a:noFill/>
                <a:prstDash val="solid"/>
              </a:ln>
            </spPr>
          </dPt>
          <dPt>
            <idx val="20"/>
            <invertIfNegative val="0"/>
            <spPr>
              <a:solidFill>
                <a:srgbClr val="F6D48C"/>
              </a:solidFill>
              <a:ln>
                <a:noFill/>
                <a:prstDash val="solid"/>
              </a:ln>
            </spPr>
          </dPt>
          <dPt>
            <idx val="21"/>
            <invertIfNegative val="0"/>
            <spPr>
              <a:solidFill>
                <a:srgbClr val="F6D48C"/>
              </a:solidFill>
              <a:ln>
                <a:noFill/>
                <a:prstDash val="solid"/>
              </a:ln>
            </spPr>
          </dPt>
          <dPt>
            <idx val="22"/>
            <invertIfNegative val="0"/>
            <spPr>
              <a:solidFill>
                <a:srgbClr val="F6D48C"/>
              </a:solidFill>
              <a:ln>
                <a:noFill/>
                <a:prstDash val="solid"/>
              </a:ln>
            </spPr>
          </dPt>
          <dPt>
            <idx val="23"/>
            <invertIfNegative val="0"/>
            <spPr>
              <a:solidFill>
                <a:srgbClr val="F6D48C"/>
              </a:solidFill>
              <a:ln>
                <a:noFill/>
                <a:prstDash val="solid"/>
              </a:ln>
            </spPr>
          </dPt>
          <dPt>
            <idx val="24"/>
            <invertIfNegative val="0"/>
            <spPr>
              <a:solidFill>
                <a:srgbClr val="FBECCC"/>
              </a:solidFill>
              <a:ln>
                <a:noFill/>
                <a:prstDash val="solid"/>
              </a:ln>
            </spPr>
          </dPt>
          <dPt>
            <idx val="25"/>
            <invertIfNegative val="0"/>
            <spPr>
              <a:solidFill>
                <a:srgbClr val="FBECCC"/>
              </a:solidFill>
              <a:ln>
                <a:noFill/>
                <a:prstDash val="solid"/>
              </a:ln>
            </spPr>
          </dPt>
          <dPt>
            <idx val="26"/>
            <invertIfNegative val="0"/>
            <spPr>
              <a:solidFill>
                <a:srgbClr val="FBECCC"/>
              </a:solidFill>
              <a:ln>
                <a:noFill/>
                <a:prstDash val="solid"/>
              </a:ln>
            </spPr>
          </dPt>
          <dPt>
            <idx val="27"/>
            <invertIfNegative val="0"/>
            <spPr>
              <a:solidFill>
                <a:srgbClr val="FBECCC"/>
              </a:solidFill>
              <a:ln>
                <a:noFill/>
                <a:prstDash val="solid"/>
              </a:ln>
            </spPr>
          </dPt>
          <dPt>
            <idx val="28"/>
            <invertIfNegative val="0"/>
            <spPr>
              <a:solidFill>
                <a:srgbClr val="FBECCC"/>
              </a:solidFill>
              <a:ln>
                <a:noFill/>
                <a:prstDash val="solid"/>
              </a:ln>
            </spPr>
          </dPt>
          <dPt>
            <idx val="29"/>
            <invertIfNegative val="0"/>
            <spPr>
              <a:solidFill>
                <a:srgbClr val="FBECCC"/>
              </a:solidFill>
              <a:ln>
                <a:noFill/>
                <a:prstDash val="solid"/>
              </a:ln>
            </spPr>
          </dPt>
          <dPt>
            <idx val="30"/>
            <invertIfNegative val="0"/>
            <spPr>
              <a:solidFill>
                <a:srgbClr val="FBECCC"/>
              </a:solidFill>
              <a:ln>
                <a:noFill/>
                <a:prstDash val="solid"/>
              </a:ln>
            </spPr>
          </dPt>
          <dPt>
            <idx val="31"/>
            <invertIfNegative val="0"/>
            <spPr>
              <a:solidFill>
                <a:srgbClr val="FBECCC"/>
              </a:solidFill>
              <a:ln>
                <a:noFill/>
                <a:prstDash val="solid"/>
              </a:ln>
            </spPr>
          </dPt>
          <dPt>
            <idx val="32"/>
            <invertIfNegative val="0"/>
            <spPr>
              <a:solidFill>
                <a:srgbClr val="FBECCC"/>
              </a:solidFill>
              <a:ln>
                <a:noFill/>
                <a:prstDash val="solid"/>
              </a:ln>
            </spPr>
          </dPt>
          <dPt>
            <idx val="33"/>
            <invertIfNegative val="0"/>
            <spPr>
              <a:solidFill>
                <a:srgbClr val="FBECCC"/>
              </a:solidFill>
              <a:ln>
                <a:noFill/>
                <a:prstDash val="solid"/>
              </a:ln>
            </spPr>
          </dPt>
          <dPt>
            <idx val="34"/>
            <invertIfNegative val="0"/>
            <spPr>
              <a:solidFill>
                <a:srgbClr val="FBECCC"/>
              </a:solidFill>
              <a:ln>
                <a:noFill/>
                <a:prstDash val="solid"/>
              </a:ln>
            </spPr>
          </dPt>
          <dPt>
            <idx val="35"/>
            <invertIfNegative val="0"/>
            <spPr>
              <a:solidFill>
                <a:srgbClr val="FBECCC"/>
              </a:solidFill>
              <a:ln>
                <a:noFill/>
                <a:prstDash val="solid"/>
              </a:ln>
            </spPr>
          </dPt>
          <dPt>
            <idx val="36"/>
            <invertIfNegative val="0"/>
            <spPr>
              <a:solidFill>
                <a:srgbClr val="FBECCC"/>
              </a:solidFill>
              <a:ln>
                <a:noFill/>
                <a:prstDash val="solid"/>
              </a:ln>
            </spPr>
          </dPt>
          <dPt>
            <idx val="37"/>
            <invertIfNegative val="0"/>
            <spPr>
              <a:solidFill>
                <a:srgbClr val="FBECCC"/>
              </a:solidFill>
              <a:ln>
                <a:noFill/>
                <a:prstDash val="solid"/>
              </a:ln>
            </spPr>
          </dPt>
          <dPt>
            <idx val="38"/>
            <invertIfNegative val="0"/>
            <spPr>
              <a:solidFill>
                <a:srgbClr val="FBECCC"/>
              </a:solidFill>
              <a:ln>
                <a:noFill/>
                <a:prstDash val="solid"/>
              </a:ln>
            </spPr>
          </dPt>
          <dPt>
            <idx val="39"/>
            <invertIfNegative val="0"/>
            <spPr>
              <a:solidFill>
                <a:srgbClr val="FBECCC"/>
              </a:solidFill>
              <a:ln>
                <a:noFill/>
                <a:prstDash val="solid"/>
              </a:ln>
            </spPr>
          </dPt>
          <dPt>
            <idx val="40"/>
            <invertIfNegative val="0"/>
            <spPr>
              <a:solidFill>
                <a:srgbClr val="FBECCC"/>
              </a:solidFill>
              <a:ln>
                <a:noFill/>
                <a:prstDash val="solid"/>
              </a:ln>
            </spPr>
          </dPt>
          <dPt>
            <idx val="41"/>
            <invertIfNegative val="0"/>
            <spPr>
              <a:solidFill>
                <a:srgbClr val="FBECCC"/>
              </a:solidFill>
              <a:ln>
                <a:noFill/>
                <a:prstDash val="solid"/>
              </a:ln>
            </spPr>
          </dPt>
          <dPt>
            <idx val="42"/>
            <invertIfNegative val="0"/>
            <spPr>
              <a:solidFill>
                <a:srgbClr val="FBECCC"/>
              </a:solidFill>
              <a:ln>
                <a:noFill/>
                <a:prstDash val="solid"/>
              </a:ln>
            </spPr>
          </dPt>
          <dPt>
            <idx val="43"/>
            <invertIfNegative val="0"/>
            <spPr>
              <a:solidFill>
                <a:srgbClr val="FBECCC"/>
              </a:solidFill>
              <a:ln>
                <a:noFill/>
                <a:prstDash val="solid"/>
              </a:ln>
            </spPr>
          </dPt>
          <dPt>
            <idx val="44"/>
            <invertIfNegative val="0"/>
            <spPr>
              <a:solidFill>
                <a:srgbClr val="FBECCC"/>
              </a:solidFill>
              <a:ln>
                <a:noFill/>
                <a:prstDash val="solid"/>
              </a:ln>
            </spPr>
          </dPt>
          <dPt>
            <idx val="45"/>
            <invertIfNegative val="0"/>
            <spPr>
              <a:solidFill>
                <a:srgbClr val="FBECCC"/>
              </a:solidFill>
              <a:ln>
                <a:noFill/>
                <a:prstDash val="solid"/>
              </a:ln>
            </spPr>
          </dPt>
          <dPt>
            <idx val="46"/>
            <invertIfNegative val="0"/>
            <spPr>
              <a:solidFill>
                <a:srgbClr val="FBECCC"/>
              </a:solidFill>
              <a:ln>
                <a:noFill/>
                <a:prstDash val="solid"/>
              </a:ln>
            </spPr>
          </dPt>
          <dPt>
            <idx val="47"/>
            <invertIfNegative val="0"/>
            <spPr>
              <a:solidFill>
                <a:srgbClr val="FBECCC"/>
              </a:solidFill>
              <a:ln>
                <a:noFill/>
                <a:prstDash val="solid"/>
              </a:ln>
            </spPr>
          </dPt>
          <dPt>
            <idx val="48"/>
            <invertIfNegative val="0"/>
            <spPr>
              <a:solidFill>
                <a:srgbClr val="FBECCC"/>
              </a:solidFill>
              <a:ln>
                <a:noFill/>
                <a:prstDash val="solid"/>
              </a:ln>
            </spPr>
          </dPt>
          <dPt>
            <idx val="49"/>
            <invertIfNegative val="0"/>
            <spPr>
              <a:solidFill>
                <a:srgbClr val="FBECCC"/>
              </a:solidFill>
              <a:ln>
                <a:noFill/>
                <a:prstDash val="solid"/>
              </a:ln>
            </spPr>
          </dPt>
          <dPt>
            <idx val="50"/>
            <invertIfNegative val="0"/>
            <spPr>
              <a:solidFill>
                <a:srgbClr val="FBECCC"/>
              </a:solidFill>
              <a:ln>
                <a:noFill/>
                <a:prstDash val="solid"/>
              </a:ln>
            </spPr>
          </dPt>
          <dPt>
            <idx val="51"/>
            <invertIfNegative val="0"/>
            <spPr>
              <a:solidFill>
                <a:srgbClr val="FBECCC"/>
              </a:solidFill>
              <a:ln>
                <a:noFill/>
                <a:prstDash val="solid"/>
              </a:ln>
            </spPr>
          </dPt>
          <dPt>
            <idx val="52"/>
            <invertIfNegative val="0"/>
            <spPr>
              <a:solidFill>
                <a:srgbClr val="FBECCC"/>
              </a:solidFill>
              <a:ln>
                <a:noFill/>
                <a:prstDash val="solid"/>
              </a:ln>
            </spPr>
          </dPt>
          <dPt>
            <idx val="53"/>
            <invertIfNegative val="0"/>
            <spPr>
              <a:solidFill>
                <a:srgbClr val="FBECCC"/>
              </a:solidFill>
              <a:ln>
                <a:noFill/>
                <a:prstDash val="solid"/>
              </a:ln>
            </spPr>
          </dPt>
          <dPt>
            <idx val="54"/>
            <invertIfNegative val="0"/>
            <spPr>
              <a:solidFill>
                <a:srgbClr val="FBECCC"/>
              </a:solidFill>
              <a:ln>
                <a:noFill/>
                <a:prstDash val="solid"/>
              </a:ln>
            </spPr>
          </dPt>
          <dPt>
            <idx val="55"/>
            <invertIfNegative val="0"/>
            <spPr>
              <a:solidFill>
                <a:srgbClr val="FBECCC"/>
              </a:solidFill>
              <a:ln>
                <a:noFill/>
                <a:prstDash val="solid"/>
              </a:ln>
            </spPr>
          </dPt>
          <dPt>
            <idx val="56"/>
            <invertIfNegative val="0"/>
            <spPr>
              <a:solidFill>
                <a:srgbClr val="FBECCC"/>
              </a:solidFill>
              <a:ln>
                <a:noFill/>
                <a:prstDash val="solid"/>
              </a:ln>
            </spPr>
          </dPt>
          <dPt>
            <idx val="57"/>
            <invertIfNegative val="0"/>
            <spPr>
              <a:solidFill>
                <a:srgbClr val="FBECCC"/>
              </a:solidFill>
              <a:ln>
                <a:noFill/>
                <a:prstDash val="solid"/>
              </a:ln>
            </spPr>
          </dPt>
          <dPt>
            <idx val="58"/>
            <invertIfNegative val="0"/>
            <spPr>
              <a:solidFill>
                <a:srgbClr val="FBECCC"/>
              </a:solidFill>
              <a:ln>
                <a:noFill/>
                <a:prstDash val="solid"/>
              </a:ln>
            </spPr>
          </dPt>
          <dPt>
            <idx val="59"/>
            <invertIfNegative val="0"/>
            <spPr>
              <a:solidFill>
                <a:srgbClr val="FBECCC"/>
              </a:solidFill>
              <a:ln>
                <a:noFill/>
                <a:prstDash val="solid"/>
              </a:ln>
            </spPr>
          </dPt>
          <cat>
            <numRef>
              <f>'Chart - Louisiana sensitivity -'!$A$2:$A$61</f>
            </numRef>
          </cat>
          <val>
            <numRef>
              <f>'Chart - Louisiana sensitivity -'!$E$2:$E$61</f>
            </numRef>
          </val>
        </ser>
        <gapWidth val="30"/>
        <overlap val="100"/>
        <axId val="10"/>
        <axId val="100"/>
      </barChart>
      <lineChart>
        <grouping val="standard"/>
        <ser>
          <idx val="4"/>
          <order val="4"/>
          <tx>
            <strRef>
              <f>'Chart - Louisiana sensitivity -'!F1</f>
            </strRef>
          </tx>
          <spPr>
            <a:ln w="28575">
              <a:solidFill>
                <a:srgbClr val="252525"/>
              </a:solidFill>
              <a:prstDash val="solid"/>
            </a:ln>
          </spPr>
          <marker>
            <symbol val="none"/>
            <spPr>
              <a:ln>
                <a:prstDash val="solid"/>
              </a:ln>
            </spPr>
          </marker>
          <cat>
            <numRef>
              <f>'Chart - Louisiana sensitivity -'!$A$2:$A$61</f>
            </numRef>
          </cat>
          <val>
            <numRef>
              <f>'Chart - Louisiana sensitivity -'!$F$2:$F$61</f>
            </numRef>
          </val>
          <smooth val="0"/>
        </ser>
        <ser>
          <idx val="5"/>
          <order val="5"/>
          <tx>
            <strRef>
              <f>'Chart - Louisiana sensitivity -'!G1</f>
            </strRef>
          </tx>
          <spPr>
            <a:ln w="28575">
              <a:solidFill>
                <a:srgbClr val="252525"/>
              </a:solidFill>
              <a:prstDash val="dash"/>
            </a:ln>
          </spPr>
          <marker>
            <symbol val="none"/>
            <spPr>
              <a:ln>
                <a:prstDash val="solid"/>
              </a:ln>
            </spPr>
          </marker>
          <cat>
            <numRef>
              <f>'Chart - Louisiana sensitivity -'!$A$2:$A$61</f>
            </numRef>
          </cat>
          <val>
            <numRef>
              <f>'Chart - Louisiana sensitivity -'!$G$2:$G$61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Texas gas supply vs demand incl. LNG and storage (Texas workbooks, read only)</a:t>
            </a:r>
          </a:p>
          <a:p>
            <a:pPr>
              <a:defRPr/>
            </a:pPr>
            <a:r>
              <a:rPr sz="1200" b="1"/>
              <a:t>STEO to Dec/27, extension to Dec/28, 2029-33 scenario (lightest) (to Dec/33; forecast from Aug/26, scenario from Jan/29, lightest bars)</a:t>
            </a:r>
          </a:p>
        </rich>
      </tx>
      <overlay val="0"/>
    </title>
    <plotArea>
      <barChart>
        <barDir val="col"/>
        <grouping val="stacked"/>
        <ser>
          <idx val="0"/>
          <order val="0"/>
          <tx>
            <strRef>
              <f>'Chart - Texas'!B1</f>
            </strRef>
          </tx>
          <spPr>
            <a:solidFill>
              <a:srgbClr val="2A78D6"/>
            </a:solidFill>
            <a:ln>
              <a:noFill/>
              <a:prstDash val="solid"/>
            </a:ln>
          </spPr>
          <dPt>
            <idx val="67"/>
            <invertIfNegative val="0"/>
            <spPr>
              <a:solidFill>
                <a:srgbClr val="9FC2EC"/>
              </a:solidFill>
              <a:ln>
                <a:noFill/>
                <a:prstDash val="solid"/>
              </a:ln>
            </spPr>
          </dPt>
          <dPt>
            <idx val="68"/>
            <invertIfNegative val="0"/>
            <spPr>
              <a:solidFill>
                <a:srgbClr val="9FC2EC"/>
              </a:solidFill>
              <a:ln>
                <a:noFill/>
                <a:prstDash val="solid"/>
              </a:ln>
            </spPr>
          </dPt>
          <dPt>
            <idx val="69"/>
            <invertIfNegative val="0"/>
            <spPr>
              <a:solidFill>
                <a:srgbClr val="9FC2EC"/>
              </a:solidFill>
              <a:ln>
                <a:noFill/>
                <a:prstDash val="solid"/>
              </a:ln>
            </spPr>
          </dPt>
          <dPt>
            <idx val="70"/>
            <invertIfNegative val="0"/>
            <spPr>
              <a:solidFill>
                <a:srgbClr val="9FC2EC"/>
              </a:solidFill>
              <a:ln>
                <a:noFill/>
                <a:prstDash val="solid"/>
              </a:ln>
            </spPr>
          </dPt>
          <dPt>
            <idx val="71"/>
            <invertIfNegative val="0"/>
            <spPr>
              <a:solidFill>
                <a:srgbClr val="9FC2EC"/>
              </a:solidFill>
              <a:ln>
                <a:noFill/>
                <a:prstDash val="solid"/>
              </a:ln>
            </spPr>
          </dPt>
          <dPt>
            <idx val="72"/>
            <invertIfNegative val="0"/>
            <spPr>
              <a:solidFill>
                <a:srgbClr val="9FC2EC"/>
              </a:solidFill>
              <a:ln>
                <a:noFill/>
                <a:prstDash val="solid"/>
              </a:ln>
            </spPr>
          </dPt>
          <dPt>
            <idx val="73"/>
            <invertIfNegative val="0"/>
            <spPr>
              <a:solidFill>
                <a:srgbClr val="9FC2EC"/>
              </a:solidFill>
              <a:ln>
                <a:noFill/>
                <a:prstDash val="solid"/>
              </a:ln>
            </spPr>
          </dPt>
          <dPt>
            <idx val="74"/>
            <invertIfNegative val="0"/>
            <spPr>
              <a:solidFill>
                <a:srgbClr val="9FC2EC"/>
              </a:solidFill>
              <a:ln>
                <a:noFill/>
                <a:prstDash val="solid"/>
              </a:ln>
            </spPr>
          </dPt>
          <dPt>
            <idx val="75"/>
            <invertIfNegative val="0"/>
            <spPr>
              <a:solidFill>
                <a:srgbClr val="9FC2EC"/>
              </a:solidFill>
              <a:ln>
                <a:noFill/>
                <a:prstDash val="solid"/>
              </a:ln>
            </spPr>
          </dPt>
          <dPt>
            <idx val="76"/>
            <invertIfNegative val="0"/>
            <spPr>
              <a:solidFill>
                <a:srgbClr val="9FC2EC"/>
              </a:solidFill>
              <a:ln>
                <a:noFill/>
                <a:prstDash val="solid"/>
              </a:ln>
            </spPr>
          </dPt>
          <dPt>
            <idx val="77"/>
            <invertIfNegative val="0"/>
            <spPr>
              <a:solidFill>
                <a:srgbClr val="9FC2EC"/>
              </a:solidFill>
              <a:ln>
                <a:noFill/>
                <a:prstDash val="solid"/>
              </a:ln>
            </spPr>
          </dPt>
          <dPt>
            <idx val="78"/>
            <invertIfNegative val="0"/>
            <spPr>
              <a:solidFill>
                <a:srgbClr val="9FC2EC"/>
              </a:solidFill>
              <a:ln>
                <a:noFill/>
                <a:prstDash val="solid"/>
              </a:ln>
            </spPr>
          </dPt>
          <dPt>
            <idx val="79"/>
            <invertIfNegative val="0"/>
            <spPr>
              <a:solidFill>
                <a:srgbClr val="9FC2EC"/>
              </a:solidFill>
              <a:ln>
                <a:noFill/>
                <a:prstDash val="solid"/>
              </a:ln>
            </spPr>
          </dPt>
          <dPt>
            <idx val="80"/>
            <invertIfNegative val="0"/>
            <spPr>
              <a:solidFill>
                <a:srgbClr val="9FC2EC"/>
              </a:solidFill>
              <a:ln>
                <a:noFill/>
                <a:prstDash val="solid"/>
              </a:ln>
            </spPr>
          </dPt>
          <dPt>
            <idx val="81"/>
            <invertIfNegative val="0"/>
            <spPr>
              <a:solidFill>
                <a:srgbClr val="9FC2EC"/>
              </a:solidFill>
              <a:ln>
                <a:noFill/>
                <a:prstDash val="solid"/>
              </a:ln>
            </spPr>
          </dPt>
          <dPt>
            <idx val="82"/>
            <invertIfNegative val="0"/>
            <spPr>
              <a:solidFill>
                <a:srgbClr val="9FC2EC"/>
              </a:solidFill>
              <a:ln>
                <a:noFill/>
                <a:prstDash val="solid"/>
              </a:ln>
            </spPr>
          </dPt>
          <dPt>
            <idx val="83"/>
            <invertIfNegative val="0"/>
            <spPr>
              <a:solidFill>
                <a:srgbClr val="9FC2EC"/>
              </a:solidFill>
              <a:ln>
                <a:noFill/>
                <a:prstDash val="solid"/>
              </a:ln>
            </spPr>
          </dPt>
          <dPt>
            <idx val="84"/>
            <invertIfNegative val="0"/>
            <spPr>
              <a:solidFill>
                <a:srgbClr val="9FC2EC"/>
              </a:solidFill>
              <a:ln>
                <a:noFill/>
                <a:prstDash val="solid"/>
              </a:ln>
            </spPr>
          </dPt>
          <dPt>
            <idx val="85"/>
            <invertIfNegative val="0"/>
            <spPr>
              <a:solidFill>
                <a:srgbClr val="9FC2EC"/>
              </a:solidFill>
              <a:ln>
                <a:noFill/>
                <a:prstDash val="solid"/>
              </a:ln>
            </spPr>
          </dPt>
          <dPt>
            <idx val="86"/>
            <invertIfNegative val="0"/>
            <spPr>
              <a:solidFill>
                <a:srgbClr val="9FC2EC"/>
              </a:solidFill>
              <a:ln>
                <a:noFill/>
                <a:prstDash val="solid"/>
              </a:ln>
            </spPr>
          </dPt>
          <dPt>
            <idx val="87"/>
            <invertIfNegative val="0"/>
            <spPr>
              <a:solidFill>
                <a:srgbClr val="9FC2EC"/>
              </a:solidFill>
              <a:ln>
                <a:noFill/>
                <a:prstDash val="solid"/>
              </a:ln>
            </spPr>
          </dPt>
          <dPt>
            <idx val="88"/>
            <invertIfNegative val="0"/>
            <spPr>
              <a:solidFill>
                <a:srgbClr val="9FC2EC"/>
              </a:solidFill>
              <a:ln>
                <a:noFill/>
                <a:prstDash val="solid"/>
              </a:ln>
            </spPr>
          </dPt>
          <dPt>
            <idx val="89"/>
            <invertIfNegative val="0"/>
            <spPr>
              <a:solidFill>
                <a:srgbClr val="9FC2EC"/>
              </a:solidFill>
              <a:ln>
                <a:noFill/>
                <a:prstDash val="solid"/>
              </a:ln>
            </spPr>
          </dPt>
          <dPt>
            <idx val="90"/>
            <invertIfNegative val="0"/>
            <spPr>
              <a:solidFill>
                <a:srgbClr val="9FC2EC"/>
              </a:solidFill>
              <a:ln>
                <a:noFill/>
                <a:prstDash val="solid"/>
              </a:ln>
            </spPr>
          </dPt>
          <dPt>
            <idx val="91"/>
            <invertIfNegative val="0"/>
            <spPr>
              <a:solidFill>
                <a:srgbClr val="9FC2EC"/>
              </a:solidFill>
              <a:ln>
                <a:noFill/>
                <a:prstDash val="solid"/>
              </a:ln>
            </spPr>
          </dPt>
          <dPt>
            <idx val="92"/>
            <invertIfNegative val="0"/>
            <spPr>
              <a:solidFill>
                <a:srgbClr val="9FC2EC"/>
              </a:solidFill>
              <a:ln>
                <a:noFill/>
                <a:prstDash val="solid"/>
              </a:ln>
            </spPr>
          </dPt>
          <dPt>
            <idx val="93"/>
            <invertIfNegative val="0"/>
            <spPr>
              <a:solidFill>
                <a:srgbClr val="9FC2EC"/>
              </a:solidFill>
              <a:ln>
                <a:noFill/>
                <a:prstDash val="solid"/>
              </a:ln>
            </spPr>
          </dPt>
          <dPt>
            <idx val="94"/>
            <invertIfNegative val="0"/>
            <spPr>
              <a:solidFill>
                <a:srgbClr val="9FC2EC"/>
              </a:solidFill>
              <a:ln>
                <a:noFill/>
                <a:prstDash val="solid"/>
              </a:ln>
            </spPr>
          </dPt>
          <dPt>
            <idx val="95"/>
            <invertIfNegative val="0"/>
            <spPr>
              <a:solidFill>
                <a:srgbClr val="9FC2EC"/>
              </a:solidFill>
              <a:ln>
                <a:noFill/>
                <a:prstDash val="solid"/>
              </a:ln>
            </spPr>
          </dPt>
          <dPt>
            <idx val="96"/>
            <invertIfNegative val="0"/>
            <spPr>
              <a:solidFill>
                <a:srgbClr val="D4E4F6"/>
              </a:solidFill>
              <a:ln>
                <a:noFill/>
                <a:prstDash val="solid"/>
              </a:ln>
            </spPr>
          </dPt>
          <dPt>
            <idx val="97"/>
            <invertIfNegative val="0"/>
            <spPr>
              <a:solidFill>
                <a:srgbClr val="D4E4F6"/>
              </a:solidFill>
              <a:ln>
                <a:noFill/>
                <a:prstDash val="solid"/>
              </a:ln>
            </spPr>
          </dPt>
          <dPt>
            <idx val="98"/>
            <invertIfNegative val="0"/>
            <spPr>
              <a:solidFill>
                <a:srgbClr val="D4E4F6"/>
              </a:solidFill>
              <a:ln>
                <a:noFill/>
                <a:prstDash val="solid"/>
              </a:ln>
            </spPr>
          </dPt>
          <dPt>
            <idx val="99"/>
            <invertIfNegative val="0"/>
            <spPr>
              <a:solidFill>
                <a:srgbClr val="D4E4F6"/>
              </a:solidFill>
              <a:ln>
                <a:noFill/>
                <a:prstDash val="solid"/>
              </a:ln>
            </spPr>
          </dPt>
          <dPt>
            <idx val="100"/>
            <invertIfNegative val="0"/>
            <spPr>
              <a:solidFill>
                <a:srgbClr val="D4E4F6"/>
              </a:solidFill>
              <a:ln>
                <a:noFill/>
                <a:prstDash val="solid"/>
              </a:ln>
            </spPr>
          </dPt>
          <dPt>
            <idx val="101"/>
            <invertIfNegative val="0"/>
            <spPr>
              <a:solidFill>
                <a:srgbClr val="D4E4F6"/>
              </a:solidFill>
              <a:ln>
                <a:noFill/>
                <a:prstDash val="solid"/>
              </a:ln>
            </spPr>
          </dPt>
          <dPt>
            <idx val="102"/>
            <invertIfNegative val="0"/>
            <spPr>
              <a:solidFill>
                <a:srgbClr val="D4E4F6"/>
              </a:solidFill>
              <a:ln>
                <a:noFill/>
                <a:prstDash val="solid"/>
              </a:ln>
            </spPr>
          </dPt>
          <dPt>
            <idx val="103"/>
            <invertIfNegative val="0"/>
            <spPr>
              <a:solidFill>
                <a:srgbClr val="D4E4F6"/>
              </a:solidFill>
              <a:ln>
                <a:noFill/>
                <a:prstDash val="solid"/>
              </a:ln>
            </spPr>
          </dPt>
          <dPt>
            <idx val="104"/>
            <invertIfNegative val="0"/>
            <spPr>
              <a:solidFill>
                <a:srgbClr val="D4E4F6"/>
              </a:solidFill>
              <a:ln>
                <a:noFill/>
                <a:prstDash val="solid"/>
              </a:ln>
            </spPr>
          </dPt>
          <dPt>
            <idx val="105"/>
            <invertIfNegative val="0"/>
            <spPr>
              <a:solidFill>
                <a:srgbClr val="D4E4F6"/>
              </a:solidFill>
              <a:ln>
                <a:noFill/>
                <a:prstDash val="solid"/>
              </a:ln>
            </spPr>
          </dPt>
          <dPt>
            <idx val="106"/>
            <invertIfNegative val="0"/>
            <spPr>
              <a:solidFill>
                <a:srgbClr val="D4E4F6"/>
              </a:solidFill>
              <a:ln>
                <a:noFill/>
                <a:prstDash val="solid"/>
              </a:ln>
            </spPr>
          </dPt>
          <dPt>
            <idx val="107"/>
            <invertIfNegative val="0"/>
            <spPr>
              <a:solidFill>
                <a:srgbClr val="D4E4F6"/>
              </a:solidFill>
              <a:ln>
                <a:noFill/>
                <a:prstDash val="solid"/>
              </a:ln>
            </spPr>
          </dPt>
          <dPt>
            <idx val="108"/>
            <invertIfNegative val="0"/>
            <spPr>
              <a:solidFill>
                <a:srgbClr val="D4E4F6"/>
              </a:solidFill>
              <a:ln>
                <a:noFill/>
                <a:prstDash val="solid"/>
              </a:ln>
            </spPr>
          </dPt>
          <dPt>
            <idx val="109"/>
            <invertIfNegative val="0"/>
            <spPr>
              <a:solidFill>
                <a:srgbClr val="D4E4F6"/>
              </a:solidFill>
              <a:ln>
                <a:noFill/>
                <a:prstDash val="solid"/>
              </a:ln>
            </spPr>
          </dPt>
          <dPt>
            <idx val="110"/>
            <invertIfNegative val="0"/>
            <spPr>
              <a:solidFill>
                <a:srgbClr val="D4E4F6"/>
              </a:solidFill>
              <a:ln>
                <a:noFill/>
                <a:prstDash val="solid"/>
              </a:ln>
            </spPr>
          </dPt>
          <dPt>
            <idx val="111"/>
            <invertIfNegative val="0"/>
            <spPr>
              <a:solidFill>
                <a:srgbClr val="D4E4F6"/>
              </a:solidFill>
              <a:ln>
                <a:noFill/>
                <a:prstDash val="solid"/>
              </a:ln>
            </spPr>
          </dPt>
          <dPt>
            <idx val="112"/>
            <invertIfNegative val="0"/>
            <spPr>
              <a:solidFill>
                <a:srgbClr val="D4E4F6"/>
              </a:solidFill>
              <a:ln>
                <a:noFill/>
                <a:prstDash val="solid"/>
              </a:ln>
            </spPr>
          </dPt>
          <dPt>
            <idx val="113"/>
            <invertIfNegative val="0"/>
            <spPr>
              <a:solidFill>
                <a:srgbClr val="D4E4F6"/>
              </a:solidFill>
              <a:ln>
                <a:noFill/>
                <a:prstDash val="solid"/>
              </a:ln>
            </spPr>
          </dPt>
          <dPt>
            <idx val="114"/>
            <invertIfNegative val="0"/>
            <spPr>
              <a:solidFill>
                <a:srgbClr val="D4E4F6"/>
              </a:solidFill>
              <a:ln>
                <a:noFill/>
                <a:prstDash val="solid"/>
              </a:ln>
            </spPr>
          </dPt>
          <dPt>
            <idx val="115"/>
            <invertIfNegative val="0"/>
            <spPr>
              <a:solidFill>
                <a:srgbClr val="D4E4F6"/>
              </a:solidFill>
              <a:ln>
                <a:noFill/>
                <a:prstDash val="solid"/>
              </a:ln>
            </spPr>
          </dPt>
          <dPt>
            <idx val="116"/>
            <invertIfNegative val="0"/>
            <spPr>
              <a:solidFill>
                <a:srgbClr val="D4E4F6"/>
              </a:solidFill>
              <a:ln>
                <a:noFill/>
                <a:prstDash val="solid"/>
              </a:ln>
            </spPr>
          </dPt>
          <dPt>
            <idx val="117"/>
            <invertIfNegative val="0"/>
            <spPr>
              <a:solidFill>
                <a:srgbClr val="D4E4F6"/>
              </a:solidFill>
              <a:ln>
                <a:noFill/>
                <a:prstDash val="solid"/>
              </a:ln>
            </spPr>
          </dPt>
          <dPt>
            <idx val="118"/>
            <invertIfNegative val="0"/>
            <spPr>
              <a:solidFill>
                <a:srgbClr val="D4E4F6"/>
              </a:solidFill>
              <a:ln>
                <a:noFill/>
                <a:prstDash val="solid"/>
              </a:ln>
            </spPr>
          </dPt>
          <dPt>
            <idx val="119"/>
            <invertIfNegative val="0"/>
            <spPr>
              <a:solidFill>
                <a:srgbClr val="D4E4F6"/>
              </a:solidFill>
              <a:ln>
                <a:noFill/>
                <a:prstDash val="solid"/>
              </a:ln>
            </spPr>
          </dPt>
          <dPt>
            <idx val="120"/>
            <invertIfNegative val="0"/>
            <spPr>
              <a:solidFill>
                <a:srgbClr val="D4E4F6"/>
              </a:solidFill>
              <a:ln>
                <a:noFill/>
                <a:prstDash val="solid"/>
              </a:ln>
            </spPr>
          </dPt>
          <dPt>
            <idx val="121"/>
            <invertIfNegative val="0"/>
            <spPr>
              <a:solidFill>
                <a:srgbClr val="D4E4F6"/>
              </a:solidFill>
              <a:ln>
                <a:noFill/>
                <a:prstDash val="solid"/>
              </a:ln>
            </spPr>
          </dPt>
          <dPt>
            <idx val="122"/>
            <invertIfNegative val="0"/>
            <spPr>
              <a:solidFill>
                <a:srgbClr val="D4E4F6"/>
              </a:solidFill>
              <a:ln>
                <a:noFill/>
                <a:prstDash val="solid"/>
              </a:ln>
            </spPr>
          </dPt>
          <dPt>
            <idx val="123"/>
            <invertIfNegative val="0"/>
            <spPr>
              <a:solidFill>
                <a:srgbClr val="D4E4F6"/>
              </a:solidFill>
              <a:ln>
                <a:noFill/>
                <a:prstDash val="solid"/>
              </a:ln>
            </spPr>
          </dPt>
          <dPt>
            <idx val="124"/>
            <invertIfNegative val="0"/>
            <spPr>
              <a:solidFill>
                <a:srgbClr val="D4E4F6"/>
              </a:solidFill>
              <a:ln>
                <a:noFill/>
                <a:prstDash val="solid"/>
              </a:ln>
            </spPr>
          </dPt>
          <dPt>
            <idx val="125"/>
            <invertIfNegative val="0"/>
            <spPr>
              <a:solidFill>
                <a:srgbClr val="D4E4F6"/>
              </a:solidFill>
              <a:ln>
                <a:noFill/>
                <a:prstDash val="solid"/>
              </a:ln>
            </spPr>
          </dPt>
          <dPt>
            <idx val="126"/>
            <invertIfNegative val="0"/>
            <spPr>
              <a:solidFill>
                <a:srgbClr val="D4E4F6"/>
              </a:solidFill>
              <a:ln>
                <a:noFill/>
                <a:prstDash val="solid"/>
              </a:ln>
            </spPr>
          </dPt>
          <dPt>
            <idx val="127"/>
            <invertIfNegative val="0"/>
            <spPr>
              <a:solidFill>
                <a:srgbClr val="D4E4F6"/>
              </a:solidFill>
              <a:ln>
                <a:noFill/>
                <a:prstDash val="solid"/>
              </a:ln>
            </spPr>
          </dPt>
          <dPt>
            <idx val="128"/>
            <invertIfNegative val="0"/>
            <spPr>
              <a:solidFill>
                <a:srgbClr val="D4E4F6"/>
              </a:solidFill>
              <a:ln>
                <a:noFill/>
                <a:prstDash val="solid"/>
              </a:ln>
            </spPr>
          </dPt>
          <dPt>
            <idx val="129"/>
            <invertIfNegative val="0"/>
            <spPr>
              <a:solidFill>
                <a:srgbClr val="D4E4F6"/>
              </a:solidFill>
              <a:ln>
                <a:noFill/>
                <a:prstDash val="solid"/>
              </a:ln>
            </spPr>
          </dPt>
          <dPt>
            <idx val="130"/>
            <invertIfNegative val="0"/>
            <spPr>
              <a:solidFill>
                <a:srgbClr val="D4E4F6"/>
              </a:solidFill>
              <a:ln>
                <a:noFill/>
                <a:prstDash val="solid"/>
              </a:ln>
            </spPr>
          </dPt>
          <dPt>
            <idx val="131"/>
            <invertIfNegative val="0"/>
            <spPr>
              <a:solidFill>
                <a:srgbClr val="D4E4F6"/>
              </a:solidFill>
              <a:ln>
                <a:noFill/>
                <a:prstDash val="solid"/>
              </a:ln>
            </spPr>
          </dPt>
          <dPt>
            <idx val="132"/>
            <invertIfNegative val="0"/>
            <spPr>
              <a:solidFill>
                <a:srgbClr val="D4E4F6"/>
              </a:solidFill>
              <a:ln>
                <a:noFill/>
                <a:prstDash val="solid"/>
              </a:ln>
            </spPr>
          </dPt>
          <dPt>
            <idx val="133"/>
            <invertIfNegative val="0"/>
            <spPr>
              <a:solidFill>
                <a:srgbClr val="D4E4F6"/>
              </a:solidFill>
              <a:ln>
                <a:noFill/>
                <a:prstDash val="solid"/>
              </a:ln>
            </spPr>
          </dPt>
          <dPt>
            <idx val="134"/>
            <invertIfNegative val="0"/>
            <spPr>
              <a:solidFill>
                <a:srgbClr val="D4E4F6"/>
              </a:solidFill>
              <a:ln>
                <a:noFill/>
                <a:prstDash val="solid"/>
              </a:ln>
            </spPr>
          </dPt>
          <dPt>
            <idx val="135"/>
            <invertIfNegative val="0"/>
            <spPr>
              <a:solidFill>
                <a:srgbClr val="D4E4F6"/>
              </a:solidFill>
              <a:ln>
                <a:noFill/>
                <a:prstDash val="solid"/>
              </a:ln>
            </spPr>
          </dPt>
          <dPt>
            <idx val="136"/>
            <invertIfNegative val="0"/>
            <spPr>
              <a:solidFill>
                <a:srgbClr val="D4E4F6"/>
              </a:solidFill>
              <a:ln>
                <a:noFill/>
                <a:prstDash val="solid"/>
              </a:ln>
            </spPr>
          </dPt>
          <dPt>
            <idx val="137"/>
            <invertIfNegative val="0"/>
            <spPr>
              <a:solidFill>
                <a:srgbClr val="D4E4F6"/>
              </a:solidFill>
              <a:ln>
                <a:noFill/>
                <a:prstDash val="solid"/>
              </a:ln>
            </spPr>
          </dPt>
          <dPt>
            <idx val="138"/>
            <invertIfNegative val="0"/>
            <spPr>
              <a:solidFill>
                <a:srgbClr val="D4E4F6"/>
              </a:solidFill>
              <a:ln>
                <a:noFill/>
                <a:prstDash val="solid"/>
              </a:ln>
            </spPr>
          </dPt>
          <dPt>
            <idx val="139"/>
            <invertIfNegative val="0"/>
            <spPr>
              <a:solidFill>
                <a:srgbClr val="D4E4F6"/>
              </a:solidFill>
              <a:ln>
                <a:noFill/>
                <a:prstDash val="solid"/>
              </a:ln>
            </spPr>
          </dPt>
          <dPt>
            <idx val="140"/>
            <invertIfNegative val="0"/>
            <spPr>
              <a:solidFill>
                <a:srgbClr val="D4E4F6"/>
              </a:solidFill>
              <a:ln>
                <a:noFill/>
                <a:prstDash val="solid"/>
              </a:ln>
            </spPr>
          </dPt>
          <dPt>
            <idx val="141"/>
            <invertIfNegative val="0"/>
            <spPr>
              <a:solidFill>
                <a:srgbClr val="D4E4F6"/>
              </a:solidFill>
              <a:ln>
                <a:noFill/>
                <a:prstDash val="solid"/>
              </a:ln>
            </spPr>
          </dPt>
          <dPt>
            <idx val="142"/>
            <invertIfNegative val="0"/>
            <spPr>
              <a:solidFill>
                <a:srgbClr val="D4E4F6"/>
              </a:solidFill>
              <a:ln>
                <a:noFill/>
                <a:prstDash val="solid"/>
              </a:ln>
            </spPr>
          </dPt>
          <dPt>
            <idx val="143"/>
            <invertIfNegative val="0"/>
            <spPr>
              <a:solidFill>
                <a:srgbClr val="D4E4F6"/>
              </a:solidFill>
              <a:ln>
                <a:noFill/>
                <a:prstDash val="solid"/>
              </a:ln>
            </spPr>
          </dPt>
          <dPt>
            <idx val="144"/>
            <invertIfNegative val="0"/>
            <spPr>
              <a:solidFill>
                <a:srgbClr val="D4E4F6"/>
              </a:solidFill>
              <a:ln>
                <a:noFill/>
                <a:prstDash val="solid"/>
              </a:ln>
            </spPr>
          </dPt>
          <dPt>
            <idx val="145"/>
            <invertIfNegative val="0"/>
            <spPr>
              <a:solidFill>
                <a:srgbClr val="D4E4F6"/>
              </a:solidFill>
              <a:ln>
                <a:noFill/>
                <a:prstDash val="solid"/>
              </a:ln>
            </spPr>
          </dPt>
          <dPt>
            <idx val="146"/>
            <invertIfNegative val="0"/>
            <spPr>
              <a:solidFill>
                <a:srgbClr val="D4E4F6"/>
              </a:solidFill>
              <a:ln>
                <a:noFill/>
                <a:prstDash val="solid"/>
              </a:ln>
            </spPr>
          </dPt>
          <dPt>
            <idx val="147"/>
            <invertIfNegative val="0"/>
            <spPr>
              <a:solidFill>
                <a:srgbClr val="D4E4F6"/>
              </a:solidFill>
              <a:ln>
                <a:noFill/>
                <a:prstDash val="solid"/>
              </a:ln>
            </spPr>
          </dPt>
          <dPt>
            <idx val="148"/>
            <invertIfNegative val="0"/>
            <spPr>
              <a:solidFill>
                <a:srgbClr val="D4E4F6"/>
              </a:solidFill>
              <a:ln>
                <a:noFill/>
                <a:prstDash val="solid"/>
              </a:ln>
            </spPr>
          </dPt>
          <dPt>
            <idx val="149"/>
            <invertIfNegative val="0"/>
            <spPr>
              <a:solidFill>
                <a:srgbClr val="D4E4F6"/>
              </a:solidFill>
              <a:ln>
                <a:noFill/>
                <a:prstDash val="solid"/>
              </a:ln>
            </spPr>
          </dPt>
          <dPt>
            <idx val="150"/>
            <invertIfNegative val="0"/>
            <spPr>
              <a:solidFill>
                <a:srgbClr val="D4E4F6"/>
              </a:solidFill>
              <a:ln>
                <a:noFill/>
                <a:prstDash val="solid"/>
              </a:ln>
            </spPr>
          </dPt>
          <dPt>
            <idx val="151"/>
            <invertIfNegative val="0"/>
            <spPr>
              <a:solidFill>
                <a:srgbClr val="D4E4F6"/>
              </a:solidFill>
              <a:ln>
                <a:noFill/>
                <a:prstDash val="solid"/>
              </a:ln>
            </spPr>
          </dPt>
          <dPt>
            <idx val="152"/>
            <invertIfNegative val="0"/>
            <spPr>
              <a:solidFill>
                <a:srgbClr val="D4E4F6"/>
              </a:solidFill>
              <a:ln>
                <a:noFill/>
                <a:prstDash val="solid"/>
              </a:ln>
            </spPr>
          </dPt>
          <dPt>
            <idx val="153"/>
            <invertIfNegative val="0"/>
            <spPr>
              <a:solidFill>
                <a:srgbClr val="D4E4F6"/>
              </a:solidFill>
              <a:ln>
                <a:noFill/>
                <a:prstDash val="solid"/>
              </a:ln>
            </spPr>
          </dPt>
          <dPt>
            <idx val="154"/>
            <invertIfNegative val="0"/>
            <spPr>
              <a:solidFill>
                <a:srgbClr val="D4E4F6"/>
              </a:solidFill>
              <a:ln>
                <a:noFill/>
                <a:prstDash val="solid"/>
              </a:ln>
            </spPr>
          </dPt>
          <dPt>
            <idx val="155"/>
            <invertIfNegative val="0"/>
            <spPr>
              <a:solidFill>
                <a:srgbClr val="D4E4F6"/>
              </a:solidFill>
              <a:ln>
                <a:noFill/>
                <a:prstDash val="solid"/>
              </a:ln>
            </spPr>
          </dPt>
          <cat>
            <numRef>
              <f>'Chart - Texas'!$A$2:$A$157</f>
            </numRef>
          </cat>
          <val>
            <numRef>
              <f>'Chart - Texas'!$B$2:$B$157</f>
            </numRef>
          </val>
        </ser>
        <ser>
          <idx val="1"/>
          <order val="1"/>
          <tx>
            <strRef>
              <f>'Chart - Texas'!C1</f>
            </strRef>
          </tx>
          <spPr>
            <a:solidFill>
              <a:srgbClr val="EB6834"/>
            </a:solidFill>
            <a:ln>
              <a:noFill/>
              <a:prstDash val="solid"/>
            </a:ln>
          </spPr>
          <dPt>
            <idx val="67"/>
            <invertIfNegative val="0"/>
            <spPr>
              <a:solidFill>
                <a:srgbClr val="F6BBA3"/>
              </a:solidFill>
              <a:ln>
                <a:noFill/>
                <a:prstDash val="solid"/>
              </a:ln>
            </spPr>
          </dPt>
          <dPt>
            <idx val="68"/>
            <invertIfNegative val="0"/>
            <spPr>
              <a:solidFill>
                <a:srgbClr val="F6BBA3"/>
              </a:solidFill>
              <a:ln>
                <a:noFill/>
                <a:prstDash val="solid"/>
              </a:ln>
            </spPr>
          </dPt>
          <dPt>
            <idx val="69"/>
            <invertIfNegative val="0"/>
            <spPr>
              <a:solidFill>
                <a:srgbClr val="F6BBA3"/>
              </a:solidFill>
              <a:ln>
                <a:noFill/>
                <a:prstDash val="solid"/>
              </a:ln>
            </spPr>
          </dPt>
          <dPt>
            <idx val="70"/>
            <invertIfNegative val="0"/>
            <spPr>
              <a:solidFill>
                <a:srgbClr val="F6BBA3"/>
              </a:solidFill>
              <a:ln>
                <a:noFill/>
                <a:prstDash val="solid"/>
              </a:ln>
            </spPr>
          </dPt>
          <dPt>
            <idx val="71"/>
            <invertIfNegative val="0"/>
            <spPr>
              <a:solidFill>
                <a:srgbClr val="F6BBA3"/>
              </a:solidFill>
              <a:ln>
                <a:noFill/>
                <a:prstDash val="solid"/>
              </a:ln>
            </spPr>
          </dPt>
          <dPt>
            <idx val="72"/>
            <invertIfNegative val="0"/>
            <spPr>
              <a:solidFill>
                <a:srgbClr val="F6BBA3"/>
              </a:solidFill>
              <a:ln>
                <a:noFill/>
                <a:prstDash val="solid"/>
              </a:ln>
            </spPr>
          </dPt>
          <dPt>
            <idx val="73"/>
            <invertIfNegative val="0"/>
            <spPr>
              <a:solidFill>
                <a:srgbClr val="F6BBA3"/>
              </a:solidFill>
              <a:ln>
                <a:noFill/>
                <a:prstDash val="solid"/>
              </a:ln>
            </spPr>
          </dPt>
          <dPt>
            <idx val="74"/>
            <invertIfNegative val="0"/>
            <spPr>
              <a:solidFill>
                <a:srgbClr val="F6BBA3"/>
              </a:solidFill>
              <a:ln>
                <a:noFill/>
                <a:prstDash val="solid"/>
              </a:ln>
            </spPr>
          </dPt>
          <dPt>
            <idx val="75"/>
            <invertIfNegative val="0"/>
            <spPr>
              <a:solidFill>
                <a:srgbClr val="F6BBA3"/>
              </a:solidFill>
              <a:ln>
                <a:noFill/>
                <a:prstDash val="solid"/>
              </a:ln>
            </spPr>
          </dPt>
          <dPt>
            <idx val="76"/>
            <invertIfNegative val="0"/>
            <spPr>
              <a:solidFill>
                <a:srgbClr val="F6BBA3"/>
              </a:solidFill>
              <a:ln>
                <a:noFill/>
                <a:prstDash val="solid"/>
              </a:ln>
            </spPr>
          </dPt>
          <dPt>
            <idx val="77"/>
            <invertIfNegative val="0"/>
            <spPr>
              <a:solidFill>
                <a:srgbClr val="F6BBA3"/>
              </a:solidFill>
              <a:ln>
                <a:noFill/>
                <a:prstDash val="solid"/>
              </a:ln>
            </spPr>
          </dPt>
          <dPt>
            <idx val="78"/>
            <invertIfNegative val="0"/>
            <spPr>
              <a:solidFill>
                <a:srgbClr val="F6BBA3"/>
              </a:solidFill>
              <a:ln>
                <a:noFill/>
                <a:prstDash val="solid"/>
              </a:ln>
            </spPr>
          </dPt>
          <dPt>
            <idx val="79"/>
            <invertIfNegative val="0"/>
            <spPr>
              <a:solidFill>
                <a:srgbClr val="F6BBA3"/>
              </a:solidFill>
              <a:ln>
                <a:noFill/>
                <a:prstDash val="solid"/>
              </a:ln>
            </spPr>
          </dPt>
          <dPt>
            <idx val="80"/>
            <invertIfNegative val="0"/>
            <spPr>
              <a:solidFill>
                <a:srgbClr val="F6BBA3"/>
              </a:solidFill>
              <a:ln>
                <a:noFill/>
                <a:prstDash val="solid"/>
              </a:ln>
            </spPr>
          </dPt>
          <dPt>
            <idx val="81"/>
            <invertIfNegative val="0"/>
            <spPr>
              <a:solidFill>
                <a:srgbClr val="F6BBA3"/>
              </a:solidFill>
              <a:ln>
                <a:noFill/>
                <a:prstDash val="solid"/>
              </a:ln>
            </spPr>
          </dPt>
          <dPt>
            <idx val="82"/>
            <invertIfNegative val="0"/>
            <spPr>
              <a:solidFill>
                <a:srgbClr val="F6BBA3"/>
              </a:solidFill>
              <a:ln>
                <a:noFill/>
                <a:prstDash val="solid"/>
              </a:ln>
            </spPr>
          </dPt>
          <dPt>
            <idx val="83"/>
            <invertIfNegative val="0"/>
            <spPr>
              <a:solidFill>
                <a:srgbClr val="F6BBA3"/>
              </a:solidFill>
              <a:ln>
                <a:noFill/>
                <a:prstDash val="solid"/>
              </a:ln>
            </spPr>
          </dPt>
          <dPt>
            <idx val="84"/>
            <invertIfNegative val="0"/>
            <spPr>
              <a:solidFill>
                <a:srgbClr val="F6BBA3"/>
              </a:solidFill>
              <a:ln>
                <a:noFill/>
                <a:prstDash val="solid"/>
              </a:ln>
            </spPr>
          </dPt>
          <dPt>
            <idx val="85"/>
            <invertIfNegative val="0"/>
            <spPr>
              <a:solidFill>
                <a:srgbClr val="F6BBA3"/>
              </a:solidFill>
              <a:ln>
                <a:noFill/>
                <a:prstDash val="solid"/>
              </a:ln>
            </spPr>
          </dPt>
          <dPt>
            <idx val="86"/>
            <invertIfNegative val="0"/>
            <spPr>
              <a:solidFill>
                <a:srgbClr val="F6BBA3"/>
              </a:solidFill>
              <a:ln>
                <a:noFill/>
                <a:prstDash val="solid"/>
              </a:ln>
            </spPr>
          </dPt>
          <dPt>
            <idx val="87"/>
            <invertIfNegative val="0"/>
            <spPr>
              <a:solidFill>
                <a:srgbClr val="F6BBA3"/>
              </a:solidFill>
              <a:ln>
                <a:noFill/>
                <a:prstDash val="solid"/>
              </a:ln>
            </spPr>
          </dPt>
          <dPt>
            <idx val="88"/>
            <invertIfNegative val="0"/>
            <spPr>
              <a:solidFill>
                <a:srgbClr val="F6BBA3"/>
              </a:solidFill>
              <a:ln>
                <a:noFill/>
                <a:prstDash val="solid"/>
              </a:ln>
            </spPr>
          </dPt>
          <dPt>
            <idx val="89"/>
            <invertIfNegative val="0"/>
            <spPr>
              <a:solidFill>
                <a:srgbClr val="F6BBA3"/>
              </a:solidFill>
              <a:ln>
                <a:noFill/>
                <a:prstDash val="solid"/>
              </a:ln>
            </spPr>
          </dPt>
          <dPt>
            <idx val="90"/>
            <invertIfNegative val="0"/>
            <spPr>
              <a:solidFill>
                <a:srgbClr val="F6BBA3"/>
              </a:solidFill>
              <a:ln>
                <a:noFill/>
                <a:prstDash val="solid"/>
              </a:ln>
            </spPr>
          </dPt>
          <dPt>
            <idx val="91"/>
            <invertIfNegative val="0"/>
            <spPr>
              <a:solidFill>
                <a:srgbClr val="F6BBA3"/>
              </a:solidFill>
              <a:ln>
                <a:noFill/>
                <a:prstDash val="solid"/>
              </a:ln>
            </spPr>
          </dPt>
          <dPt>
            <idx val="92"/>
            <invertIfNegative val="0"/>
            <spPr>
              <a:solidFill>
                <a:srgbClr val="F6BBA3"/>
              </a:solidFill>
              <a:ln>
                <a:noFill/>
                <a:prstDash val="solid"/>
              </a:ln>
            </spPr>
          </dPt>
          <dPt>
            <idx val="93"/>
            <invertIfNegative val="0"/>
            <spPr>
              <a:solidFill>
                <a:srgbClr val="F6BBA3"/>
              </a:solidFill>
              <a:ln>
                <a:noFill/>
                <a:prstDash val="solid"/>
              </a:ln>
            </spPr>
          </dPt>
          <dPt>
            <idx val="94"/>
            <invertIfNegative val="0"/>
            <spPr>
              <a:solidFill>
                <a:srgbClr val="F6BBA3"/>
              </a:solidFill>
              <a:ln>
                <a:noFill/>
                <a:prstDash val="solid"/>
              </a:ln>
            </spPr>
          </dPt>
          <dPt>
            <idx val="95"/>
            <invertIfNegative val="0"/>
            <spPr>
              <a:solidFill>
                <a:srgbClr val="F6BBA3"/>
              </a:solidFill>
              <a:ln>
                <a:noFill/>
                <a:prstDash val="solid"/>
              </a:ln>
            </spPr>
          </dPt>
          <dPt>
            <idx val="96"/>
            <invertIfNegative val="0"/>
            <spPr>
              <a:solidFill>
                <a:srgbClr val="FBE0D6"/>
              </a:solidFill>
              <a:ln>
                <a:noFill/>
                <a:prstDash val="solid"/>
              </a:ln>
            </spPr>
          </dPt>
          <dPt>
            <idx val="97"/>
            <invertIfNegative val="0"/>
            <spPr>
              <a:solidFill>
                <a:srgbClr val="FBE0D6"/>
              </a:solidFill>
              <a:ln>
                <a:noFill/>
                <a:prstDash val="solid"/>
              </a:ln>
            </spPr>
          </dPt>
          <dPt>
            <idx val="98"/>
            <invertIfNegative val="0"/>
            <spPr>
              <a:solidFill>
                <a:srgbClr val="FBE0D6"/>
              </a:solidFill>
              <a:ln>
                <a:noFill/>
                <a:prstDash val="solid"/>
              </a:ln>
            </spPr>
          </dPt>
          <dPt>
            <idx val="99"/>
            <invertIfNegative val="0"/>
            <spPr>
              <a:solidFill>
                <a:srgbClr val="FBE0D6"/>
              </a:solidFill>
              <a:ln>
                <a:noFill/>
                <a:prstDash val="solid"/>
              </a:ln>
            </spPr>
          </dPt>
          <dPt>
            <idx val="100"/>
            <invertIfNegative val="0"/>
            <spPr>
              <a:solidFill>
                <a:srgbClr val="FBE0D6"/>
              </a:solidFill>
              <a:ln>
                <a:noFill/>
                <a:prstDash val="solid"/>
              </a:ln>
            </spPr>
          </dPt>
          <dPt>
            <idx val="101"/>
            <invertIfNegative val="0"/>
            <spPr>
              <a:solidFill>
                <a:srgbClr val="FBE0D6"/>
              </a:solidFill>
              <a:ln>
                <a:noFill/>
                <a:prstDash val="solid"/>
              </a:ln>
            </spPr>
          </dPt>
          <dPt>
            <idx val="102"/>
            <invertIfNegative val="0"/>
            <spPr>
              <a:solidFill>
                <a:srgbClr val="FBE0D6"/>
              </a:solidFill>
              <a:ln>
                <a:noFill/>
                <a:prstDash val="solid"/>
              </a:ln>
            </spPr>
          </dPt>
          <dPt>
            <idx val="103"/>
            <invertIfNegative val="0"/>
            <spPr>
              <a:solidFill>
                <a:srgbClr val="FBE0D6"/>
              </a:solidFill>
              <a:ln>
                <a:noFill/>
                <a:prstDash val="solid"/>
              </a:ln>
            </spPr>
          </dPt>
          <dPt>
            <idx val="104"/>
            <invertIfNegative val="0"/>
            <spPr>
              <a:solidFill>
                <a:srgbClr val="FBE0D6"/>
              </a:solidFill>
              <a:ln>
                <a:noFill/>
                <a:prstDash val="solid"/>
              </a:ln>
            </spPr>
          </dPt>
          <dPt>
            <idx val="105"/>
            <invertIfNegative val="0"/>
            <spPr>
              <a:solidFill>
                <a:srgbClr val="FBE0D6"/>
              </a:solidFill>
              <a:ln>
                <a:noFill/>
                <a:prstDash val="solid"/>
              </a:ln>
            </spPr>
          </dPt>
          <dPt>
            <idx val="106"/>
            <invertIfNegative val="0"/>
            <spPr>
              <a:solidFill>
                <a:srgbClr val="FBE0D6"/>
              </a:solidFill>
              <a:ln>
                <a:noFill/>
                <a:prstDash val="solid"/>
              </a:ln>
            </spPr>
          </dPt>
          <dPt>
            <idx val="107"/>
            <invertIfNegative val="0"/>
            <spPr>
              <a:solidFill>
                <a:srgbClr val="FBE0D6"/>
              </a:solidFill>
              <a:ln>
                <a:noFill/>
                <a:prstDash val="solid"/>
              </a:ln>
            </spPr>
          </dPt>
          <dPt>
            <idx val="108"/>
            <invertIfNegative val="0"/>
            <spPr>
              <a:solidFill>
                <a:srgbClr val="FBE0D6"/>
              </a:solidFill>
              <a:ln>
                <a:noFill/>
                <a:prstDash val="solid"/>
              </a:ln>
            </spPr>
          </dPt>
          <dPt>
            <idx val="109"/>
            <invertIfNegative val="0"/>
            <spPr>
              <a:solidFill>
                <a:srgbClr val="FBE0D6"/>
              </a:solidFill>
              <a:ln>
                <a:noFill/>
                <a:prstDash val="solid"/>
              </a:ln>
            </spPr>
          </dPt>
          <dPt>
            <idx val="110"/>
            <invertIfNegative val="0"/>
            <spPr>
              <a:solidFill>
                <a:srgbClr val="FBE0D6"/>
              </a:solidFill>
              <a:ln>
                <a:noFill/>
                <a:prstDash val="solid"/>
              </a:ln>
            </spPr>
          </dPt>
          <dPt>
            <idx val="111"/>
            <invertIfNegative val="0"/>
            <spPr>
              <a:solidFill>
                <a:srgbClr val="FBE0D6"/>
              </a:solidFill>
              <a:ln>
                <a:noFill/>
                <a:prstDash val="solid"/>
              </a:ln>
            </spPr>
          </dPt>
          <dPt>
            <idx val="112"/>
            <invertIfNegative val="0"/>
            <spPr>
              <a:solidFill>
                <a:srgbClr val="FBE0D6"/>
              </a:solidFill>
              <a:ln>
                <a:noFill/>
                <a:prstDash val="solid"/>
              </a:ln>
            </spPr>
          </dPt>
          <dPt>
            <idx val="113"/>
            <invertIfNegative val="0"/>
            <spPr>
              <a:solidFill>
                <a:srgbClr val="FBE0D6"/>
              </a:solidFill>
              <a:ln>
                <a:noFill/>
                <a:prstDash val="solid"/>
              </a:ln>
            </spPr>
          </dPt>
          <dPt>
            <idx val="114"/>
            <invertIfNegative val="0"/>
            <spPr>
              <a:solidFill>
                <a:srgbClr val="FBE0D6"/>
              </a:solidFill>
              <a:ln>
                <a:noFill/>
                <a:prstDash val="solid"/>
              </a:ln>
            </spPr>
          </dPt>
          <dPt>
            <idx val="115"/>
            <invertIfNegative val="0"/>
            <spPr>
              <a:solidFill>
                <a:srgbClr val="FBE0D6"/>
              </a:solidFill>
              <a:ln>
                <a:noFill/>
                <a:prstDash val="solid"/>
              </a:ln>
            </spPr>
          </dPt>
          <dPt>
            <idx val="116"/>
            <invertIfNegative val="0"/>
            <spPr>
              <a:solidFill>
                <a:srgbClr val="FBE0D6"/>
              </a:solidFill>
              <a:ln>
                <a:noFill/>
                <a:prstDash val="solid"/>
              </a:ln>
            </spPr>
          </dPt>
          <dPt>
            <idx val="117"/>
            <invertIfNegative val="0"/>
            <spPr>
              <a:solidFill>
                <a:srgbClr val="FBE0D6"/>
              </a:solidFill>
              <a:ln>
                <a:noFill/>
                <a:prstDash val="solid"/>
              </a:ln>
            </spPr>
          </dPt>
          <dPt>
            <idx val="118"/>
            <invertIfNegative val="0"/>
            <spPr>
              <a:solidFill>
                <a:srgbClr val="FBE0D6"/>
              </a:solidFill>
              <a:ln>
                <a:noFill/>
                <a:prstDash val="solid"/>
              </a:ln>
            </spPr>
          </dPt>
          <dPt>
            <idx val="119"/>
            <invertIfNegative val="0"/>
            <spPr>
              <a:solidFill>
                <a:srgbClr val="FBE0D6"/>
              </a:solidFill>
              <a:ln>
                <a:noFill/>
                <a:prstDash val="solid"/>
              </a:ln>
            </spPr>
          </dPt>
          <dPt>
            <idx val="120"/>
            <invertIfNegative val="0"/>
            <spPr>
              <a:solidFill>
                <a:srgbClr val="FBE0D6"/>
              </a:solidFill>
              <a:ln>
                <a:noFill/>
                <a:prstDash val="solid"/>
              </a:ln>
            </spPr>
          </dPt>
          <dPt>
            <idx val="121"/>
            <invertIfNegative val="0"/>
            <spPr>
              <a:solidFill>
                <a:srgbClr val="FBE0D6"/>
              </a:solidFill>
              <a:ln>
                <a:noFill/>
                <a:prstDash val="solid"/>
              </a:ln>
            </spPr>
          </dPt>
          <dPt>
            <idx val="122"/>
            <invertIfNegative val="0"/>
            <spPr>
              <a:solidFill>
                <a:srgbClr val="FBE0D6"/>
              </a:solidFill>
              <a:ln>
                <a:noFill/>
                <a:prstDash val="solid"/>
              </a:ln>
            </spPr>
          </dPt>
          <dPt>
            <idx val="123"/>
            <invertIfNegative val="0"/>
            <spPr>
              <a:solidFill>
                <a:srgbClr val="FBE0D6"/>
              </a:solidFill>
              <a:ln>
                <a:noFill/>
                <a:prstDash val="solid"/>
              </a:ln>
            </spPr>
          </dPt>
          <dPt>
            <idx val="124"/>
            <invertIfNegative val="0"/>
            <spPr>
              <a:solidFill>
                <a:srgbClr val="FBE0D6"/>
              </a:solidFill>
              <a:ln>
                <a:noFill/>
                <a:prstDash val="solid"/>
              </a:ln>
            </spPr>
          </dPt>
          <dPt>
            <idx val="125"/>
            <invertIfNegative val="0"/>
            <spPr>
              <a:solidFill>
                <a:srgbClr val="FBE0D6"/>
              </a:solidFill>
              <a:ln>
                <a:noFill/>
                <a:prstDash val="solid"/>
              </a:ln>
            </spPr>
          </dPt>
          <dPt>
            <idx val="126"/>
            <invertIfNegative val="0"/>
            <spPr>
              <a:solidFill>
                <a:srgbClr val="FBE0D6"/>
              </a:solidFill>
              <a:ln>
                <a:noFill/>
                <a:prstDash val="solid"/>
              </a:ln>
            </spPr>
          </dPt>
          <dPt>
            <idx val="127"/>
            <invertIfNegative val="0"/>
            <spPr>
              <a:solidFill>
                <a:srgbClr val="FBE0D6"/>
              </a:solidFill>
              <a:ln>
                <a:noFill/>
                <a:prstDash val="solid"/>
              </a:ln>
            </spPr>
          </dPt>
          <dPt>
            <idx val="128"/>
            <invertIfNegative val="0"/>
            <spPr>
              <a:solidFill>
                <a:srgbClr val="FBE0D6"/>
              </a:solidFill>
              <a:ln>
                <a:noFill/>
                <a:prstDash val="solid"/>
              </a:ln>
            </spPr>
          </dPt>
          <dPt>
            <idx val="129"/>
            <invertIfNegative val="0"/>
            <spPr>
              <a:solidFill>
                <a:srgbClr val="FBE0D6"/>
              </a:solidFill>
              <a:ln>
                <a:noFill/>
                <a:prstDash val="solid"/>
              </a:ln>
            </spPr>
          </dPt>
          <dPt>
            <idx val="130"/>
            <invertIfNegative val="0"/>
            <spPr>
              <a:solidFill>
                <a:srgbClr val="FBE0D6"/>
              </a:solidFill>
              <a:ln>
                <a:noFill/>
                <a:prstDash val="solid"/>
              </a:ln>
            </spPr>
          </dPt>
          <dPt>
            <idx val="131"/>
            <invertIfNegative val="0"/>
            <spPr>
              <a:solidFill>
                <a:srgbClr val="FBE0D6"/>
              </a:solidFill>
              <a:ln>
                <a:noFill/>
                <a:prstDash val="solid"/>
              </a:ln>
            </spPr>
          </dPt>
          <dPt>
            <idx val="132"/>
            <invertIfNegative val="0"/>
            <spPr>
              <a:solidFill>
                <a:srgbClr val="FBE0D6"/>
              </a:solidFill>
              <a:ln>
                <a:noFill/>
                <a:prstDash val="solid"/>
              </a:ln>
            </spPr>
          </dPt>
          <dPt>
            <idx val="133"/>
            <invertIfNegative val="0"/>
            <spPr>
              <a:solidFill>
                <a:srgbClr val="FBE0D6"/>
              </a:solidFill>
              <a:ln>
                <a:noFill/>
                <a:prstDash val="solid"/>
              </a:ln>
            </spPr>
          </dPt>
          <dPt>
            <idx val="134"/>
            <invertIfNegative val="0"/>
            <spPr>
              <a:solidFill>
                <a:srgbClr val="FBE0D6"/>
              </a:solidFill>
              <a:ln>
                <a:noFill/>
                <a:prstDash val="solid"/>
              </a:ln>
            </spPr>
          </dPt>
          <dPt>
            <idx val="135"/>
            <invertIfNegative val="0"/>
            <spPr>
              <a:solidFill>
                <a:srgbClr val="FBE0D6"/>
              </a:solidFill>
              <a:ln>
                <a:noFill/>
                <a:prstDash val="solid"/>
              </a:ln>
            </spPr>
          </dPt>
          <dPt>
            <idx val="136"/>
            <invertIfNegative val="0"/>
            <spPr>
              <a:solidFill>
                <a:srgbClr val="FBE0D6"/>
              </a:solidFill>
              <a:ln>
                <a:noFill/>
                <a:prstDash val="solid"/>
              </a:ln>
            </spPr>
          </dPt>
          <dPt>
            <idx val="137"/>
            <invertIfNegative val="0"/>
            <spPr>
              <a:solidFill>
                <a:srgbClr val="FBE0D6"/>
              </a:solidFill>
              <a:ln>
                <a:noFill/>
                <a:prstDash val="solid"/>
              </a:ln>
            </spPr>
          </dPt>
          <dPt>
            <idx val="138"/>
            <invertIfNegative val="0"/>
            <spPr>
              <a:solidFill>
                <a:srgbClr val="FBE0D6"/>
              </a:solidFill>
              <a:ln>
                <a:noFill/>
                <a:prstDash val="solid"/>
              </a:ln>
            </spPr>
          </dPt>
          <dPt>
            <idx val="139"/>
            <invertIfNegative val="0"/>
            <spPr>
              <a:solidFill>
                <a:srgbClr val="FBE0D6"/>
              </a:solidFill>
              <a:ln>
                <a:noFill/>
                <a:prstDash val="solid"/>
              </a:ln>
            </spPr>
          </dPt>
          <dPt>
            <idx val="140"/>
            <invertIfNegative val="0"/>
            <spPr>
              <a:solidFill>
                <a:srgbClr val="FBE0D6"/>
              </a:solidFill>
              <a:ln>
                <a:noFill/>
                <a:prstDash val="solid"/>
              </a:ln>
            </spPr>
          </dPt>
          <dPt>
            <idx val="141"/>
            <invertIfNegative val="0"/>
            <spPr>
              <a:solidFill>
                <a:srgbClr val="FBE0D6"/>
              </a:solidFill>
              <a:ln>
                <a:noFill/>
                <a:prstDash val="solid"/>
              </a:ln>
            </spPr>
          </dPt>
          <dPt>
            <idx val="142"/>
            <invertIfNegative val="0"/>
            <spPr>
              <a:solidFill>
                <a:srgbClr val="FBE0D6"/>
              </a:solidFill>
              <a:ln>
                <a:noFill/>
                <a:prstDash val="solid"/>
              </a:ln>
            </spPr>
          </dPt>
          <dPt>
            <idx val="143"/>
            <invertIfNegative val="0"/>
            <spPr>
              <a:solidFill>
                <a:srgbClr val="FBE0D6"/>
              </a:solidFill>
              <a:ln>
                <a:noFill/>
                <a:prstDash val="solid"/>
              </a:ln>
            </spPr>
          </dPt>
          <dPt>
            <idx val="144"/>
            <invertIfNegative val="0"/>
            <spPr>
              <a:solidFill>
                <a:srgbClr val="FBE0D6"/>
              </a:solidFill>
              <a:ln>
                <a:noFill/>
                <a:prstDash val="solid"/>
              </a:ln>
            </spPr>
          </dPt>
          <dPt>
            <idx val="145"/>
            <invertIfNegative val="0"/>
            <spPr>
              <a:solidFill>
                <a:srgbClr val="FBE0D6"/>
              </a:solidFill>
              <a:ln>
                <a:noFill/>
                <a:prstDash val="solid"/>
              </a:ln>
            </spPr>
          </dPt>
          <dPt>
            <idx val="146"/>
            <invertIfNegative val="0"/>
            <spPr>
              <a:solidFill>
                <a:srgbClr val="FBE0D6"/>
              </a:solidFill>
              <a:ln>
                <a:noFill/>
                <a:prstDash val="solid"/>
              </a:ln>
            </spPr>
          </dPt>
          <dPt>
            <idx val="147"/>
            <invertIfNegative val="0"/>
            <spPr>
              <a:solidFill>
                <a:srgbClr val="FBE0D6"/>
              </a:solidFill>
              <a:ln>
                <a:noFill/>
                <a:prstDash val="solid"/>
              </a:ln>
            </spPr>
          </dPt>
          <dPt>
            <idx val="148"/>
            <invertIfNegative val="0"/>
            <spPr>
              <a:solidFill>
                <a:srgbClr val="FBE0D6"/>
              </a:solidFill>
              <a:ln>
                <a:noFill/>
                <a:prstDash val="solid"/>
              </a:ln>
            </spPr>
          </dPt>
          <dPt>
            <idx val="149"/>
            <invertIfNegative val="0"/>
            <spPr>
              <a:solidFill>
                <a:srgbClr val="FBE0D6"/>
              </a:solidFill>
              <a:ln>
                <a:noFill/>
                <a:prstDash val="solid"/>
              </a:ln>
            </spPr>
          </dPt>
          <dPt>
            <idx val="150"/>
            <invertIfNegative val="0"/>
            <spPr>
              <a:solidFill>
                <a:srgbClr val="FBE0D6"/>
              </a:solidFill>
              <a:ln>
                <a:noFill/>
                <a:prstDash val="solid"/>
              </a:ln>
            </spPr>
          </dPt>
          <dPt>
            <idx val="151"/>
            <invertIfNegative val="0"/>
            <spPr>
              <a:solidFill>
                <a:srgbClr val="FBE0D6"/>
              </a:solidFill>
              <a:ln>
                <a:noFill/>
                <a:prstDash val="solid"/>
              </a:ln>
            </spPr>
          </dPt>
          <dPt>
            <idx val="152"/>
            <invertIfNegative val="0"/>
            <spPr>
              <a:solidFill>
                <a:srgbClr val="FBE0D6"/>
              </a:solidFill>
              <a:ln>
                <a:noFill/>
                <a:prstDash val="solid"/>
              </a:ln>
            </spPr>
          </dPt>
          <dPt>
            <idx val="153"/>
            <invertIfNegative val="0"/>
            <spPr>
              <a:solidFill>
                <a:srgbClr val="FBE0D6"/>
              </a:solidFill>
              <a:ln>
                <a:noFill/>
                <a:prstDash val="solid"/>
              </a:ln>
            </spPr>
          </dPt>
          <dPt>
            <idx val="154"/>
            <invertIfNegative val="0"/>
            <spPr>
              <a:solidFill>
                <a:srgbClr val="FBE0D6"/>
              </a:solidFill>
              <a:ln>
                <a:noFill/>
                <a:prstDash val="solid"/>
              </a:ln>
            </spPr>
          </dPt>
          <dPt>
            <idx val="155"/>
            <invertIfNegative val="0"/>
            <spPr>
              <a:solidFill>
                <a:srgbClr val="FBE0D6"/>
              </a:solidFill>
              <a:ln>
                <a:noFill/>
                <a:prstDash val="solid"/>
              </a:ln>
            </spPr>
          </dPt>
          <cat>
            <numRef>
              <f>'Chart - Texas'!$A$2:$A$157</f>
            </numRef>
          </cat>
          <val>
            <numRef>
              <f>'Chart - Texas'!$C$2:$C$157</f>
            </numRef>
          </val>
        </ser>
        <ser>
          <idx val="2"/>
          <order val="2"/>
          <tx>
            <strRef>
              <f>'Chart - Texas'!D1</f>
            </strRef>
          </tx>
          <spPr>
            <a:solidFill>
              <a:srgbClr val="1BAF7A"/>
            </a:solidFill>
            <a:ln>
              <a:noFill/>
              <a:prstDash val="solid"/>
            </a:ln>
          </spPr>
          <dPt>
            <idx val="67"/>
            <invertIfNegative val="0"/>
            <spPr>
              <a:solidFill>
                <a:srgbClr val="98DBC3"/>
              </a:solidFill>
              <a:ln>
                <a:noFill/>
                <a:prstDash val="solid"/>
              </a:ln>
            </spPr>
          </dPt>
          <dPt>
            <idx val="68"/>
            <invertIfNegative val="0"/>
            <spPr>
              <a:solidFill>
                <a:srgbClr val="98DBC3"/>
              </a:solidFill>
              <a:ln>
                <a:noFill/>
                <a:prstDash val="solid"/>
              </a:ln>
            </spPr>
          </dPt>
          <dPt>
            <idx val="69"/>
            <invertIfNegative val="0"/>
            <spPr>
              <a:solidFill>
                <a:srgbClr val="98DBC3"/>
              </a:solidFill>
              <a:ln>
                <a:noFill/>
                <a:prstDash val="solid"/>
              </a:ln>
            </spPr>
          </dPt>
          <dPt>
            <idx val="70"/>
            <invertIfNegative val="0"/>
            <spPr>
              <a:solidFill>
                <a:srgbClr val="98DBC3"/>
              </a:solidFill>
              <a:ln>
                <a:noFill/>
                <a:prstDash val="solid"/>
              </a:ln>
            </spPr>
          </dPt>
          <dPt>
            <idx val="71"/>
            <invertIfNegative val="0"/>
            <spPr>
              <a:solidFill>
                <a:srgbClr val="98DBC3"/>
              </a:solidFill>
              <a:ln>
                <a:noFill/>
                <a:prstDash val="solid"/>
              </a:ln>
            </spPr>
          </dPt>
          <dPt>
            <idx val="72"/>
            <invertIfNegative val="0"/>
            <spPr>
              <a:solidFill>
                <a:srgbClr val="98DBC3"/>
              </a:solidFill>
              <a:ln>
                <a:noFill/>
                <a:prstDash val="solid"/>
              </a:ln>
            </spPr>
          </dPt>
          <dPt>
            <idx val="73"/>
            <invertIfNegative val="0"/>
            <spPr>
              <a:solidFill>
                <a:srgbClr val="98DBC3"/>
              </a:solidFill>
              <a:ln>
                <a:noFill/>
                <a:prstDash val="solid"/>
              </a:ln>
            </spPr>
          </dPt>
          <dPt>
            <idx val="74"/>
            <invertIfNegative val="0"/>
            <spPr>
              <a:solidFill>
                <a:srgbClr val="98DBC3"/>
              </a:solidFill>
              <a:ln>
                <a:noFill/>
                <a:prstDash val="solid"/>
              </a:ln>
            </spPr>
          </dPt>
          <dPt>
            <idx val="75"/>
            <invertIfNegative val="0"/>
            <spPr>
              <a:solidFill>
                <a:srgbClr val="98DBC3"/>
              </a:solidFill>
              <a:ln>
                <a:noFill/>
                <a:prstDash val="solid"/>
              </a:ln>
            </spPr>
          </dPt>
          <dPt>
            <idx val="76"/>
            <invertIfNegative val="0"/>
            <spPr>
              <a:solidFill>
                <a:srgbClr val="98DBC3"/>
              </a:solidFill>
              <a:ln>
                <a:noFill/>
                <a:prstDash val="solid"/>
              </a:ln>
            </spPr>
          </dPt>
          <dPt>
            <idx val="77"/>
            <invertIfNegative val="0"/>
            <spPr>
              <a:solidFill>
                <a:srgbClr val="98DBC3"/>
              </a:solidFill>
              <a:ln>
                <a:noFill/>
                <a:prstDash val="solid"/>
              </a:ln>
            </spPr>
          </dPt>
          <dPt>
            <idx val="78"/>
            <invertIfNegative val="0"/>
            <spPr>
              <a:solidFill>
                <a:srgbClr val="98DBC3"/>
              </a:solidFill>
              <a:ln>
                <a:noFill/>
                <a:prstDash val="solid"/>
              </a:ln>
            </spPr>
          </dPt>
          <dPt>
            <idx val="79"/>
            <invertIfNegative val="0"/>
            <spPr>
              <a:solidFill>
                <a:srgbClr val="98DBC3"/>
              </a:solidFill>
              <a:ln>
                <a:noFill/>
                <a:prstDash val="solid"/>
              </a:ln>
            </spPr>
          </dPt>
          <dPt>
            <idx val="80"/>
            <invertIfNegative val="0"/>
            <spPr>
              <a:solidFill>
                <a:srgbClr val="98DBC3"/>
              </a:solidFill>
              <a:ln>
                <a:noFill/>
                <a:prstDash val="solid"/>
              </a:ln>
            </spPr>
          </dPt>
          <dPt>
            <idx val="81"/>
            <invertIfNegative val="0"/>
            <spPr>
              <a:solidFill>
                <a:srgbClr val="98DBC3"/>
              </a:solidFill>
              <a:ln>
                <a:noFill/>
                <a:prstDash val="solid"/>
              </a:ln>
            </spPr>
          </dPt>
          <dPt>
            <idx val="82"/>
            <invertIfNegative val="0"/>
            <spPr>
              <a:solidFill>
                <a:srgbClr val="98DBC3"/>
              </a:solidFill>
              <a:ln>
                <a:noFill/>
                <a:prstDash val="solid"/>
              </a:ln>
            </spPr>
          </dPt>
          <dPt>
            <idx val="83"/>
            <invertIfNegative val="0"/>
            <spPr>
              <a:solidFill>
                <a:srgbClr val="98DBC3"/>
              </a:solidFill>
              <a:ln>
                <a:noFill/>
                <a:prstDash val="solid"/>
              </a:ln>
            </spPr>
          </dPt>
          <dPt>
            <idx val="84"/>
            <invertIfNegative val="0"/>
            <spPr>
              <a:solidFill>
                <a:srgbClr val="98DBC3"/>
              </a:solidFill>
              <a:ln>
                <a:noFill/>
                <a:prstDash val="solid"/>
              </a:ln>
            </spPr>
          </dPt>
          <dPt>
            <idx val="85"/>
            <invertIfNegative val="0"/>
            <spPr>
              <a:solidFill>
                <a:srgbClr val="98DBC3"/>
              </a:solidFill>
              <a:ln>
                <a:noFill/>
                <a:prstDash val="solid"/>
              </a:ln>
            </spPr>
          </dPt>
          <dPt>
            <idx val="86"/>
            <invertIfNegative val="0"/>
            <spPr>
              <a:solidFill>
                <a:srgbClr val="98DBC3"/>
              </a:solidFill>
              <a:ln>
                <a:noFill/>
                <a:prstDash val="solid"/>
              </a:ln>
            </spPr>
          </dPt>
          <dPt>
            <idx val="87"/>
            <invertIfNegative val="0"/>
            <spPr>
              <a:solidFill>
                <a:srgbClr val="98DBC3"/>
              </a:solidFill>
              <a:ln>
                <a:noFill/>
                <a:prstDash val="solid"/>
              </a:ln>
            </spPr>
          </dPt>
          <dPt>
            <idx val="88"/>
            <invertIfNegative val="0"/>
            <spPr>
              <a:solidFill>
                <a:srgbClr val="98DBC3"/>
              </a:solidFill>
              <a:ln>
                <a:noFill/>
                <a:prstDash val="solid"/>
              </a:ln>
            </spPr>
          </dPt>
          <dPt>
            <idx val="89"/>
            <invertIfNegative val="0"/>
            <spPr>
              <a:solidFill>
                <a:srgbClr val="98DBC3"/>
              </a:solidFill>
              <a:ln>
                <a:noFill/>
                <a:prstDash val="solid"/>
              </a:ln>
            </spPr>
          </dPt>
          <dPt>
            <idx val="90"/>
            <invertIfNegative val="0"/>
            <spPr>
              <a:solidFill>
                <a:srgbClr val="98DBC3"/>
              </a:solidFill>
              <a:ln>
                <a:noFill/>
                <a:prstDash val="solid"/>
              </a:ln>
            </spPr>
          </dPt>
          <dPt>
            <idx val="91"/>
            <invertIfNegative val="0"/>
            <spPr>
              <a:solidFill>
                <a:srgbClr val="98DBC3"/>
              </a:solidFill>
              <a:ln>
                <a:noFill/>
                <a:prstDash val="solid"/>
              </a:ln>
            </spPr>
          </dPt>
          <dPt>
            <idx val="92"/>
            <invertIfNegative val="0"/>
            <spPr>
              <a:solidFill>
                <a:srgbClr val="98DBC3"/>
              </a:solidFill>
              <a:ln>
                <a:noFill/>
                <a:prstDash val="solid"/>
              </a:ln>
            </spPr>
          </dPt>
          <dPt>
            <idx val="93"/>
            <invertIfNegative val="0"/>
            <spPr>
              <a:solidFill>
                <a:srgbClr val="98DBC3"/>
              </a:solidFill>
              <a:ln>
                <a:noFill/>
                <a:prstDash val="solid"/>
              </a:ln>
            </spPr>
          </dPt>
          <dPt>
            <idx val="94"/>
            <invertIfNegative val="0"/>
            <spPr>
              <a:solidFill>
                <a:srgbClr val="98DBC3"/>
              </a:solidFill>
              <a:ln>
                <a:noFill/>
                <a:prstDash val="solid"/>
              </a:ln>
            </spPr>
          </dPt>
          <dPt>
            <idx val="95"/>
            <invertIfNegative val="0"/>
            <spPr>
              <a:solidFill>
                <a:srgbClr val="98DBC3"/>
              </a:solidFill>
              <a:ln>
                <a:noFill/>
                <a:prstDash val="solid"/>
              </a:ln>
            </spPr>
          </dPt>
          <dPt>
            <idx val="96"/>
            <invertIfNegative val="0"/>
            <spPr>
              <a:solidFill>
                <a:srgbClr val="D1EFE4"/>
              </a:solidFill>
              <a:ln>
                <a:noFill/>
                <a:prstDash val="solid"/>
              </a:ln>
            </spPr>
          </dPt>
          <dPt>
            <idx val="97"/>
            <invertIfNegative val="0"/>
            <spPr>
              <a:solidFill>
                <a:srgbClr val="D1EFE4"/>
              </a:solidFill>
              <a:ln>
                <a:noFill/>
                <a:prstDash val="solid"/>
              </a:ln>
            </spPr>
          </dPt>
          <dPt>
            <idx val="98"/>
            <invertIfNegative val="0"/>
            <spPr>
              <a:solidFill>
                <a:srgbClr val="D1EFE4"/>
              </a:solidFill>
              <a:ln>
                <a:noFill/>
                <a:prstDash val="solid"/>
              </a:ln>
            </spPr>
          </dPt>
          <dPt>
            <idx val="99"/>
            <invertIfNegative val="0"/>
            <spPr>
              <a:solidFill>
                <a:srgbClr val="D1EFE4"/>
              </a:solidFill>
              <a:ln>
                <a:noFill/>
                <a:prstDash val="solid"/>
              </a:ln>
            </spPr>
          </dPt>
          <dPt>
            <idx val="100"/>
            <invertIfNegative val="0"/>
            <spPr>
              <a:solidFill>
                <a:srgbClr val="D1EFE4"/>
              </a:solidFill>
              <a:ln>
                <a:noFill/>
                <a:prstDash val="solid"/>
              </a:ln>
            </spPr>
          </dPt>
          <dPt>
            <idx val="101"/>
            <invertIfNegative val="0"/>
            <spPr>
              <a:solidFill>
                <a:srgbClr val="D1EFE4"/>
              </a:solidFill>
              <a:ln>
                <a:noFill/>
                <a:prstDash val="solid"/>
              </a:ln>
            </spPr>
          </dPt>
          <dPt>
            <idx val="102"/>
            <invertIfNegative val="0"/>
            <spPr>
              <a:solidFill>
                <a:srgbClr val="D1EFE4"/>
              </a:solidFill>
              <a:ln>
                <a:noFill/>
                <a:prstDash val="solid"/>
              </a:ln>
            </spPr>
          </dPt>
          <dPt>
            <idx val="103"/>
            <invertIfNegative val="0"/>
            <spPr>
              <a:solidFill>
                <a:srgbClr val="D1EFE4"/>
              </a:solidFill>
              <a:ln>
                <a:noFill/>
                <a:prstDash val="solid"/>
              </a:ln>
            </spPr>
          </dPt>
          <dPt>
            <idx val="104"/>
            <invertIfNegative val="0"/>
            <spPr>
              <a:solidFill>
                <a:srgbClr val="D1EFE4"/>
              </a:solidFill>
              <a:ln>
                <a:noFill/>
                <a:prstDash val="solid"/>
              </a:ln>
            </spPr>
          </dPt>
          <dPt>
            <idx val="105"/>
            <invertIfNegative val="0"/>
            <spPr>
              <a:solidFill>
                <a:srgbClr val="D1EFE4"/>
              </a:solidFill>
              <a:ln>
                <a:noFill/>
                <a:prstDash val="solid"/>
              </a:ln>
            </spPr>
          </dPt>
          <dPt>
            <idx val="106"/>
            <invertIfNegative val="0"/>
            <spPr>
              <a:solidFill>
                <a:srgbClr val="D1EFE4"/>
              </a:solidFill>
              <a:ln>
                <a:noFill/>
                <a:prstDash val="solid"/>
              </a:ln>
            </spPr>
          </dPt>
          <dPt>
            <idx val="107"/>
            <invertIfNegative val="0"/>
            <spPr>
              <a:solidFill>
                <a:srgbClr val="D1EFE4"/>
              </a:solidFill>
              <a:ln>
                <a:noFill/>
                <a:prstDash val="solid"/>
              </a:ln>
            </spPr>
          </dPt>
          <dPt>
            <idx val="108"/>
            <invertIfNegative val="0"/>
            <spPr>
              <a:solidFill>
                <a:srgbClr val="D1EFE4"/>
              </a:solidFill>
              <a:ln>
                <a:noFill/>
                <a:prstDash val="solid"/>
              </a:ln>
            </spPr>
          </dPt>
          <dPt>
            <idx val="109"/>
            <invertIfNegative val="0"/>
            <spPr>
              <a:solidFill>
                <a:srgbClr val="D1EFE4"/>
              </a:solidFill>
              <a:ln>
                <a:noFill/>
                <a:prstDash val="solid"/>
              </a:ln>
            </spPr>
          </dPt>
          <dPt>
            <idx val="110"/>
            <invertIfNegative val="0"/>
            <spPr>
              <a:solidFill>
                <a:srgbClr val="D1EFE4"/>
              </a:solidFill>
              <a:ln>
                <a:noFill/>
                <a:prstDash val="solid"/>
              </a:ln>
            </spPr>
          </dPt>
          <dPt>
            <idx val="111"/>
            <invertIfNegative val="0"/>
            <spPr>
              <a:solidFill>
                <a:srgbClr val="D1EFE4"/>
              </a:solidFill>
              <a:ln>
                <a:noFill/>
                <a:prstDash val="solid"/>
              </a:ln>
            </spPr>
          </dPt>
          <dPt>
            <idx val="112"/>
            <invertIfNegative val="0"/>
            <spPr>
              <a:solidFill>
                <a:srgbClr val="D1EFE4"/>
              </a:solidFill>
              <a:ln>
                <a:noFill/>
                <a:prstDash val="solid"/>
              </a:ln>
            </spPr>
          </dPt>
          <dPt>
            <idx val="113"/>
            <invertIfNegative val="0"/>
            <spPr>
              <a:solidFill>
                <a:srgbClr val="D1EFE4"/>
              </a:solidFill>
              <a:ln>
                <a:noFill/>
                <a:prstDash val="solid"/>
              </a:ln>
            </spPr>
          </dPt>
          <dPt>
            <idx val="114"/>
            <invertIfNegative val="0"/>
            <spPr>
              <a:solidFill>
                <a:srgbClr val="D1EFE4"/>
              </a:solidFill>
              <a:ln>
                <a:noFill/>
                <a:prstDash val="solid"/>
              </a:ln>
            </spPr>
          </dPt>
          <dPt>
            <idx val="115"/>
            <invertIfNegative val="0"/>
            <spPr>
              <a:solidFill>
                <a:srgbClr val="D1EFE4"/>
              </a:solidFill>
              <a:ln>
                <a:noFill/>
                <a:prstDash val="solid"/>
              </a:ln>
            </spPr>
          </dPt>
          <dPt>
            <idx val="116"/>
            <invertIfNegative val="0"/>
            <spPr>
              <a:solidFill>
                <a:srgbClr val="D1EFE4"/>
              </a:solidFill>
              <a:ln>
                <a:noFill/>
                <a:prstDash val="solid"/>
              </a:ln>
            </spPr>
          </dPt>
          <dPt>
            <idx val="117"/>
            <invertIfNegative val="0"/>
            <spPr>
              <a:solidFill>
                <a:srgbClr val="D1EFE4"/>
              </a:solidFill>
              <a:ln>
                <a:noFill/>
                <a:prstDash val="solid"/>
              </a:ln>
            </spPr>
          </dPt>
          <dPt>
            <idx val="118"/>
            <invertIfNegative val="0"/>
            <spPr>
              <a:solidFill>
                <a:srgbClr val="D1EFE4"/>
              </a:solidFill>
              <a:ln>
                <a:noFill/>
                <a:prstDash val="solid"/>
              </a:ln>
            </spPr>
          </dPt>
          <dPt>
            <idx val="119"/>
            <invertIfNegative val="0"/>
            <spPr>
              <a:solidFill>
                <a:srgbClr val="D1EFE4"/>
              </a:solidFill>
              <a:ln>
                <a:noFill/>
                <a:prstDash val="solid"/>
              </a:ln>
            </spPr>
          </dPt>
          <dPt>
            <idx val="120"/>
            <invertIfNegative val="0"/>
            <spPr>
              <a:solidFill>
                <a:srgbClr val="D1EFE4"/>
              </a:solidFill>
              <a:ln>
                <a:noFill/>
                <a:prstDash val="solid"/>
              </a:ln>
            </spPr>
          </dPt>
          <dPt>
            <idx val="121"/>
            <invertIfNegative val="0"/>
            <spPr>
              <a:solidFill>
                <a:srgbClr val="D1EFE4"/>
              </a:solidFill>
              <a:ln>
                <a:noFill/>
                <a:prstDash val="solid"/>
              </a:ln>
            </spPr>
          </dPt>
          <dPt>
            <idx val="122"/>
            <invertIfNegative val="0"/>
            <spPr>
              <a:solidFill>
                <a:srgbClr val="D1EFE4"/>
              </a:solidFill>
              <a:ln>
                <a:noFill/>
                <a:prstDash val="solid"/>
              </a:ln>
            </spPr>
          </dPt>
          <dPt>
            <idx val="123"/>
            <invertIfNegative val="0"/>
            <spPr>
              <a:solidFill>
                <a:srgbClr val="D1EFE4"/>
              </a:solidFill>
              <a:ln>
                <a:noFill/>
                <a:prstDash val="solid"/>
              </a:ln>
            </spPr>
          </dPt>
          <dPt>
            <idx val="124"/>
            <invertIfNegative val="0"/>
            <spPr>
              <a:solidFill>
                <a:srgbClr val="D1EFE4"/>
              </a:solidFill>
              <a:ln>
                <a:noFill/>
                <a:prstDash val="solid"/>
              </a:ln>
            </spPr>
          </dPt>
          <dPt>
            <idx val="125"/>
            <invertIfNegative val="0"/>
            <spPr>
              <a:solidFill>
                <a:srgbClr val="D1EFE4"/>
              </a:solidFill>
              <a:ln>
                <a:noFill/>
                <a:prstDash val="solid"/>
              </a:ln>
            </spPr>
          </dPt>
          <dPt>
            <idx val="126"/>
            <invertIfNegative val="0"/>
            <spPr>
              <a:solidFill>
                <a:srgbClr val="D1EFE4"/>
              </a:solidFill>
              <a:ln>
                <a:noFill/>
                <a:prstDash val="solid"/>
              </a:ln>
            </spPr>
          </dPt>
          <dPt>
            <idx val="127"/>
            <invertIfNegative val="0"/>
            <spPr>
              <a:solidFill>
                <a:srgbClr val="D1EFE4"/>
              </a:solidFill>
              <a:ln>
                <a:noFill/>
                <a:prstDash val="solid"/>
              </a:ln>
            </spPr>
          </dPt>
          <dPt>
            <idx val="128"/>
            <invertIfNegative val="0"/>
            <spPr>
              <a:solidFill>
                <a:srgbClr val="D1EFE4"/>
              </a:solidFill>
              <a:ln>
                <a:noFill/>
                <a:prstDash val="solid"/>
              </a:ln>
            </spPr>
          </dPt>
          <dPt>
            <idx val="129"/>
            <invertIfNegative val="0"/>
            <spPr>
              <a:solidFill>
                <a:srgbClr val="D1EFE4"/>
              </a:solidFill>
              <a:ln>
                <a:noFill/>
                <a:prstDash val="solid"/>
              </a:ln>
            </spPr>
          </dPt>
          <dPt>
            <idx val="130"/>
            <invertIfNegative val="0"/>
            <spPr>
              <a:solidFill>
                <a:srgbClr val="D1EFE4"/>
              </a:solidFill>
              <a:ln>
                <a:noFill/>
                <a:prstDash val="solid"/>
              </a:ln>
            </spPr>
          </dPt>
          <dPt>
            <idx val="131"/>
            <invertIfNegative val="0"/>
            <spPr>
              <a:solidFill>
                <a:srgbClr val="D1EFE4"/>
              </a:solidFill>
              <a:ln>
                <a:noFill/>
                <a:prstDash val="solid"/>
              </a:ln>
            </spPr>
          </dPt>
          <dPt>
            <idx val="132"/>
            <invertIfNegative val="0"/>
            <spPr>
              <a:solidFill>
                <a:srgbClr val="D1EFE4"/>
              </a:solidFill>
              <a:ln>
                <a:noFill/>
                <a:prstDash val="solid"/>
              </a:ln>
            </spPr>
          </dPt>
          <dPt>
            <idx val="133"/>
            <invertIfNegative val="0"/>
            <spPr>
              <a:solidFill>
                <a:srgbClr val="D1EFE4"/>
              </a:solidFill>
              <a:ln>
                <a:noFill/>
                <a:prstDash val="solid"/>
              </a:ln>
            </spPr>
          </dPt>
          <dPt>
            <idx val="134"/>
            <invertIfNegative val="0"/>
            <spPr>
              <a:solidFill>
                <a:srgbClr val="D1EFE4"/>
              </a:solidFill>
              <a:ln>
                <a:noFill/>
                <a:prstDash val="solid"/>
              </a:ln>
            </spPr>
          </dPt>
          <dPt>
            <idx val="135"/>
            <invertIfNegative val="0"/>
            <spPr>
              <a:solidFill>
                <a:srgbClr val="D1EFE4"/>
              </a:solidFill>
              <a:ln>
                <a:noFill/>
                <a:prstDash val="solid"/>
              </a:ln>
            </spPr>
          </dPt>
          <dPt>
            <idx val="136"/>
            <invertIfNegative val="0"/>
            <spPr>
              <a:solidFill>
                <a:srgbClr val="D1EFE4"/>
              </a:solidFill>
              <a:ln>
                <a:noFill/>
                <a:prstDash val="solid"/>
              </a:ln>
            </spPr>
          </dPt>
          <dPt>
            <idx val="137"/>
            <invertIfNegative val="0"/>
            <spPr>
              <a:solidFill>
                <a:srgbClr val="D1EFE4"/>
              </a:solidFill>
              <a:ln>
                <a:noFill/>
                <a:prstDash val="solid"/>
              </a:ln>
            </spPr>
          </dPt>
          <dPt>
            <idx val="138"/>
            <invertIfNegative val="0"/>
            <spPr>
              <a:solidFill>
                <a:srgbClr val="D1EFE4"/>
              </a:solidFill>
              <a:ln>
                <a:noFill/>
                <a:prstDash val="solid"/>
              </a:ln>
            </spPr>
          </dPt>
          <dPt>
            <idx val="139"/>
            <invertIfNegative val="0"/>
            <spPr>
              <a:solidFill>
                <a:srgbClr val="D1EFE4"/>
              </a:solidFill>
              <a:ln>
                <a:noFill/>
                <a:prstDash val="solid"/>
              </a:ln>
            </spPr>
          </dPt>
          <dPt>
            <idx val="140"/>
            <invertIfNegative val="0"/>
            <spPr>
              <a:solidFill>
                <a:srgbClr val="D1EFE4"/>
              </a:solidFill>
              <a:ln>
                <a:noFill/>
                <a:prstDash val="solid"/>
              </a:ln>
            </spPr>
          </dPt>
          <dPt>
            <idx val="141"/>
            <invertIfNegative val="0"/>
            <spPr>
              <a:solidFill>
                <a:srgbClr val="D1EFE4"/>
              </a:solidFill>
              <a:ln>
                <a:noFill/>
                <a:prstDash val="solid"/>
              </a:ln>
            </spPr>
          </dPt>
          <dPt>
            <idx val="142"/>
            <invertIfNegative val="0"/>
            <spPr>
              <a:solidFill>
                <a:srgbClr val="D1EFE4"/>
              </a:solidFill>
              <a:ln>
                <a:noFill/>
                <a:prstDash val="solid"/>
              </a:ln>
            </spPr>
          </dPt>
          <dPt>
            <idx val="143"/>
            <invertIfNegative val="0"/>
            <spPr>
              <a:solidFill>
                <a:srgbClr val="D1EFE4"/>
              </a:solidFill>
              <a:ln>
                <a:noFill/>
                <a:prstDash val="solid"/>
              </a:ln>
            </spPr>
          </dPt>
          <dPt>
            <idx val="144"/>
            <invertIfNegative val="0"/>
            <spPr>
              <a:solidFill>
                <a:srgbClr val="D1EFE4"/>
              </a:solidFill>
              <a:ln>
                <a:noFill/>
                <a:prstDash val="solid"/>
              </a:ln>
            </spPr>
          </dPt>
          <dPt>
            <idx val="145"/>
            <invertIfNegative val="0"/>
            <spPr>
              <a:solidFill>
                <a:srgbClr val="D1EFE4"/>
              </a:solidFill>
              <a:ln>
                <a:noFill/>
                <a:prstDash val="solid"/>
              </a:ln>
            </spPr>
          </dPt>
          <dPt>
            <idx val="146"/>
            <invertIfNegative val="0"/>
            <spPr>
              <a:solidFill>
                <a:srgbClr val="D1EFE4"/>
              </a:solidFill>
              <a:ln>
                <a:noFill/>
                <a:prstDash val="solid"/>
              </a:ln>
            </spPr>
          </dPt>
          <dPt>
            <idx val="147"/>
            <invertIfNegative val="0"/>
            <spPr>
              <a:solidFill>
                <a:srgbClr val="D1EFE4"/>
              </a:solidFill>
              <a:ln>
                <a:noFill/>
                <a:prstDash val="solid"/>
              </a:ln>
            </spPr>
          </dPt>
          <dPt>
            <idx val="148"/>
            <invertIfNegative val="0"/>
            <spPr>
              <a:solidFill>
                <a:srgbClr val="D1EFE4"/>
              </a:solidFill>
              <a:ln>
                <a:noFill/>
                <a:prstDash val="solid"/>
              </a:ln>
            </spPr>
          </dPt>
          <dPt>
            <idx val="149"/>
            <invertIfNegative val="0"/>
            <spPr>
              <a:solidFill>
                <a:srgbClr val="D1EFE4"/>
              </a:solidFill>
              <a:ln>
                <a:noFill/>
                <a:prstDash val="solid"/>
              </a:ln>
            </spPr>
          </dPt>
          <dPt>
            <idx val="150"/>
            <invertIfNegative val="0"/>
            <spPr>
              <a:solidFill>
                <a:srgbClr val="D1EFE4"/>
              </a:solidFill>
              <a:ln>
                <a:noFill/>
                <a:prstDash val="solid"/>
              </a:ln>
            </spPr>
          </dPt>
          <dPt>
            <idx val="151"/>
            <invertIfNegative val="0"/>
            <spPr>
              <a:solidFill>
                <a:srgbClr val="D1EFE4"/>
              </a:solidFill>
              <a:ln>
                <a:noFill/>
                <a:prstDash val="solid"/>
              </a:ln>
            </spPr>
          </dPt>
          <dPt>
            <idx val="152"/>
            <invertIfNegative val="0"/>
            <spPr>
              <a:solidFill>
                <a:srgbClr val="D1EFE4"/>
              </a:solidFill>
              <a:ln>
                <a:noFill/>
                <a:prstDash val="solid"/>
              </a:ln>
            </spPr>
          </dPt>
          <dPt>
            <idx val="153"/>
            <invertIfNegative val="0"/>
            <spPr>
              <a:solidFill>
                <a:srgbClr val="D1EFE4"/>
              </a:solidFill>
              <a:ln>
                <a:noFill/>
                <a:prstDash val="solid"/>
              </a:ln>
            </spPr>
          </dPt>
          <dPt>
            <idx val="154"/>
            <invertIfNegative val="0"/>
            <spPr>
              <a:solidFill>
                <a:srgbClr val="D1EFE4"/>
              </a:solidFill>
              <a:ln>
                <a:noFill/>
                <a:prstDash val="solid"/>
              </a:ln>
            </spPr>
          </dPt>
          <dPt>
            <idx val="155"/>
            <invertIfNegative val="0"/>
            <spPr>
              <a:solidFill>
                <a:srgbClr val="D1EFE4"/>
              </a:solidFill>
              <a:ln>
                <a:noFill/>
                <a:prstDash val="solid"/>
              </a:ln>
            </spPr>
          </dPt>
          <cat>
            <numRef>
              <f>'Chart - Texas'!$A$2:$A$157</f>
            </numRef>
          </cat>
          <val>
            <numRef>
              <f>'Chart - Texas'!$D$2:$D$157</f>
            </numRef>
          </val>
        </ser>
        <ser>
          <idx val="3"/>
          <order val="3"/>
          <tx>
            <strRef>
              <f>'Chart - Texas'!E1</f>
            </strRef>
          </tx>
          <spPr>
            <a:solidFill>
              <a:srgbClr val="EDA100"/>
            </a:solidFill>
            <a:ln>
              <a:noFill/>
              <a:prstDash val="solid"/>
            </a:ln>
          </spPr>
          <dPt>
            <idx val="67"/>
            <invertIfNegative val="0"/>
            <spPr>
              <a:solidFill>
                <a:srgbClr val="F6D48C"/>
              </a:solidFill>
              <a:ln>
                <a:noFill/>
                <a:prstDash val="solid"/>
              </a:ln>
            </spPr>
          </dPt>
          <dPt>
            <idx val="68"/>
            <invertIfNegative val="0"/>
            <spPr>
              <a:solidFill>
                <a:srgbClr val="F6D48C"/>
              </a:solidFill>
              <a:ln>
                <a:noFill/>
                <a:prstDash val="solid"/>
              </a:ln>
            </spPr>
          </dPt>
          <dPt>
            <idx val="69"/>
            <invertIfNegative val="0"/>
            <spPr>
              <a:solidFill>
                <a:srgbClr val="F6D48C"/>
              </a:solidFill>
              <a:ln>
                <a:noFill/>
                <a:prstDash val="solid"/>
              </a:ln>
            </spPr>
          </dPt>
          <dPt>
            <idx val="70"/>
            <invertIfNegative val="0"/>
            <spPr>
              <a:solidFill>
                <a:srgbClr val="F6D48C"/>
              </a:solidFill>
              <a:ln>
                <a:noFill/>
                <a:prstDash val="solid"/>
              </a:ln>
            </spPr>
          </dPt>
          <dPt>
            <idx val="71"/>
            <invertIfNegative val="0"/>
            <spPr>
              <a:solidFill>
                <a:srgbClr val="F6D48C"/>
              </a:solidFill>
              <a:ln>
                <a:noFill/>
                <a:prstDash val="solid"/>
              </a:ln>
            </spPr>
          </dPt>
          <dPt>
            <idx val="72"/>
            <invertIfNegative val="0"/>
            <spPr>
              <a:solidFill>
                <a:srgbClr val="F6D48C"/>
              </a:solidFill>
              <a:ln>
                <a:noFill/>
                <a:prstDash val="solid"/>
              </a:ln>
            </spPr>
          </dPt>
          <dPt>
            <idx val="73"/>
            <invertIfNegative val="0"/>
            <spPr>
              <a:solidFill>
                <a:srgbClr val="F6D48C"/>
              </a:solidFill>
              <a:ln>
                <a:noFill/>
                <a:prstDash val="solid"/>
              </a:ln>
            </spPr>
          </dPt>
          <dPt>
            <idx val="74"/>
            <invertIfNegative val="0"/>
            <spPr>
              <a:solidFill>
                <a:srgbClr val="F6D48C"/>
              </a:solidFill>
              <a:ln>
                <a:noFill/>
                <a:prstDash val="solid"/>
              </a:ln>
            </spPr>
          </dPt>
          <dPt>
            <idx val="75"/>
            <invertIfNegative val="0"/>
            <spPr>
              <a:solidFill>
                <a:srgbClr val="F6D48C"/>
              </a:solidFill>
              <a:ln>
                <a:noFill/>
                <a:prstDash val="solid"/>
              </a:ln>
            </spPr>
          </dPt>
          <dPt>
            <idx val="76"/>
            <invertIfNegative val="0"/>
            <spPr>
              <a:solidFill>
                <a:srgbClr val="F6D48C"/>
              </a:solidFill>
              <a:ln>
                <a:noFill/>
                <a:prstDash val="solid"/>
              </a:ln>
            </spPr>
          </dPt>
          <dPt>
            <idx val="77"/>
            <invertIfNegative val="0"/>
            <spPr>
              <a:solidFill>
                <a:srgbClr val="F6D48C"/>
              </a:solidFill>
              <a:ln>
                <a:noFill/>
                <a:prstDash val="solid"/>
              </a:ln>
            </spPr>
          </dPt>
          <dPt>
            <idx val="78"/>
            <invertIfNegative val="0"/>
            <spPr>
              <a:solidFill>
                <a:srgbClr val="F6D48C"/>
              </a:solidFill>
              <a:ln>
                <a:noFill/>
                <a:prstDash val="solid"/>
              </a:ln>
            </spPr>
          </dPt>
          <dPt>
            <idx val="79"/>
            <invertIfNegative val="0"/>
            <spPr>
              <a:solidFill>
                <a:srgbClr val="F6D48C"/>
              </a:solidFill>
              <a:ln>
                <a:noFill/>
                <a:prstDash val="solid"/>
              </a:ln>
            </spPr>
          </dPt>
          <dPt>
            <idx val="80"/>
            <invertIfNegative val="0"/>
            <spPr>
              <a:solidFill>
                <a:srgbClr val="F6D48C"/>
              </a:solidFill>
              <a:ln>
                <a:noFill/>
                <a:prstDash val="solid"/>
              </a:ln>
            </spPr>
          </dPt>
          <dPt>
            <idx val="81"/>
            <invertIfNegative val="0"/>
            <spPr>
              <a:solidFill>
                <a:srgbClr val="F6D48C"/>
              </a:solidFill>
              <a:ln>
                <a:noFill/>
                <a:prstDash val="solid"/>
              </a:ln>
            </spPr>
          </dPt>
          <dPt>
            <idx val="82"/>
            <invertIfNegative val="0"/>
            <spPr>
              <a:solidFill>
                <a:srgbClr val="F6D48C"/>
              </a:solidFill>
              <a:ln>
                <a:noFill/>
                <a:prstDash val="solid"/>
              </a:ln>
            </spPr>
          </dPt>
          <dPt>
            <idx val="83"/>
            <invertIfNegative val="0"/>
            <spPr>
              <a:solidFill>
                <a:srgbClr val="F6D48C"/>
              </a:solidFill>
              <a:ln>
                <a:noFill/>
                <a:prstDash val="solid"/>
              </a:ln>
            </spPr>
          </dPt>
          <dPt>
            <idx val="84"/>
            <invertIfNegative val="0"/>
            <spPr>
              <a:solidFill>
                <a:srgbClr val="F6D48C"/>
              </a:solidFill>
              <a:ln>
                <a:noFill/>
                <a:prstDash val="solid"/>
              </a:ln>
            </spPr>
          </dPt>
          <dPt>
            <idx val="85"/>
            <invertIfNegative val="0"/>
            <spPr>
              <a:solidFill>
                <a:srgbClr val="F6D48C"/>
              </a:solidFill>
              <a:ln>
                <a:noFill/>
                <a:prstDash val="solid"/>
              </a:ln>
            </spPr>
          </dPt>
          <dPt>
            <idx val="86"/>
            <invertIfNegative val="0"/>
            <spPr>
              <a:solidFill>
                <a:srgbClr val="F6D48C"/>
              </a:solidFill>
              <a:ln>
                <a:noFill/>
                <a:prstDash val="solid"/>
              </a:ln>
            </spPr>
          </dPt>
          <dPt>
            <idx val="87"/>
            <invertIfNegative val="0"/>
            <spPr>
              <a:solidFill>
                <a:srgbClr val="F6D48C"/>
              </a:solidFill>
              <a:ln>
                <a:noFill/>
                <a:prstDash val="solid"/>
              </a:ln>
            </spPr>
          </dPt>
          <dPt>
            <idx val="88"/>
            <invertIfNegative val="0"/>
            <spPr>
              <a:solidFill>
                <a:srgbClr val="F6D48C"/>
              </a:solidFill>
              <a:ln>
                <a:noFill/>
                <a:prstDash val="solid"/>
              </a:ln>
            </spPr>
          </dPt>
          <dPt>
            <idx val="89"/>
            <invertIfNegative val="0"/>
            <spPr>
              <a:solidFill>
                <a:srgbClr val="F6D48C"/>
              </a:solidFill>
              <a:ln>
                <a:noFill/>
                <a:prstDash val="solid"/>
              </a:ln>
            </spPr>
          </dPt>
          <dPt>
            <idx val="90"/>
            <invertIfNegative val="0"/>
            <spPr>
              <a:solidFill>
                <a:srgbClr val="F6D48C"/>
              </a:solidFill>
              <a:ln>
                <a:noFill/>
                <a:prstDash val="solid"/>
              </a:ln>
            </spPr>
          </dPt>
          <dPt>
            <idx val="91"/>
            <invertIfNegative val="0"/>
            <spPr>
              <a:solidFill>
                <a:srgbClr val="F6D48C"/>
              </a:solidFill>
              <a:ln>
                <a:noFill/>
                <a:prstDash val="solid"/>
              </a:ln>
            </spPr>
          </dPt>
          <dPt>
            <idx val="92"/>
            <invertIfNegative val="0"/>
            <spPr>
              <a:solidFill>
                <a:srgbClr val="F6D48C"/>
              </a:solidFill>
              <a:ln>
                <a:noFill/>
                <a:prstDash val="solid"/>
              </a:ln>
            </spPr>
          </dPt>
          <dPt>
            <idx val="93"/>
            <invertIfNegative val="0"/>
            <spPr>
              <a:solidFill>
                <a:srgbClr val="F6D48C"/>
              </a:solidFill>
              <a:ln>
                <a:noFill/>
                <a:prstDash val="solid"/>
              </a:ln>
            </spPr>
          </dPt>
          <dPt>
            <idx val="94"/>
            <invertIfNegative val="0"/>
            <spPr>
              <a:solidFill>
                <a:srgbClr val="F6D48C"/>
              </a:solidFill>
              <a:ln>
                <a:noFill/>
                <a:prstDash val="solid"/>
              </a:ln>
            </spPr>
          </dPt>
          <dPt>
            <idx val="95"/>
            <invertIfNegative val="0"/>
            <spPr>
              <a:solidFill>
                <a:srgbClr val="F6D48C"/>
              </a:solidFill>
              <a:ln>
                <a:noFill/>
                <a:prstDash val="solid"/>
              </a:ln>
            </spPr>
          </dPt>
          <dPt>
            <idx val="96"/>
            <invertIfNegative val="0"/>
            <spPr>
              <a:solidFill>
                <a:srgbClr val="FBECCC"/>
              </a:solidFill>
              <a:ln>
                <a:noFill/>
                <a:prstDash val="solid"/>
              </a:ln>
            </spPr>
          </dPt>
          <dPt>
            <idx val="97"/>
            <invertIfNegative val="0"/>
            <spPr>
              <a:solidFill>
                <a:srgbClr val="FBECCC"/>
              </a:solidFill>
              <a:ln>
                <a:noFill/>
                <a:prstDash val="solid"/>
              </a:ln>
            </spPr>
          </dPt>
          <dPt>
            <idx val="98"/>
            <invertIfNegative val="0"/>
            <spPr>
              <a:solidFill>
                <a:srgbClr val="FBECCC"/>
              </a:solidFill>
              <a:ln>
                <a:noFill/>
                <a:prstDash val="solid"/>
              </a:ln>
            </spPr>
          </dPt>
          <dPt>
            <idx val="99"/>
            <invertIfNegative val="0"/>
            <spPr>
              <a:solidFill>
                <a:srgbClr val="FBECCC"/>
              </a:solidFill>
              <a:ln>
                <a:noFill/>
                <a:prstDash val="solid"/>
              </a:ln>
            </spPr>
          </dPt>
          <dPt>
            <idx val="100"/>
            <invertIfNegative val="0"/>
            <spPr>
              <a:solidFill>
                <a:srgbClr val="FBECCC"/>
              </a:solidFill>
              <a:ln>
                <a:noFill/>
                <a:prstDash val="solid"/>
              </a:ln>
            </spPr>
          </dPt>
          <dPt>
            <idx val="101"/>
            <invertIfNegative val="0"/>
            <spPr>
              <a:solidFill>
                <a:srgbClr val="FBECCC"/>
              </a:solidFill>
              <a:ln>
                <a:noFill/>
                <a:prstDash val="solid"/>
              </a:ln>
            </spPr>
          </dPt>
          <dPt>
            <idx val="102"/>
            <invertIfNegative val="0"/>
            <spPr>
              <a:solidFill>
                <a:srgbClr val="FBECCC"/>
              </a:solidFill>
              <a:ln>
                <a:noFill/>
                <a:prstDash val="solid"/>
              </a:ln>
            </spPr>
          </dPt>
          <dPt>
            <idx val="103"/>
            <invertIfNegative val="0"/>
            <spPr>
              <a:solidFill>
                <a:srgbClr val="FBECCC"/>
              </a:solidFill>
              <a:ln>
                <a:noFill/>
                <a:prstDash val="solid"/>
              </a:ln>
            </spPr>
          </dPt>
          <dPt>
            <idx val="104"/>
            <invertIfNegative val="0"/>
            <spPr>
              <a:solidFill>
                <a:srgbClr val="FBECCC"/>
              </a:solidFill>
              <a:ln>
                <a:noFill/>
                <a:prstDash val="solid"/>
              </a:ln>
            </spPr>
          </dPt>
          <dPt>
            <idx val="105"/>
            <invertIfNegative val="0"/>
            <spPr>
              <a:solidFill>
                <a:srgbClr val="FBECCC"/>
              </a:solidFill>
              <a:ln>
                <a:noFill/>
                <a:prstDash val="solid"/>
              </a:ln>
            </spPr>
          </dPt>
          <dPt>
            <idx val="106"/>
            <invertIfNegative val="0"/>
            <spPr>
              <a:solidFill>
                <a:srgbClr val="FBECCC"/>
              </a:solidFill>
              <a:ln>
                <a:noFill/>
                <a:prstDash val="solid"/>
              </a:ln>
            </spPr>
          </dPt>
          <dPt>
            <idx val="107"/>
            <invertIfNegative val="0"/>
            <spPr>
              <a:solidFill>
                <a:srgbClr val="FBECCC"/>
              </a:solidFill>
              <a:ln>
                <a:noFill/>
                <a:prstDash val="solid"/>
              </a:ln>
            </spPr>
          </dPt>
          <dPt>
            <idx val="108"/>
            <invertIfNegative val="0"/>
            <spPr>
              <a:solidFill>
                <a:srgbClr val="FBECCC"/>
              </a:solidFill>
              <a:ln>
                <a:noFill/>
                <a:prstDash val="solid"/>
              </a:ln>
            </spPr>
          </dPt>
          <dPt>
            <idx val="109"/>
            <invertIfNegative val="0"/>
            <spPr>
              <a:solidFill>
                <a:srgbClr val="FBECCC"/>
              </a:solidFill>
              <a:ln>
                <a:noFill/>
                <a:prstDash val="solid"/>
              </a:ln>
            </spPr>
          </dPt>
          <dPt>
            <idx val="110"/>
            <invertIfNegative val="0"/>
            <spPr>
              <a:solidFill>
                <a:srgbClr val="FBECCC"/>
              </a:solidFill>
              <a:ln>
                <a:noFill/>
                <a:prstDash val="solid"/>
              </a:ln>
            </spPr>
          </dPt>
          <dPt>
            <idx val="111"/>
            <invertIfNegative val="0"/>
            <spPr>
              <a:solidFill>
                <a:srgbClr val="FBECCC"/>
              </a:solidFill>
              <a:ln>
                <a:noFill/>
                <a:prstDash val="solid"/>
              </a:ln>
            </spPr>
          </dPt>
          <dPt>
            <idx val="112"/>
            <invertIfNegative val="0"/>
            <spPr>
              <a:solidFill>
                <a:srgbClr val="FBECCC"/>
              </a:solidFill>
              <a:ln>
                <a:noFill/>
                <a:prstDash val="solid"/>
              </a:ln>
            </spPr>
          </dPt>
          <dPt>
            <idx val="113"/>
            <invertIfNegative val="0"/>
            <spPr>
              <a:solidFill>
                <a:srgbClr val="FBECCC"/>
              </a:solidFill>
              <a:ln>
                <a:noFill/>
                <a:prstDash val="solid"/>
              </a:ln>
            </spPr>
          </dPt>
          <dPt>
            <idx val="114"/>
            <invertIfNegative val="0"/>
            <spPr>
              <a:solidFill>
                <a:srgbClr val="FBECCC"/>
              </a:solidFill>
              <a:ln>
                <a:noFill/>
                <a:prstDash val="solid"/>
              </a:ln>
            </spPr>
          </dPt>
          <dPt>
            <idx val="115"/>
            <invertIfNegative val="0"/>
            <spPr>
              <a:solidFill>
                <a:srgbClr val="FBECCC"/>
              </a:solidFill>
              <a:ln>
                <a:noFill/>
                <a:prstDash val="solid"/>
              </a:ln>
            </spPr>
          </dPt>
          <dPt>
            <idx val="116"/>
            <invertIfNegative val="0"/>
            <spPr>
              <a:solidFill>
                <a:srgbClr val="FBECCC"/>
              </a:solidFill>
              <a:ln>
                <a:noFill/>
                <a:prstDash val="solid"/>
              </a:ln>
            </spPr>
          </dPt>
          <dPt>
            <idx val="117"/>
            <invertIfNegative val="0"/>
            <spPr>
              <a:solidFill>
                <a:srgbClr val="FBECCC"/>
              </a:solidFill>
              <a:ln>
                <a:noFill/>
                <a:prstDash val="solid"/>
              </a:ln>
            </spPr>
          </dPt>
          <dPt>
            <idx val="118"/>
            <invertIfNegative val="0"/>
            <spPr>
              <a:solidFill>
                <a:srgbClr val="FBECCC"/>
              </a:solidFill>
              <a:ln>
                <a:noFill/>
                <a:prstDash val="solid"/>
              </a:ln>
            </spPr>
          </dPt>
          <dPt>
            <idx val="119"/>
            <invertIfNegative val="0"/>
            <spPr>
              <a:solidFill>
                <a:srgbClr val="FBECCC"/>
              </a:solidFill>
              <a:ln>
                <a:noFill/>
                <a:prstDash val="solid"/>
              </a:ln>
            </spPr>
          </dPt>
          <dPt>
            <idx val="120"/>
            <invertIfNegative val="0"/>
            <spPr>
              <a:solidFill>
                <a:srgbClr val="FBECCC"/>
              </a:solidFill>
              <a:ln>
                <a:noFill/>
                <a:prstDash val="solid"/>
              </a:ln>
            </spPr>
          </dPt>
          <dPt>
            <idx val="121"/>
            <invertIfNegative val="0"/>
            <spPr>
              <a:solidFill>
                <a:srgbClr val="FBECCC"/>
              </a:solidFill>
              <a:ln>
                <a:noFill/>
                <a:prstDash val="solid"/>
              </a:ln>
            </spPr>
          </dPt>
          <dPt>
            <idx val="122"/>
            <invertIfNegative val="0"/>
            <spPr>
              <a:solidFill>
                <a:srgbClr val="FBECCC"/>
              </a:solidFill>
              <a:ln>
                <a:noFill/>
                <a:prstDash val="solid"/>
              </a:ln>
            </spPr>
          </dPt>
          <dPt>
            <idx val="123"/>
            <invertIfNegative val="0"/>
            <spPr>
              <a:solidFill>
                <a:srgbClr val="FBECCC"/>
              </a:solidFill>
              <a:ln>
                <a:noFill/>
                <a:prstDash val="solid"/>
              </a:ln>
            </spPr>
          </dPt>
          <dPt>
            <idx val="124"/>
            <invertIfNegative val="0"/>
            <spPr>
              <a:solidFill>
                <a:srgbClr val="FBECCC"/>
              </a:solidFill>
              <a:ln>
                <a:noFill/>
                <a:prstDash val="solid"/>
              </a:ln>
            </spPr>
          </dPt>
          <dPt>
            <idx val="125"/>
            <invertIfNegative val="0"/>
            <spPr>
              <a:solidFill>
                <a:srgbClr val="FBECCC"/>
              </a:solidFill>
              <a:ln>
                <a:noFill/>
                <a:prstDash val="solid"/>
              </a:ln>
            </spPr>
          </dPt>
          <dPt>
            <idx val="126"/>
            <invertIfNegative val="0"/>
            <spPr>
              <a:solidFill>
                <a:srgbClr val="FBECCC"/>
              </a:solidFill>
              <a:ln>
                <a:noFill/>
                <a:prstDash val="solid"/>
              </a:ln>
            </spPr>
          </dPt>
          <dPt>
            <idx val="127"/>
            <invertIfNegative val="0"/>
            <spPr>
              <a:solidFill>
                <a:srgbClr val="FBECCC"/>
              </a:solidFill>
              <a:ln>
                <a:noFill/>
                <a:prstDash val="solid"/>
              </a:ln>
            </spPr>
          </dPt>
          <dPt>
            <idx val="128"/>
            <invertIfNegative val="0"/>
            <spPr>
              <a:solidFill>
                <a:srgbClr val="FBECCC"/>
              </a:solidFill>
              <a:ln>
                <a:noFill/>
                <a:prstDash val="solid"/>
              </a:ln>
            </spPr>
          </dPt>
          <dPt>
            <idx val="129"/>
            <invertIfNegative val="0"/>
            <spPr>
              <a:solidFill>
                <a:srgbClr val="FBECCC"/>
              </a:solidFill>
              <a:ln>
                <a:noFill/>
                <a:prstDash val="solid"/>
              </a:ln>
            </spPr>
          </dPt>
          <dPt>
            <idx val="130"/>
            <invertIfNegative val="0"/>
            <spPr>
              <a:solidFill>
                <a:srgbClr val="FBECCC"/>
              </a:solidFill>
              <a:ln>
                <a:noFill/>
                <a:prstDash val="solid"/>
              </a:ln>
            </spPr>
          </dPt>
          <dPt>
            <idx val="131"/>
            <invertIfNegative val="0"/>
            <spPr>
              <a:solidFill>
                <a:srgbClr val="FBECCC"/>
              </a:solidFill>
              <a:ln>
                <a:noFill/>
                <a:prstDash val="solid"/>
              </a:ln>
            </spPr>
          </dPt>
          <dPt>
            <idx val="132"/>
            <invertIfNegative val="0"/>
            <spPr>
              <a:solidFill>
                <a:srgbClr val="FBECCC"/>
              </a:solidFill>
              <a:ln>
                <a:noFill/>
                <a:prstDash val="solid"/>
              </a:ln>
            </spPr>
          </dPt>
          <dPt>
            <idx val="133"/>
            <invertIfNegative val="0"/>
            <spPr>
              <a:solidFill>
                <a:srgbClr val="FBECCC"/>
              </a:solidFill>
              <a:ln>
                <a:noFill/>
                <a:prstDash val="solid"/>
              </a:ln>
            </spPr>
          </dPt>
          <dPt>
            <idx val="134"/>
            <invertIfNegative val="0"/>
            <spPr>
              <a:solidFill>
                <a:srgbClr val="FBECCC"/>
              </a:solidFill>
              <a:ln>
                <a:noFill/>
                <a:prstDash val="solid"/>
              </a:ln>
            </spPr>
          </dPt>
          <dPt>
            <idx val="135"/>
            <invertIfNegative val="0"/>
            <spPr>
              <a:solidFill>
                <a:srgbClr val="FBECCC"/>
              </a:solidFill>
              <a:ln>
                <a:noFill/>
                <a:prstDash val="solid"/>
              </a:ln>
            </spPr>
          </dPt>
          <dPt>
            <idx val="136"/>
            <invertIfNegative val="0"/>
            <spPr>
              <a:solidFill>
                <a:srgbClr val="FBECCC"/>
              </a:solidFill>
              <a:ln>
                <a:noFill/>
                <a:prstDash val="solid"/>
              </a:ln>
            </spPr>
          </dPt>
          <dPt>
            <idx val="137"/>
            <invertIfNegative val="0"/>
            <spPr>
              <a:solidFill>
                <a:srgbClr val="FBECCC"/>
              </a:solidFill>
              <a:ln>
                <a:noFill/>
                <a:prstDash val="solid"/>
              </a:ln>
            </spPr>
          </dPt>
          <dPt>
            <idx val="138"/>
            <invertIfNegative val="0"/>
            <spPr>
              <a:solidFill>
                <a:srgbClr val="FBECCC"/>
              </a:solidFill>
              <a:ln>
                <a:noFill/>
                <a:prstDash val="solid"/>
              </a:ln>
            </spPr>
          </dPt>
          <dPt>
            <idx val="139"/>
            <invertIfNegative val="0"/>
            <spPr>
              <a:solidFill>
                <a:srgbClr val="FBECCC"/>
              </a:solidFill>
              <a:ln>
                <a:noFill/>
                <a:prstDash val="solid"/>
              </a:ln>
            </spPr>
          </dPt>
          <dPt>
            <idx val="140"/>
            <invertIfNegative val="0"/>
            <spPr>
              <a:solidFill>
                <a:srgbClr val="FBECCC"/>
              </a:solidFill>
              <a:ln>
                <a:noFill/>
                <a:prstDash val="solid"/>
              </a:ln>
            </spPr>
          </dPt>
          <dPt>
            <idx val="141"/>
            <invertIfNegative val="0"/>
            <spPr>
              <a:solidFill>
                <a:srgbClr val="FBECCC"/>
              </a:solidFill>
              <a:ln>
                <a:noFill/>
                <a:prstDash val="solid"/>
              </a:ln>
            </spPr>
          </dPt>
          <dPt>
            <idx val="142"/>
            <invertIfNegative val="0"/>
            <spPr>
              <a:solidFill>
                <a:srgbClr val="FBECCC"/>
              </a:solidFill>
              <a:ln>
                <a:noFill/>
                <a:prstDash val="solid"/>
              </a:ln>
            </spPr>
          </dPt>
          <dPt>
            <idx val="143"/>
            <invertIfNegative val="0"/>
            <spPr>
              <a:solidFill>
                <a:srgbClr val="FBECCC"/>
              </a:solidFill>
              <a:ln>
                <a:noFill/>
                <a:prstDash val="solid"/>
              </a:ln>
            </spPr>
          </dPt>
          <dPt>
            <idx val="144"/>
            <invertIfNegative val="0"/>
            <spPr>
              <a:solidFill>
                <a:srgbClr val="FBECCC"/>
              </a:solidFill>
              <a:ln>
                <a:noFill/>
                <a:prstDash val="solid"/>
              </a:ln>
            </spPr>
          </dPt>
          <dPt>
            <idx val="145"/>
            <invertIfNegative val="0"/>
            <spPr>
              <a:solidFill>
                <a:srgbClr val="FBECCC"/>
              </a:solidFill>
              <a:ln>
                <a:noFill/>
                <a:prstDash val="solid"/>
              </a:ln>
            </spPr>
          </dPt>
          <dPt>
            <idx val="146"/>
            <invertIfNegative val="0"/>
            <spPr>
              <a:solidFill>
                <a:srgbClr val="FBECCC"/>
              </a:solidFill>
              <a:ln>
                <a:noFill/>
                <a:prstDash val="solid"/>
              </a:ln>
            </spPr>
          </dPt>
          <dPt>
            <idx val="147"/>
            <invertIfNegative val="0"/>
            <spPr>
              <a:solidFill>
                <a:srgbClr val="FBECCC"/>
              </a:solidFill>
              <a:ln>
                <a:noFill/>
                <a:prstDash val="solid"/>
              </a:ln>
            </spPr>
          </dPt>
          <dPt>
            <idx val="148"/>
            <invertIfNegative val="0"/>
            <spPr>
              <a:solidFill>
                <a:srgbClr val="FBECCC"/>
              </a:solidFill>
              <a:ln>
                <a:noFill/>
                <a:prstDash val="solid"/>
              </a:ln>
            </spPr>
          </dPt>
          <dPt>
            <idx val="149"/>
            <invertIfNegative val="0"/>
            <spPr>
              <a:solidFill>
                <a:srgbClr val="FBECCC"/>
              </a:solidFill>
              <a:ln>
                <a:noFill/>
                <a:prstDash val="solid"/>
              </a:ln>
            </spPr>
          </dPt>
          <dPt>
            <idx val="150"/>
            <invertIfNegative val="0"/>
            <spPr>
              <a:solidFill>
                <a:srgbClr val="FBECCC"/>
              </a:solidFill>
              <a:ln>
                <a:noFill/>
                <a:prstDash val="solid"/>
              </a:ln>
            </spPr>
          </dPt>
          <dPt>
            <idx val="151"/>
            <invertIfNegative val="0"/>
            <spPr>
              <a:solidFill>
                <a:srgbClr val="FBECCC"/>
              </a:solidFill>
              <a:ln>
                <a:noFill/>
                <a:prstDash val="solid"/>
              </a:ln>
            </spPr>
          </dPt>
          <dPt>
            <idx val="152"/>
            <invertIfNegative val="0"/>
            <spPr>
              <a:solidFill>
                <a:srgbClr val="FBECCC"/>
              </a:solidFill>
              <a:ln>
                <a:noFill/>
                <a:prstDash val="solid"/>
              </a:ln>
            </spPr>
          </dPt>
          <dPt>
            <idx val="153"/>
            <invertIfNegative val="0"/>
            <spPr>
              <a:solidFill>
                <a:srgbClr val="FBECCC"/>
              </a:solidFill>
              <a:ln>
                <a:noFill/>
                <a:prstDash val="solid"/>
              </a:ln>
            </spPr>
          </dPt>
          <dPt>
            <idx val="154"/>
            <invertIfNegative val="0"/>
            <spPr>
              <a:solidFill>
                <a:srgbClr val="FBECCC"/>
              </a:solidFill>
              <a:ln>
                <a:noFill/>
                <a:prstDash val="solid"/>
              </a:ln>
            </spPr>
          </dPt>
          <dPt>
            <idx val="155"/>
            <invertIfNegative val="0"/>
            <spPr>
              <a:solidFill>
                <a:srgbClr val="FBECCC"/>
              </a:solidFill>
              <a:ln>
                <a:noFill/>
                <a:prstDash val="solid"/>
              </a:ln>
            </spPr>
          </dPt>
          <cat>
            <numRef>
              <f>'Chart - Texas'!$A$2:$A$157</f>
            </numRef>
          </cat>
          <val>
            <numRef>
              <f>'Chart - Texas'!$E$2:$E$157</f>
            </numRef>
          </val>
        </ser>
        <ser>
          <idx val="4"/>
          <order val="4"/>
          <tx>
            <strRef>
              <f>'Chart - Texas'!F1</f>
            </strRef>
          </tx>
          <spPr>
            <a:solidFill>
              <a:srgbClr val="E87BA4"/>
            </a:solidFill>
            <a:ln>
              <a:noFill/>
              <a:prstDash val="solid"/>
            </a:ln>
          </spPr>
          <dPt>
            <idx val="67"/>
            <invertIfNegative val="0"/>
            <spPr>
              <a:solidFill>
                <a:srgbClr val="F4C3D6"/>
              </a:solidFill>
              <a:ln>
                <a:noFill/>
                <a:prstDash val="solid"/>
              </a:ln>
            </spPr>
          </dPt>
          <dPt>
            <idx val="68"/>
            <invertIfNegative val="0"/>
            <spPr>
              <a:solidFill>
                <a:srgbClr val="F4C3D6"/>
              </a:solidFill>
              <a:ln>
                <a:noFill/>
                <a:prstDash val="solid"/>
              </a:ln>
            </spPr>
          </dPt>
          <dPt>
            <idx val="69"/>
            <invertIfNegative val="0"/>
            <spPr>
              <a:solidFill>
                <a:srgbClr val="F4C3D6"/>
              </a:solidFill>
              <a:ln>
                <a:noFill/>
                <a:prstDash val="solid"/>
              </a:ln>
            </spPr>
          </dPt>
          <dPt>
            <idx val="70"/>
            <invertIfNegative val="0"/>
            <spPr>
              <a:solidFill>
                <a:srgbClr val="F4C3D6"/>
              </a:solidFill>
              <a:ln>
                <a:noFill/>
                <a:prstDash val="solid"/>
              </a:ln>
            </spPr>
          </dPt>
          <dPt>
            <idx val="71"/>
            <invertIfNegative val="0"/>
            <spPr>
              <a:solidFill>
                <a:srgbClr val="F4C3D6"/>
              </a:solidFill>
              <a:ln>
                <a:noFill/>
                <a:prstDash val="solid"/>
              </a:ln>
            </spPr>
          </dPt>
          <dPt>
            <idx val="72"/>
            <invertIfNegative val="0"/>
            <spPr>
              <a:solidFill>
                <a:srgbClr val="F4C3D6"/>
              </a:solidFill>
              <a:ln>
                <a:noFill/>
                <a:prstDash val="solid"/>
              </a:ln>
            </spPr>
          </dPt>
          <dPt>
            <idx val="73"/>
            <invertIfNegative val="0"/>
            <spPr>
              <a:solidFill>
                <a:srgbClr val="F4C3D6"/>
              </a:solidFill>
              <a:ln>
                <a:noFill/>
                <a:prstDash val="solid"/>
              </a:ln>
            </spPr>
          </dPt>
          <dPt>
            <idx val="74"/>
            <invertIfNegative val="0"/>
            <spPr>
              <a:solidFill>
                <a:srgbClr val="F4C3D6"/>
              </a:solidFill>
              <a:ln>
                <a:noFill/>
                <a:prstDash val="solid"/>
              </a:ln>
            </spPr>
          </dPt>
          <dPt>
            <idx val="75"/>
            <invertIfNegative val="0"/>
            <spPr>
              <a:solidFill>
                <a:srgbClr val="F4C3D6"/>
              </a:solidFill>
              <a:ln>
                <a:noFill/>
                <a:prstDash val="solid"/>
              </a:ln>
            </spPr>
          </dPt>
          <dPt>
            <idx val="76"/>
            <invertIfNegative val="0"/>
            <spPr>
              <a:solidFill>
                <a:srgbClr val="F4C3D6"/>
              </a:solidFill>
              <a:ln>
                <a:noFill/>
                <a:prstDash val="solid"/>
              </a:ln>
            </spPr>
          </dPt>
          <dPt>
            <idx val="77"/>
            <invertIfNegative val="0"/>
            <spPr>
              <a:solidFill>
                <a:srgbClr val="F4C3D6"/>
              </a:solidFill>
              <a:ln>
                <a:noFill/>
                <a:prstDash val="solid"/>
              </a:ln>
            </spPr>
          </dPt>
          <dPt>
            <idx val="78"/>
            <invertIfNegative val="0"/>
            <spPr>
              <a:solidFill>
                <a:srgbClr val="F4C3D6"/>
              </a:solidFill>
              <a:ln>
                <a:noFill/>
                <a:prstDash val="solid"/>
              </a:ln>
            </spPr>
          </dPt>
          <dPt>
            <idx val="79"/>
            <invertIfNegative val="0"/>
            <spPr>
              <a:solidFill>
                <a:srgbClr val="F4C3D6"/>
              </a:solidFill>
              <a:ln>
                <a:noFill/>
                <a:prstDash val="solid"/>
              </a:ln>
            </spPr>
          </dPt>
          <dPt>
            <idx val="80"/>
            <invertIfNegative val="0"/>
            <spPr>
              <a:solidFill>
                <a:srgbClr val="F4C3D6"/>
              </a:solidFill>
              <a:ln>
                <a:noFill/>
                <a:prstDash val="solid"/>
              </a:ln>
            </spPr>
          </dPt>
          <dPt>
            <idx val="81"/>
            <invertIfNegative val="0"/>
            <spPr>
              <a:solidFill>
                <a:srgbClr val="F4C3D6"/>
              </a:solidFill>
              <a:ln>
                <a:noFill/>
                <a:prstDash val="solid"/>
              </a:ln>
            </spPr>
          </dPt>
          <dPt>
            <idx val="82"/>
            <invertIfNegative val="0"/>
            <spPr>
              <a:solidFill>
                <a:srgbClr val="F4C3D6"/>
              </a:solidFill>
              <a:ln>
                <a:noFill/>
                <a:prstDash val="solid"/>
              </a:ln>
            </spPr>
          </dPt>
          <dPt>
            <idx val="83"/>
            <invertIfNegative val="0"/>
            <spPr>
              <a:solidFill>
                <a:srgbClr val="F4C3D6"/>
              </a:solidFill>
              <a:ln>
                <a:noFill/>
                <a:prstDash val="solid"/>
              </a:ln>
            </spPr>
          </dPt>
          <dPt>
            <idx val="84"/>
            <invertIfNegative val="0"/>
            <spPr>
              <a:solidFill>
                <a:srgbClr val="F4C3D6"/>
              </a:solidFill>
              <a:ln>
                <a:noFill/>
                <a:prstDash val="solid"/>
              </a:ln>
            </spPr>
          </dPt>
          <dPt>
            <idx val="85"/>
            <invertIfNegative val="0"/>
            <spPr>
              <a:solidFill>
                <a:srgbClr val="F4C3D6"/>
              </a:solidFill>
              <a:ln>
                <a:noFill/>
                <a:prstDash val="solid"/>
              </a:ln>
            </spPr>
          </dPt>
          <dPt>
            <idx val="86"/>
            <invertIfNegative val="0"/>
            <spPr>
              <a:solidFill>
                <a:srgbClr val="F4C3D6"/>
              </a:solidFill>
              <a:ln>
                <a:noFill/>
                <a:prstDash val="solid"/>
              </a:ln>
            </spPr>
          </dPt>
          <dPt>
            <idx val="87"/>
            <invertIfNegative val="0"/>
            <spPr>
              <a:solidFill>
                <a:srgbClr val="F4C3D6"/>
              </a:solidFill>
              <a:ln>
                <a:noFill/>
                <a:prstDash val="solid"/>
              </a:ln>
            </spPr>
          </dPt>
          <dPt>
            <idx val="88"/>
            <invertIfNegative val="0"/>
            <spPr>
              <a:solidFill>
                <a:srgbClr val="F4C3D6"/>
              </a:solidFill>
              <a:ln>
                <a:noFill/>
                <a:prstDash val="solid"/>
              </a:ln>
            </spPr>
          </dPt>
          <dPt>
            <idx val="89"/>
            <invertIfNegative val="0"/>
            <spPr>
              <a:solidFill>
                <a:srgbClr val="F4C3D6"/>
              </a:solidFill>
              <a:ln>
                <a:noFill/>
                <a:prstDash val="solid"/>
              </a:ln>
            </spPr>
          </dPt>
          <dPt>
            <idx val="90"/>
            <invertIfNegative val="0"/>
            <spPr>
              <a:solidFill>
                <a:srgbClr val="F4C3D6"/>
              </a:solidFill>
              <a:ln>
                <a:noFill/>
                <a:prstDash val="solid"/>
              </a:ln>
            </spPr>
          </dPt>
          <dPt>
            <idx val="91"/>
            <invertIfNegative val="0"/>
            <spPr>
              <a:solidFill>
                <a:srgbClr val="F4C3D6"/>
              </a:solidFill>
              <a:ln>
                <a:noFill/>
                <a:prstDash val="solid"/>
              </a:ln>
            </spPr>
          </dPt>
          <dPt>
            <idx val="92"/>
            <invertIfNegative val="0"/>
            <spPr>
              <a:solidFill>
                <a:srgbClr val="F4C3D6"/>
              </a:solidFill>
              <a:ln>
                <a:noFill/>
                <a:prstDash val="solid"/>
              </a:ln>
            </spPr>
          </dPt>
          <dPt>
            <idx val="93"/>
            <invertIfNegative val="0"/>
            <spPr>
              <a:solidFill>
                <a:srgbClr val="F4C3D6"/>
              </a:solidFill>
              <a:ln>
                <a:noFill/>
                <a:prstDash val="solid"/>
              </a:ln>
            </spPr>
          </dPt>
          <dPt>
            <idx val="94"/>
            <invertIfNegative val="0"/>
            <spPr>
              <a:solidFill>
                <a:srgbClr val="F4C3D6"/>
              </a:solidFill>
              <a:ln>
                <a:noFill/>
                <a:prstDash val="solid"/>
              </a:ln>
            </spPr>
          </dPt>
          <dPt>
            <idx val="95"/>
            <invertIfNegative val="0"/>
            <spPr>
              <a:solidFill>
                <a:srgbClr val="F4C3D6"/>
              </a:solidFill>
              <a:ln>
                <a:noFill/>
                <a:prstDash val="solid"/>
              </a:ln>
            </spPr>
          </dPt>
          <dPt>
            <idx val="96"/>
            <invertIfNegative val="0"/>
            <spPr>
              <a:solidFill>
                <a:srgbClr val="FAE4EC"/>
              </a:solidFill>
              <a:ln>
                <a:noFill/>
                <a:prstDash val="solid"/>
              </a:ln>
            </spPr>
          </dPt>
          <dPt>
            <idx val="97"/>
            <invertIfNegative val="0"/>
            <spPr>
              <a:solidFill>
                <a:srgbClr val="FAE4EC"/>
              </a:solidFill>
              <a:ln>
                <a:noFill/>
                <a:prstDash val="solid"/>
              </a:ln>
            </spPr>
          </dPt>
          <dPt>
            <idx val="98"/>
            <invertIfNegative val="0"/>
            <spPr>
              <a:solidFill>
                <a:srgbClr val="FAE4EC"/>
              </a:solidFill>
              <a:ln>
                <a:noFill/>
                <a:prstDash val="solid"/>
              </a:ln>
            </spPr>
          </dPt>
          <dPt>
            <idx val="99"/>
            <invertIfNegative val="0"/>
            <spPr>
              <a:solidFill>
                <a:srgbClr val="FAE4EC"/>
              </a:solidFill>
              <a:ln>
                <a:noFill/>
                <a:prstDash val="solid"/>
              </a:ln>
            </spPr>
          </dPt>
          <dPt>
            <idx val="100"/>
            <invertIfNegative val="0"/>
            <spPr>
              <a:solidFill>
                <a:srgbClr val="FAE4EC"/>
              </a:solidFill>
              <a:ln>
                <a:noFill/>
                <a:prstDash val="solid"/>
              </a:ln>
            </spPr>
          </dPt>
          <dPt>
            <idx val="101"/>
            <invertIfNegative val="0"/>
            <spPr>
              <a:solidFill>
                <a:srgbClr val="FAE4EC"/>
              </a:solidFill>
              <a:ln>
                <a:noFill/>
                <a:prstDash val="solid"/>
              </a:ln>
            </spPr>
          </dPt>
          <dPt>
            <idx val="102"/>
            <invertIfNegative val="0"/>
            <spPr>
              <a:solidFill>
                <a:srgbClr val="FAE4EC"/>
              </a:solidFill>
              <a:ln>
                <a:noFill/>
                <a:prstDash val="solid"/>
              </a:ln>
            </spPr>
          </dPt>
          <dPt>
            <idx val="103"/>
            <invertIfNegative val="0"/>
            <spPr>
              <a:solidFill>
                <a:srgbClr val="FAE4EC"/>
              </a:solidFill>
              <a:ln>
                <a:noFill/>
                <a:prstDash val="solid"/>
              </a:ln>
            </spPr>
          </dPt>
          <dPt>
            <idx val="104"/>
            <invertIfNegative val="0"/>
            <spPr>
              <a:solidFill>
                <a:srgbClr val="FAE4EC"/>
              </a:solidFill>
              <a:ln>
                <a:noFill/>
                <a:prstDash val="solid"/>
              </a:ln>
            </spPr>
          </dPt>
          <dPt>
            <idx val="105"/>
            <invertIfNegative val="0"/>
            <spPr>
              <a:solidFill>
                <a:srgbClr val="FAE4EC"/>
              </a:solidFill>
              <a:ln>
                <a:noFill/>
                <a:prstDash val="solid"/>
              </a:ln>
            </spPr>
          </dPt>
          <dPt>
            <idx val="106"/>
            <invertIfNegative val="0"/>
            <spPr>
              <a:solidFill>
                <a:srgbClr val="FAE4EC"/>
              </a:solidFill>
              <a:ln>
                <a:noFill/>
                <a:prstDash val="solid"/>
              </a:ln>
            </spPr>
          </dPt>
          <dPt>
            <idx val="107"/>
            <invertIfNegative val="0"/>
            <spPr>
              <a:solidFill>
                <a:srgbClr val="FAE4EC"/>
              </a:solidFill>
              <a:ln>
                <a:noFill/>
                <a:prstDash val="solid"/>
              </a:ln>
            </spPr>
          </dPt>
          <dPt>
            <idx val="108"/>
            <invertIfNegative val="0"/>
            <spPr>
              <a:solidFill>
                <a:srgbClr val="FAE4EC"/>
              </a:solidFill>
              <a:ln>
                <a:noFill/>
                <a:prstDash val="solid"/>
              </a:ln>
            </spPr>
          </dPt>
          <dPt>
            <idx val="109"/>
            <invertIfNegative val="0"/>
            <spPr>
              <a:solidFill>
                <a:srgbClr val="FAE4EC"/>
              </a:solidFill>
              <a:ln>
                <a:noFill/>
                <a:prstDash val="solid"/>
              </a:ln>
            </spPr>
          </dPt>
          <dPt>
            <idx val="110"/>
            <invertIfNegative val="0"/>
            <spPr>
              <a:solidFill>
                <a:srgbClr val="FAE4EC"/>
              </a:solidFill>
              <a:ln>
                <a:noFill/>
                <a:prstDash val="solid"/>
              </a:ln>
            </spPr>
          </dPt>
          <dPt>
            <idx val="111"/>
            <invertIfNegative val="0"/>
            <spPr>
              <a:solidFill>
                <a:srgbClr val="FAE4EC"/>
              </a:solidFill>
              <a:ln>
                <a:noFill/>
                <a:prstDash val="solid"/>
              </a:ln>
            </spPr>
          </dPt>
          <dPt>
            <idx val="112"/>
            <invertIfNegative val="0"/>
            <spPr>
              <a:solidFill>
                <a:srgbClr val="FAE4EC"/>
              </a:solidFill>
              <a:ln>
                <a:noFill/>
                <a:prstDash val="solid"/>
              </a:ln>
            </spPr>
          </dPt>
          <dPt>
            <idx val="113"/>
            <invertIfNegative val="0"/>
            <spPr>
              <a:solidFill>
                <a:srgbClr val="FAE4EC"/>
              </a:solidFill>
              <a:ln>
                <a:noFill/>
                <a:prstDash val="solid"/>
              </a:ln>
            </spPr>
          </dPt>
          <dPt>
            <idx val="114"/>
            <invertIfNegative val="0"/>
            <spPr>
              <a:solidFill>
                <a:srgbClr val="FAE4EC"/>
              </a:solidFill>
              <a:ln>
                <a:noFill/>
                <a:prstDash val="solid"/>
              </a:ln>
            </spPr>
          </dPt>
          <dPt>
            <idx val="115"/>
            <invertIfNegative val="0"/>
            <spPr>
              <a:solidFill>
                <a:srgbClr val="FAE4EC"/>
              </a:solidFill>
              <a:ln>
                <a:noFill/>
                <a:prstDash val="solid"/>
              </a:ln>
            </spPr>
          </dPt>
          <dPt>
            <idx val="116"/>
            <invertIfNegative val="0"/>
            <spPr>
              <a:solidFill>
                <a:srgbClr val="FAE4EC"/>
              </a:solidFill>
              <a:ln>
                <a:noFill/>
                <a:prstDash val="solid"/>
              </a:ln>
            </spPr>
          </dPt>
          <dPt>
            <idx val="117"/>
            <invertIfNegative val="0"/>
            <spPr>
              <a:solidFill>
                <a:srgbClr val="FAE4EC"/>
              </a:solidFill>
              <a:ln>
                <a:noFill/>
                <a:prstDash val="solid"/>
              </a:ln>
            </spPr>
          </dPt>
          <dPt>
            <idx val="118"/>
            <invertIfNegative val="0"/>
            <spPr>
              <a:solidFill>
                <a:srgbClr val="FAE4EC"/>
              </a:solidFill>
              <a:ln>
                <a:noFill/>
                <a:prstDash val="solid"/>
              </a:ln>
            </spPr>
          </dPt>
          <dPt>
            <idx val="119"/>
            <invertIfNegative val="0"/>
            <spPr>
              <a:solidFill>
                <a:srgbClr val="FAE4EC"/>
              </a:solidFill>
              <a:ln>
                <a:noFill/>
                <a:prstDash val="solid"/>
              </a:ln>
            </spPr>
          </dPt>
          <dPt>
            <idx val="120"/>
            <invertIfNegative val="0"/>
            <spPr>
              <a:solidFill>
                <a:srgbClr val="FAE4EC"/>
              </a:solidFill>
              <a:ln>
                <a:noFill/>
                <a:prstDash val="solid"/>
              </a:ln>
            </spPr>
          </dPt>
          <dPt>
            <idx val="121"/>
            <invertIfNegative val="0"/>
            <spPr>
              <a:solidFill>
                <a:srgbClr val="FAE4EC"/>
              </a:solidFill>
              <a:ln>
                <a:noFill/>
                <a:prstDash val="solid"/>
              </a:ln>
            </spPr>
          </dPt>
          <dPt>
            <idx val="122"/>
            <invertIfNegative val="0"/>
            <spPr>
              <a:solidFill>
                <a:srgbClr val="FAE4EC"/>
              </a:solidFill>
              <a:ln>
                <a:noFill/>
                <a:prstDash val="solid"/>
              </a:ln>
            </spPr>
          </dPt>
          <dPt>
            <idx val="123"/>
            <invertIfNegative val="0"/>
            <spPr>
              <a:solidFill>
                <a:srgbClr val="FAE4EC"/>
              </a:solidFill>
              <a:ln>
                <a:noFill/>
                <a:prstDash val="solid"/>
              </a:ln>
            </spPr>
          </dPt>
          <dPt>
            <idx val="124"/>
            <invertIfNegative val="0"/>
            <spPr>
              <a:solidFill>
                <a:srgbClr val="FAE4EC"/>
              </a:solidFill>
              <a:ln>
                <a:noFill/>
                <a:prstDash val="solid"/>
              </a:ln>
            </spPr>
          </dPt>
          <dPt>
            <idx val="125"/>
            <invertIfNegative val="0"/>
            <spPr>
              <a:solidFill>
                <a:srgbClr val="FAE4EC"/>
              </a:solidFill>
              <a:ln>
                <a:noFill/>
                <a:prstDash val="solid"/>
              </a:ln>
            </spPr>
          </dPt>
          <dPt>
            <idx val="126"/>
            <invertIfNegative val="0"/>
            <spPr>
              <a:solidFill>
                <a:srgbClr val="FAE4EC"/>
              </a:solidFill>
              <a:ln>
                <a:noFill/>
                <a:prstDash val="solid"/>
              </a:ln>
            </spPr>
          </dPt>
          <dPt>
            <idx val="127"/>
            <invertIfNegative val="0"/>
            <spPr>
              <a:solidFill>
                <a:srgbClr val="FAE4EC"/>
              </a:solidFill>
              <a:ln>
                <a:noFill/>
                <a:prstDash val="solid"/>
              </a:ln>
            </spPr>
          </dPt>
          <dPt>
            <idx val="128"/>
            <invertIfNegative val="0"/>
            <spPr>
              <a:solidFill>
                <a:srgbClr val="FAE4EC"/>
              </a:solidFill>
              <a:ln>
                <a:noFill/>
                <a:prstDash val="solid"/>
              </a:ln>
            </spPr>
          </dPt>
          <dPt>
            <idx val="129"/>
            <invertIfNegative val="0"/>
            <spPr>
              <a:solidFill>
                <a:srgbClr val="FAE4EC"/>
              </a:solidFill>
              <a:ln>
                <a:noFill/>
                <a:prstDash val="solid"/>
              </a:ln>
            </spPr>
          </dPt>
          <dPt>
            <idx val="130"/>
            <invertIfNegative val="0"/>
            <spPr>
              <a:solidFill>
                <a:srgbClr val="FAE4EC"/>
              </a:solidFill>
              <a:ln>
                <a:noFill/>
                <a:prstDash val="solid"/>
              </a:ln>
            </spPr>
          </dPt>
          <dPt>
            <idx val="131"/>
            <invertIfNegative val="0"/>
            <spPr>
              <a:solidFill>
                <a:srgbClr val="FAE4EC"/>
              </a:solidFill>
              <a:ln>
                <a:noFill/>
                <a:prstDash val="solid"/>
              </a:ln>
            </spPr>
          </dPt>
          <dPt>
            <idx val="132"/>
            <invertIfNegative val="0"/>
            <spPr>
              <a:solidFill>
                <a:srgbClr val="FAE4EC"/>
              </a:solidFill>
              <a:ln>
                <a:noFill/>
                <a:prstDash val="solid"/>
              </a:ln>
            </spPr>
          </dPt>
          <dPt>
            <idx val="133"/>
            <invertIfNegative val="0"/>
            <spPr>
              <a:solidFill>
                <a:srgbClr val="FAE4EC"/>
              </a:solidFill>
              <a:ln>
                <a:noFill/>
                <a:prstDash val="solid"/>
              </a:ln>
            </spPr>
          </dPt>
          <dPt>
            <idx val="134"/>
            <invertIfNegative val="0"/>
            <spPr>
              <a:solidFill>
                <a:srgbClr val="FAE4EC"/>
              </a:solidFill>
              <a:ln>
                <a:noFill/>
                <a:prstDash val="solid"/>
              </a:ln>
            </spPr>
          </dPt>
          <dPt>
            <idx val="135"/>
            <invertIfNegative val="0"/>
            <spPr>
              <a:solidFill>
                <a:srgbClr val="FAE4EC"/>
              </a:solidFill>
              <a:ln>
                <a:noFill/>
                <a:prstDash val="solid"/>
              </a:ln>
            </spPr>
          </dPt>
          <dPt>
            <idx val="136"/>
            <invertIfNegative val="0"/>
            <spPr>
              <a:solidFill>
                <a:srgbClr val="FAE4EC"/>
              </a:solidFill>
              <a:ln>
                <a:noFill/>
                <a:prstDash val="solid"/>
              </a:ln>
            </spPr>
          </dPt>
          <dPt>
            <idx val="137"/>
            <invertIfNegative val="0"/>
            <spPr>
              <a:solidFill>
                <a:srgbClr val="FAE4EC"/>
              </a:solidFill>
              <a:ln>
                <a:noFill/>
                <a:prstDash val="solid"/>
              </a:ln>
            </spPr>
          </dPt>
          <dPt>
            <idx val="138"/>
            <invertIfNegative val="0"/>
            <spPr>
              <a:solidFill>
                <a:srgbClr val="FAE4EC"/>
              </a:solidFill>
              <a:ln>
                <a:noFill/>
                <a:prstDash val="solid"/>
              </a:ln>
            </spPr>
          </dPt>
          <dPt>
            <idx val="139"/>
            <invertIfNegative val="0"/>
            <spPr>
              <a:solidFill>
                <a:srgbClr val="FAE4EC"/>
              </a:solidFill>
              <a:ln>
                <a:noFill/>
                <a:prstDash val="solid"/>
              </a:ln>
            </spPr>
          </dPt>
          <dPt>
            <idx val="140"/>
            <invertIfNegative val="0"/>
            <spPr>
              <a:solidFill>
                <a:srgbClr val="FAE4EC"/>
              </a:solidFill>
              <a:ln>
                <a:noFill/>
                <a:prstDash val="solid"/>
              </a:ln>
            </spPr>
          </dPt>
          <dPt>
            <idx val="141"/>
            <invertIfNegative val="0"/>
            <spPr>
              <a:solidFill>
                <a:srgbClr val="FAE4EC"/>
              </a:solidFill>
              <a:ln>
                <a:noFill/>
                <a:prstDash val="solid"/>
              </a:ln>
            </spPr>
          </dPt>
          <dPt>
            <idx val="142"/>
            <invertIfNegative val="0"/>
            <spPr>
              <a:solidFill>
                <a:srgbClr val="FAE4EC"/>
              </a:solidFill>
              <a:ln>
                <a:noFill/>
                <a:prstDash val="solid"/>
              </a:ln>
            </spPr>
          </dPt>
          <dPt>
            <idx val="143"/>
            <invertIfNegative val="0"/>
            <spPr>
              <a:solidFill>
                <a:srgbClr val="FAE4EC"/>
              </a:solidFill>
              <a:ln>
                <a:noFill/>
                <a:prstDash val="solid"/>
              </a:ln>
            </spPr>
          </dPt>
          <dPt>
            <idx val="144"/>
            <invertIfNegative val="0"/>
            <spPr>
              <a:solidFill>
                <a:srgbClr val="FAE4EC"/>
              </a:solidFill>
              <a:ln>
                <a:noFill/>
                <a:prstDash val="solid"/>
              </a:ln>
            </spPr>
          </dPt>
          <dPt>
            <idx val="145"/>
            <invertIfNegative val="0"/>
            <spPr>
              <a:solidFill>
                <a:srgbClr val="FAE4EC"/>
              </a:solidFill>
              <a:ln>
                <a:noFill/>
                <a:prstDash val="solid"/>
              </a:ln>
            </spPr>
          </dPt>
          <dPt>
            <idx val="146"/>
            <invertIfNegative val="0"/>
            <spPr>
              <a:solidFill>
                <a:srgbClr val="FAE4EC"/>
              </a:solidFill>
              <a:ln>
                <a:noFill/>
                <a:prstDash val="solid"/>
              </a:ln>
            </spPr>
          </dPt>
          <dPt>
            <idx val="147"/>
            <invertIfNegative val="0"/>
            <spPr>
              <a:solidFill>
                <a:srgbClr val="FAE4EC"/>
              </a:solidFill>
              <a:ln>
                <a:noFill/>
                <a:prstDash val="solid"/>
              </a:ln>
            </spPr>
          </dPt>
          <dPt>
            <idx val="148"/>
            <invertIfNegative val="0"/>
            <spPr>
              <a:solidFill>
                <a:srgbClr val="FAE4EC"/>
              </a:solidFill>
              <a:ln>
                <a:noFill/>
                <a:prstDash val="solid"/>
              </a:ln>
            </spPr>
          </dPt>
          <dPt>
            <idx val="149"/>
            <invertIfNegative val="0"/>
            <spPr>
              <a:solidFill>
                <a:srgbClr val="FAE4EC"/>
              </a:solidFill>
              <a:ln>
                <a:noFill/>
                <a:prstDash val="solid"/>
              </a:ln>
            </spPr>
          </dPt>
          <dPt>
            <idx val="150"/>
            <invertIfNegative val="0"/>
            <spPr>
              <a:solidFill>
                <a:srgbClr val="FAE4EC"/>
              </a:solidFill>
              <a:ln>
                <a:noFill/>
                <a:prstDash val="solid"/>
              </a:ln>
            </spPr>
          </dPt>
          <dPt>
            <idx val="151"/>
            <invertIfNegative val="0"/>
            <spPr>
              <a:solidFill>
                <a:srgbClr val="FAE4EC"/>
              </a:solidFill>
              <a:ln>
                <a:noFill/>
                <a:prstDash val="solid"/>
              </a:ln>
            </spPr>
          </dPt>
          <dPt>
            <idx val="152"/>
            <invertIfNegative val="0"/>
            <spPr>
              <a:solidFill>
                <a:srgbClr val="FAE4EC"/>
              </a:solidFill>
              <a:ln>
                <a:noFill/>
                <a:prstDash val="solid"/>
              </a:ln>
            </spPr>
          </dPt>
          <dPt>
            <idx val="153"/>
            <invertIfNegative val="0"/>
            <spPr>
              <a:solidFill>
                <a:srgbClr val="FAE4EC"/>
              </a:solidFill>
              <a:ln>
                <a:noFill/>
                <a:prstDash val="solid"/>
              </a:ln>
            </spPr>
          </dPt>
          <dPt>
            <idx val="154"/>
            <invertIfNegative val="0"/>
            <spPr>
              <a:solidFill>
                <a:srgbClr val="FAE4EC"/>
              </a:solidFill>
              <a:ln>
                <a:noFill/>
                <a:prstDash val="solid"/>
              </a:ln>
            </spPr>
          </dPt>
          <dPt>
            <idx val="155"/>
            <invertIfNegative val="0"/>
            <spPr>
              <a:solidFill>
                <a:srgbClr val="FAE4EC"/>
              </a:solidFill>
              <a:ln>
                <a:noFill/>
                <a:prstDash val="solid"/>
              </a:ln>
            </spPr>
          </dPt>
          <cat>
            <numRef>
              <f>'Chart - Texas'!$A$2:$A$157</f>
            </numRef>
          </cat>
          <val>
            <numRef>
              <f>'Chart - Texas'!$F$2:$F$157</f>
            </numRef>
          </val>
        </ser>
        <ser>
          <idx val="5"/>
          <order val="5"/>
          <tx>
            <strRef>
              <f>'Chart - Texas'!G1</f>
            </strRef>
          </tx>
          <spPr>
            <a:solidFill>
              <a:srgbClr val="008300"/>
            </a:solidFill>
            <a:ln>
              <a:noFill/>
              <a:prstDash val="solid"/>
            </a:ln>
          </spPr>
          <dPt>
            <idx val="67"/>
            <invertIfNegative val="0"/>
            <spPr>
              <a:solidFill>
                <a:srgbClr val="8CC78C"/>
              </a:solidFill>
              <a:ln>
                <a:noFill/>
                <a:prstDash val="solid"/>
              </a:ln>
            </spPr>
          </dPt>
          <dPt>
            <idx val="68"/>
            <invertIfNegative val="0"/>
            <spPr>
              <a:solidFill>
                <a:srgbClr val="8CC78C"/>
              </a:solidFill>
              <a:ln>
                <a:noFill/>
                <a:prstDash val="solid"/>
              </a:ln>
            </spPr>
          </dPt>
          <dPt>
            <idx val="69"/>
            <invertIfNegative val="0"/>
            <spPr>
              <a:solidFill>
                <a:srgbClr val="8CC78C"/>
              </a:solidFill>
              <a:ln>
                <a:noFill/>
                <a:prstDash val="solid"/>
              </a:ln>
            </spPr>
          </dPt>
          <dPt>
            <idx val="70"/>
            <invertIfNegative val="0"/>
            <spPr>
              <a:solidFill>
                <a:srgbClr val="8CC78C"/>
              </a:solidFill>
              <a:ln>
                <a:noFill/>
                <a:prstDash val="solid"/>
              </a:ln>
            </spPr>
          </dPt>
          <dPt>
            <idx val="71"/>
            <invertIfNegative val="0"/>
            <spPr>
              <a:solidFill>
                <a:srgbClr val="8CC78C"/>
              </a:solidFill>
              <a:ln>
                <a:noFill/>
                <a:prstDash val="solid"/>
              </a:ln>
            </spPr>
          </dPt>
          <dPt>
            <idx val="72"/>
            <invertIfNegative val="0"/>
            <spPr>
              <a:solidFill>
                <a:srgbClr val="8CC78C"/>
              </a:solidFill>
              <a:ln>
                <a:noFill/>
                <a:prstDash val="solid"/>
              </a:ln>
            </spPr>
          </dPt>
          <dPt>
            <idx val="73"/>
            <invertIfNegative val="0"/>
            <spPr>
              <a:solidFill>
                <a:srgbClr val="8CC78C"/>
              </a:solidFill>
              <a:ln>
                <a:noFill/>
                <a:prstDash val="solid"/>
              </a:ln>
            </spPr>
          </dPt>
          <dPt>
            <idx val="74"/>
            <invertIfNegative val="0"/>
            <spPr>
              <a:solidFill>
                <a:srgbClr val="8CC78C"/>
              </a:solidFill>
              <a:ln>
                <a:noFill/>
                <a:prstDash val="solid"/>
              </a:ln>
            </spPr>
          </dPt>
          <dPt>
            <idx val="75"/>
            <invertIfNegative val="0"/>
            <spPr>
              <a:solidFill>
                <a:srgbClr val="8CC78C"/>
              </a:solidFill>
              <a:ln>
                <a:noFill/>
                <a:prstDash val="solid"/>
              </a:ln>
            </spPr>
          </dPt>
          <dPt>
            <idx val="76"/>
            <invertIfNegative val="0"/>
            <spPr>
              <a:solidFill>
                <a:srgbClr val="8CC78C"/>
              </a:solidFill>
              <a:ln>
                <a:noFill/>
                <a:prstDash val="solid"/>
              </a:ln>
            </spPr>
          </dPt>
          <dPt>
            <idx val="77"/>
            <invertIfNegative val="0"/>
            <spPr>
              <a:solidFill>
                <a:srgbClr val="8CC78C"/>
              </a:solidFill>
              <a:ln>
                <a:noFill/>
                <a:prstDash val="solid"/>
              </a:ln>
            </spPr>
          </dPt>
          <dPt>
            <idx val="78"/>
            <invertIfNegative val="0"/>
            <spPr>
              <a:solidFill>
                <a:srgbClr val="8CC78C"/>
              </a:solidFill>
              <a:ln>
                <a:noFill/>
                <a:prstDash val="solid"/>
              </a:ln>
            </spPr>
          </dPt>
          <dPt>
            <idx val="79"/>
            <invertIfNegative val="0"/>
            <spPr>
              <a:solidFill>
                <a:srgbClr val="8CC78C"/>
              </a:solidFill>
              <a:ln>
                <a:noFill/>
                <a:prstDash val="solid"/>
              </a:ln>
            </spPr>
          </dPt>
          <dPt>
            <idx val="80"/>
            <invertIfNegative val="0"/>
            <spPr>
              <a:solidFill>
                <a:srgbClr val="8CC78C"/>
              </a:solidFill>
              <a:ln>
                <a:noFill/>
                <a:prstDash val="solid"/>
              </a:ln>
            </spPr>
          </dPt>
          <dPt>
            <idx val="81"/>
            <invertIfNegative val="0"/>
            <spPr>
              <a:solidFill>
                <a:srgbClr val="8CC78C"/>
              </a:solidFill>
              <a:ln>
                <a:noFill/>
                <a:prstDash val="solid"/>
              </a:ln>
            </spPr>
          </dPt>
          <dPt>
            <idx val="82"/>
            <invertIfNegative val="0"/>
            <spPr>
              <a:solidFill>
                <a:srgbClr val="8CC78C"/>
              </a:solidFill>
              <a:ln>
                <a:noFill/>
                <a:prstDash val="solid"/>
              </a:ln>
            </spPr>
          </dPt>
          <dPt>
            <idx val="83"/>
            <invertIfNegative val="0"/>
            <spPr>
              <a:solidFill>
                <a:srgbClr val="8CC78C"/>
              </a:solidFill>
              <a:ln>
                <a:noFill/>
                <a:prstDash val="solid"/>
              </a:ln>
            </spPr>
          </dPt>
          <dPt>
            <idx val="84"/>
            <invertIfNegative val="0"/>
            <spPr>
              <a:solidFill>
                <a:srgbClr val="8CC78C"/>
              </a:solidFill>
              <a:ln>
                <a:noFill/>
                <a:prstDash val="solid"/>
              </a:ln>
            </spPr>
          </dPt>
          <dPt>
            <idx val="85"/>
            <invertIfNegative val="0"/>
            <spPr>
              <a:solidFill>
                <a:srgbClr val="8CC78C"/>
              </a:solidFill>
              <a:ln>
                <a:noFill/>
                <a:prstDash val="solid"/>
              </a:ln>
            </spPr>
          </dPt>
          <dPt>
            <idx val="86"/>
            <invertIfNegative val="0"/>
            <spPr>
              <a:solidFill>
                <a:srgbClr val="8CC78C"/>
              </a:solidFill>
              <a:ln>
                <a:noFill/>
                <a:prstDash val="solid"/>
              </a:ln>
            </spPr>
          </dPt>
          <dPt>
            <idx val="87"/>
            <invertIfNegative val="0"/>
            <spPr>
              <a:solidFill>
                <a:srgbClr val="8CC78C"/>
              </a:solidFill>
              <a:ln>
                <a:noFill/>
                <a:prstDash val="solid"/>
              </a:ln>
            </spPr>
          </dPt>
          <dPt>
            <idx val="88"/>
            <invertIfNegative val="0"/>
            <spPr>
              <a:solidFill>
                <a:srgbClr val="8CC78C"/>
              </a:solidFill>
              <a:ln>
                <a:noFill/>
                <a:prstDash val="solid"/>
              </a:ln>
            </spPr>
          </dPt>
          <dPt>
            <idx val="89"/>
            <invertIfNegative val="0"/>
            <spPr>
              <a:solidFill>
                <a:srgbClr val="8CC78C"/>
              </a:solidFill>
              <a:ln>
                <a:noFill/>
                <a:prstDash val="solid"/>
              </a:ln>
            </spPr>
          </dPt>
          <dPt>
            <idx val="90"/>
            <invertIfNegative val="0"/>
            <spPr>
              <a:solidFill>
                <a:srgbClr val="8CC78C"/>
              </a:solidFill>
              <a:ln>
                <a:noFill/>
                <a:prstDash val="solid"/>
              </a:ln>
            </spPr>
          </dPt>
          <dPt>
            <idx val="91"/>
            <invertIfNegative val="0"/>
            <spPr>
              <a:solidFill>
                <a:srgbClr val="8CC78C"/>
              </a:solidFill>
              <a:ln>
                <a:noFill/>
                <a:prstDash val="solid"/>
              </a:ln>
            </spPr>
          </dPt>
          <dPt>
            <idx val="92"/>
            <invertIfNegative val="0"/>
            <spPr>
              <a:solidFill>
                <a:srgbClr val="8CC78C"/>
              </a:solidFill>
              <a:ln>
                <a:noFill/>
                <a:prstDash val="solid"/>
              </a:ln>
            </spPr>
          </dPt>
          <dPt>
            <idx val="93"/>
            <invertIfNegative val="0"/>
            <spPr>
              <a:solidFill>
                <a:srgbClr val="8CC78C"/>
              </a:solidFill>
              <a:ln>
                <a:noFill/>
                <a:prstDash val="solid"/>
              </a:ln>
            </spPr>
          </dPt>
          <dPt>
            <idx val="94"/>
            <invertIfNegative val="0"/>
            <spPr>
              <a:solidFill>
                <a:srgbClr val="8CC78C"/>
              </a:solidFill>
              <a:ln>
                <a:noFill/>
                <a:prstDash val="solid"/>
              </a:ln>
            </spPr>
          </dPt>
          <dPt>
            <idx val="95"/>
            <invertIfNegative val="0"/>
            <spPr>
              <a:solidFill>
                <a:srgbClr val="8CC78C"/>
              </a:solidFill>
              <a:ln>
                <a:noFill/>
                <a:prstDash val="solid"/>
              </a:ln>
            </spPr>
          </dPt>
          <dPt>
            <idx val="96"/>
            <invertIfNegative val="0"/>
            <spPr>
              <a:solidFill>
                <a:srgbClr val="CCE6CC"/>
              </a:solidFill>
              <a:ln>
                <a:noFill/>
                <a:prstDash val="solid"/>
              </a:ln>
            </spPr>
          </dPt>
          <dPt>
            <idx val="97"/>
            <invertIfNegative val="0"/>
            <spPr>
              <a:solidFill>
                <a:srgbClr val="CCE6CC"/>
              </a:solidFill>
              <a:ln>
                <a:noFill/>
                <a:prstDash val="solid"/>
              </a:ln>
            </spPr>
          </dPt>
          <dPt>
            <idx val="98"/>
            <invertIfNegative val="0"/>
            <spPr>
              <a:solidFill>
                <a:srgbClr val="CCE6CC"/>
              </a:solidFill>
              <a:ln>
                <a:noFill/>
                <a:prstDash val="solid"/>
              </a:ln>
            </spPr>
          </dPt>
          <dPt>
            <idx val="99"/>
            <invertIfNegative val="0"/>
            <spPr>
              <a:solidFill>
                <a:srgbClr val="CCE6CC"/>
              </a:solidFill>
              <a:ln>
                <a:noFill/>
                <a:prstDash val="solid"/>
              </a:ln>
            </spPr>
          </dPt>
          <dPt>
            <idx val="100"/>
            <invertIfNegative val="0"/>
            <spPr>
              <a:solidFill>
                <a:srgbClr val="CCE6CC"/>
              </a:solidFill>
              <a:ln>
                <a:noFill/>
                <a:prstDash val="solid"/>
              </a:ln>
            </spPr>
          </dPt>
          <dPt>
            <idx val="101"/>
            <invertIfNegative val="0"/>
            <spPr>
              <a:solidFill>
                <a:srgbClr val="CCE6CC"/>
              </a:solidFill>
              <a:ln>
                <a:noFill/>
                <a:prstDash val="solid"/>
              </a:ln>
            </spPr>
          </dPt>
          <dPt>
            <idx val="102"/>
            <invertIfNegative val="0"/>
            <spPr>
              <a:solidFill>
                <a:srgbClr val="CCE6CC"/>
              </a:solidFill>
              <a:ln>
                <a:noFill/>
                <a:prstDash val="solid"/>
              </a:ln>
            </spPr>
          </dPt>
          <dPt>
            <idx val="103"/>
            <invertIfNegative val="0"/>
            <spPr>
              <a:solidFill>
                <a:srgbClr val="CCE6CC"/>
              </a:solidFill>
              <a:ln>
                <a:noFill/>
                <a:prstDash val="solid"/>
              </a:ln>
            </spPr>
          </dPt>
          <dPt>
            <idx val="104"/>
            <invertIfNegative val="0"/>
            <spPr>
              <a:solidFill>
                <a:srgbClr val="CCE6CC"/>
              </a:solidFill>
              <a:ln>
                <a:noFill/>
                <a:prstDash val="solid"/>
              </a:ln>
            </spPr>
          </dPt>
          <dPt>
            <idx val="105"/>
            <invertIfNegative val="0"/>
            <spPr>
              <a:solidFill>
                <a:srgbClr val="CCE6CC"/>
              </a:solidFill>
              <a:ln>
                <a:noFill/>
                <a:prstDash val="solid"/>
              </a:ln>
            </spPr>
          </dPt>
          <dPt>
            <idx val="106"/>
            <invertIfNegative val="0"/>
            <spPr>
              <a:solidFill>
                <a:srgbClr val="CCE6CC"/>
              </a:solidFill>
              <a:ln>
                <a:noFill/>
                <a:prstDash val="solid"/>
              </a:ln>
            </spPr>
          </dPt>
          <dPt>
            <idx val="107"/>
            <invertIfNegative val="0"/>
            <spPr>
              <a:solidFill>
                <a:srgbClr val="CCE6CC"/>
              </a:solidFill>
              <a:ln>
                <a:noFill/>
                <a:prstDash val="solid"/>
              </a:ln>
            </spPr>
          </dPt>
          <dPt>
            <idx val="108"/>
            <invertIfNegative val="0"/>
            <spPr>
              <a:solidFill>
                <a:srgbClr val="CCE6CC"/>
              </a:solidFill>
              <a:ln>
                <a:noFill/>
                <a:prstDash val="solid"/>
              </a:ln>
            </spPr>
          </dPt>
          <dPt>
            <idx val="109"/>
            <invertIfNegative val="0"/>
            <spPr>
              <a:solidFill>
                <a:srgbClr val="CCE6CC"/>
              </a:solidFill>
              <a:ln>
                <a:noFill/>
                <a:prstDash val="solid"/>
              </a:ln>
            </spPr>
          </dPt>
          <dPt>
            <idx val="110"/>
            <invertIfNegative val="0"/>
            <spPr>
              <a:solidFill>
                <a:srgbClr val="CCE6CC"/>
              </a:solidFill>
              <a:ln>
                <a:noFill/>
                <a:prstDash val="solid"/>
              </a:ln>
            </spPr>
          </dPt>
          <dPt>
            <idx val="111"/>
            <invertIfNegative val="0"/>
            <spPr>
              <a:solidFill>
                <a:srgbClr val="CCE6CC"/>
              </a:solidFill>
              <a:ln>
                <a:noFill/>
                <a:prstDash val="solid"/>
              </a:ln>
            </spPr>
          </dPt>
          <dPt>
            <idx val="112"/>
            <invertIfNegative val="0"/>
            <spPr>
              <a:solidFill>
                <a:srgbClr val="CCE6CC"/>
              </a:solidFill>
              <a:ln>
                <a:noFill/>
                <a:prstDash val="solid"/>
              </a:ln>
            </spPr>
          </dPt>
          <dPt>
            <idx val="113"/>
            <invertIfNegative val="0"/>
            <spPr>
              <a:solidFill>
                <a:srgbClr val="CCE6CC"/>
              </a:solidFill>
              <a:ln>
                <a:noFill/>
                <a:prstDash val="solid"/>
              </a:ln>
            </spPr>
          </dPt>
          <dPt>
            <idx val="114"/>
            <invertIfNegative val="0"/>
            <spPr>
              <a:solidFill>
                <a:srgbClr val="CCE6CC"/>
              </a:solidFill>
              <a:ln>
                <a:noFill/>
                <a:prstDash val="solid"/>
              </a:ln>
            </spPr>
          </dPt>
          <dPt>
            <idx val="115"/>
            <invertIfNegative val="0"/>
            <spPr>
              <a:solidFill>
                <a:srgbClr val="CCE6CC"/>
              </a:solidFill>
              <a:ln>
                <a:noFill/>
                <a:prstDash val="solid"/>
              </a:ln>
            </spPr>
          </dPt>
          <dPt>
            <idx val="116"/>
            <invertIfNegative val="0"/>
            <spPr>
              <a:solidFill>
                <a:srgbClr val="CCE6CC"/>
              </a:solidFill>
              <a:ln>
                <a:noFill/>
                <a:prstDash val="solid"/>
              </a:ln>
            </spPr>
          </dPt>
          <dPt>
            <idx val="117"/>
            <invertIfNegative val="0"/>
            <spPr>
              <a:solidFill>
                <a:srgbClr val="CCE6CC"/>
              </a:solidFill>
              <a:ln>
                <a:noFill/>
                <a:prstDash val="solid"/>
              </a:ln>
            </spPr>
          </dPt>
          <dPt>
            <idx val="118"/>
            <invertIfNegative val="0"/>
            <spPr>
              <a:solidFill>
                <a:srgbClr val="CCE6CC"/>
              </a:solidFill>
              <a:ln>
                <a:noFill/>
                <a:prstDash val="solid"/>
              </a:ln>
            </spPr>
          </dPt>
          <dPt>
            <idx val="119"/>
            <invertIfNegative val="0"/>
            <spPr>
              <a:solidFill>
                <a:srgbClr val="CCE6CC"/>
              </a:solidFill>
              <a:ln>
                <a:noFill/>
                <a:prstDash val="solid"/>
              </a:ln>
            </spPr>
          </dPt>
          <dPt>
            <idx val="120"/>
            <invertIfNegative val="0"/>
            <spPr>
              <a:solidFill>
                <a:srgbClr val="CCE6CC"/>
              </a:solidFill>
              <a:ln>
                <a:noFill/>
                <a:prstDash val="solid"/>
              </a:ln>
            </spPr>
          </dPt>
          <dPt>
            <idx val="121"/>
            <invertIfNegative val="0"/>
            <spPr>
              <a:solidFill>
                <a:srgbClr val="CCE6CC"/>
              </a:solidFill>
              <a:ln>
                <a:noFill/>
                <a:prstDash val="solid"/>
              </a:ln>
            </spPr>
          </dPt>
          <dPt>
            <idx val="122"/>
            <invertIfNegative val="0"/>
            <spPr>
              <a:solidFill>
                <a:srgbClr val="CCE6CC"/>
              </a:solidFill>
              <a:ln>
                <a:noFill/>
                <a:prstDash val="solid"/>
              </a:ln>
            </spPr>
          </dPt>
          <dPt>
            <idx val="123"/>
            <invertIfNegative val="0"/>
            <spPr>
              <a:solidFill>
                <a:srgbClr val="CCE6CC"/>
              </a:solidFill>
              <a:ln>
                <a:noFill/>
                <a:prstDash val="solid"/>
              </a:ln>
            </spPr>
          </dPt>
          <dPt>
            <idx val="124"/>
            <invertIfNegative val="0"/>
            <spPr>
              <a:solidFill>
                <a:srgbClr val="CCE6CC"/>
              </a:solidFill>
              <a:ln>
                <a:noFill/>
                <a:prstDash val="solid"/>
              </a:ln>
            </spPr>
          </dPt>
          <dPt>
            <idx val="125"/>
            <invertIfNegative val="0"/>
            <spPr>
              <a:solidFill>
                <a:srgbClr val="CCE6CC"/>
              </a:solidFill>
              <a:ln>
                <a:noFill/>
                <a:prstDash val="solid"/>
              </a:ln>
            </spPr>
          </dPt>
          <dPt>
            <idx val="126"/>
            <invertIfNegative val="0"/>
            <spPr>
              <a:solidFill>
                <a:srgbClr val="CCE6CC"/>
              </a:solidFill>
              <a:ln>
                <a:noFill/>
                <a:prstDash val="solid"/>
              </a:ln>
            </spPr>
          </dPt>
          <dPt>
            <idx val="127"/>
            <invertIfNegative val="0"/>
            <spPr>
              <a:solidFill>
                <a:srgbClr val="CCE6CC"/>
              </a:solidFill>
              <a:ln>
                <a:noFill/>
                <a:prstDash val="solid"/>
              </a:ln>
            </spPr>
          </dPt>
          <dPt>
            <idx val="128"/>
            <invertIfNegative val="0"/>
            <spPr>
              <a:solidFill>
                <a:srgbClr val="CCE6CC"/>
              </a:solidFill>
              <a:ln>
                <a:noFill/>
                <a:prstDash val="solid"/>
              </a:ln>
            </spPr>
          </dPt>
          <dPt>
            <idx val="129"/>
            <invertIfNegative val="0"/>
            <spPr>
              <a:solidFill>
                <a:srgbClr val="CCE6CC"/>
              </a:solidFill>
              <a:ln>
                <a:noFill/>
                <a:prstDash val="solid"/>
              </a:ln>
            </spPr>
          </dPt>
          <dPt>
            <idx val="130"/>
            <invertIfNegative val="0"/>
            <spPr>
              <a:solidFill>
                <a:srgbClr val="CCE6CC"/>
              </a:solidFill>
              <a:ln>
                <a:noFill/>
                <a:prstDash val="solid"/>
              </a:ln>
            </spPr>
          </dPt>
          <dPt>
            <idx val="131"/>
            <invertIfNegative val="0"/>
            <spPr>
              <a:solidFill>
                <a:srgbClr val="CCE6CC"/>
              </a:solidFill>
              <a:ln>
                <a:noFill/>
                <a:prstDash val="solid"/>
              </a:ln>
            </spPr>
          </dPt>
          <dPt>
            <idx val="132"/>
            <invertIfNegative val="0"/>
            <spPr>
              <a:solidFill>
                <a:srgbClr val="CCE6CC"/>
              </a:solidFill>
              <a:ln>
                <a:noFill/>
                <a:prstDash val="solid"/>
              </a:ln>
            </spPr>
          </dPt>
          <dPt>
            <idx val="133"/>
            <invertIfNegative val="0"/>
            <spPr>
              <a:solidFill>
                <a:srgbClr val="CCE6CC"/>
              </a:solidFill>
              <a:ln>
                <a:noFill/>
                <a:prstDash val="solid"/>
              </a:ln>
            </spPr>
          </dPt>
          <dPt>
            <idx val="134"/>
            <invertIfNegative val="0"/>
            <spPr>
              <a:solidFill>
                <a:srgbClr val="CCE6CC"/>
              </a:solidFill>
              <a:ln>
                <a:noFill/>
                <a:prstDash val="solid"/>
              </a:ln>
            </spPr>
          </dPt>
          <dPt>
            <idx val="135"/>
            <invertIfNegative val="0"/>
            <spPr>
              <a:solidFill>
                <a:srgbClr val="CCE6CC"/>
              </a:solidFill>
              <a:ln>
                <a:noFill/>
                <a:prstDash val="solid"/>
              </a:ln>
            </spPr>
          </dPt>
          <dPt>
            <idx val="136"/>
            <invertIfNegative val="0"/>
            <spPr>
              <a:solidFill>
                <a:srgbClr val="CCE6CC"/>
              </a:solidFill>
              <a:ln>
                <a:noFill/>
                <a:prstDash val="solid"/>
              </a:ln>
            </spPr>
          </dPt>
          <dPt>
            <idx val="137"/>
            <invertIfNegative val="0"/>
            <spPr>
              <a:solidFill>
                <a:srgbClr val="CCE6CC"/>
              </a:solidFill>
              <a:ln>
                <a:noFill/>
                <a:prstDash val="solid"/>
              </a:ln>
            </spPr>
          </dPt>
          <dPt>
            <idx val="138"/>
            <invertIfNegative val="0"/>
            <spPr>
              <a:solidFill>
                <a:srgbClr val="CCE6CC"/>
              </a:solidFill>
              <a:ln>
                <a:noFill/>
                <a:prstDash val="solid"/>
              </a:ln>
            </spPr>
          </dPt>
          <dPt>
            <idx val="139"/>
            <invertIfNegative val="0"/>
            <spPr>
              <a:solidFill>
                <a:srgbClr val="CCE6CC"/>
              </a:solidFill>
              <a:ln>
                <a:noFill/>
                <a:prstDash val="solid"/>
              </a:ln>
            </spPr>
          </dPt>
          <dPt>
            <idx val="140"/>
            <invertIfNegative val="0"/>
            <spPr>
              <a:solidFill>
                <a:srgbClr val="CCE6CC"/>
              </a:solidFill>
              <a:ln>
                <a:noFill/>
                <a:prstDash val="solid"/>
              </a:ln>
            </spPr>
          </dPt>
          <dPt>
            <idx val="141"/>
            <invertIfNegative val="0"/>
            <spPr>
              <a:solidFill>
                <a:srgbClr val="CCE6CC"/>
              </a:solidFill>
              <a:ln>
                <a:noFill/>
                <a:prstDash val="solid"/>
              </a:ln>
            </spPr>
          </dPt>
          <dPt>
            <idx val="142"/>
            <invertIfNegative val="0"/>
            <spPr>
              <a:solidFill>
                <a:srgbClr val="CCE6CC"/>
              </a:solidFill>
              <a:ln>
                <a:noFill/>
                <a:prstDash val="solid"/>
              </a:ln>
            </spPr>
          </dPt>
          <dPt>
            <idx val="143"/>
            <invertIfNegative val="0"/>
            <spPr>
              <a:solidFill>
                <a:srgbClr val="CCE6CC"/>
              </a:solidFill>
              <a:ln>
                <a:noFill/>
                <a:prstDash val="solid"/>
              </a:ln>
            </spPr>
          </dPt>
          <dPt>
            <idx val="144"/>
            <invertIfNegative val="0"/>
            <spPr>
              <a:solidFill>
                <a:srgbClr val="CCE6CC"/>
              </a:solidFill>
              <a:ln>
                <a:noFill/>
                <a:prstDash val="solid"/>
              </a:ln>
            </spPr>
          </dPt>
          <dPt>
            <idx val="145"/>
            <invertIfNegative val="0"/>
            <spPr>
              <a:solidFill>
                <a:srgbClr val="CCE6CC"/>
              </a:solidFill>
              <a:ln>
                <a:noFill/>
                <a:prstDash val="solid"/>
              </a:ln>
            </spPr>
          </dPt>
          <dPt>
            <idx val="146"/>
            <invertIfNegative val="0"/>
            <spPr>
              <a:solidFill>
                <a:srgbClr val="CCE6CC"/>
              </a:solidFill>
              <a:ln>
                <a:noFill/>
                <a:prstDash val="solid"/>
              </a:ln>
            </spPr>
          </dPt>
          <dPt>
            <idx val="147"/>
            <invertIfNegative val="0"/>
            <spPr>
              <a:solidFill>
                <a:srgbClr val="CCE6CC"/>
              </a:solidFill>
              <a:ln>
                <a:noFill/>
                <a:prstDash val="solid"/>
              </a:ln>
            </spPr>
          </dPt>
          <dPt>
            <idx val="148"/>
            <invertIfNegative val="0"/>
            <spPr>
              <a:solidFill>
                <a:srgbClr val="CCE6CC"/>
              </a:solidFill>
              <a:ln>
                <a:noFill/>
                <a:prstDash val="solid"/>
              </a:ln>
            </spPr>
          </dPt>
          <dPt>
            <idx val="149"/>
            <invertIfNegative val="0"/>
            <spPr>
              <a:solidFill>
                <a:srgbClr val="CCE6CC"/>
              </a:solidFill>
              <a:ln>
                <a:noFill/>
                <a:prstDash val="solid"/>
              </a:ln>
            </spPr>
          </dPt>
          <dPt>
            <idx val="150"/>
            <invertIfNegative val="0"/>
            <spPr>
              <a:solidFill>
                <a:srgbClr val="CCE6CC"/>
              </a:solidFill>
              <a:ln>
                <a:noFill/>
                <a:prstDash val="solid"/>
              </a:ln>
            </spPr>
          </dPt>
          <dPt>
            <idx val="151"/>
            <invertIfNegative val="0"/>
            <spPr>
              <a:solidFill>
                <a:srgbClr val="CCE6CC"/>
              </a:solidFill>
              <a:ln>
                <a:noFill/>
                <a:prstDash val="solid"/>
              </a:ln>
            </spPr>
          </dPt>
          <dPt>
            <idx val="152"/>
            <invertIfNegative val="0"/>
            <spPr>
              <a:solidFill>
                <a:srgbClr val="CCE6CC"/>
              </a:solidFill>
              <a:ln>
                <a:noFill/>
                <a:prstDash val="solid"/>
              </a:ln>
            </spPr>
          </dPt>
          <dPt>
            <idx val="153"/>
            <invertIfNegative val="0"/>
            <spPr>
              <a:solidFill>
                <a:srgbClr val="CCE6CC"/>
              </a:solidFill>
              <a:ln>
                <a:noFill/>
                <a:prstDash val="solid"/>
              </a:ln>
            </spPr>
          </dPt>
          <dPt>
            <idx val="154"/>
            <invertIfNegative val="0"/>
            <spPr>
              <a:solidFill>
                <a:srgbClr val="CCE6CC"/>
              </a:solidFill>
              <a:ln>
                <a:noFill/>
                <a:prstDash val="solid"/>
              </a:ln>
            </spPr>
          </dPt>
          <dPt>
            <idx val="155"/>
            <invertIfNegative val="0"/>
            <spPr>
              <a:solidFill>
                <a:srgbClr val="CCE6CC"/>
              </a:solidFill>
              <a:ln>
                <a:noFill/>
                <a:prstDash val="solid"/>
              </a:ln>
            </spPr>
          </dPt>
          <cat>
            <numRef>
              <f>'Chart - Texas'!$A$2:$A$157</f>
            </numRef>
          </cat>
          <val>
            <numRef>
              <f>'Chart - Texas'!$G$2:$G$157</f>
            </numRef>
          </val>
        </ser>
        <ser>
          <idx val="6"/>
          <order val="6"/>
          <tx>
            <strRef>
              <f>'Chart - Texas'!H1</f>
            </strRef>
          </tx>
          <spPr>
            <a:solidFill>
              <a:srgbClr val="4A3AA7"/>
            </a:solidFill>
            <a:ln>
              <a:noFill/>
              <a:prstDash val="solid"/>
            </a:ln>
          </spPr>
          <dPt>
            <idx val="67"/>
            <invertIfNegative val="0"/>
            <spPr>
              <a:solidFill>
                <a:srgbClr val="ADA6D7"/>
              </a:solidFill>
              <a:ln>
                <a:noFill/>
                <a:prstDash val="solid"/>
              </a:ln>
            </spPr>
          </dPt>
          <dPt>
            <idx val="68"/>
            <invertIfNegative val="0"/>
            <spPr>
              <a:solidFill>
                <a:srgbClr val="ADA6D7"/>
              </a:solidFill>
              <a:ln>
                <a:noFill/>
                <a:prstDash val="solid"/>
              </a:ln>
            </spPr>
          </dPt>
          <dPt>
            <idx val="69"/>
            <invertIfNegative val="0"/>
            <spPr>
              <a:solidFill>
                <a:srgbClr val="ADA6D7"/>
              </a:solidFill>
              <a:ln>
                <a:noFill/>
                <a:prstDash val="solid"/>
              </a:ln>
            </spPr>
          </dPt>
          <dPt>
            <idx val="70"/>
            <invertIfNegative val="0"/>
            <spPr>
              <a:solidFill>
                <a:srgbClr val="ADA6D7"/>
              </a:solidFill>
              <a:ln>
                <a:noFill/>
                <a:prstDash val="solid"/>
              </a:ln>
            </spPr>
          </dPt>
          <dPt>
            <idx val="71"/>
            <invertIfNegative val="0"/>
            <spPr>
              <a:solidFill>
                <a:srgbClr val="ADA6D7"/>
              </a:solidFill>
              <a:ln>
                <a:noFill/>
                <a:prstDash val="solid"/>
              </a:ln>
            </spPr>
          </dPt>
          <dPt>
            <idx val="72"/>
            <invertIfNegative val="0"/>
            <spPr>
              <a:solidFill>
                <a:srgbClr val="ADA6D7"/>
              </a:solidFill>
              <a:ln>
                <a:noFill/>
                <a:prstDash val="solid"/>
              </a:ln>
            </spPr>
          </dPt>
          <dPt>
            <idx val="73"/>
            <invertIfNegative val="0"/>
            <spPr>
              <a:solidFill>
                <a:srgbClr val="ADA6D7"/>
              </a:solidFill>
              <a:ln>
                <a:noFill/>
                <a:prstDash val="solid"/>
              </a:ln>
            </spPr>
          </dPt>
          <dPt>
            <idx val="74"/>
            <invertIfNegative val="0"/>
            <spPr>
              <a:solidFill>
                <a:srgbClr val="ADA6D7"/>
              </a:solidFill>
              <a:ln>
                <a:noFill/>
                <a:prstDash val="solid"/>
              </a:ln>
            </spPr>
          </dPt>
          <dPt>
            <idx val="75"/>
            <invertIfNegative val="0"/>
            <spPr>
              <a:solidFill>
                <a:srgbClr val="ADA6D7"/>
              </a:solidFill>
              <a:ln>
                <a:noFill/>
                <a:prstDash val="solid"/>
              </a:ln>
            </spPr>
          </dPt>
          <dPt>
            <idx val="76"/>
            <invertIfNegative val="0"/>
            <spPr>
              <a:solidFill>
                <a:srgbClr val="ADA6D7"/>
              </a:solidFill>
              <a:ln>
                <a:noFill/>
                <a:prstDash val="solid"/>
              </a:ln>
            </spPr>
          </dPt>
          <dPt>
            <idx val="77"/>
            <invertIfNegative val="0"/>
            <spPr>
              <a:solidFill>
                <a:srgbClr val="ADA6D7"/>
              </a:solidFill>
              <a:ln>
                <a:noFill/>
                <a:prstDash val="solid"/>
              </a:ln>
            </spPr>
          </dPt>
          <dPt>
            <idx val="78"/>
            <invertIfNegative val="0"/>
            <spPr>
              <a:solidFill>
                <a:srgbClr val="ADA6D7"/>
              </a:solidFill>
              <a:ln>
                <a:noFill/>
                <a:prstDash val="solid"/>
              </a:ln>
            </spPr>
          </dPt>
          <dPt>
            <idx val="79"/>
            <invertIfNegative val="0"/>
            <spPr>
              <a:solidFill>
                <a:srgbClr val="ADA6D7"/>
              </a:solidFill>
              <a:ln>
                <a:noFill/>
                <a:prstDash val="solid"/>
              </a:ln>
            </spPr>
          </dPt>
          <dPt>
            <idx val="80"/>
            <invertIfNegative val="0"/>
            <spPr>
              <a:solidFill>
                <a:srgbClr val="ADA6D7"/>
              </a:solidFill>
              <a:ln>
                <a:noFill/>
                <a:prstDash val="solid"/>
              </a:ln>
            </spPr>
          </dPt>
          <dPt>
            <idx val="81"/>
            <invertIfNegative val="0"/>
            <spPr>
              <a:solidFill>
                <a:srgbClr val="ADA6D7"/>
              </a:solidFill>
              <a:ln>
                <a:noFill/>
                <a:prstDash val="solid"/>
              </a:ln>
            </spPr>
          </dPt>
          <dPt>
            <idx val="82"/>
            <invertIfNegative val="0"/>
            <spPr>
              <a:solidFill>
                <a:srgbClr val="ADA6D7"/>
              </a:solidFill>
              <a:ln>
                <a:noFill/>
                <a:prstDash val="solid"/>
              </a:ln>
            </spPr>
          </dPt>
          <dPt>
            <idx val="83"/>
            <invertIfNegative val="0"/>
            <spPr>
              <a:solidFill>
                <a:srgbClr val="ADA6D7"/>
              </a:solidFill>
              <a:ln>
                <a:noFill/>
                <a:prstDash val="solid"/>
              </a:ln>
            </spPr>
          </dPt>
          <dPt>
            <idx val="84"/>
            <invertIfNegative val="0"/>
            <spPr>
              <a:solidFill>
                <a:srgbClr val="ADA6D7"/>
              </a:solidFill>
              <a:ln>
                <a:noFill/>
                <a:prstDash val="solid"/>
              </a:ln>
            </spPr>
          </dPt>
          <dPt>
            <idx val="85"/>
            <invertIfNegative val="0"/>
            <spPr>
              <a:solidFill>
                <a:srgbClr val="ADA6D7"/>
              </a:solidFill>
              <a:ln>
                <a:noFill/>
                <a:prstDash val="solid"/>
              </a:ln>
            </spPr>
          </dPt>
          <dPt>
            <idx val="86"/>
            <invertIfNegative val="0"/>
            <spPr>
              <a:solidFill>
                <a:srgbClr val="ADA6D7"/>
              </a:solidFill>
              <a:ln>
                <a:noFill/>
                <a:prstDash val="solid"/>
              </a:ln>
            </spPr>
          </dPt>
          <dPt>
            <idx val="87"/>
            <invertIfNegative val="0"/>
            <spPr>
              <a:solidFill>
                <a:srgbClr val="ADA6D7"/>
              </a:solidFill>
              <a:ln>
                <a:noFill/>
                <a:prstDash val="solid"/>
              </a:ln>
            </spPr>
          </dPt>
          <dPt>
            <idx val="88"/>
            <invertIfNegative val="0"/>
            <spPr>
              <a:solidFill>
                <a:srgbClr val="ADA6D7"/>
              </a:solidFill>
              <a:ln>
                <a:noFill/>
                <a:prstDash val="solid"/>
              </a:ln>
            </spPr>
          </dPt>
          <dPt>
            <idx val="89"/>
            <invertIfNegative val="0"/>
            <spPr>
              <a:solidFill>
                <a:srgbClr val="ADA6D7"/>
              </a:solidFill>
              <a:ln>
                <a:noFill/>
                <a:prstDash val="solid"/>
              </a:ln>
            </spPr>
          </dPt>
          <dPt>
            <idx val="90"/>
            <invertIfNegative val="0"/>
            <spPr>
              <a:solidFill>
                <a:srgbClr val="ADA6D7"/>
              </a:solidFill>
              <a:ln>
                <a:noFill/>
                <a:prstDash val="solid"/>
              </a:ln>
            </spPr>
          </dPt>
          <dPt>
            <idx val="91"/>
            <invertIfNegative val="0"/>
            <spPr>
              <a:solidFill>
                <a:srgbClr val="ADA6D7"/>
              </a:solidFill>
              <a:ln>
                <a:noFill/>
                <a:prstDash val="solid"/>
              </a:ln>
            </spPr>
          </dPt>
          <dPt>
            <idx val="92"/>
            <invertIfNegative val="0"/>
            <spPr>
              <a:solidFill>
                <a:srgbClr val="ADA6D7"/>
              </a:solidFill>
              <a:ln>
                <a:noFill/>
                <a:prstDash val="solid"/>
              </a:ln>
            </spPr>
          </dPt>
          <dPt>
            <idx val="93"/>
            <invertIfNegative val="0"/>
            <spPr>
              <a:solidFill>
                <a:srgbClr val="ADA6D7"/>
              </a:solidFill>
              <a:ln>
                <a:noFill/>
                <a:prstDash val="solid"/>
              </a:ln>
            </spPr>
          </dPt>
          <dPt>
            <idx val="94"/>
            <invertIfNegative val="0"/>
            <spPr>
              <a:solidFill>
                <a:srgbClr val="ADA6D7"/>
              </a:solidFill>
              <a:ln>
                <a:noFill/>
                <a:prstDash val="solid"/>
              </a:ln>
            </spPr>
          </dPt>
          <dPt>
            <idx val="95"/>
            <invertIfNegative val="0"/>
            <spPr>
              <a:solidFill>
                <a:srgbClr val="ADA6D7"/>
              </a:solidFill>
              <a:ln>
                <a:noFill/>
                <a:prstDash val="solid"/>
              </a:ln>
            </spPr>
          </dPt>
          <dPt>
            <idx val="96"/>
            <invertIfNegative val="0"/>
            <spPr>
              <a:solidFill>
                <a:srgbClr val="DAD7ED"/>
              </a:solidFill>
              <a:ln>
                <a:noFill/>
                <a:prstDash val="solid"/>
              </a:ln>
            </spPr>
          </dPt>
          <dPt>
            <idx val="97"/>
            <invertIfNegative val="0"/>
            <spPr>
              <a:solidFill>
                <a:srgbClr val="DAD7ED"/>
              </a:solidFill>
              <a:ln>
                <a:noFill/>
                <a:prstDash val="solid"/>
              </a:ln>
            </spPr>
          </dPt>
          <dPt>
            <idx val="98"/>
            <invertIfNegative val="0"/>
            <spPr>
              <a:solidFill>
                <a:srgbClr val="DAD7ED"/>
              </a:solidFill>
              <a:ln>
                <a:noFill/>
                <a:prstDash val="solid"/>
              </a:ln>
            </spPr>
          </dPt>
          <dPt>
            <idx val="99"/>
            <invertIfNegative val="0"/>
            <spPr>
              <a:solidFill>
                <a:srgbClr val="DAD7ED"/>
              </a:solidFill>
              <a:ln>
                <a:noFill/>
                <a:prstDash val="solid"/>
              </a:ln>
            </spPr>
          </dPt>
          <dPt>
            <idx val="100"/>
            <invertIfNegative val="0"/>
            <spPr>
              <a:solidFill>
                <a:srgbClr val="DAD7ED"/>
              </a:solidFill>
              <a:ln>
                <a:noFill/>
                <a:prstDash val="solid"/>
              </a:ln>
            </spPr>
          </dPt>
          <dPt>
            <idx val="101"/>
            <invertIfNegative val="0"/>
            <spPr>
              <a:solidFill>
                <a:srgbClr val="DAD7ED"/>
              </a:solidFill>
              <a:ln>
                <a:noFill/>
                <a:prstDash val="solid"/>
              </a:ln>
            </spPr>
          </dPt>
          <dPt>
            <idx val="102"/>
            <invertIfNegative val="0"/>
            <spPr>
              <a:solidFill>
                <a:srgbClr val="DAD7ED"/>
              </a:solidFill>
              <a:ln>
                <a:noFill/>
                <a:prstDash val="solid"/>
              </a:ln>
            </spPr>
          </dPt>
          <dPt>
            <idx val="103"/>
            <invertIfNegative val="0"/>
            <spPr>
              <a:solidFill>
                <a:srgbClr val="DAD7ED"/>
              </a:solidFill>
              <a:ln>
                <a:noFill/>
                <a:prstDash val="solid"/>
              </a:ln>
            </spPr>
          </dPt>
          <dPt>
            <idx val="104"/>
            <invertIfNegative val="0"/>
            <spPr>
              <a:solidFill>
                <a:srgbClr val="DAD7ED"/>
              </a:solidFill>
              <a:ln>
                <a:noFill/>
                <a:prstDash val="solid"/>
              </a:ln>
            </spPr>
          </dPt>
          <dPt>
            <idx val="105"/>
            <invertIfNegative val="0"/>
            <spPr>
              <a:solidFill>
                <a:srgbClr val="DAD7ED"/>
              </a:solidFill>
              <a:ln>
                <a:noFill/>
                <a:prstDash val="solid"/>
              </a:ln>
            </spPr>
          </dPt>
          <dPt>
            <idx val="106"/>
            <invertIfNegative val="0"/>
            <spPr>
              <a:solidFill>
                <a:srgbClr val="DAD7ED"/>
              </a:solidFill>
              <a:ln>
                <a:noFill/>
                <a:prstDash val="solid"/>
              </a:ln>
            </spPr>
          </dPt>
          <dPt>
            <idx val="107"/>
            <invertIfNegative val="0"/>
            <spPr>
              <a:solidFill>
                <a:srgbClr val="DAD7ED"/>
              </a:solidFill>
              <a:ln>
                <a:noFill/>
                <a:prstDash val="solid"/>
              </a:ln>
            </spPr>
          </dPt>
          <dPt>
            <idx val="108"/>
            <invertIfNegative val="0"/>
            <spPr>
              <a:solidFill>
                <a:srgbClr val="DAD7ED"/>
              </a:solidFill>
              <a:ln>
                <a:noFill/>
                <a:prstDash val="solid"/>
              </a:ln>
            </spPr>
          </dPt>
          <dPt>
            <idx val="109"/>
            <invertIfNegative val="0"/>
            <spPr>
              <a:solidFill>
                <a:srgbClr val="DAD7ED"/>
              </a:solidFill>
              <a:ln>
                <a:noFill/>
                <a:prstDash val="solid"/>
              </a:ln>
            </spPr>
          </dPt>
          <dPt>
            <idx val="110"/>
            <invertIfNegative val="0"/>
            <spPr>
              <a:solidFill>
                <a:srgbClr val="DAD7ED"/>
              </a:solidFill>
              <a:ln>
                <a:noFill/>
                <a:prstDash val="solid"/>
              </a:ln>
            </spPr>
          </dPt>
          <dPt>
            <idx val="111"/>
            <invertIfNegative val="0"/>
            <spPr>
              <a:solidFill>
                <a:srgbClr val="DAD7ED"/>
              </a:solidFill>
              <a:ln>
                <a:noFill/>
                <a:prstDash val="solid"/>
              </a:ln>
            </spPr>
          </dPt>
          <dPt>
            <idx val="112"/>
            <invertIfNegative val="0"/>
            <spPr>
              <a:solidFill>
                <a:srgbClr val="DAD7ED"/>
              </a:solidFill>
              <a:ln>
                <a:noFill/>
                <a:prstDash val="solid"/>
              </a:ln>
            </spPr>
          </dPt>
          <dPt>
            <idx val="113"/>
            <invertIfNegative val="0"/>
            <spPr>
              <a:solidFill>
                <a:srgbClr val="DAD7ED"/>
              </a:solidFill>
              <a:ln>
                <a:noFill/>
                <a:prstDash val="solid"/>
              </a:ln>
            </spPr>
          </dPt>
          <dPt>
            <idx val="114"/>
            <invertIfNegative val="0"/>
            <spPr>
              <a:solidFill>
                <a:srgbClr val="DAD7ED"/>
              </a:solidFill>
              <a:ln>
                <a:noFill/>
                <a:prstDash val="solid"/>
              </a:ln>
            </spPr>
          </dPt>
          <dPt>
            <idx val="115"/>
            <invertIfNegative val="0"/>
            <spPr>
              <a:solidFill>
                <a:srgbClr val="DAD7ED"/>
              </a:solidFill>
              <a:ln>
                <a:noFill/>
                <a:prstDash val="solid"/>
              </a:ln>
            </spPr>
          </dPt>
          <dPt>
            <idx val="116"/>
            <invertIfNegative val="0"/>
            <spPr>
              <a:solidFill>
                <a:srgbClr val="DAD7ED"/>
              </a:solidFill>
              <a:ln>
                <a:noFill/>
                <a:prstDash val="solid"/>
              </a:ln>
            </spPr>
          </dPt>
          <dPt>
            <idx val="117"/>
            <invertIfNegative val="0"/>
            <spPr>
              <a:solidFill>
                <a:srgbClr val="DAD7ED"/>
              </a:solidFill>
              <a:ln>
                <a:noFill/>
                <a:prstDash val="solid"/>
              </a:ln>
            </spPr>
          </dPt>
          <dPt>
            <idx val="118"/>
            <invertIfNegative val="0"/>
            <spPr>
              <a:solidFill>
                <a:srgbClr val="DAD7ED"/>
              </a:solidFill>
              <a:ln>
                <a:noFill/>
                <a:prstDash val="solid"/>
              </a:ln>
            </spPr>
          </dPt>
          <dPt>
            <idx val="119"/>
            <invertIfNegative val="0"/>
            <spPr>
              <a:solidFill>
                <a:srgbClr val="DAD7ED"/>
              </a:solidFill>
              <a:ln>
                <a:noFill/>
                <a:prstDash val="solid"/>
              </a:ln>
            </spPr>
          </dPt>
          <dPt>
            <idx val="120"/>
            <invertIfNegative val="0"/>
            <spPr>
              <a:solidFill>
                <a:srgbClr val="DAD7ED"/>
              </a:solidFill>
              <a:ln>
                <a:noFill/>
                <a:prstDash val="solid"/>
              </a:ln>
            </spPr>
          </dPt>
          <dPt>
            <idx val="121"/>
            <invertIfNegative val="0"/>
            <spPr>
              <a:solidFill>
                <a:srgbClr val="DAD7ED"/>
              </a:solidFill>
              <a:ln>
                <a:noFill/>
                <a:prstDash val="solid"/>
              </a:ln>
            </spPr>
          </dPt>
          <dPt>
            <idx val="122"/>
            <invertIfNegative val="0"/>
            <spPr>
              <a:solidFill>
                <a:srgbClr val="DAD7ED"/>
              </a:solidFill>
              <a:ln>
                <a:noFill/>
                <a:prstDash val="solid"/>
              </a:ln>
            </spPr>
          </dPt>
          <dPt>
            <idx val="123"/>
            <invertIfNegative val="0"/>
            <spPr>
              <a:solidFill>
                <a:srgbClr val="DAD7ED"/>
              </a:solidFill>
              <a:ln>
                <a:noFill/>
                <a:prstDash val="solid"/>
              </a:ln>
            </spPr>
          </dPt>
          <dPt>
            <idx val="124"/>
            <invertIfNegative val="0"/>
            <spPr>
              <a:solidFill>
                <a:srgbClr val="DAD7ED"/>
              </a:solidFill>
              <a:ln>
                <a:noFill/>
                <a:prstDash val="solid"/>
              </a:ln>
            </spPr>
          </dPt>
          <dPt>
            <idx val="125"/>
            <invertIfNegative val="0"/>
            <spPr>
              <a:solidFill>
                <a:srgbClr val="DAD7ED"/>
              </a:solidFill>
              <a:ln>
                <a:noFill/>
                <a:prstDash val="solid"/>
              </a:ln>
            </spPr>
          </dPt>
          <dPt>
            <idx val="126"/>
            <invertIfNegative val="0"/>
            <spPr>
              <a:solidFill>
                <a:srgbClr val="DAD7ED"/>
              </a:solidFill>
              <a:ln>
                <a:noFill/>
                <a:prstDash val="solid"/>
              </a:ln>
            </spPr>
          </dPt>
          <dPt>
            <idx val="127"/>
            <invertIfNegative val="0"/>
            <spPr>
              <a:solidFill>
                <a:srgbClr val="DAD7ED"/>
              </a:solidFill>
              <a:ln>
                <a:noFill/>
                <a:prstDash val="solid"/>
              </a:ln>
            </spPr>
          </dPt>
          <dPt>
            <idx val="128"/>
            <invertIfNegative val="0"/>
            <spPr>
              <a:solidFill>
                <a:srgbClr val="DAD7ED"/>
              </a:solidFill>
              <a:ln>
                <a:noFill/>
                <a:prstDash val="solid"/>
              </a:ln>
            </spPr>
          </dPt>
          <dPt>
            <idx val="129"/>
            <invertIfNegative val="0"/>
            <spPr>
              <a:solidFill>
                <a:srgbClr val="DAD7ED"/>
              </a:solidFill>
              <a:ln>
                <a:noFill/>
                <a:prstDash val="solid"/>
              </a:ln>
            </spPr>
          </dPt>
          <dPt>
            <idx val="130"/>
            <invertIfNegative val="0"/>
            <spPr>
              <a:solidFill>
                <a:srgbClr val="DAD7ED"/>
              </a:solidFill>
              <a:ln>
                <a:noFill/>
                <a:prstDash val="solid"/>
              </a:ln>
            </spPr>
          </dPt>
          <dPt>
            <idx val="131"/>
            <invertIfNegative val="0"/>
            <spPr>
              <a:solidFill>
                <a:srgbClr val="DAD7ED"/>
              </a:solidFill>
              <a:ln>
                <a:noFill/>
                <a:prstDash val="solid"/>
              </a:ln>
            </spPr>
          </dPt>
          <dPt>
            <idx val="132"/>
            <invertIfNegative val="0"/>
            <spPr>
              <a:solidFill>
                <a:srgbClr val="DAD7ED"/>
              </a:solidFill>
              <a:ln>
                <a:noFill/>
                <a:prstDash val="solid"/>
              </a:ln>
            </spPr>
          </dPt>
          <dPt>
            <idx val="133"/>
            <invertIfNegative val="0"/>
            <spPr>
              <a:solidFill>
                <a:srgbClr val="DAD7ED"/>
              </a:solidFill>
              <a:ln>
                <a:noFill/>
                <a:prstDash val="solid"/>
              </a:ln>
            </spPr>
          </dPt>
          <dPt>
            <idx val="134"/>
            <invertIfNegative val="0"/>
            <spPr>
              <a:solidFill>
                <a:srgbClr val="DAD7ED"/>
              </a:solidFill>
              <a:ln>
                <a:noFill/>
                <a:prstDash val="solid"/>
              </a:ln>
            </spPr>
          </dPt>
          <dPt>
            <idx val="135"/>
            <invertIfNegative val="0"/>
            <spPr>
              <a:solidFill>
                <a:srgbClr val="DAD7ED"/>
              </a:solidFill>
              <a:ln>
                <a:noFill/>
                <a:prstDash val="solid"/>
              </a:ln>
            </spPr>
          </dPt>
          <dPt>
            <idx val="136"/>
            <invertIfNegative val="0"/>
            <spPr>
              <a:solidFill>
                <a:srgbClr val="DAD7ED"/>
              </a:solidFill>
              <a:ln>
                <a:noFill/>
                <a:prstDash val="solid"/>
              </a:ln>
            </spPr>
          </dPt>
          <dPt>
            <idx val="137"/>
            <invertIfNegative val="0"/>
            <spPr>
              <a:solidFill>
                <a:srgbClr val="DAD7ED"/>
              </a:solidFill>
              <a:ln>
                <a:noFill/>
                <a:prstDash val="solid"/>
              </a:ln>
            </spPr>
          </dPt>
          <dPt>
            <idx val="138"/>
            <invertIfNegative val="0"/>
            <spPr>
              <a:solidFill>
                <a:srgbClr val="DAD7ED"/>
              </a:solidFill>
              <a:ln>
                <a:noFill/>
                <a:prstDash val="solid"/>
              </a:ln>
            </spPr>
          </dPt>
          <dPt>
            <idx val="139"/>
            <invertIfNegative val="0"/>
            <spPr>
              <a:solidFill>
                <a:srgbClr val="DAD7ED"/>
              </a:solidFill>
              <a:ln>
                <a:noFill/>
                <a:prstDash val="solid"/>
              </a:ln>
            </spPr>
          </dPt>
          <dPt>
            <idx val="140"/>
            <invertIfNegative val="0"/>
            <spPr>
              <a:solidFill>
                <a:srgbClr val="DAD7ED"/>
              </a:solidFill>
              <a:ln>
                <a:noFill/>
                <a:prstDash val="solid"/>
              </a:ln>
            </spPr>
          </dPt>
          <dPt>
            <idx val="141"/>
            <invertIfNegative val="0"/>
            <spPr>
              <a:solidFill>
                <a:srgbClr val="DAD7ED"/>
              </a:solidFill>
              <a:ln>
                <a:noFill/>
                <a:prstDash val="solid"/>
              </a:ln>
            </spPr>
          </dPt>
          <dPt>
            <idx val="142"/>
            <invertIfNegative val="0"/>
            <spPr>
              <a:solidFill>
                <a:srgbClr val="DAD7ED"/>
              </a:solidFill>
              <a:ln>
                <a:noFill/>
                <a:prstDash val="solid"/>
              </a:ln>
            </spPr>
          </dPt>
          <dPt>
            <idx val="143"/>
            <invertIfNegative val="0"/>
            <spPr>
              <a:solidFill>
                <a:srgbClr val="DAD7ED"/>
              </a:solidFill>
              <a:ln>
                <a:noFill/>
                <a:prstDash val="solid"/>
              </a:ln>
            </spPr>
          </dPt>
          <dPt>
            <idx val="144"/>
            <invertIfNegative val="0"/>
            <spPr>
              <a:solidFill>
                <a:srgbClr val="DAD7ED"/>
              </a:solidFill>
              <a:ln>
                <a:noFill/>
                <a:prstDash val="solid"/>
              </a:ln>
            </spPr>
          </dPt>
          <dPt>
            <idx val="145"/>
            <invertIfNegative val="0"/>
            <spPr>
              <a:solidFill>
                <a:srgbClr val="DAD7ED"/>
              </a:solidFill>
              <a:ln>
                <a:noFill/>
                <a:prstDash val="solid"/>
              </a:ln>
            </spPr>
          </dPt>
          <dPt>
            <idx val="146"/>
            <invertIfNegative val="0"/>
            <spPr>
              <a:solidFill>
                <a:srgbClr val="DAD7ED"/>
              </a:solidFill>
              <a:ln>
                <a:noFill/>
                <a:prstDash val="solid"/>
              </a:ln>
            </spPr>
          </dPt>
          <dPt>
            <idx val="147"/>
            <invertIfNegative val="0"/>
            <spPr>
              <a:solidFill>
                <a:srgbClr val="DAD7ED"/>
              </a:solidFill>
              <a:ln>
                <a:noFill/>
                <a:prstDash val="solid"/>
              </a:ln>
            </spPr>
          </dPt>
          <dPt>
            <idx val="148"/>
            <invertIfNegative val="0"/>
            <spPr>
              <a:solidFill>
                <a:srgbClr val="DAD7ED"/>
              </a:solidFill>
              <a:ln>
                <a:noFill/>
                <a:prstDash val="solid"/>
              </a:ln>
            </spPr>
          </dPt>
          <dPt>
            <idx val="149"/>
            <invertIfNegative val="0"/>
            <spPr>
              <a:solidFill>
                <a:srgbClr val="DAD7ED"/>
              </a:solidFill>
              <a:ln>
                <a:noFill/>
                <a:prstDash val="solid"/>
              </a:ln>
            </spPr>
          </dPt>
          <dPt>
            <idx val="150"/>
            <invertIfNegative val="0"/>
            <spPr>
              <a:solidFill>
                <a:srgbClr val="DAD7ED"/>
              </a:solidFill>
              <a:ln>
                <a:noFill/>
                <a:prstDash val="solid"/>
              </a:ln>
            </spPr>
          </dPt>
          <dPt>
            <idx val="151"/>
            <invertIfNegative val="0"/>
            <spPr>
              <a:solidFill>
                <a:srgbClr val="DAD7ED"/>
              </a:solidFill>
              <a:ln>
                <a:noFill/>
                <a:prstDash val="solid"/>
              </a:ln>
            </spPr>
          </dPt>
          <dPt>
            <idx val="152"/>
            <invertIfNegative val="0"/>
            <spPr>
              <a:solidFill>
                <a:srgbClr val="DAD7ED"/>
              </a:solidFill>
              <a:ln>
                <a:noFill/>
                <a:prstDash val="solid"/>
              </a:ln>
            </spPr>
          </dPt>
          <dPt>
            <idx val="153"/>
            <invertIfNegative val="0"/>
            <spPr>
              <a:solidFill>
                <a:srgbClr val="DAD7ED"/>
              </a:solidFill>
              <a:ln>
                <a:noFill/>
                <a:prstDash val="solid"/>
              </a:ln>
            </spPr>
          </dPt>
          <dPt>
            <idx val="154"/>
            <invertIfNegative val="0"/>
            <spPr>
              <a:solidFill>
                <a:srgbClr val="DAD7ED"/>
              </a:solidFill>
              <a:ln>
                <a:noFill/>
                <a:prstDash val="solid"/>
              </a:ln>
            </spPr>
          </dPt>
          <dPt>
            <idx val="155"/>
            <invertIfNegative val="0"/>
            <spPr>
              <a:solidFill>
                <a:srgbClr val="DAD7ED"/>
              </a:solidFill>
              <a:ln>
                <a:noFill/>
                <a:prstDash val="solid"/>
              </a:ln>
            </spPr>
          </dPt>
          <cat>
            <numRef>
              <f>'Chart - Texas'!$A$2:$A$157</f>
            </numRef>
          </cat>
          <val>
            <numRef>
              <f>'Chart - Texas'!$H$2:$H$157</f>
            </numRef>
          </val>
        </ser>
        <gapWidth val="30"/>
        <overlap val="100"/>
        <axId val="10"/>
        <axId val="100"/>
      </barChart>
      <lineChart>
        <grouping val="standard"/>
        <ser>
          <idx val="7"/>
          <order val="7"/>
          <tx>
            <strRef>
              <f>'Chart - Texas'!I1</f>
            </strRef>
          </tx>
          <spPr>
            <a:ln w="28575">
              <a:solidFill>
                <a:srgbClr val="6D4C41"/>
              </a:solidFill>
              <a:prstDash val="dash"/>
            </a:ln>
          </spPr>
          <marker>
            <symbol val="none"/>
            <spPr>
              <a:ln>
                <a:prstDash val="solid"/>
              </a:ln>
            </spPr>
          </marker>
          <cat>
            <numRef>
              <f>'Chart - Texas'!$A$2:$A$157</f>
            </numRef>
          </cat>
          <val>
            <numRef>
              <f>'Chart - Texas'!$I$2:$I$157</f>
            </numRef>
          </val>
          <smooth val="0"/>
        </ser>
        <ser>
          <idx val="8"/>
          <order val="8"/>
          <tx>
            <strRef>
              <f>'Chart - Texas'!J1</f>
            </strRef>
          </tx>
          <spPr>
            <a:ln w="28575">
              <a:solidFill>
                <a:srgbClr val="6D4C41"/>
              </a:solidFill>
              <a:prstDash val="solid"/>
            </a:ln>
          </spPr>
          <marker>
            <symbol val="none"/>
            <spPr>
              <a:ln>
                <a:prstDash val="solid"/>
              </a:ln>
            </spPr>
          </marker>
          <cat>
            <numRef>
              <f>'Chart - Texas'!$A$2:$A$157</f>
            </numRef>
          </cat>
          <val>
            <numRef>
              <f>'Chart - Texas'!$J$2:$J$157</f>
            </numRef>
          </val>
          <smooth val="0"/>
        </ser>
        <ser>
          <idx val="9"/>
          <order val="9"/>
          <tx>
            <strRef>
              <f>'Chart - Texas'!K1</f>
            </strRef>
          </tx>
          <spPr>
            <a:ln w="28575">
              <a:solidFill>
                <a:srgbClr val="7F7F7F"/>
              </a:solidFill>
              <a:prstDash val="dash"/>
            </a:ln>
          </spPr>
          <marker>
            <symbol val="none"/>
            <spPr>
              <a:ln>
                <a:prstDash val="solid"/>
              </a:ln>
            </spPr>
          </marker>
          <cat>
            <numRef>
              <f>'Chart - Texas'!$A$2:$A$157</f>
            </numRef>
          </cat>
          <val>
            <numRef>
              <f>'Chart - Texas'!$K$2:$K$157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Louisiana gas supply vs demand incl. LNG and storage (EIA; production = STEO Haynesville share)</a:t>
            </a:r>
          </a:p>
          <a:p>
            <a:pPr>
              <a:defRPr/>
            </a:pPr>
            <a:r>
              <a:rPr sz="1200" b="1"/>
              <a:t>STEO to Dec/27, extension to Dec/28, 2029-33 scenario (lightest)</a:t>
            </a:r>
          </a:p>
          <a:p>
            <a:pPr>
              <a:defRPr/>
            </a:pPr>
            <a:r>
              <a:rPr sz="1200" b="1"/>
              <a:t>Louisiana LNG start dates: 5 of 5 trains sourced (EIA 2026 Q2, month assumed); 6 pre-FID projects not forecast (to Dec/33; forecast from Aug/26, scenario from Jan/29, lightest bars)</a:t>
            </a:r>
          </a:p>
        </rich>
      </tx>
      <overlay val="0"/>
    </title>
    <plotArea>
      <barChart>
        <barDir val="col"/>
        <grouping val="stacked"/>
        <ser>
          <idx val="0"/>
          <order val="0"/>
          <tx>
            <strRef>
              <f>'Chart - Louisiana'!B1</f>
            </strRef>
          </tx>
          <spPr>
            <a:solidFill>
              <a:srgbClr val="2A78D6"/>
            </a:solidFill>
            <a:ln>
              <a:noFill/>
              <a:prstDash val="solid"/>
            </a:ln>
          </spPr>
          <dPt>
            <idx val="67"/>
            <invertIfNegative val="0"/>
            <spPr>
              <a:solidFill>
                <a:srgbClr val="9FC2EC"/>
              </a:solidFill>
              <a:ln>
                <a:noFill/>
                <a:prstDash val="solid"/>
              </a:ln>
            </spPr>
          </dPt>
          <dPt>
            <idx val="68"/>
            <invertIfNegative val="0"/>
            <spPr>
              <a:solidFill>
                <a:srgbClr val="9FC2EC"/>
              </a:solidFill>
              <a:ln>
                <a:noFill/>
                <a:prstDash val="solid"/>
              </a:ln>
            </spPr>
          </dPt>
          <dPt>
            <idx val="69"/>
            <invertIfNegative val="0"/>
            <spPr>
              <a:solidFill>
                <a:srgbClr val="9FC2EC"/>
              </a:solidFill>
              <a:ln>
                <a:noFill/>
                <a:prstDash val="solid"/>
              </a:ln>
            </spPr>
          </dPt>
          <dPt>
            <idx val="70"/>
            <invertIfNegative val="0"/>
            <spPr>
              <a:solidFill>
                <a:srgbClr val="9FC2EC"/>
              </a:solidFill>
              <a:ln>
                <a:noFill/>
                <a:prstDash val="solid"/>
              </a:ln>
            </spPr>
          </dPt>
          <dPt>
            <idx val="71"/>
            <invertIfNegative val="0"/>
            <spPr>
              <a:solidFill>
                <a:srgbClr val="9FC2EC"/>
              </a:solidFill>
              <a:ln>
                <a:noFill/>
                <a:prstDash val="solid"/>
              </a:ln>
            </spPr>
          </dPt>
          <dPt>
            <idx val="72"/>
            <invertIfNegative val="0"/>
            <spPr>
              <a:solidFill>
                <a:srgbClr val="9FC2EC"/>
              </a:solidFill>
              <a:ln>
                <a:noFill/>
                <a:prstDash val="solid"/>
              </a:ln>
            </spPr>
          </dPt>
          <dPt>
            <idx val="73"/>
            <invertIfNegative val="0"/>
            <spPr>
              <a:solidFill>
                <a:srgbClr val="9FC2EC"/>
              </a:solidFill>
              <a:ln>
                <a:noFill/>
                <a:prstDash val="solid"/>
              </a:ln>
            </spPr>
          </dPt>
          <dPt>
            <idx val="74"/>
            <invertIfNegative val="0"/>
            <spPr>
              <a:solidFill>
                <a:srgbClr val="9FC2EC"/>
              </a:solidFill>
              <a:ln>
                <a:noFill/>
                <a:prstDash val="solid"/>
              </a:ln>
            </spPr>
          </dPt>
          <dPt>
            <idx val="75"/>
            <invertIfNegative val="0"/>
            <spPr>
              <a:solidFill>
                <a:srgbClr val="9FC2EC"/>
              </a:solidFill>
              <a:ln>
                <a:noFill/>
                <a:prstDash val="solid"/>
              </a:ln>
            </spPr>
          </dPt>
          <dPt>
            <idx val="76"/>
            <invertIfNegative val="0"/>
            <spPr>
              <a:solidFill>
                <a:srgbClr val="9FC2EC"/>
              </a:solidFill>
              <a:ln>
                <a:noFill/>
                <a:prstDash val="solid"/>
              </a:ln>
            </spPr>
          </dPt>
          <dPt>
            <idx val="77"/>
            <invertIfNegative val="0"/>
            <spPr>
              <a:solidFill>
                <a:srgbClr val="9FC2EC"/>
              </a:solidFill>
              <a:ln>
                <a:noFill/>
                <a:prstDash val="solid"/>
              </a:ln>
            </spPr>
          </dPt>
          <dPt>
            <idx val="78"/>
            <invertIfNegative val="0"/>
            <spPr>
              <a:solidFill>
                <a:srgbClr val="9FC2EC"/>
              </a:solidFill>
              <a:ln>
                <a:noFill/>
                <a:prstDash val="solid"/>
              </a:ln>
            </spPr>
          </dPt>
          <dPt>
            <idx val="79"/>
            <invertIfNegative val="0"/>
            <spPr>
              <a:solidFill>
                <a:srgbClr val="9FC2EC"/>
              </a:solidFill>
              <a:ln>
                <a:noFill/>
                <a:prstDash val="solid"/>
              </a:ln>
            </spPr>
          </dPt>
          <dPt>
            <idx val="80"/>
            <invertIfNegative val="0"/>
            <spPr>
              <a:solidFill>
                <a:srgbClr val="9FC2EC"/>
              </a:solidFill>
              <a:ln>
                <a:noFill/>
                <a:prstDash val="solid"/>
              </a:ln>
            </spPr>
          </dPt>
          <dPt>
            <idx val="81"/>
            <invertIfNegative val="0"/>
            <spPr>
              <a:solidFill>
                <a:srgbClr val="9FC2EC"/>
              </a:solidFill>
              <a:ln>
                <a:noFill/>
                <a:prstDash val="solid"/>
              </a:ln>
            </spPr>
          </dPt>
          <dPt>
            <idx val="82"/>
            <invertIfNegative val="0"/>
            <spPr>
              <a:solidFill>
                <a:srgbClr val="9FC2EC"/>
              </a:solidFill>
              <a:ln>
                <a:noFill/>
                <a:prstDash val="solid"/>
              </a:ln>
            </spPr>
          </dPt>
          <dPt>
            <idx val="83"/>
            <invertIfNegative val="0"/>
            <spPr>
              <a:solidFill>
                <a:srgbClr val="9FC2EC"/>
              </a:solidFill>
              <a:ln>
                <a:noFill/>
                <a:prstDash val="solid"/>
              </a:ln>
            </spPr>
          </dPt>
          <dPt>
            <idx val="84"/>
            <invertIfNegative val="0"/>
            <spPr>
              <a:solidFill>
                <a:srgbClr val="9FC2EC"/>
              </a:solidFill>
              <a:ln>
                <a:noFill/>
                <a:prstDash val="solid"/>
              </a:ln>
            </spPr>
          </dPt>
          <dPt>
            <idx val="85"/>
            <invertIfNegative val="0"/>
            <spPr>
              <a:solidFill>
                <a:srgbClr val="9FC2EC"/>
              </a:solidFill>
              <a:ln>
                <a:noFill/>
                <a:prstDash val="solid"/>
              </a:ln>
            </spPr>
          </dPt>
          <dPt>
            <idx val="86"/>
            <invertIfNegative val="0"/>
            <spPr>
              <a:solidFill>
                <a:srgbClr val="9FC2EC"/>
              </a:solidFill>
              <a:ln>
                <a:noFill/>
                <a:prstDash val="solid"/>
              </a:ln>
            </spPr>
          </dPt>
          <dPt>
            <idx val="87"/>
            <invertIfNegative val="0"/>
            <spPr>
              <a:solidFill>
                <a:srgbClr val="9FC2EC"/>
              </a:solidFill>
              <a:ln>
                <a:noFill/>
                <a:prstDash val="solid"/>
              </a:ln>
            </spPr>
          </dPt>
          <dPt>
            <idx val="88"/>
            <invertIfNegative val="0"/>
            <spPr>
              <a:solidFill>
                <a:srgbClr val="9FC2EC"/>
              </a:solidFill>
              <a:ln>
                <a:noFill/>
                <a:prstDash val="solid"/>
              </a:ln>
            </spPr>
          </dPt>
          <dPt>
            <idx val="89"/>
            <invertIfNegative val="0"/>
            <spPr>
              <a:solidFill>
                <a:srgbClr val="9FC2EC"/>
              </a:solidFill>
              <a:ln>
                <a:noFill/>
                <a:prstDash val="solid"/>
              </a:ln>
            </spPr>
          </dPt>
          <dPt>
            <idx val="90"/>
            <invertIfNegative val="0"/>
            <spPr>
              <a:solidFill>
                <a:srgbClr val="9FC2EC"/>
              </a:solidFill>
              <a:ln>
                <a:noFill/>
                <a:prstDash val="solid"/>
              </a:ln>
            </spPr>
          </dPt>
          <dPt>
            <idx val="91"/>
            <invertIfNegative val="0"/>
            <spPr>
              <a:solidFill>
                <a:srgbClr val="9FC2EC"/>
              </a:solidFill>
              <a:ln>
                <a:noFill/>
                <a:prstDash val="solid"/>
              </a:ln>
            </spPr>
          </dPt>
          <dPt>
            <idx val="92"/>
            <invertIfNegative val="0"/>
            <spPr>
              <a:solidFill>
                <a:srgbClr val="9FC2EC"/>
              </a:solidFill>
              <a:ln>
                <a:noFill/>
                <a:prstDash val="solid"/>
              </a:ln>
            </spPr>
          </dPt>
          <dPt>
            <idx val="93"/>
            <invertIfNegative val="0"/>
            <spPr>
              <a:solidFill>
                <a:srgbClr val="9FC2EC"/>
              </a:solidFill>
              <a:ln>
                <a:noFill/>
                <a:prstDash val="solid"/>
              </a:ln>
            </spPr>
          </dPt>
          <dPt>
            <idx val="94"/>
            <invertIfNegative val="0"/>
            <spPr>
              <a:solidFill>
                <a:srgbClr val="9FC2EC"/>
              </a:solidFill>
              <a:ln>
                <a:noFill/>
                <a:prstDash val="solid"/>
              </a:ln>
            </spPr>
          </dPt>
          <dPt>
            <idx val="95"/>
            <invertIfNegative val="0"/>
            <spPr>
              <a:solidFill>
                <a:srgbClr val="9FC2EC"/>
              </a:solidFill>
              <a:ln>
                <a:noFill/>
                <a:prstDash val="solid"/>
              </a:ln>
            </spPr>
          </dPt>
          <dPt>
            <idx val="96"/>
            <invertIfNegative val="0"/>
            <spPr>
              <a:solidFill>
                <a:srgbClr val="D4E4F6"/>
              </a:solidFill>
              <a:ln>
                <a:noFill/>
                <a:prstDash val="solid"/>
              </a:ln>
            </spPr>
          </dPt>
          <dPt>
            <idx val="97"/>
            <invertIfNegative val="0"/>
            <spPr>
              <a:solidFill>
                <a:srgbClr val="D4E4F6"/>
              </a:solidFill>
              <a:ln>
                <a:noFill/>
                <a:prstDash val="solid"/>
              </a:ln>
            </spPr>
          </dPt>
          <dPt>
            <idx val="98"/>
            <invertIfNegative val="0"/>
            <spPr>
              <a:solidFill>
                <a:srgbClr val="D4E4F6"/>
              </a:solidFill>
              <a:ln>
                <a:noFill/>
                <a:prstDash val="solid"/>
              </a:ln>
            </spPr>
          </dPt>
          <dPt>
            <idx val="99"/>
            <invertIfNegative val="0"/>
            <spPr>
              <a:solidFill>
                <a:srgbClr val="D4E4F6"/>
              </a:solidFill>
              <a:ln>
                <a:noFill/>
                <a:prstDash val="solid"/>
              </a:ln>
            </spPr>
          </dPt>
          <dPt>
            <idx val="100"/>
            <invertIfNegative val="0"/>
            <spPr>
              <a:solidFill>
                <a:srgbClr val="D4E4F6"/>
              </a:solidFill>
              <a:ln>
                <a:noFill/>
                <a:prstDash val="solid"/>
              </a:ln>
            </spPr>
          </dPt>
          <dPt>
            <idx val="101"/>
            <invertIfNegative val="0"/>
            <spPr>
              <a:solidFill>
                <a:srgbClr val="D4E4F6"/>
              </a:solidFill>
              <a:ln>
                <a:noFill/>
                <a:prstDash val="solid"/>
              </a:ln>
            </spPr>
          </dPt>
          <dPt>
            <idx val="102"/>
            <invertIfNegative val="0"/>
            <spPr>
              <a:solidFill>
                <a:srgbClr val="D4E4F6"/>
              </a:solidFill>
              <a:ln>
                <a:noFill/>
                <a:prstDash val="solid"/>
              </a:ln>
            </spPr>
          </dPt>
          <dPt>
            <idx val="103"/>
            <invertIfNegative val="0"/>
            <spPr>
              <a:solidFill>
                <a:srgbClr val="D4E4F6"/>
              </a:solidFill>
              <a:ln>
                <a:noFill/>
                <a:prstDash val="solid"/>
              </a:ln>
            </spPr>
          </dPt>
          <dPt>
            <idx val="104"/>
            <invertIfNegative val="0"/>
            <spPr>
              <a:solidFill>
                <a:srgbClr val="D4E4F6"/>
              </a:solidFill>
              <a:ln>
                <a:noFill/>
                <a:prstDash val="solid"/>
              </a:ln>
            </spPr>
          </dPt>
          <dPt>
            <idx val="105"/>
            <invertIfNegative val="0"/>
            <spPr>
              <a:solidFill>
                <a:srgbClr val="D4E4F6"/>
              </a:solidFill>
              <a:ln>
                <a:noFill/>
                <a:prstDash val="solid"/>
              </a:ln>
            </spPr>
          </dPt>
          <dPt>
            <idx val="106"/>
            <invertIfNegative val="0"/>
            <spPr>
              <a:solidFill>
                <a:srgbClr val="D4E4F6"/>
              </a:solidFill>
              <a:ln>
                <a:noFill/>
                <a:prstDash val="solid"/>
              </a:ln>
            </spPr>
          </dPt>
          <dPt>
            <idx val="107"/>
            <invertIfNegative val="0"/>
            <spPr>
              <a:solidFill>
                <a:srgbClr val="D4E4F6"/>
              </a:solidFill>
              <a:ln>
                <a:noFill/>
                <a:prstDash val="solid"/>
              </a:ln>
            </spPr>
          </dPt>
          <dPt>
            <idx val="108"/>
            <invertIfNegative val="0"/>
            <spPr>
              <a:solidFill>
                <a:srgbClr val="D4E4F6"/>
              </a:solidFill>
              <a:ln>
                <a:noFill/>
                <a:prstDash val="solid"/>
              </a:ln>
            </spPr>
          </dPt>
          <dPt>
            <idx val="109"/>
            <invertIfNegative val="0"/>
            <spPr>
              <a:solidFill>
                <a:srgbClr val="D4E4F6"/>
              </a:solidFill>
              <a:ln>
                <a:noFill/>
                <a:prstDash val="solid"/>
              </a:ln>
            </spPr>
          </dPt>
          <dPt>
            <idx val="110"/>
            <invertIfNegative val="0"/>
            <spPr>
              <a:solidFill>
                <a:srgbClr val="D4E4F6"/>
              </a:solidFill>
              <a:ln>
                <a:noFill/>
                <a:prstDash val="solid"/>
              </a:ln>
            </spPr>
          </dPt>
          <dPt>
            <idx val="111"/>
            <invertIfNegative val="0"/>
            <spPr>
              <a:solidFill>
                <a:srgbClr val="D4E4F6"/>
              </a:solidFill>
              <a:ln>
                <a:noFill/>
                <a:prstDash val="solid"/>
              </a:ln>
            </spPr>
          </dPt>
          <dPt>
            <idx val="112"/>
            <invertIfNegative val="0"/>
            <spPr>
              <a:solidFill>
                <a:srgbClr val="D4E4F6"/>
              </a:solidFill>
              <a:ln>
                <a:noFill/>
                <a:prstDash val="solid"/>
              </a:ln>
            </spPr>
          </dPt>
          <dPt>
            <idx val="113"/>
            <invertIfNegative val="0"/>
            <spPr>
              <a:solidFill>
                <a:srgbClr val="D4E4F6"/>
              </a:solidFill>
              <a:ln>
                <a:noFill/>
                <a:prstDash val="solid"/>
              </a:ln>
            </spPr>
          </dPt>
          <dPt>
            <idx val="114"/>
            <invertIfNegative val="0"/>
            <spPr>
              <a:solidFill>
                <a:srgbClr val="D4E4F6"/>
              </a:solidFill>
              <a:ln>
                <a:noFill/>
                <a:prstDash val="solid"/>
              </a:ln>
            </spPr>
          </dPt>
          <dPt>
            <idx val="115"/>
            <invertIfNegative val="0"/>
            <spPr>
              <a:solidFill>
                <a:srgbClr val="D4E4F6"/>
              </a:solidFill>
              <a:ln>
                <a:noFill/>
                <a:prstDash val="solid"/>
              </a:ln>
            </spPr>
          </dPt>
          <dPt>
            <idx val="116"/>
            <invertIfNegative val="0"/>
            <spPr>
              <a:solidFill>
                <a:srgbClr val="D4E4F6"/>
              </a:solidFill>
              <a:ln>
                <a:noFill/>
                <a:prstDash val="solid"/>
              </a:ln>
            </spPr>
          </dPt>
          <dPt>
            <idx val="117"/>
            <invertIfNegative val="0"/>
            <spPr>
              <a:solidFill>
                <a:srgbClr val="D4E4F6"/>
              </a:solidFill>
              <a:ln>
                <a:noFill/>
                <a:prstDash val="solid"/>
              </a:ln>
            </spPr>
          </dPt>
          <dPt>
            <idx val="118"/>
            <invertIfNegative val="0"/>
            <spPr>
              <a:solidFill>
                <a:srgbClr val="D4E4F6"/>
              </a:solidFill>
              <a:ln>
                <a:noFill/>
                <a:prstDash val="solid"/>
              </a:ln>
            </spPr>
          </dPt>
          <dPt>
            <idx val="119"/>
            <invertIfNegative val="0"/>
            <spPr>
              <a:solidFill>
                <a:srgbClr val="D4E4F6"/>
              </a:solidFill>
              <a:ln>
                <a:noFill/>
                <a:prstDash val="solid"/>
              </a:ln>
            </spPr>
          </dPt>
          <dPt>
            <idx val="120"/>
            <invertIfNegative val="0"/>
            <spPr>
              <a:solidFill>
                <a:srgbClr val="D4E4F6"/>
              </a:solidFill>
              <a:ln>
                <a:noFill/>
                <a:prstDash val="solid"/>
              </a:ln>
            </spPr>
          </dPt>
          <dPt>
            <idx val="121"/>
            <invertIfNegative val="0"/>
            <spPr>
              <a:solidFill>
                <a:srgbClr val="D4E4F6"/>
              </a:solidFill>
              <a:ln>
                <a:noFill/>
                <a:prstDash val="solid"/>
              </a:ln>
            </spPr>
          </dPt>
          <dPt>
            <idx val="122"/>
            <invertIfNegative val="0"/>
            <spPr>
              <a:solidFill>
                <a:srgbClr val="D4E4F6"/>
              </a:solidFill>
              <a:ln>
                <a:noFill/>
                <a:prstDash val="solid"/>
              </a:ln>
            </spPr>
          </dPt>
          <dPt>
            <idx val="123"/>
            <invertIfNegative val="0"/>
            <spPr>
              <a:solidFill>
                <a:srgbClr val="D4E4F6"/>
              </a:solidFill>
              <a:ln>
                <a:noFill/>
                <a:prstDash val="solid"/>
              </a:ln>
            </spPr>
          </dPt>
          <dPt>
            <idx val="124"/>
            <invertIfNegative val="0"/>
            <spPr>
              <a:solidFill>
                <a:srgbClr val="D4E4F6"/>
              </a:solidFill>
              <a:ln>
                <a:noFill/>
                <a:prstDash val="solid"/>
              </a:ln>
            </spPr>
          </dPt>
          <dPt>
            <idx val="125"/>
            <invertIfNegative val="0"/>
            <spPr>
              <a:solidFill>
                <a:srgbClr val="D4E4F6"/>
              </a:solidFill>
              <a:ln>
                <a:noFill/>
                <a:prstDash val="solid"/>
              </a:ln>
            </spPr>
          </dPt>
          <dPt>
            <idx val="126"/>
            <invertIfNegative val="0"/>
            <spPr>
              <a:solidFill>
                <a:srgbClr val="D4E4F6"/>
              </a:solidFill>
              <a:ln>
                <a:noFill/>
                <a:prstDash val="solid"/>
              </a:ln>
            </spPr>
          </dPt>
          <dPt>
            <idx val="127"/>
            <invertIfNegative val="0"/>
            <spPr>
              <a:solidFill>
                <a:srgbClr val="D4E4F6"/>
              </a:solidFill>
              <a:ln>
                <a:noFill/>
                <a:prstDash val="solid"/>
              </a:ln>
            </spPr>
          </dPt>
          <dPt>
            <idx val="128"/>
            <invertIfNegative val="0"/>
            <spPr>
              <a:solidFill>
                <a:srgbClr val="D4E4F6"/>
              </a:solidFill>
              <a:ln>
                <a:noFill/>
                <a:prstDash val="solid"/>
              </a:ln>
            </spPr>
          </dPt>
          <dPt>
            <idx val="129"/>
            <invertIfNegative val="0"/>
            <spPr>
              <a:solidFill>
                <a:srgbClr val="D4E4F6"/>
              </a:solidFill>
              <a:ln>
                <a:noFill/>
                <a:prstDash val="solid"/>
              </a:ln>
            </spPr>
          </dPt>
          <dPt>
            <idx val="130"/>
            <invertIfNegative val="0"/>
            <spPr>
              <a:solidFill>
                <a:srgbClr val="D4E4F6"/>
              </a:solidFill>
              <a:ln>
                <a:noFill/>
                <a:prstDash val="solid"/>
              </a:ln>
            </spPr>
          </dPt>
          <dPt>
            <idx val="131"/>
            <invertIfNegative val="0"/>
            <spPr>
              <a:solidFill>
                <a:srgbClr val="D4E4F6"/>
              </a:solidFill>
              <a:ln>
                <a:noFill/>
                <a:prstDash val="solid"/>
              </a:ln>
            </spPr>
          </dPt>
          <dPt>
            <idx val="132"/>
            <invertIfNegative val="0"/>
            <spPr>
              <a:solidFill>
                <a:srgbClr val="D4E4F6"/>
              </a:solidFill>
              <a:ln>
                <a:noFill/>
                <a:prstDash val="solid"/>
              </a:ln>
            </spPr>
          </dPt>
          <dPt>
            <idx val="133"/>
            <invertIfNegative val="0"/>
            <spPr>
              <a:solidFill>
                <a:srgbClr val="D4E4F6"/>
              </a:solidFill>
              <a:ln>
                <a:noFill/>
                <a:prstDash val="solid"/>
              </a:ln>
            </spPr>
          </dPt>
          <dPt>
            <idx val="134"/>
            <invertIfNegative val="0"/>
            <spPr>
              <a:solidFill>
                <a:srgbClr val="D4E4F6"/>
              </a:solidFill>
              <a:ln>
                <a:noFill/>
                <a:prstDash val="solid"/>
              </a:ln>
            </spPr>
          </dPt>
          <dPt>
            <idx val="135"/>
            <invertIfNegative val="0"/>
            <spPr>
              <a:solidFill>
                <a:srgbClr val="D4E4F6"/>
              </a:solidFill>
              <a:ln>
                <a:noFill/>
                <a:prstDash val="solid"/>
              </a:ln>
            </spPr>
          </dPt>
          <dPt>
            <idx val="136"/>
            <invertIfNegative val="0"/>
            <spPr>
              <a:solidFill>
                <a:srgbClr val="D4E4F6"/>
              </a:solidFill>
              <a:ln>
                <a:noFill/>
                <a:prstDash val="solid"/>
              </a:ln>
            </spPr>
          </dPt>
          <dPt>
            <idx val="137"/>
            <invertIfNegative val="0"/>
            <spPr>
              <a:solidFill>
                <a:srgbClr val="D4E4F6"/>
              </a:solidFill>
              <a:ln>
                <a:noFill/>
                <a:prstDash val="solid"/>
              </a:ln>
            </spPr>
          </dPt>
          <dPt>
            <idx val="138"/>
            <invertIfNegative val="0"/>
            <spPr>
              <a:solidFill>
                <a:srgbClr val="D4E4F6"/>
              </a:solidFill>
              <a:ln>
                <a:noFill/>
                <a:prstDash val="solid"/>
              </a:ln>
            </spPr>
          </dPt>
          <dPt>
            <idx val="139"/>
            <invertIfNegative val="0"/>
            <spPr>
              <a:solidFill>
                <a:srgbClr val="D4E4F6"/>
              </a:solidFill>
              <a:ln>
                <a:noFill/>
                <a:prstDash val="solid"/>
              </a:ln>
            </spPr>
          </dPt>
          <dPt>
            <idx val="140"/>
            <invertIfNegative val="0"/>
            <spPr>
              <a:solidFill>
                <a:srgbClr val="D4E4F6"/>
              </a:solidFill>
              <a:ln>
                <a:noFill/>
                <a:prstDash val="solid"/>
              </a:ln>
            </spPr>
          </dPt>
          <dPt>
            <idx val="141"/>
            <invertIfNegative val="0"/>
            <spPr>
              <a:solidFill>
                <a:srgbClr val="D4E4F6"/>
              </a:solidFill>
              <a:ln>
                <a:noFill/>
                <a:prstDash val="solid"/>
              </a:ln>
            </spPr>
          </dPt>
          <dPt>
            <idx val="142"/>
            <invertIfNegative val="0"/>
            <spPr>
              <a:solidFill>
                <a:srgbClr val="D4E4F6"/>
              </a:solidFill>
              <a:ln>
                <a:noFill/>
                <a:prstDash val="solid"/>
              </a:ln>
            </spPr>
          </dPt>
          <dPt>
            <idx val="143"/>
            <invertIfNegative val="0"/>
            <spPr>
              <a:solidFill>
                <a:srgbClr val="D4E4F6"/>
              </a:solidFill>
              <a:ln>
                <a:noFill/>
                <a:prstDash val="solid"/>
              </a:ln>
            </spPr>
          </dPt>
          <dPt>
            <idx val="144"/>
            <invertIfNegative val="0"/>
            <spPr>
              <a:solidFill>
                <a:srgbClr val="D4E4F6"/>
              </a:solidFill>
              <a:ln>
                <a:noFill/>
                <a:prstDash val="solid"/>
              </a:ln>
            </spPr>
          </dPt>
          <dPt>
            <idx val="145"/>
            <invertIfNegative val="0"/>
            <spPr>
              <a:solidFill>
                <a:srgbClr val="D4E4F6"/>
              </a:solidFill>
              <a:ln>
                <a:noFill/>
                <a:prstDash val="solid"/>
              </a:ln>
            </spPr>
          </dPt>
          <dPt>
            <idx val="146"/>
            <invertIfNegative val="0"/>
            <spPr>
              <a:solidFill>
                <a:srgbClr val="D4E4F6"/>
              </a:solidFill>
              <a:ln>
                <a:noFill/>
                <a:prstDash val="solid"/>
              </a:ln>
            </spPr>
          </dPt>
          <dPt>
            <idx val="147"/>
            <invertIfNegative val="0"/>
            <spPr>
              <a:solidFill>
                <a:srgbClr val="D4E4F6"/>
              </a:solidFill>
              <a:ln>
                <a:noFill/>
                <a:prstDash val="solid"/>
              </a:ln>
            </spPr>
          </dPt>
          <dPt>
            <idx val="148"/>
            <invertIfNegative val="0"/>
            <spPr>
              <a:solidFill>
                <a:srgbClr val="D4E4F6"/>
              </a:solidFill>
              <a:ln>
                <a:noFill/>
                <a:prstDash val="solid"/>
              </a:ln>
            </spPr>
          </dPt>
          <dPt>
            <idx val="149"/>
            <invertIfNegative val="0"/>
            <spPr>
              <a:solidFill>
                <a:srgbClr val="D4E4F6"/>
              </a:solidFill>
              <a:ln>
                <a:noFill/>
                <a:prstDash val="solid"/>
              </a:ln>
            </spPr>
          </dPt>
          <dPt>
            <idx val="150"/>
            <invertIfNegative val="0"/>
            <spPr>
              <a:solidFill>
                <a:srgbClr val="D4E4F6"/>
              </a:solidFill>
              <a:ln>
                <a:noFill/>
                <a:prstDash val="solid"/>
              </a:ln>
            </spPr>
          </dPt>
          <dPt>
            <idx val="151"/>
            <invertIfNegative val="0"/>
            <spPr>
              <a:solidFill>
                <a:srgbClr val="D4E4F6"/>
              </a:solidFill>
              <a:ln>
                <a:noFill/>
                <a:prstDash val="solid"/>
              </a:ln>
            </spPr>
          </dPt>
          <dPt>
            <idx val="152"/>
            <invertIfNegative val="0"/>
            <spPr>
              <a:solidFill>
                <a:srgbClr val="D4E4F6"/>
              </a:solidFill>
              <a:ln>
                <a:noFill/>
                <a:prstDash val="solid"/>
              </a:ln>
            </spPr>
          </dPt>
          <dPt>
            <idx val="153"/>
            <invertIfNegative val="0"/>
            <spPr>
              <a:solidFill>
                <a:srgbClr val="D4E4F6"/>
              </a:solidFill>
              <a:ln>
                <a:noFill/>
                <a:prstDash val="solid"/>
              </a:ln>
            </spPr>
          </dPt>
          <dPt>
            <idx val="154"/>
            <invertIfNegative val="0"/>
            <spPr>
              <a:solidFill>
                <a:srgbClr val="D4E4F6"/>
              </a:solidFill>
              <a:ln>
                <a:noFill/>
                <a:prstDash val="solid"/>
              </a:ln>
            </spPr>
          </dPt>
          <dPt>
            <idx val="155"/>
            <invertIfNegative val="0"/>
            <spPr>
              <a:solidFill>
                <a:srgbClr val="D4E4F6"/>
              </a:solidFill>
              <a:ln>
                <a:noFill/>
                <a:prstDash val="solid"/>
              </a:ln>
            </spPr>
          </dPt>
          <cat>
            <numRef>
              <f>'Chart - Louisiana'!$A$2:$A$157</f>
            </numRef>
          </cat>
          <val>
            <numRef>
              <f>'Chart - Louisiana'!$B$2:$B$157</f>
            </numRef>
          </val>
        </ser>
        <ser>
          <idx val="1"/>
          <order val="1"/>
          <tx>
            <strRef>
              <f>'Chart - Louisiana'!C1</f>
            </strRef>
          </tx>
          <spPr>
            <a:solidFill>
              <a:srgbClr val="EB6834"/>
            </a:solidFill>
            <a:ln>
              <a:noFill/>
              <a:prstDash val="solid"/>
            </a:ln>
          </spPr>
          <dPt>
            <idx val="67"/>
            <invertIfNegative val="0"/>
            <spPr>
              <a:solidFill>
                <a:srgbClr val="F6BBA3"/>
              </a:solidFill>
              <a:ln>
                <a:noFill/>
                <a:prstDash val="solid"/>
              </a:ln>
            </spPr>
          </dPt>
          <dPt>
            <idx val="68"/>
            <invertIfNegative val="0"/>
            <spPr>
              <a:solidFill>
                <a:srgbClr val="F6BBA3"/>
              </a:solidFill>
              <a:ln>
                <a:noFill/>
                <a:prstDash val="solid"/>
              </a:ln>
            </spPr>
          </dPt>
          <dPt>
            <idx val="69"/>
            <invertIfNegative val="0"/>
            <spPr>
              <a:solidFill>
                <a:srgbClr val="F6BBA3"/>
              </a:solidFill>
              <a:ln>
                <a:noFill/>
                <a:prstDash val="solid"/>
              </a:ln>
            </spPr>
          </dPt>
          <dPt>
            <idx val="70"/>
            <invertIfNegative val="0"/>
            <spPr>
              <a:solidFill>
                <a:srgbClr val="F6BBA3"/>
              </a:solidFill>
              <a:ln>
                <a:noFill/>
                <a:prstDash val="solid"/>
              </a:ln>
            </spPr>
          </dPt>
          <dPt>
            <idx val="71"/>
            <invertIfNegative val="0"/>
            <spPr>
              <a:solidFill>
                <a:srgbClr val="F6BBA3"/>
              </a:solidFill>
              <a:ln>
                <a:noFill/>
                <a:prstDash val="solid"/>
              </a:ln>
            </spPr>
          </dPt>
          <dPt>
            <idx val="72"/>
            <invertIfNegative val="0"/>
            <spPr>
              <a:solidFill>
                <a:srgbClr val="F6BBA3"/>
              </a:solidFill>
              <a:ln>
                <a:noFill/>
                <a:prstDash val="solid"/>
              </a:ln>
            </spPr>
          </dPt>
          <dPt>
            <idx val="73"/>
            <invertIfNegative val="0"/>
            <spPr>
              <a:solidFill>
                <a:srgbClr val="F6BBA3"/>
              </a:solidFill>
              <a:ln>
                <a:noFill/>
                <a:prstDash val="solid"/>
              </a:ln>
            </spPr>
          </dPt>
          <dPt>
            <idx val="74"/>
            <invertIfNegative val="0"/>
            <spPr>
              <a:solidFill>
                <a:srgbClr val="F6BBA3"/>
              </a:solidFill>
              <a:ln>
                <a:noFill/>
                <a:prstDash val="solid"/>
              </a:ln>
            </spPr>
          </dPt>
          <dPt>
            <idx val="75"/>
            <invertIfNegative val="0"/>
            <spPr>
              <a:solidFill>
                <a:srgbClr val="F6BBA3"/>
              </a:solidFill>
              <a:ln>
                <a:noFill/>
                <a:prstDash val="solid"/>
              </a:ln>
            </spPr>
          </dPt>
          <dPt>
            <idx val="76"/>
            <invertIfNegative val="0"/>
            <spPr>
              <a:solidFill>
                <a:srgbClr val="F6BBA3"/>
              </a:solidFill>
              <a:ln>
                <a:noFill/>
                <a:prstDash val="solid"/>
              </a:ln>
            </spPr>
          </dPt>
          <dPt>
            <idx val="77"/>
            <invertIfNegative val="0"/>
            <spPr>
              <a:solidFill>
                <a:srgbClr val="F6BBA3"/>
              </a:solidFill>
              <a:ln>
                <a:noFill/>
                <a:prstDash val="solid"/>
              </a:ln>
            </spPr>
          </dPt>
          <dPt>
            <idx val="78"/>
            <invertIfNegative val="0"/>
            <spPr>
              <a:solidFill>
                <a:srgbClr val="F6BBA3"/>
              </a:solidFill>
              <a:ln>
                <a:noFill/>
                <a:prstDash val="solid"/>
              </a:ln>
            </spPr>
          </dPt>
          <dPt>
            <idx val="79"/>
            <invertIfNegative val="0"/>
            <spPr>
              <a:solidFill>
                <a:srgbClr val="F6BBA3"/>
              </a:solidFill>
              <a:ln>
                <a:noFill/>
                <a:prstDash val="solid"/>
              </a:ln>
            </spPr>
          </dPt>
          <dPt>
            <idx val="80"/>
            <invertIfNegative val="0"/>
            <spPr>
              <a:solidFill>
                <a:srgbClr val="F6BBA3"/>
              </a:solidFill>
              <a:ln>
                <a:noFill/>
                <a:prstDash val="solid"/>
              </a:ln>
            </spPr>
          </dPt>
          <dPt>
            <idx val="81"/>
            <invertIfNegative val="0"/>
            <spPr>
              <a:solidFill>
                <a:srgbClr val="F6BBA3"/>
              </a:solidFill>
              <a:ln>
                <a:noFill/>
                <a:prstDash val="solid"/>
              </a:ln>
            </spPr>
          </dPt>
          <dPt>
            <idx val="82"/>
            <invertIfNegative val="0"/>
            <spPr>
              <a:solidFill>
                <a:srgbClr val="F6BBA3"/>
              </a:solidFill>
              <a:ln>
                <a:noFill/>
                <a:prstDash val="solid"/>
              </a:ln>
            </spPr>
          </dPt>
          <dPt>
            <idx val="83"/>
            <invertIfNegative val="0"/>
            <spPr>
              <a:solidFill>
                <a:srgbClr val="F6BBA3"/>
              </a:solidFill>
              <a:ln>
                <a:noFill/>
                <a:prstDash val="solid"/>
              </a:ln>
            </spPr>
          </dPt>
          <dPt>
            <idx val="84"/>
            <invertIfNegative val="0"/>
            <spPr>
              <a:solidFill>
                <a:srgbClr val="F6BBA3"/>
              </a:solidFill>
              <a:ln>
                <a:noFill/>
                <a:prstDash val="solid"/>
              </a:ln>
            </spPr>
          </dPt>
          <dPt>
            <idx val="85"/>
            <invertIfNegative val="0"/>
            <spPr>
              <a:solidFill>
                <a:srgbClr val="F6BBA3"/>
              </a:solidFill>
              <a:ln>
                <a:noFill/>
                <a:prstDash val="solid"/>
              </a:ln>
            </spPr>
          </dPt>
          <dPt>
            <idx val="86"/>
            <invertIfNegative val="0"/>
            <spPr>
              <a:solidFill>
                <a:srgbClr val="F6BBA3"/>
              </a:solidFill>
              <a:ln>
                <a:noFill/>
                <a:prstDash val="solid"/>
              </a:ln>
            </spPr>
          </dPt>
          <dPt>
            <idx val="87"/>
            <invertIfNegative val="0"/>
            <spPr>
              <a:solidFill>
                <a:srgbClr val="F6BBA3"/>
              </a:solidFill>
              <a:ln>
                <a:noFill/>
                <a:prstDash val="solid"/>
              </a:ln>
            </spPr>
          </dPt>
          <dPt>
            <idx val="88"/>
            <invertIfNegative val="0"/>
            <spPr>
              <a:solidFill>
                <a:srgbClr val="F6BBA3"/>
              </a:solidFill>
              <a:ln>
                <a:noFill/>
                <a:prstDash val="solid"/>
              </a:ln>
            </spPr>
          </dPt>
          <dPt>
            <idx val="89"/>
            <invertIfNegative val="0"/>
            <spPr>
              <a:solidFill>
                <a:srgbClr val="F6BBA3"/>
              </a:solidFill>
              <a:ln>
                <a:noFill/>
                <a:prstDash val="solid"/>
              </a:ln>
            </spPr>
          </dPt>
          <dPt>
            <idx val="90"/>
            <invertIfNegative val="0"/>
            <spPr>
              <a:solidFill>
                <a:srgbClr val="F6BBA3"/>
              </a:solidFill>
              <a:ln>
                <a:noFill/>
                <a:prstDash val="solid"/>
              </a:ln>
            </spPr>
          </dPt>
          <dPt>
            <idx val="91"/>
            <invertIfNegative val="0"/>
            <spPr>
              <a:solidFill>
                <a:srgbClr val="F6BBA3"/>
              </a:solidFill>
              <a:ln>
                <a:noFill/>
                <a:prstDash val="solid"/>
              </a:ln>
            </spPr>
          </dPt>
          <dPt>
            <idx val="92"/>
            <invertIfNegative val="0"/>
            <spPr>
              <a:solidFill>
                <a:srgbClr val="F6BBA3"/>
              </a:solidFill>
              <a:ln>
                <a:noFill/>
                <a:prstDash val="solid"/>
              </a:ln>
            </spPr>
          </dPt>
          <dPt>
            <idx val="93"/>
            <invertIfNegative val="0"/>
            <spPr>
              <a:solidFill>
                <a:srgbClr val="F6BBA3"/>
              </a:solidFill>
              <a:ln>
                <a:noFill/>
                <a:prstDash val="solid"/>
              </a:ln>
            </spPr>
          </dPt>
          <dPt>
            <idx val="94"/>
            <invertIfNegative val="0"/>
            <spPr>
              <a:solidFill>
                <a:srgbClr val="F6BBA3"/>
              </a:solidFill>
              <a:ln>
                <a:noFill/>
                <a:prstDash val="solid"/>
              </a:ln>
            </spPr>
          </dPt>
          <dPt>
            <idx val="95"/>
            <invertIfNegative val="0"/>
            <spPr>
              <a:solidFill>
                <a:srgbClr val="F6BBA3"/>
              </a:solidFill>
              <a:ln>
                <a:noFill/>
                <a:prstDash val="solid"/>
              </a:ln>
            </spPr>
          </dPt>
          <dPt>
            <idx val="96"/>
            <invertIfNegative val="0"/>
            <spPr>
              <a:solidFill>
                <a:srgbClr val="FBE0D6"/>
              </a:solidFill>
              <a:ln>
                <a:noFill/>
                <a:prstDash val="solid"/>
              </a:ln>
            </spPr>
          </dPt>
          <dPt>
            <idx val="97"/>
            <invertIfNegative val="0"/>
            <spPr>
              <a:solidFill>
                <a:srgbClr val="FBE0D6"/>
              </a:solidFill>
              <a:ln>
                <a:noFill/>
                <a:prstDash val="solid"/>
              </a:ln>
            </spPr>
          </dPt>
          <dPt>
            <idx val="98"/>
            <invertIfNegative val="0"/>
            <spPr>
              <a:solidFill>
                <a:srgbClr val="FBE0D6"/>
              </a:solidFill>
              <a:ln>
                <a:noFill/>
                <a:prstDash val="solid"/>
              </a:ln>
            </spPr>
          </dPt>
          <dPt>
            <idx val="99"/>
            <invertIfNegative val="0"/>
            <spPr>
              <a:solidFill>
                <a:srgbClr val="FBE0D6"/>
              </a:solidFill>
              <a:ln>
                <a:noFill/>
                <a:prstDash val="solid"/>
              </a:ln>
            </spPr>
          </dPt>
          <dPt>
            <idx val="100"/>
            <invertIfNegative val="0"/>
            <spPr>
              <a:solidFill>
                <a:srgbClr val="FBE0D6"/>
              </a:solidFill>
              <a:ln>
                <a:noFill/>
                <a:prstDash val="solid"/>
              </a:ln>
            </spPr>
          </dPt>
          <dPt>
            <idx val="101"/>
            <invertIfNegative val="0"/>
            <spPr>
              <a:solidFill>
                <a:srgbClr val="FBE0D6"/>
              </a:solidFill>
              <a:ln>
                <a:noFill/>
                <a:prstDash val="solid"/>
              </a:ln>
            </spPr>
          </dPt>
          <dPt>
            <idx val="102"/>
            <invertIfNegative val="0"/>
            <spPr>
              <a:solidFill>
                <a:srgbClr val="FBE0D6"/>
              </a:solidFill>
              <a:ln>
                <a:noFill/>
                <a:prstDash val="solid"/>
              </a:ln>
            </spPr>
          </dPt>
          <dPt>
            <idx val="103"/>
            <invertIfNegative val="0"/>
            <spPr>
              <a:solidFill>
                <a:srgbClr val="FBE0D6"/>
              </a:solidFill>
              <a:ln>
                <a:noFill/>
                <a:prstDash val="solid"/>
              </a:ln>
            </spPr>
          </dPt>
          <dPt>
            <idx val="104"/>
            <invertIfNegative val="0"/>
            <spPr>
              <a:solidFill>
                <a:srgbClr val="FBE0D6"/>
              </a:solidFill>
              <a:ln>
                <a:noFill/>
                <a:prstDash val="solid"/>
              </a:ln>
            </spPr>
          </dPt>
          <dPt>
            <idx val="105"/>
            <invertIfNegative val="0"/>
            <spPr>
              <a:solidFill>
                <a:srgbClr val="FBE0D6"/>
              </a:solidFill>
              <a:ln>
                <a:noFill/>
                <a:prstDash val="solid"/>
              </a:ln>
            </spPr>
          </dPt>
          <dPt>
            <idx val="106"/>
            <invertIfNegative val="0"/>
            <spPr>
              <a:solidFill>
                <a:srgbClr val="FBE0D6"/>
              </a:solidFill>
              <a:ln>
                <a:noFill/>
                <a:prstDash val="solid"/>
              </a:ln>
            </spPr>
          </dPt>
          <dPt>
            <idx val="107"/>
            <invertIfNegative val="0"/>
            <spPr>
              <a:solidFill>
                <a:srgbClr val="FBE0D6"/>
              </a:solidFill>
              <a:ln>
                <a:noFill/>
                <a:prstDash val="solid"/>
              </a:ln>
            </spPr>
          </dPt>
          <dPt>
            <idx val="108"/>
            <invertIfNegative val="0"/>
            <spPr>
              <a:solidFill>
                <a:srgbClr val="FBE0D6"/>
              </a:solidFill>
              <a:ln>
                <a:noFill/>
                <a:prstDash val="solid"/>
              </a:ln>
            </spPr>
          </dPt>
          <dPt>
            <idx val="109"/>
            <invertIfNegative val="0"/>
            <spPr>
              <a:solidFill>
                <a:srgbClr val="FBE0D6"/>
              </a:solidFill>
              <a:ln>
                <a:noFill/>
                <a:prstDash val="solid"/>
              </a:ln>
            </spPr>
          </dPt>
          <dPt>
            <idx val="110"/>
            <invertIfNegative val="0"/>
            <spPr>
              <a:solidFill>
                <a:srgbClr val="FBE0D6"/>
              </a:solidFill>
              <a:ln>
                <a:noFill/>
                <a:prstDash val="solid"/>
              </a:ln>
            </spPr>
          </dPt>
          <dPt>
            <idx val="111"/>
            <invertIfNegative val="0"/>
            <spPr>
              <a:solidFill>
                <a:srgbClr val="FBE0D6"/>
              </a:solidFill>
              <a:ln>
                <a:noFill/>
                <a:prstDash val="solid"/>
              </a:ln>
            </spPr>
          </dPt>
          <dPt>
            <idx val="112"/>
            <invertIfNegative val="0"/>
            <spPr>
              <a:solidFill>
                <a:srgbClr val="FBE0D6"/>
              </a:solidFill>
              <a:ln>
                <a:noFill/>
                <a:prstDash val="solid"/>
              </a:ln>
            </spPr>
          </dPt>
          <dPt>
            <idx val="113"/>
            <invertIfNegative val="0"/>
            <spPr>
              <a:solidFill>
                <a:srgbClr val="FBE0D6"/>
              </a:solidFill>
              <a:ln>
                <a:noFill/>
                <a:prstDash val="solid"/>
              </a:ln>
            </spPr>
          </dPt>
          <dPt>
            <idx val="114"/>
            <invertIfNegative val="0"/>
            <spPr>
              <a:solidFill>
                <a:srgbClr val="FBE0D6"/>
              </a:solidFill>
              <a:ln>
                <a:noFill/>
                <a:prstDash val="solid"/>
              </a:ln>
            </spPr>
          </dPt>
          <dPt>
            <idx val="115"/>
            <invertIfNegative val="0"/>
            <spPr>
              <a:solidFill>
                <a:srgbClr val="FBE0D6"/>
              </a:solidFill>
              <a:ln>
                <a:noFill/>
                <a:prstDash val="solid"/>
              </a:ln>
            </spPr>
          </dPt>
          <dPt>
            <idx val="116"/>
            <invertIfNegative val="0"/>
            <spPr>
              <a:solidFill>
                <a:srgbClr val="FBE0D6"/>
              </a:solidFill>
              <a:ln>
                <a:noFill/>
                <a:prstDash val="solid"/>
              </a:ln>
            </spPr>
          </dPt>
          <dPt>
            <idx val="117"/>
            <invertIfNegative val="0"/>
            <spPr>
              <a:solidFill>
                <a:srgbClr val="FBE0D6"/>
              </a:solidFill>
              <a:ln>
                <a:noFill/>
                <a:prstDash val="solid"/>
              </a:ln>
            </spPr>
          </dPt>
          <dPt>
            <idx val="118"/>
            <invertIfNegative val="0"/>
            <spPr>
              <a:solidFill>
                <a:srgbClr val="FBE0D6"/>
              </a:solidFill>
              <a:ln>
                <a:noFill/>
                <a:prstDash val="solid"/>
              </a:ln>
            </spPr>
          </dPt>
          <dPt>
            <idx val="119"/>
            <invertIfNegative val="0"/>
            <spPr>
              <a:solidFill>
                <a:srgbClr val="FBE0D6"/>
              </a:solidFill>
              <a:ln>
                <a:noFill/>
                <a:prstDash val="solid"/>
              </a:ln>
            </spPr>
          </dPt>
          <dPt>
            <idx val="120"/>
            <invertIfNegative val="0"/>
            <spPr>
              <a:solidFill>
                <a:srgbClr val="FBE0D6"/>
              </a:solidFill>
              <a:ln>
                <a:noFill/>
                <a:prstDash val="solid"/>
              </a:ln>
            </spPr>
          </dPt>
          <dPt>
            <idx val="121"/>
            <invertIfNegative val="0"/>
            <spPr>
              <a:solidFill>
                <a:srgbClr val="FBE0D6"/>
              </a:solidFill>
              <a:ln>
                <a:noFill/>
                <a:prstDash val="solid"/>
              </a:ln>
            </spPr>
          </dPt>
          <dPt>
            <idx val="122"/>
            <invertIfNegative val="0"/>
            <spPr>
              <a:solidFill>
                <a:srgbClr val="FBE0D6"/>
              </a:solidFill>
              <a:ln>
                <a:noFill/>
                <a:prstDash val="solid"/>
              </a:ln>
            </spPr>
          </dPt>
          <dPt>
            <idx val="123"/>
            <invertIfNegative val="0"/>
            <spPr>
              <a:solidFill>
                <a:srgbClr val="FBE0D6"/>
              </a:solidFill>
              <a:ln>
                <a:noFill/>
                <a:prstDash val="solid"/>
              </a:ln>
            </spPr>
          </dPt>
          <dPt>
            <idx val="124"/>
            <invertIfNegative val="0"/>
            <spPr>
              <a:solidFill>
                <a:srgbClr val="FBE0D6"/>
              </a:solidFill>
              <a:ln>
                <a:noFill/>
                <a:prstDash val="solid"/>
              </a:ln>
            </spPr>
          </dPt>
          <dPt>
            <idx val="125"/>
            <invertIfNegative val="0"/>
            <spPr>
              <a:solidFill>
                <a:srgbClr val="FBE0D6"/>
              </a:solidFill>
              <a:ln>
                <a:noFill/>
                <a:prstDash val="solid"/>
              </a:ln>
            </spPr>
          </dPt>
          <dPt>
            <idx val="126"/>
            <invertIfNegative val="0"/>
            <spPr>
              <a:solidFill>
                <a:srgbClr val="FBE0D6"/>
              </a:solidFill>
              <a:ln>
                <a:noFill/>
                <a:prstDash val="solid"/>
              </a:ln>
            </spPr>
          </dPt>
          <dPt>
            <idx val="127"/>
            <invertIfNegative val="0"/>
            <spPr>
              <a:solidFill>
                <a:srgbClr val="FBE0D6"/>
              </a:solidFill>
              <a:ln>
                <a:noFill/>
                <a:prstDash val="solid"/>
              </a:ln>
            </spPr>
          </dPt>
          <dPt>
            <idx val="128"/>
            <invertIfNegative val="0"/>
            <spPr>
              <a:solidFill>
                <a:srgbClr val="FBE0D6"/>
              </a:solidFill>
              <a:ln>
                <a:noFill/>
                <a:prstDash val="solid"/>
              </a:ln>
            </spPr>
          </dPt>
          <dPt>
            <idx val="129"/>
            <invertIfNegative val="0"/>
            <spPr>
              <a:solidFill>
                <a:srgbClr val="FBE0D6"/>
              </a:solidFill>
              <a:ln>
                <a:noFill/>
                <a:prstDash val="solid"/>
              </a:ln>
            </spPr>
          </dPt>
          <dPt>
            <idx val="130"/>
            <invertIfNegative val="0"/>
            <spPr>
              <a:solidFill>
                <a:srgbClr val="FBE0D6"/>
              </a:solidFill>
              <a:ln>
                <a:noFill/>
                <a:prstDash val="solid"/>
              </a:ln>
            </spPr>
          </dPt>
          <dPt>
            <idx val="131"/>
            <invertIfNegative val="0"/>
            <spPr>
              <a:solidFill>
                <a:srgbClr val="FBE0D6"/>
              </a:solidFill>
              <a:ln>
                <a:noFill/>
                <a:prstDash val="solid"/>
              </a:ln>
            </spPr>
          </dPt>
          <dPt>
            <idx val="132"/>
            <invertIfNegative val="0"/>
            <spPr>
              <a:solidFill>
                <a:srgbClr val="FBE0D6"/>
              </a:solidFill>
              <a:ln>
                <a:noFill/>
                <a:prstDash val="solid"/>
              </a:ln>
            </spPr>
          </dPt>
          <dPt>
            <idx val="133"/>
            <invertIfNegative val="0"/>
            <spPr>
              <a:solidFill>
                <a:srgbClr val="FBE0D6"/>
              </a:solidFill>
              <a:ln>
                <a:noFill/>
                <a:prstDash val="solid"/>
              </a:ln>
            </spPr>
          </dPt>
          <dPt>
            <idx val="134"/>
            <invertIfNegative val="0"/>
            <spPr>
              <a:solidFill>
                <a:srgbClr val="FBE0D6"/>
              </a:solidFill>
              <a:ln>
                <a:noFill/>
                <a:prstDash val="solid"/>
              </a:ln>
            </spPr>
          </dPt>
          <dPt>
            <idx val="135"/>
            <invertIfNegative val="0"/>
            <spPr>
              <a:solidFill>
                <a:srgbClr val="FBE0D6"/>
              </a:solidFill>
              <a:ln>
                <a:noFill/>
                <a:prstDash val="solid"/>
              </a:ln>
            </spPr>
          </dPt>
          <dPt>
            <idx val="136"/>
            <invertIfNegative val="0"/>
            <spPr>
              <a:solidFill>
                <a:srgbClr val="FBE0D6"/>
              </a:solidFill>
              <a:ln>
                <a:noFill/>
                <a:prstDash val="solid"/>
              </a:ln>
            </spPr>
          </dPt>
          <dPt>
            <idx val="137"/>
            <invertIfNegative val="0"/>
            <spPr>
              <a:solidFill>
                <a:srgbClr val="FBE0D6"/>
              </a:solidFill>
              <a:ln>
                <a:noFill/>
                <a:prstDash val="solid"/>
              </a:ln>
            </spPr>
          </dPt>
          <dPt>
            <idx val="138"/>
            <invertIfNegative val="0"/>
            <spPr>
              <a:solidFill>
                <a:srgbClr val="FBE0D6"/>
              </a:solidFill>
              <a:ln>
                <a:noFill/>
                <a:prstDash val="solid"/>
              </a:ln>
            </spPr>
          </dPt>
          <dPt>
            <idx val="139"/>
            <invertIfNegative val="0"/>
            <spPr>
              <a:solidFill>
                <a:srgbClr val="FBE0D6"/>
              </a:solidFill>
              <a:ln>
                <a:noFill/>
                <a:prstDash val="solid"/>
              </a:ln>
            </spPr>
          </dPt>
          <dPt>
            <idx val="140"/>
            <invertIfNegative val="0"/>
            <spPr>
              <a:solidFill>
                <a:srgbClr val="FBE0D6"/>
              </a:solidFill>
              <a:ln>
                <a:noFill/>
                <a:prstDash val="solid"/>
              </a:ln>
            </spPr>
          </dPt>
          <dPt>
            <idx val="141"/>
            <invertIfNegative val="0"/>
            <spPr>
              <a:solidFill>
                <a:srgbClr val="FBE0D6"/>
              </a:solidFill>
              <a:ln>
                <a:noFill/>
                <a:prstDash val="solid"/>
              </a:ln>
            </spPr>
          </dPt>
          <dPt>
            <idx val="142"/>
            <invertIfNegative val="0"/>
            <spPr>
              <a:solidFill>
                <a:srgbClr val="FBE0D6"/>
              </a:solidFill>
              <a:ln>
                <a:noFill/>
                <a:prstDash val="solid"/>
              </a:ln>
            </spPr>
          </dPt>
          <dPt>
            <idx val="143"/>
            <invertIfNegative val="0"/>
            <spPr>
              <a:solidFill>
                <a:srgbClr val="FBE0D6"/>
              </a:solidFill>
              <a:ln>
                <a:noFill/>
                <a:prstDash val="solid"/>
              </a:ln>
            </spPr>
          </dPt>
          <dPt>
            <idx val="144"/>
            <invertIfNegative val="0"/>
            <spPr>
              <a:solidFill>
                <a:srgbClr val="FBE0D6"/>
              </a:solidFill>
              <a:ln>
                <a:noFill/>
                <a:prstDash val="solid"/>
              </a:ln>
            </spPr>
          </dPt>
          <dPt>
            <idx val="145"/>
            <invertIfNegative val="0"/>
            <spPr>
              <a:solidFill>
                <a:srgbClr val="FBE0D6"/>
              </a:solidFill>
              <a:ln>
                <a:noFill/>
                <a:prstDash val="solid"/>
              </a:ln>
            </spPr>
          </dPt>
          <dPt>
            <idx val="146"/>
            <invertIfNegative val="0"/>
            <spPr>
              <a:solidFill>
                <a:srgbClr val="FBE0D6"/>
              </a:solidFill>
              <a:ln>
                <a:noFill/>
                <a:prstDash val="solid"/>
              </a:ln>
            </spPr>
          </dPt>
          <dPt>
            <idx val="147"/>
            <invertIfNegative val="0"/>
            <spPr>
              <a:solidFill>
                <a:srgbClr val="FBE0D6"/>
              </a:solidFill>
              <a:ln>
                <a:noFill/>
                <a:prstDash val="solid"/>
              </a:ln>
            </spPr>
          </dPt>
          <dPt>
            <idx val="148"/>
            <invertIfNegative val="0"/>
            <spPr>
              <a:solidFill>
                <a:srgbClr val="FBE0D6"/>
              </a:solidFill>
              <a:ln>
                <a:noFill/>
                <a:prstDash val="solid"/>
              </a:ln>
            </spPr>
          </dPt>
          <dPt>
            <idx val="149"/>
            <invertIfNegative val="0"/>
            <spPr>
              <a:solidFill>
                <a:srgbClr val="FBE0D6"/>
              </a:solidFill>
              <a:ln>
                <a:noFill/>
                <a:prstDash val="solid"/>
              </a:ln>
            </spPr>
          </dPt>
          <dPt>
            <idx val="150"/>
            <invertIfNegative val="0"/>
            <spPr>
              <a:solidFill>
                <a:srgbClr val="FBE0D6"/>
              </a:solidFill>
              <a:ln>
                <a:noFill/>
                <a:prstDash val="solid"/>
              </a:ln>
            </spPr>
          </dPt>
          <dPt>
            <idx val="151"/>
            <invertIfNegative val="0"/>
            <spPr>
              <a:solidFill>
                <a:srgbClr val="FBE0D6"/>
              </a:solidFill>
              <a:ln>
                <a:noFill/>
                <a:prstDash val="solid"/>
              </a:ln>
            </spPr>
          </dPt>
          <dPt>
            <idx val="152"/>
            <invertIfNegative val="0"/>
            <spPr>
              <a:solidFill>
                <a:srgbClr val="FBE0D6"/>
              </a:solidFill>
              <a:ln>
                <a:noFill/>
                <a:prstDash val="solid"/>
              </a:ln>
            </spPr>
          </dPt>
          <dPt>
            <idx val="153"/>
            <invertIfNegative val="0"/>
            <spPr>
              <a:solidFill>
                <a:srgbClr val="FBE0D6"/>
              </a:solidFill>
              <a:ln>
                <a:noFill/>
                <a:prstDash val="solid"/>
              </a:ln>
            </spPr>
          </dPt>
          <dPt>
            <idx val="154"/>
            <invertIfNegative val="0"/>
            <spPr>
              <a:solidFill>
                <a:srgbClr val="FBE0D6"/>
              </a:solidFill>
              <a:ln>
                <a:noFill/>
                <a:prstDash val="solid"/>
              </a:ln>
            </spPr>
          </dPt>
          <dPt>
            <idx val="155"/>
            <invertIfNegative val="0"/>
            <spPr>
              <a:solidFill>
                <a:srgbClr val="FBE0D6"/>
              </a:solidFill>
              <a:ln>
                <a:noFill/>
                <a:prstDash val="solid"/>
              </a:ln>
            </spPr>
          </dPt>
          <cat>
            <numRef>
              <f>'Chart - Louisiana'!$A$2:$A$157</f>
            </numRef>
          </cat>
          <val>
            <numRef>
              <f>'Chart - Louisiana'!$C$2:$C$157</f>
            </numRef>
          </val>
        </ser>
        <ser>
          <idx val="2"/>
          <order val="2"/>
          <tx>
            <strRef>
              <f>'Chart - Louisiana'!D1</f>
            </strRef>
          </tx>
          <spPr>
            <a:solidFill>
              <a:srgbClr val="1BAF7A"/>
            </a:solidFill>
            <a:ln>
              <a:noFill/>
              <a:prstDash val="solid"/>
            </a:ln>
          </spPr>
          <dPt>
            <idx val="67"/>
            <invertIfNegative val="0"/>
            <spPr>
              <a:solidFill>
                <a:srgbClr val="98DBC3"/>
              </a:solidFill>
              <a:ln>
                <a:noFill/>
                <a:prstDash val="solid"/>
              </a:ln>
            </spPr>
          </dPt>
          <dPt>
            <idx val="68"/>
            <invertIfNegative val="0"/>
            <spPr>
              <a:solidFill>
                <a:srgbClr val="98DBC3"/>
              </a:solidFill>
              <a:ln>
                <a:noFill/>
                <a:prstDash val="solid"/>
              </a:ln>
            </spPr>
          </dPt>
          <dPt>
            <idx val="69"/>
            <invertIfNegative val="0"/>
            <spPr>
              <a:solidFill>
                <a:srgbClr val="98DBC3"/>
              </a:solidFill>
              <a:ln>
                <a:noFill/>
                <a:prstDash val="solid"/>
              </a:ln>
            </spPr>
          </dPt>
          <dPt>
            <idx val="70"/>
            <invertIfNegative val="0"/>
            <spPr>
              <a:solidFill>
                <a:srgbClr val="98DBC3"/>
              </a:solidFill>
              <a:ln>
                <a:noFill/>
                <a:prstDash val="solid"/>
              </a:ln>
            </spPr>
          </dPt>
          <dPt>
            <idx val="71"/>
            <invertIfNegative val="0"/>
            <spPr>
              <a:solidFill>
                <a:srgbClr val="98DBC3"/>
              </a:solidFill>
              <a:ln>
                <a:noFill/>
                <a:prstDash val="solid"/>
              </a:ln>
            </spPr>
          </dPt>
          <dPt>
            <idx val="72"/>
            <invertIfNegative val="0"/>
            <spPr>
              <a:solidFill>
                <a:srgbClr val="98DBC3"/>
              </a:solidFill>
              <a:ln>
                <a:noFill/>
                <a:prstDash val="solid"/>
              </a:ln>
            </spPr>
          </dPt>
          <dPt>
            <idx val="73"/>
            <invertIfNegative val="0"/>
            <spPr>
              <a:solidFill>
                <a:srgbClr val="98DBC3"/>
              </a:solidFill>
              <a:ln>
                <a:noFill/>
                <a:prstDash val="solid"/>
              </a:ln>
            </spPr>
          </dPt>
          <dPt>
            <idx val="74"/>
            <invertIfNegative val="0"/>
            <spPr>
              <a:solidFill>
                <a:srgbClr val="98DBC3"/>
              </a:solidFill>
              <a:ln>
                <a:noFill/>
                <a:prstDash val="solid"/>
              </a:ln>
            </spPr>
          </dPt>
          <dPt>
            <idx val="75"/>
            <invertIfNegative val="0"/>
            <spPr>
              <a:solidFill>
                <a:srgbClr val="98DBC3"/>
              </a:solidFill>
              <a:ln>
                <a:noFill/>
                <a:prstDash val="solid"/>
              </a:ln>
            </spPr>
          </dPt>
          <dPt>
            <idx val="76"/>
            <invertIfNegative val="0"/>
            <spPr>
              <a:solidFill>
                <a:srgbClr val="98DBC3"/>
              </a:solidFill>
              <a:ln>
                <a:noFill/>
                <a:prstDash val="solid"/>
              </a:ln>
            </spPr>
          </dPt>
          <dPt>
            <idx val="77"/>
            <invertIfNegative val="0"/>
            <spPr>
              <a:solidFill>
                <a:srgbClr val="98DBC3"/>
              </a:solidFill>
              <a:ln>
                <a:noFill/>
                <a:prstDash val="solid"/>
              </a:ln>
            </spPr>
          </dPt>
          <dPt>
            <idx val="78"/>
            <invertIfNegative val="0"/>
            <spPr>
              <a:solidFill>
                <a:srgbClr val="98DBC3"/>
              </a:solidFill>
              <a:ln>
                <a:noFill/>
                <a:prstDash val="solid"/>
              </a:ln>
            </spPr>
          </dPt>
          <dPt>
            <idx val="79"/>
            <invertIfNegative val="0"/>
            <spPr>
              <a:solidFill>
                <a:srgbClr val="98DBC3"/>
              </a:solidFill>
              <a:ln>
                <a:noFill/>
                <a:prstDash val="solid"/>
              </a:ln>
            </spPr>
          </dPt>
          <dPt>
            <idx val="80"/>
            <invertIfNegative val="0"/>
            <spPr>
              <a:solidFill>
                <a:srgbClr val="98DBC3"/>
              </a:solidFill>
              <a:ln>
                <a:noFill/>
                <a:prstDash val="solid"/>
              </a:ln>
            </spPr>
          </dPt>
          <dPt>
            <idx val="81"/>
            <invertIfNegative val="0"/>
            <spPr>
              <a:solidFill>
                <a:srgbClr val="98DBC3"/>
              </a:solidFill>
              <a:ln>
                <a:noFill/>
                <a:prstDash val="solid"/>
              </a:ln>
            </spPr>
          </dPt>
          <dPt>
            <idx val="82"/>
            <invertIfNegative val="0"/>
            <spPr>
              <a:solidFill>
                <a:srgbClr val="98DBC3"/>
              </a:solidFill>
              <a:ln>
                <a:noFill/>
                <a:prstDash val="solid"/>
              </a:ln>
            </spPr>
          </dPt>
          <dPt>
            <idx val="83"/>
            <invertIfNegative val="0"/>
            <spPr>
              <a:solidFill>
                <a:srgbClr val="98DBC3"/>
              </a:solidFill>
              <a:ln>
                <a:noFill/>
                <a:prstDash val="solid"/>
              </a:ln>
            </spPr>
          </dPt>
          <dPt>
            <idx val="84"/>
            <invertIfNegative val="0"/>
            <spPr>
              <a:solidFill>
                <a:srgbClr val="98DBC3"/>
              </a:solidFill>
              <a:ln>
                <a:noFill/>
                <a:prstDash val="solid"/>
              </a:ln>
            </spPr>
          </dPt>
          <dPt>
            <idx val="85"/>
            <invertIfNegative val="0"/>
            <spPr>
              <a:solidFill>
                <a:srgbClr val="98DBC3"/>
              </a:solidFill>
              <a:ln>
                <a:noFill/>
                <a:prstDash val="solid"/>
              </a:ln>
            </spPr>
          </dPt>
          <dPt>
            <idx val="86"/>
            <invertIfNegative val="0"/>
            <spPr>
              <a:solidFill>
                <a:srgbClr val="98DBC3"/>
              </a:solidFill>
              <a:ln>
                <a:noFill/>
                <a:prstDash val="solid"/>
              </a:ln>
            </spPr>
          </dPt>
          <dPt>
            <idx val="87"/>
            <invertIfNegative val="0"/>
            <spPr>
              <a:solidFill>
                <a:srgbClr val="98DBC3"/>
              </a:solidFill>
              <a:ln>
                <a:noFill/>
                <a:prstDash val="solid"/>
              </a:ln>
            </spPr>
          </dPt>
          <dPt>
            <idx val="88"/>
            <invertIfNegative val="0"/>
            <spPr>
              <a:solidFill>
                <a:srgbClr val="98DBC3"/>
              </a:solidFill>
              <a:ln>
                <a:noFill/>
                <a:prstDash val="solid"/>
              </a:ln>
            </spPr>
          </dPt>
          <dPt>
            <idx val="89"/>
            <invertIfNegative val="0"/>
            <spPr>
              <a:solidFill>
                <a:srgbClr val="98DBC3"/>
              </a:solidFill>
              <a:ln>
                <a:noFill/>
                <a:prstDash val="solid"/>
              </a:ln>
            </spPr>
          </dPt>
          <dPt>
            <idx val="90"/>
            <invertIfNegative val="0"/>
            <spPr>
              <a:solidFill>
                <a:srgbClr val="98DBC3"/>
              </a:solidFill>
              <a:ln>
                <a:noFill/>
                <a:prstDash val="solid"/>
              </a:ln>
            </spPr>
          </dPt>
          <dPt>
            <idx val="91"/>
            <invertIfNegative val="0"/>
            <spPr>
              <a:solidFill>
                <a:srgbClr val="98DBC3"/>
              </a:solidFill>
              <a:ln>
                <a:noFill/>
                <a:prstDash val="solid"/>
              </a:ln>
            </spPr>
          </dPt>
          <dPt>
            <idx val="92"/>
            <invertIfNegative val="0"/>
            <spPr>
              <a:solidFill>
                <a:srgbClr val="98DBC3"/>
              </a:solidFill>
              <a:ln>
                <a:noFill/>
                <a:prstDash val="solid"/>
              </a:ln>
            </spPr>
          </dPt>
          <dPt>
            <idx val="93"/>
            <invertIfNegative val="0"/>
            <spPr>
              <a:solidFill>
                <a:srgbClr val="98DBC3"/>
              </a:solidFill>
              <a:ln>
                <a:noFill/>
                <a:prstDash val="solid"/>
              </a:ln>
            </spPr>
          </dPt>
          <dPt>
            <idx val="94"/>
            <invertIfNegative val="0"/>
            <spPr>
              <a:solidFill>
                <a:srgbClr val="98DBC3"/>
              </a:solidFill>
              <a:ln>
                <a:noFill/>
                <a:prstDash val="solid"/>
              </a:ln>
            </spPr>
          </dPt>
          <dPt>
            <idx val="95"/>
            <invertIfNegative val="0"/>
            <spPr>
              <a:solidFill>
                <a:srgbClr val="98DBC3"/>
              </a:solidFill>
              <a:ln>
                <a:noFill/>
                <a:prstDash val="solid"/>
              </a:ln>
            </spPr>
          </dPt>
          <dPt>
            <idx val="96"/>
            <invertIfNegative val="0"/>
            <spPr>
              <a:solidFill>
                <a:srgbClr val="D1EFE4"/>
              </a:solidFill>
              <a:ln>
                <a:noFill/>
                <a:prstDash val="solid"/>
              </a:ln>
            </spPr>
          </dPt>
          <dPt>
            <idx val="97"/>
            <invertIfNegative val="0"/>
            <spPr>
              <a:solidFill>
                <a:srgbClr val="D1EFE4"/>
              </a:solidFill>
              <a:ln>
                <a:noFill/>
                <a:prstDash val="solid"/>
              </a:ln>
            </spPr>
          </dPt>
          <dPt>
            <idx val="98"/>
            <invertIfNegative val="0"/>
            <spPr>
              <a:solidFill>
                <a:srgbClr val="D1EFE4"/>
              </a:solidFill>
              <a:ln>
                <a:noFill/>
                <a:prstDash val="solid"/>
              </a:ln>
            </spPr>
          </dPt>
          <dPt>
            <idx val="99"/>
            <invertIfNegative val="0"/>
            <spPr>
              <a:solidFill>
                <a:srgbClr val="D1EFE4"/>
              </a:solidFill>
              <a:ln>
                <a:noFill/>
                <a:prstDash val="solid"/>
              </a:ln>
            </spPr>
          </dPt>
          <dPt>
            <idx val="100"/>
            <invertIfNegative val="0"/>
            <spPr>
              <a:solidFill>
                <a:srgbClr val="D1EFE4"/>
              </a:solidFill>
              <a:ln>
                <a:noFill/>
                <a:prstDash val="solid"/>
              </a:ln>
            </spPr>
          </dPt>
          <dPt>
            <idx val="101"/>
            <invertIfNegative val="0"/>
            <spPr>
              <a:solidFill>
                <a:srgbClr val="D1EFE4"/>
              </a:solidFill>
              <a:ln>
                <a:noFill/>
                <a:prstDash val="solid"/>
              </a:ln>
            </spPr>
          </dPt>
          <dPt>
            <idx val="102"/>
            <invertIfNegative val="0"/>
            <spPr>
              <a:solidFill>
                <a:srgbClr val="D1EFE4"/>
              </a:solidFill>
              <a:ln>
                <a:noFill/>
                <a:prstDash val="solid"/>
              </a:ln>
            </spPr>
          </dPt>
          <dPt>
            <idx val="103"/>
            <invertIfNegative val="0"/>
            <spPr>
              <a:solidFill>
                <a:srgbClr val="D1EFE4"/>
              </a:solidFill>
              <a:ln>
                <a:noFill/>
                <a:prstDash val="solid"/>
              </a:ln>
            </spPr>
          </dPt>
          <dPt>
            <idx val="104"/>
            <invertIfNegative val="0"/>
            <spPr>
              <a:solidFill>
                <a:srgbClr val="D1EFE4"/>
              </a:solidFill>
              <a:ln>
                <a:noFill/>
                <a:prstDash val="solid"/>
              </a:ln>
            </spPr>
          </dPt>
          <dPt>
            <idx val="105"/>
            <invertIfNegative val="0"/>
            <spPr>
              <a:solidFill>
                <a:srgbClr val="D1EFE4"/>
              </a:solidFill>
              <a:ln>
                <a:noFill/>
                <a:prstDash val="solid"/>
              </a:ln>
            </spPr>
          </dPt>
          <dPt>
            <idx val="106"/>
            <invertIfNegative val="0"/>
            <spPr>
              <a:solidFill>
                <a:srgbClr val="D1EFE4"/>
              </a:solidFill>
              <a:ln>
                <a:noFill/>
                <a:prstDash val="solid"/>
              </a:ln>
            </spPr>
          </dPt>
          <dPt>
            <idx val="107"/>
            <invertIfNegative val="0"/>
            <spPr>
              <a:solidFill>
                <a:srgbClr val="D1EFE4"/>
              </a:solidFill>
              <a:ln>
                <a:noFill/>
                <a:prstDash val="solid"/>
              </a:ln>
            </spPr>
          </dPt>
          <dPt>
            <idx val="108"/>
            <invertIfNegative val="0"/>
            <spPr>
              <a:solidFill>
                <a:srgbClr val="D1EFE4"/>
              </a:solidFill>
              <a:ln>
                <a:noFill/>
                <a:prstDash val="solid"/>
              </a:ln>
            </spPr>
          </dPt>
          <dPt>
            <idx val="109"/>
            <invertIfNegative val="0"/>
            <spPr>
              <a:solidFill>
                <a:srgbClr val="D1EFE4"/>
              </a:solidFill>
              <a:ln>
                <a:noFill/>
                <a:prstDash val="solid"/>
              </a:ln>
            </spPr>
          </dPt>
          <dPt>
            <idx val="110"/>
            <invertIfNegative val="0"/>
            <spPr>
              <a:solidFill>
                <a:srgbClr val="D1EFE4"/>
              </a:solidFill>
              <a:ln>
                <a:noFill/>
                <a:prstDash val="solid"/>
              </a:ln>
            </spPr>
          </dPt>
          <dPt>
            <idx val="111"/>
            <invertIfNegative val="0"/>
            <spPr>
              <a:solidFill>
                <a:srgbClr val="D1EFE4"/>
              </a:solidFill>
              <a:ln>
                <a:noFill/>
                <a:prstDash val="solid"/>
              </a:ln>
            </spPr>
          </dPt>
          <dPt>
            <idx val="112"/>
            <invertIfNegative val="0"/>
            <spPr>
              <a:solidFill>
                <a:srgbClr val="D1EFE4"/>
              </a:solidFill>
              <a:ln>
                <a:noFill/>
                <a:prstDash val="solid"/>
              </a:ln>
            </spPr>
          </dPt>
          <dPt>
            <idx val="113"/>
            <invertIfNegative val="0"/>
            <spPr>
              <a:solidFill>
                <a:srgbClr val="D1EFE4"/>
              </a:solidFill>
              <a:ln>
                <a:noFill/>
                <a:prstDash val="solid"/>
              </a:ln>
            </spPr>
          </dPt>
          <dPt>
            <idx val="114"/>
            <invertIfNegative val="0"/>
            <spPr>
              <a:solidFill>
                <a:srgbClr val="D1EFE4"/>
              </a:solidFill>
              <a:ln>
                <a:noFill/>
                <a:prstDash val="solid"/>
              </a:ln>
            </spPr>
          </dPt>
          <dPt>
            <idx val="115"/>
            <invertIfNegative val="0"/>
            <spPr>
              <a:solidFill>
                <a:srgbClr val="D1EFE4"/>
              </a:solidFill>
              <a:ln>
                <a:noFill/>
                <a:prstDash val="solid"/>
              </a:ln>
            </spPr>
          </dPt>
          <dPt>
            <idx val="116"/>
            <invertIfNegative val="0"/>
            <spPr>
              <a:solidFill>
                <a:srgbClr val="D1EFE4"/>
              </a:solidFill>
              <a:ln>
                <a:noFill/>
                <a:prstDash val="solid"/>
              </a:ln>
            </spPr>
          </dPt>
          <dPt>
            <idx val="117"/>
            <invertIfNegative val="0"/>
            <spPr>
              <a:solidFill>
                <a:srgbClr val="D1EFE4"/>
              </a:solidFill>
              <a:ln>
                <a:noFill/>
                <a:prstDash val="solid"/>
              </a:ln>
            </spPr>
          </dPt>
          <dPt>
            <idx val="118"/>
            <invertIfNegative val="0"/>
            <spPr>
              <a:solidFill>
                <a:srgbClr val="D1EFE4"/>
              </a:solidFill>
              <a:ln>
                <a:noFill/>
                <a:prstDash val="solid"/>
              </a:ln>
            </spPr>
          </dPt>
          <dPt>
            <idx val="119"/>
            <invertIfNegative val="0"/>
            <spPr>
              <a:solidFill>
                <a:srgbClr val="D1EFE4"/>
              </a:solidFill>
              <a:ln>
                <a:noFill/>
                <a:prstDash val="solid"/>
              </a:ln>
            </spPr>
          </dPt>
          <dPt>
            <idx val="120"/>
            <invertIfNegative val="0"/>
            <spPr>
              <a:solidFill>
                <a:srgbClr val="D1EFE4"/>
              </a:solidFill>
              <a:ln>
                <a:noFill/>
                <a:prstDash val="solid"/>
              </a:ln>
            </spPr>
          </dPt>
          <dPt>
            <idx val="121"/>
            <invertIfNegative val="0"/>
            <spPr>
              <a:solidFill>
                <a:srgbClr val="D1EFE4"/>
              </a:solidFill>
              <a:ln>
                <a:noFill/>
                <a:prstDash val="solid"/>
              </a:ln>
            </spPr>
          </dPt>
          <dPt>
            <idx val="122"/>
            <invertIfNegative val="0"/>
            <spPr>
              <a:solidFill>
                <a:srgbClr val="D1EFE4"/>
              </a:solidFill>
              <a:ln>
                <a:noFill/>
                <a:prstDash val="solid"/>
              </a:ln>
            </spPr>
          </dPt>
          <dPt>
            <idx val="123"/>
            <invertIfNegative val="0"/>
            <spPr>
              <a:solidFill>
                <a:srgbClr val="D1EFE4"/>
              </a:solidFill>
              <a:ln>
                <a:noFill/>
                <a:prstDash val="solid"/>
              </a:ln>
            </spPr>
          </dPt>
          <dPt>
            <idx val="124"/>
            <invertIfNegative val="0"/>
            <spPr>
              <a:solidFill>
                <a:srgbClr val="D1EFE4"/>
              </a:solidFill>
              <a:ln>
                <a:noFill/>
                <a:prstDash val="solid"/>
              </a:ln>
            </spPr>
          </dPt>
          <dPt>
            <idx val="125"/>
            <invertIfNegative val="0"/>
            <spPr>
              <a:solidFill>
                <a:srgbClr val="D1EFE4"/>
              </a:solidFill>
              <a:ln>
                <a:noFill/>
                <a:prstDash val="solid"/>
              </a:ln>
            </spPr>
          </dPt>
          <dPt>
            <idx val="126"/>
            <invertIfNegative val="0"/>
            <spPr>
              <a:solidFill>
                <a:srgbClr val="D1EFE4"/>
              </a:solidFill>
              <a:ln>
                <a:noFill/>
                <a:prstDash val="solid"/>
              </a:ln>
            </spPr>
          </dPt>
          <dPt>
            <idx val="127"/>
            <invertIfNegative val="0"/>
            <spPr>
              <a:solidFill>
                <a:srgbClr val="D1EFE4"/>
              </a:solidFill>
              <a:ln>
                <a:noFill/>
                <a:prstDash val="solid"/>
              </a:ln>
            </spPr>
          </dPt>
          <dPt>
            <idx val="128"/>
            <invertIfNegative val="0"/>
            <spPr>
              <a:solidFill>
                <a:srgbClr val="D1EFE4"/>
              </a:solidFill>
              <a:ln>
                <a:noFill/>
                <a:prstDash val="solid"/>
              </a:ln>
            </spPr>
          </dPt>
          <dPt>
            <idx val="129"/>
            <invertIfNegative val="0"/>
            <spPr>
              <a:solidFill>
                <a:srgbClr val="D1EFE4"/>
              </a:solidFill>
              <a:ln>
                <a:noFill/>
                <a:prstDash val="solid"/>
              </a:ln>
            </spPr>
          </dPt>
          <dPt>
            <idx val="130"/>
            <invertIfNegative val="0"/>
            <spPr>
              <a:solidFill>
                <a:srgbClr val="D1EFE4"/>
              </a:solidFill>
              <a:ln>
                <a:noFill/>
                <a:prstDash val="solid"/>
              </a:ln>
            </spPr>
          </dPt>
          <dPt>
            <idx val="131"/>
            <invertIfNegative val="0"/>
            <spPr>
              <a:solidFill>
                <a:srgbClr val="D1EFE4"/>
              </a:solidFill>
              <a:ln>
                <a:noFill/>
                <a:prstDash val="solid"/>
              </a:ln>
            </spPr>
          </dPt>
          <dPt>
            <idx val="132"/>
            <invertIfNegative val="0"/>
            <spPr>
              <a:solidFill>
                <a:srgbClr val="D1EFE4"/>
              </a:solidFill>
              <a:ln>
                <a:noFill/>
                <a:prstDash val="solid"/>
              </a:ln>
            </spPr>
          </dPt>
          <dPt>
            <idx val="133"/>
            <invertIfNegative val="0"/>
            <spPr>
              <a:solidFill>
                <a:srgbClr val="D1EFE4"/>
              </a:solidFill>
              <a:ln>
                <a:noFill/>
                <a:prstDash val="solid"/>
              </a:ln>
            </spPr>
          </dPt>
          <dPt>
            <idx val="134"/>
            <invertIfNegative val="0"/>
            <spPr>
              <a:solidFill>
                <a:srgbClr val="D1EFE4"/>
              </a:solidFill>
              <a:ln>
                <a:noFill/>
                <a:prstDash val="solid"/>
              </a:ln>
            </spPr>
          </dPt>
          <dPt>
            <idx val="135"/>
            <invertIfNegative val="0"/>
            <spPr>
              <a:solidFill>
                <a:srgbClr val="D1EFE4"/>
              </a:solidFill>
              <a:ln>
                <a:noFill/>
                <a:prstDash val="solid"/>
              </a:ln>
            </spPr>
          </dPt>
          <dPt>
            <idx val="136"/>
            <invertIfNegative val="0"/>
            <spPr>
              <a:solidFill>
                <a:srgbClr val="D1EFE4"/>
              </a:solidFill>
              <a:ln>
                <a:noFill/>
                <a:prstDash val="solid"/>
              </a:ln>
            </spPr>
          </dPt>
          <dPt>
            <idx val="137"/>
            <invertIfNegative val="0"/>
            <spPr>
              <a:solidFill>
                <a:srgbClr val="D1EFE4"/>
              </a:solidFill>
              <a:ln>
                <a:noFill/>
                <a:prstDash val="solid"/>
              </a:ln>
            </spPr>
          </dPt>
          <dPt>
            <idx val="138"/>
            <invertIfNegative val="0"/>
            <spPr>
              <a:solidFill>
                <a:srgbClr val="D1EFE4"/>
              </a:solidFill>
              <a:ln>
                <a:noFill/>
                <a:prstDash val="solid"/>
              </a:ln>
            </spPr>
          </dPt>
          <dPt>
            <idx val="139"/>
            <invertIfNegative val="0"/>
            <spPr>
              <a:solidFill>
                <a:srgbClr val="D1EFE4"/>
              </a:solidFill>
              <a:ln>
                <a:noFill/>
                <a:prstDash val="solid"/>
              </a:ln>
            </spPr>
          </dPt>
          <dPt>
            <idx val="140"/>
            <invertIfNegative val="0"/>
            <spPr>
              <a:solidFill>
                <a:srgbClr val="D1EFE4"/>
              </a:solidFill>
              <a:ln>
                <a:noFill/>
                <a:prstDash val="solid"/>
              </a:ln>
            </spPr>
          </dPt>
          <dPt>
            <idx val="141"/>
            <invertIfNegative val="0"/>
            <spPr>
              <a:solidFill>
                <a:srgbClr val="D1EFE4"/>
              </a:solidFill>
              <a:ln>
                <a:noFill/>
                <a:prstDash val="solid"/>
              </a:ln>
            </spPr>
          </dPt>
          <dPt>
            <idx val="142"/>
            <invertIfNegative val="0"/>
            <spPr>
              <a:solidFill>
                <a:srgbClr val="D1EFE4"/>
              </a:solidFill>
              <a:ln>
                <a:noFill/>
                <a:prstDash val="solid"/>
              </a:ln>
            </spPr>
          </dPt>
          <dPt>
            <idx val="143"/>
            <invertIfNegative val="0"/>
            <spPr>
              <a:solidFill>
                <a:srgbClr val="D1EFE4"/>
              </a:solidFill>
              <a:ln>
                <a:noFill/>
                <a:prstDash val="solid"/>
              </a:ln>
            </spPr>
          </dPt>
          <dPt>
            <idx val="144"/>
            <invertIfNegative val="0"/>
            <spPr>
              <a:solidFill>
                <a:srgbClr val="D1EFE4"/>
              </a:solidFill>
              <a:ln>
                <a:noFill/>
                <a:prstDash val="solid"/>
              </a:ln>
            </spPr>
          </dPt>
          <dPt>
            <idx val="145"/>
            <invertIfNegative val="0"/>
            <spPr>
              <a:solidFill>
                <a:srgbClr val="D1EFE4"/>
              </a:solidFill>
              <a:ln>
                <a:noFill/>
                <a:prstDash val="solid"/>
              </a:ln>
            </spPr>
          </dPt>
          <dPt>
            <idx val="146"/>
            <invertIfNegative val="0"/>
            <spPr>
              <a:solidFill>
                <a:srgbClr val="D1EFE4"/>
              </a:solidFill>
              <a:ln>
                <a:noFill/>
                <a:prstDash val="solid"/>
              </a:ln>
            </spPr>
          </dPt>
          <dPt>
            <idx val="147"/>
            <invertIfNegative val="0"/>
            <spPr>
              <a:solidFill>
                <a:srgbClr val="D1EFE4"/>
              </a:solidFill>
              <a:ln>
                <a:noFill/>
                <a:prstDash val="solid"/>
              </a:ln>
            </spPr>
          </dPt>
          <dPt>
            <idx val="148"/>
            <invertIfNegative val="0"/>
            <spPr>
              <a:solidFill>
                <a:srgbClr val="D1EFE4"/>
              </a:solidFill>
              <a:ln>
                <a:noFill/>
                <a:prstDash val="solid"/>
              </a:ln>
            </spPr>
          </dPt>
          <dPt>
            <idx val="149"/>
            <invertIfNegative val="0"/>
            <spPr>
              <a:solidFill>
                <a:srgbClr val="D1EFE4"/>
              </a:solidFill>
              <a:ln>
                <a:noFill/>
                <a:prstDash val="solid"/>
              </a:ln>
            </spPr>
          </dPt>
          <dPt>
            <idx val="150"/>
            <invertIfNegative val="0"/>
            <spPr>
              <a:solidFill>
                <a:srgbClr val="D1EFE4"/>
              </a:solidFill>
              <a:ln>
                <a:noFill/>
                <a:prstDash val="solid"/>
              </a:ln>
            </spPr>
          </dPt>
          <dPt>
            <idx val="151"/>
            <invertIfNegative val="0"/>
            <spPr>
              <a:solidFill>
                <a:srgbClr val="D1EFE4"/>
              </a:solidFill>
              <a:ln>
                <a:noFill/>
                <a:prstDash val="solid"/>
              </a:ln>
            </spPr>
          </dPt>
          <dPt>
            <idx val="152"/>
            <invertIfNegative val="0"/>
            <spPr>
              <a:solidFill>
                <a:srgbClr val="D1EFE4"/>
              </a:solidFill>
              <a:ln>
                <a:noFill/>
                <a:prstDash val="solid"/>
              </a:ln>
            </spPr>
          </dPt>
          <dPt>
            <idx val="153"/>
            <invertIfNegative val="0"/>
            <spPr>
              <a:solidFill>
                <a:srgbClr val="D1EFE4"/>
              </a:solidFill>
              <a:ln>
                <a:noFill/>
                <a:prstDash val="solid"/>
              </a:ln>
            </spPr>
          </dPt>
          <dPt>
            <idx val="154"/>
            <invertIfNegative val="0"/>
            <spPr>
              <a:solidFill>
                <a:srgbClr val="D1EFE4"/>
              </a:solidFill>
              <a:ln>
                <a:noFill/>
                <a:prstDash val="solid"/>
              </a:ln>
            </spPr>
          </dPt>
          <dPt>
            <idx val="155"/>
            <invertIfNegative val="0"/>
            <spPr>
              <a:solidFill>
                <a:srgbClr val="D1EFE4"/>
              </a:solidFill>
              <a:ln>
                <a:noFill/>
                <a:prstDash val="solid"/>
              </a:ln>
            </spPr>
          </dPt>
          <cat>
            <numRef>
              <f>'Chart - Louisiana'!$A$2:$A$157</f>
            </numRef>
          </cat>
          <val>
            <numRef>
              <f>'Chart - Louisiana'!$D$2:$D$157</f>
            </numRef>
          </val>
        </ser>
        <ser>
          <idx val="3"/>
          <order val="3"/>
          <tx>
            <strRef>
              <f>'Chart - Louisiana'!E1</f>
            </strRef>
          </tx>
          <spPr>
            <a:solidFill>
              <a:srgbClr val="EDA100"/>
            </a:solidFill>
            <a:ln>
              <a:noFill/>
              <a:prstDash val="solid"/>
            </a:ln>
          </spPr>
          <dPt>
            <idx val="67"/>
            <invertIfNegative val="0"/>
            <spPr>
              <a:solidFill>
                <a:srgbClr val="F6D48C"/>
              </a:solidFill>
              <a:ln>
                <a:noFill/>
                <a:prstDash val="solid"/>
              </a:ln>
            </spPr>
          </dPt>
          <dPt>
            <idx val="68"/>
            <invertIfNegative val="0"/>
            <spPr>
              <a:solidFill>
                <a:srgbClr val="F6D48C"/>
              </a:solidFill>
              <a:ln>
                <a:noFill/>
                <a:prstDash val="solid"/>
              </a:ln>
            </spPr>
          </dPt>
          <dPt>
            <idx val="69"/>
            <invertIfNegative val="0"/>
            <spPr>
              <a:solidFill>
                <a:srgbClr val="F6D48C"/>
              </a:solidFill>
              <a:ln>
                <a:noFill/>
                <a:prstDash val="solid"/>
              </a:ln>
            </spPr>
          </dPt>
          <dPt>
            <idx val="70"/>
            <invertIfNegative val="0"/>
            <spPr>
              <a:solidFill>
                <a:srgbClr val="F6D48C"/>
              </a:solidFill>
              <a:ln>
                <a:noFill/>
                <a:prstDash val="solid"/>
              </a:ln>
            </spPr>
          </dPt>
          <dPt>
            <idx val="71"/>
            <invertIfNegative val="0"/>
            <spPr>
              <a:solidFill>
                <a:srgbClr val="F6D48C"/>
              </a:solidFill>
              <a:ln>
                <a:noFill/>
                <a:prstDash val="solid"/>
              </a:ln>
            </spPr>
          </dPt>
          <dPt>
            <idx val="72"/>
            <invertIfNegative val="0"/>
            <spPr>
              <a:solidFill>
                <a:srgbClr val="F6D48C"/>
              </a:solidFill>
              <a:ln>
                <a:noFill/>
                <a:prstDash val="solid"/>
              </a:ln>
            </spPr>
          </dPt>
          <dPt>
            <idx val="73"/>
            <invertIfNegative val="0"/>
            <spPr>
              <a:solidFill>
                <a:srgbClr val="F6D48C"/>
              </a:solidFill>
              <a:ln>
                <a:noFill/>
                <a:prstDash val="solid"/>
              </a:ln>
            </spPr>
          </dPt>
          <dPt>
            <idx val="74"/>
            <invertIfNegative val="0"/>
            <spPr>
              <a:solidFill>
                <a:srgbClr val="F6D48C"/>
              </a:solidFill>
              <a:ln>
                <a:noFill/>
                <a:prstDash val="solid"/>
              </a:ln>
            </spPr>
          </dPt>
          <dPt>
            <idx val="75"/>
            <invertIfNegative val="0"/>
            <spPr>
              <a:solidFill>
                <a:srgbClr val="F6D48C"/>
              </a:solidFill>
              <a:ln>
                <a:noFill/>
                <a:prstDash val="solid"/>
              </a:ln>
            </spPr>
          </dPt>
          <dPt>
            <idx val="76"/>
            <invertIfNegative val="0"/>
            <spPr>
              <a:solidFill>
                <a:srgbClr val="F6D48C"/>
              </a:solidFill>
              <a:ln>
                <a:noFill/>
                <a:prstDash val="solid"/>
              </a:ln>
            </spPr>
          </dPt>
          <dPt>
            <idx val="77"/>
            <invertIfNegative val="0"/>
            <spPr>
              <a:solidFill>
                <a:srgbClr val="F6D48C"/>
              </a:solidFill>
              <a:ln>
                <a:noFill/>
                <a:prstDash val="solid"/>
              </a:ln>
            </spPr>
          </dPt>
          <dPt>
            <idx val="78"/>
            <invertIfNegative val="0"/>
            <spPr>
              <a:solidFill>
                <a:srgbClr val="F6D48C"/>
              </a:solidFill>
              <a:ln>
                <a:noFill/>
                <a:prstDash val="solid"/>
              </a:ln>
            </spPr>
          </dPt>
          <dPt>
            <idx val="79"/>
            <invertIfNegative val="0"/>
            <spPr>
              <a:solidFill>
                <a:srgbClr val="F6D48C"/>
              </a:solidFill>
              <a:ln>
                <a:noFill/>
                <a:prstDash val="solid"/>
              </a:ln>
            </spPr>
          </dPt>
          <dPt>
            <idx val="80"/>
            <invertIfNegative val="0"/>
            <spPr>
              <a:solidFill>
                <a:srgbClr val="F6D48C"/>
              </a:solidFill>
              <a:ln>
                <a:noFill/>
                <a:prstDash val="solid"/>
              </a:ln>
            </spPr>
          </dPt>
          <dPt>
            <idx val="81"/>
            <invertIfNegative val="0"/>
            <spPr>
              <a:solidFill>
                <a:srgbClr val="F6D48C"/>
              </a:solidFill>
              <a:ln>
                <a:noFill/>
                <a:prstDash val="solid"/>
              </a:ln>
            </spPr>
          </dPt>
          <dPt>
            <idx val="82"/>
            <invertIfNegative val="0"/>
            <spPr>
              <a:solidFill>
                <a:srgbClr val="F6D48C"/>
              </a:solidFill>
              <a:ln>
                <a:noFill/>
                <a:prstDash val="solid"/>
              </a:ln>
            </spPr>
          </dPt>
          <dPt>
            <idx val="83"/>
            <invertIfNegative val="0"/>
            <spPr>
              <a:solidFill>
                <a:srgbClr val="F6D48C"/>
              </a:solidFill>
              <a:ln>
                <a:noFill/>
                <a:prstDash val="solid"/>
              </a:ln>
            </spPr>
          </dPt>
          <dPt>
            <idx val="84"/>
            <invertIfNegative val="0"/>
            <spPr>
              <a:solidFill>
                <a:srgbClr val="F6D48C"/>
              </a:solidFill>
              <a:ln>
                <a:noFill/>
                <a:prstDash val="solid"/>
              </a:ln>
            </spPr>
          </dPt>
          <dPt>
            <idx val="85"/>
            <invertIfNegative val="0"/>
            <spPr>
              <a:solidFill>
                <a:srgbClr val="F6D48C"/>
              </a:solidFill>
              <a:ln>
                <a:noFill/>
                <a:prstDash val="solid"/>
              </a:ln>
            </spPr>
          </dPt>
          <dPt>
            <idx val="86"/>
            <invertIfNegative val="0"/>
            <spPr>
              <a:solidFill>
                <a:srgbClr val="F6D48C"/>
              </a:solidFill>
              <a:ln>
                <a:noFill/>
                <a:prstDash val="solid"/>
              </a:ln>
            </spPr>
          </dPt>
          <dPt>
            <idx val="87"/>
            <invertIfNegative val="0"/>
            <spPr>
              <a:solidFill>
                <a:srgbClr val="F6D48C"/>
              </a:solidFill>
              <a:ln>
                <a:noFill/>
                <a:prstDash val="solid"/>
              </a:ln>
            </spPr>
          </dPt>
          <dPt>
            <idx val="88"/>
            <invertIfNegative val="0"/>
            <spPr>
              <a:solidFill>
                <a:srgbClr val="F6D48C"/>
              </a:solidFill>
              <a:ln>
                <a:noFill/>
                <a:prstDash val="solid"/>
              </a:ln>
            </spPr>
          </dPt>
          <dPt>
            <idx val="89"/>
            <invertIfNegative val="0"/>
            <spPr>
              <a:solidFill>
                <a:srgbClr val="F6D48C"/>
              </a:solidFill>
              <a:ln>
                <a:noFill/>
                <a:prstDash val="solid"/>
              </a:ln>
            </spPr>
          </dPt>
          <dPt>
            <idx val="90"/>
            <invertIfNegative val="0"/>
            <spPr>
              <a:solidFill>
                <a:srgbClr val="F6D48C"/>
              </a:solidFill>
              <a:ln>
                <a:noFill/>
                <a:prstDash val="solid"/>
              </a:ln>
            </spPr>
          </dPt>
          <dPt>
            <idx val="91"/>
            <invertIfNegative val="0"/>
            <spPr>
              <a:solidFill>
                <a:srgbClr val="F6D48C"/>
              </a:solidFill>
              <a:ln>
                <a:noFill/>
                <a:prstDash val="solid"/>
              </a:ln>
            </spPr>
          </dPt>
          <dPt>
            <idx val="92"/>
            <invertIfNegative val="0"/>
            <spPr>
              <a:solidFill>
                <a:srgbClr val="F6D48C"/>
              </a:solidFill>
              <a:ln>
                <a:noFill/>
                <a:prstDash val="solid"/>
              </a:ln>
            </spPr>
          </dPt>
          <dPt>
            <idx val="93"/>
            <invertIfNegative val="0"/>
            <spPr>
              <a:solidFill>
                <a:srgbClr val="F6D48C"/>
              </a:solidFill>
              <a:ln>
                <a:noFill/>
                <a:prstDash val="solid"/>
              </a:ln>
            </spPr>
          </dPt>
          <dPt>
            <idx val="94"/>
            <invertIfNegative val="0"/>
            <spPr>
              <a:solidFill>
                <a:srgbClr val="F6D48C"/>
              </a:solidFill>
              <a:ln>
                <a:noFill/>
                <a:prstDash val="solid"/>
              </a:ln>
            </spPr>
          </dPt>
          <dPt>
            <idx val="95"/>
            <invertIfNegative val="0"/>
            <spPr>
              <a:solidFill>
                <a:srgbClr val="F6D48C"/>
              </a:solidFill>
              <a:ln>
                <a:noFill/>
                <a:prstDash val="solid"/>
              </a:ln>
            </spPr>
          </dPt>
          <dPt>
            <idx val="96"/>
            <invertIfNegative val="0"/>
            <spPr>
              <a:solidFill>
                <a:srgbClr val="FBECCC"/>
              </a:solidFill>
              <a:ln>
                <a:noFill/>
                <a:prstDash val="solid"/>
              </a:ln>
            </spPr>
          </dPt>
          <dPt>
            <idx val="97"/>
            <invertIfNegative val="0"/>
            <spPr>
              <a:solidFill>
                <a:srgbClr val="FBECCC"/>
              </a:solidFill>
              <a:ln>
                <a:noFill/>
                <a:prstDash val="solid"/>
              </a:ln>
            </spPr>
          </dPt>
          <dPt>
            <idx val="98"/>
            <invertIfNegative val="0"/>
            <spPr>
              <a:solidFill>
                <a:srgbClr val="FBECCC"/>
              </a:solidFill>
              <a:ln>
                <a:noFill/>
                <a:prstDash val="solid"/>
              </a:ln>
            </spPr>
          </dPt>
          <dPt>
            <idx val="99"/>
            <invertIfNegative val="0"/>
            <spPr>
              <a:solidFill>
                <a:srgbClr val="FBECCC"/>
              </a:solidFill>
              <a:ln>
                <a:noFill/>
                <a:prstDash val="solid"/>
              </a:ln>
            </spPr>
          </dPt>
          <dPt>
            <idx val="100"/>
            <invertIfNegative val="0"/>
            <spPr>
              <a:solidFill>
                <a:srgbClr val="FBECCC"/>
              </a:solidFill>
              <a:ln>
                <a:noFill/>
                <a:prstDash val="solid"/>
              </a:ln>
            </spPr>
          </dPt>
          <dPt>
            <idx val="101"/>
            <invertIfNegative val="0"/>
            <spPr>
              <a:solidFill>
                <a:srgbClr val="FBECCC"/>
              </a:solidFill>
              <a:ln>
                <a:noFill/>
                <a:prstDash val="solid"/>
              </a:ln>
            </spPr>
          </dPt>
          <dPt>
            <idx val="102"/>
            <invertIfNegative val="0"/>
            <spPr>
              <a:solidFill>
                <a:srgbClr val="FBECCC"/>
              </a:solidFill>
              <a:ln>
                <a:noFill/>
                <a:prstDash val="solid"/>
              </a:ln>
            </spPr>
          </dPt>
          <dPt>
            <idx val="103"/>
            <invertIfNegative val="0"/>
            <spPr>
              <a:solidFill>
                <a:srgbClr val="FBECCC"/>
              </a:solidFill>
              <a:ln>
                <a:noFill/>
                <a:prstDash val="solid"/>
              </a:ln>
            </spPr>
          </dPt>
          <dPt>
            <idx val="104"/>
            <invertIfNegative val="0"/>
            <spPr>
              <a:solidFill>
                <a:srgbClr val="FBECCC"/>
              </a:solidFill>
              <a:ln>
                <a:noFill/>
                <a:prstDash val="solid"/>
              </a:ln>
            </spPr>
          </dPt>
          <dPt>
            <idx val="105"/>
            <invertIfNegative val="0"/>
            <spPr>
              <a:solidFill>
                <a:srgbClr val="FBECCC"/>
              </a:solidFill>
              <a:ln>
                <a:noFill/>
                <a:prstDash val="solid"/>
              </a:ln>
            </spPr>
          </dPt>
          <dPt>
            <idx val="106"/>
            <invertIfNegative val="0"/>
            <spPr>
              <a:solidFill>
                <a:srgbClr val="FBECCC"/>
              </a:solidFill>
              <a:ln>
                <a:noFill/>
                <a:prstDash val="solid"/>
              </a:ln>
            </spPr>
          </dPt>
          <dPt>
            <idx val="107"/>
            <invertIfNegative val="0"/>
            <spPr>
              <a:solidFill>
                <a:srgbClr val="FBECCC"/>
              </a:solidFill>
              <a:ln>
                <a:noFill/>
                <a:prstDash val="solid"/>
              </a:ln>
            </spPr>
          </dPt>
          <dPt>
            <idx val="108"/>
            <invertIfNegative val="0"/>
            <spPr>
              <a:solidFill>
                <a:srgbClr val="FBECCC"/>
              </a:solidFill>
              <a:ln>
                <a:noFill/>
                <a:prstDash val="solid"/>
              </a:ln>
            </spPr>
          </dPt>
          <dPt>
            <idx val="109"/>
            <invertIfNegative val="0"/>
            <spPr>
              <a:solidFill>
                <a:srgbClr val="FBECCC"/>
              </a:solidFill>
              <a:ln>
                <a:noFill/>
                <a:prstDash val="solid"/>
              </a:ln>
            </spPr>
          </dPt>
          <dPt>
            <idx val="110"/>
            <invertIfNegative val="0"/>
            <spPr>
              <a:solidFill>
                <a:srgbClr val="FBECCC"/>
              </a:solidFill>
              <a:ln>
                <a:noFill/>
                <a:prstDash val="solid"/>
              </a:ln>
            </spPr>
          </dPt>
          <dPt>
            <idx val="111"/>
            <invertIfNegative val="0"/>
            <spPr>
              <a:solidFill>
                <a:srgbClr val="FBECCC"/>
              </a:solidFill>
              <a:ln>
                <a:noFill/>
                <a:prstDash val="solid"/>
              </a:ln>
            </spPr>
          </dPt>
          <dPt>
            <idx val="112"/>
            <invertIfNegative val="0"/>
            <spPr>
              <a:solidFill>
                <a:srgbClr val="FBECCC"/>
              </a:solidFill>
              <a:ln>
                <a:noFill/>
                <a:prstDash val="solid"/>
              </a:ln>
            </spPr>
          </dPt>
          <dPt>
            <idx val="113"/>
            <invertIfNegative val="0"/>
            <spPr>
              <a:solidFill>
                <a:srgbClr val="FBECCC"/>
              </a:solidFill>
              <a:ln>
                <a:noFill/>
                <a:prstDash val="solid"/>
              </a:ln>
            </spPr>
          </dPt>
          <dPt>
            <idx val="114"/>
            <invertIfNegative val="0"/>
            <spPr>
              <a:solidFill>
                <a:srgbClr val="FBECCC"/>
              </a:solidFill>
              <a:ln>
                <a:noFill/>
                <a:prstDash val="solid"/>
              </a:ln>
            </spPr>
          </dPt>
          <dPt>
            <idx val="115"/>
            <invertIfNegative val="0"/>
            <spPr>
              <a:solidFill>
                <a:srgbClr val="FBECCC"/>
              </a:solidFill>
              <a:ln>
                <a:noFill/>
                <a:prstDash val="solid"/>
              </a:ln>
            </spPr>
          </dPt>
          <dPt>
            <idx val="116"/>
            <invertIfNegative val="0"/>
            <spPr>
              <a:solidFill>
                <a:srgbClr val="FBECCC"/>
              </a:solidFill>
              <a:ln>
                <a:noFill/>
                <a:prstDash val="solid"/>
              </a:ln>
            </spPr>
          </dPt>
          <dPt>
            <idx val="117"/>
            <invertIfNegative val="0"/>
            <spPr>
              <a:solidFill>
                <a:srgbClr val="FBECCC"/>
              </a:solidFill>
              <a:ln>
                <a:noFill/>
                <a:prstDash val="solid"/>
              </a:ln>
            </spPr>
          </dPt>
          <dPt>
            <idx val="118"/>
            <invertIfNegative val="0"/>
            <spPr>
              <a:solidFill>
                <a:srgbClr val="FBECCC"/>
              </a:solidFill>
              <a:ln>
                <a:noFill/>
                <a:prstDash val="solid"/>
              </a:ln>
            </spPr>
          </dPt>
          <dPt>
            <idx val="119"/>
            <invertIfNegative val="0"/>
            <spPr>
              <a:solidFill>
                <a:srgbClr val="FBECCC"/>
              </a:solidFill>
              <a:ln>
                <a:noFill/>
                <a:prstDash val="solid"/>
              </a:ln>
            </spPr>
          </dPt>
          <dPt>
            <idx val="120"/>
            <invertIfNegative val="0"/>
            <spPr>
              <a:solidFill>
                <a:srgbClr val="FBECCC"/>
              </a:solidFill>
              <a:ln>
                <a:noFill/>
                <a:prstDash val="solid"/>
              </a:ln>
            </spPr>
          </dPt>
          <dPt>
            <idx val="121"/>
            <invertIfNegative val="0"/>
            <spPr>
              <a:solidFill>
                <a:srgbClr val="FBECCC"/>
              </a:solidFill>
              <a:ln>
                <a:noFill/>
                <a:prstDash val="solid"/>
              </a:ln>
            </spPr>
          </dPt>
          <dPt>
            <idx val="122"/>
            <invertIfNegative val="0"/>
            <spPr>
              <a:solidFill>
                <a:srgbClr val="FBECCC"/>
              </a:solidFill>
              <a:ln>
                <a:noFill/>
                <a:prstDash val="solid"/>
              </a:ln>
            </spPr>
          </dPt>
          <dPt>
            <idx val="123"/>
            <invertIfNegative val="0"/>
            <spPr>
              <a:solidFill>
                <a:srgbClr val="FBECCC"/>
              </a:solidFill>
              <a:ln>
                <a:noFill/>
                <a:prstDash val="solid"/>
              </a:ln>
            </spPr>
          </dPt>
          <dPt>
            <idx val="124"/>
            <invertIfNegative val="0"/>
            <spPr>
              <a:solidFill>
                <a:srgbClr val="FBECCC"/>
              </a:solidFill>
              <a:ln>
                <a:noFill/>
                <a:prstDash val="solid"/>
              </a:ln>
            </spPr>
          </dPt>
          <dPt>
            <idx val="125"/>
            <invertIfNegative val="0"/>
            <spPr>
              <a:solidFill>
                <a:srgbClr val="FBECCC"/>
              </a:solidFill>
              <a:ln>
                <a:noFill/>
                <a:prstDash val="solid"/>
              </a:ln>
            </spPr>
          </dPt>
          <dPt>
            <idx val="126"/>
            <invertIfNegative val="0"/>
            <spPr>
              <a:solidFill>
                <a:srgbClr val="FBECCC"/>
              </a:solidFill>
              <a:ln>
                <a:noFill/>
                <a:prstDash val="solid"/>
              </a:ln>
            </spPr>
          </dPt>
          <dPt>
            <idx val="127"/>
            <invertIfNegative val="0"/>
            <spPr>
              <a:solidFill>
                <a:srgbClr val="FBECCC"/>
              </a:solidFill>
              <a:ln>
                <a:noFill/>
                <a:prstDash val="solid"/>
              </a:ln>
            </spPr>
          </dPt>
          <dPt>
            <idx val="128"/>
            <invertIfNegative val="0"/>
            <spPr>
              <a:solidFill>
                <a:srgbClr val="FBECCC"/>
              </a:solidFill>
              <a:ln>
                <a:noFill/>
                <a:prstDash val="solid"/>
              </a:ln>
            </spPr>
          </dPt>
          <dPt>
            <idx val="129"/>
            <invertIfNegative val="0"/>
            <spPr>
              <a:solidFill>
                <a:srgbClr val="FBECCC"/>
              </a:solidFill>
              <a:ln>
                <a:noFill/>
                <a:prstDash val="solid"/>
              </a:ln>
            </spPr>
          </dPt>
          <dPt>
            <idx val="130"/>
            <invertIfNegative val="0"/>
            <spPr>
              <a:solidFill>
                <a:srgbClr val="FBECCC"/>
              </a:solidFill>
              <a:ln>
                <a:noFill/>
                <a:prstDash val="solid"/>
              </a:ln>
            </spPr>
          </dPt>
          <dPt>
            <idx val="131"/>
            <invertIfNegative val="0"/>
            <spPr>
              <a:solidFill>
                <a:srgbClr val="FBECCC"/>
              </a:solidFill>
              <a:ln>
                <a:noFill/>
                <a:prstDash val="solid"/>
              </a:ln>
            </spPr>
          </dPt>
          <dPt>
            <idx val="132"/>
            <invertIfNegative val="0"/>
            <spPr>
              <a:solidFill>
                <a:srgbClr val="FBECCC"/>
              </a:solidFill>
              <a:ln>
                <a:noFill/>
                <a:prstDash val="solid"/>
              </a:ln>
            </spPr>
          </dPt>
          <dPt>
            <idx val="133"/>
            <invertIfNegative val="0"/>
            <spPr>
              <a:solidFill>
                <a:srgbClr val="FBECCC"/>
              </a:solidFill>
              <a:ln>
                <a:noFill/>
                <a:prstDash val="solid"/>
              </a:ln>
            </spPr>
          </dPt>
          <dPt>
            <idx val="134"/>
            <invertIfNegative val="0"/>
            <spPr>
              <a:solidFill>
                <a:srgbClr val="FBECCC"/>
              </a:solidFill>
              <a:ln>
                <a:noFill/>
                <a:prstDash val="solid"/>
              </a:ln>
            </spPr>
          </dPt>
          <dPt>
            <idx val="135"/>
            <invertIfNegative val="0"/>
            <spPr>
              <a:solidFill>
                <a:srgbClr val="FBECCC"/>
              </a:solidFill>
              <a:ln>
                <a:noFill/>
                <a:prstDash val="solid"/>
              </a:ln>
            </spPr>
          </dPt>
          <dPt>
            <idx val="136"/>
            <invertIfNegative val="0"/>
            <spPr>
              <a:solidFill>
                <a:srgbClr val="FBECCC"/>
              </a:solidFill>
              <a:ln>
                <a:noFill/>
                <a:prstDash val="solid"/>
              </a:ln>
            </spPr>
          </dPt>
          <dPt>
            <idx val="137"/>
            <invertIfNegative val="0"/>
            <spPr>
              <a:solidFill>
                <a:srgbClr val="FBECCC"/>
              </a:solidFill>
              <a:ln>
                <a:noFill/>
                <a:prstDash val="solid"/>
              </a:ln>
            </spPr>
          </dPt>
          <dPt>
            <idx val="138"/>
            <invertIfNegative val="0"/>
            <spPr>
              <a:solidFill>
                <a:srgbClr val="FBECCC"/>
              </a:solidFill>
              <a:ln>
                <a:noFill/>
                <a:prstDash val="solid"/>
              </a:ln>
            </spPr>
          </dPt>
          <dPt>
            <idx val="139"/>
            <invertIfNegative val="0"/>
            <spPr>
              <a:solidFill>
                <a:srgbClr val="FBECCC"/>
              </a:solidFill>
              <a:ln>
                <a:noFill/>
                <a:prstDash val="solid"/>
              </a:ln>
            </spPr>
          </dPt>
          <dPt>
            <idx val="140"/>
            <invertIfNegative val="0"/>
            <spPr>
              <a:solidFill>
                <a:srgbClr val="FBECCC"/>
              </a:solidFill>
              <a:ln>
                <a:noFill/>
                <a:prstDash val="solid"/>
              </a:ln>
            </spPr>
          </dPt>
          <dPt>
            <idx val="141"/>
            <invertIfNegative val="0"/>
            <spPr>
              <a:solidFill>
                <a:srgbClr val="FBECCC"/>
              </a:solidFill>
              <a:ln>
                <a:noFill/>
                <a:prstDash val="solid"/>
              </a:ln>
            </spPr>
          </dPt>
          <dPt>
            <idx val="142"/>
            <invertIfNegative val="0"/>
            <spPr>
              <a:solidFill>
                <a:srgbClr val="FBECCC"/>
              </a:solidFill>
              <a:ln>
                <a:noFill/>
                <a:prstDash val="solid"/>
              </a:ln>
            </spPr>
          </dPt>
          <dPt>
            <idx val="143"/>
            <invertIfNegative val="0"/>
            <spPr>
              <a:solidFill>
                <a:srgbClr val="FBECCC"/>
              </a:solidFill>
              <a:ln>
                <a:noFill/>
                <a:prstDash val="solid"/>
              </a:ln>
            </spPr>
          </dPt>
          <dPt>
            <idx val="144"/>
            <invertIfNegative val="0"/>
            <spPr>
              <a:solidFill>
                <a:srgbClr val="FBECCC"/>
              </a:solidFill>
              <a:ln>
                <a:noFill/>
                <a:prstDash val="solid"/>
              </a:ln>
            </spPr>
          </dPt>
          <dPt>
            <idx val="145"/>
            <invertIfNegative val="0"/>
            <spPr>
              <a:solidFill>
                <a:srgbClr val="FBECCC"/>
              </a:solidFill>
              <a:ln>
                <a:noFill/>
                <a:prstDash val="solid"/>
              </a:ln>
            </spPr>
          </dPt>
          <dPt>
            <idx val="146"/>
            <invertIfNegative val="0"/>
            <spPr>
              <a:solidFill>
                <a:srgbClr val="FBECCC"/>
              </a:solidFill>
              <a:ln>
                <a:noFill/>
                <a:prstDash val="solid"/>
              </a:ln>
            </spPr>
          </dPt>
          <dPt>
            <idx val="147"/>
            <invertIfNegative val="0"/>
            <spPr>
              <a:solidFill>
                <a:srgbClr val="FBECCC"/>
              </a:solidFill>
              <a:ln>
                <a:noFill/>
                <a:prstDash val="solid"/>
              </a:ln>
            </spPr>
          </dPt>
          <dPt>
            <idx val="148"/>
            <invertIfNegative val="0"/>
            <spPr>
              <a:solidFill>
                <a:srgbClr val="FBECCC"/>
              </a:solidFill>
              <a:ln>
                <a:noFill/>
                <a:prstDash val="solid"/>
              </a:ln>
            </spPr>
          </dPt>
          <dPt>
            <idx val="149"/>
            <invertIfNegative val="0"/>
            <spPr>
              <a:solidFill>
                <a:srgbClr val="FBECCC"/>
              </a:solidFill>
              <a:ln>
                <a:noFill/>
                <a:prstDash val="solid"/>
              </a:ln>
            </spPr>
          </dPt>
          <dPt>
            <idx val="150"/>
            <invertIfNegative val="0"/>
            <spPr>
              <a:solidFill>
                <a:srgbClr val="FBECCC"/>
              </a:solidFill>
              <a:ln>
                <a:noFill/>
                <a:prstDash val="solid"/>
              </a:ln>
            </spPr>
          </dPt>
          <dPt>
            <idx val="151"/>
            <invertIfNegative val="0"/>
            <spPr>
              <a:solidFill>
                <a:srgbClr val="FBECCC"/>
              </a:solidFill>
              <a:ln>
                <a:noFill/>
                <a:prstDash val="solid"/>
              </a:ln>
            </spPr>
          </dPt>
          <dPt>
            <idx val="152"/>
            <invertIfNegative val="0"/>
            <spPr>
              <a:solidFill>
                <a:srgbClr val="FBECCC"/>
              </a:solidFill>
              <a:ln>
                <a:noFill/>
                <a:prstDash val="solid"/>
              </a:ln>
            </spPr>
          </dPt>
          <dPt>
            <idx val="153"/>
            <invertIfNegative val="0"/>
            <spPr>
              <a:solidFill>
                <a:srgbClr val="FBECCC"/>
              </a:solidFill>
              <a:ln>
                <a:noFill/>
                <a:prstDash val="solid"/>
              </a:ln>
            </spPr>
          </dPt>
          <dPt>
            <idx val="154"/>
            <invertIfNegative val="0"/>
            <spPr>
              <a:solidFill>
                <a:srgbClr val="FBECCC"/>
              </a:solidFill>
              <a:ln>
                <a:noFill/>
                <a:prstDash val="solid"/>
              </a:ln>
            </spPr>
          </dPt>
          <dPt>
            <idx val="155"/>
            <invertIfNegative val="0"/>
            <spPr>
              <a:solidFill>
                <a:srgbClr val="FBECCC"/>
              </a:solidFill>
              <a:ln>
                <a:noFill/>
                <a:prstDash val="solid"/>
              </a:ln>
            </spPr>
          </dPt>
          <cat>
            <numRef>
              <f>'Chart - Louisiana'!$A$2:$A$157</f>
            </numRef>
          </cat>
          <val>
            <numRef>
              <f>'Chart - Louisiana'!$E$2:$E$157</f>
            </numRef>
          </val>
        </ser>
        <ser>
          <idx val="4"/>
          <order val="4"/>
          <tx>
            <strRef>
              <f>'Chart - Louisiana'!F1</f>
            </strRef>
          </tx>
          <spPr>
            <a:solidFill>
              <a:srgbClr val="4A3AA7"/>
            </a:solidFill>
            <a:ln>
              <a:noFill/>
              <a:prstDash val="solid"/>
            </a:ln>
          </spPr>
          <dPt>
            <idx val="67"/>
            <invertIfNegative val="0"/>
            <spPr>
              <a:solidFill>
                <a:srgbClr val="ADA6D7"/>
              </a:solidFill>
              <a:ln>
                <a:noFill/>
                <a:prstDash val="solid"/>
              </a:ln>
            </spPr>
          </dPt>
          <dPt>
            <idx val="68"/>
            <invertIfNegative val="0"/>
            <spPr>
              <a:solidFill>
                <a:srgbClr val="ADA6D7"/>
              </a:solidFill>
              <a:ln>
                <a:noFill/>
                <a:prstDash val="solid"/>
              </a:ln>
            </spPr>
          </dPt>
          <dPt>
            <idx val="69"/>
            <invertIfNegative val="0"/>
            <spPr>
              <a:solidFill>
                <a:srgbClr val="ADA6D7"/>
              </a:solidFill>
              <a:ln>
                <a:noFill/>
                <a:prstDash val="solid"/>
              </a:ln>
            </spPr>
          </dPt>
          <dPt>
            <idx val="70"/>
            <invertIfNegative val="0"/>
            <spPr>
              <a:solidFill>
                <a:srgbClr val="ADA6D7"/>
              </a:solidFill>
              <a:ln>
                <a:noFill/>
                <a:prstDash val="solid"/>
              </a:ln>
            </spPr>
          </dPt>
          <dPt>
            <idx val="71"/>
            <invertIfNegative val="0"/>
            <spPr>
              <a:solidFill>
                <a:srgbClr val="ADA6D7"/>
              </a:solidFill>
              <a:ln>
                <a:noFill/>
                <a:prstDash val="solid"/>
              </a:ln>
            </spPr>
          </dPt>
          <dPt>
            <idx val="72"/>
            <invertIfNegative val="0"/>
            <spPr>
              <a:solidFill>
                <a:srgbClr val="ADA6D7"/>
              </a:solidFill>
              <a:ln>
                <a:noFill/>
                <a:prstDash val="solid"/>
              </a:ln>
            </spPr>
          </dPt>
          <dPt>
            <idx val="73"/>
            <invertIfNegative val="0"/>
            <spPr>
              <a:solidFill>
                <a:srgbClr val="ADA6D7"/>
              </a:solidFill>
              <a:ln>
                <a:noFill/>
                <a:prstDash val="solid"/>
              </a:ln>
            </spPr>
          </dPt>
          <dPt>
            <idx val="74"/>
            <invertIfNegative val="0"/>
            <spPr>
              <a:solidFill>
                <a:srgbClr val="ADA6D7"/>
              </a:solidFill>
              <a:ln>
                <a:noFill/>
                <a:prstDash val="solid"/>
              </a:ln>
            </spPr>
          </dPt>
          <dPt>
            <idx val="75"/>
            <invertIfNegative val="0"/>
            <spPr>
              <a:solidFill>
                <a:srgbClr val="ADA6D7"/>
              </a:solidFill>
              <a:ln>
                <a:noFill/>
                <a:prstDash val="solid"/>
              </a:ln>
            </spPr>
          </dPt>
          <dPt>
            <idx val="76"/>
            <invertIfNegative val="0"/>
            <spPr>
              <a:solidFill>
                <a:srgbClr val="ADA6D7"/>
              </a:solidFill>
              <a:ln>
                <a:noFill/>
                <a:prstDash val="solid"/>
              </a:ln>
            </spPr>
          </dPt>
          <dPt>
            <idx val="77"/>
            <invertIfNegative val="0"/>
            <spPr>
              <a:solidFill>
                <a:srgbClr val="ADA6D7"/>
              </a:solidFill>
              <a:ln>
                <a:noFill/>
                <a:prstDash val="solid"/>
              </a:ln>
            </spPr>
          </dPt>
          <dPt>
            <idx val="78"/>
            <invertIfNegative val="0"/>
            <spPr>
              <a:solidFill>
                <a:srgbClr val="ADA6D7"/>
              </a:solidFill>
              <a:ln>
                <a:noFill/>
                <a:prstDash val="solid"/>
              </a:ln>
            </spPr>
          </dPt>
          <dPt>
            <idx val="79"/>
            <invertIfNegative val="0"/>
            <spPr>
              <a:solidFill>
                <a:srgbClr val="ADA6D7"/>
              </a:solidFill>
              <a:ln>
                <a:noFill/>
                <a:prstDash val="solid"/>
              </a:ln>
            </spPr>
          </dPt>
          <dPt>
            <idx val="80"/>
            <invertIfNegative val="0"/>
            <spPr>
              <a:solidFill>
                <a:srgbClr val="ADA6D7"/>
              </a:solidFill>
              <a:ln>
                <a:noFill/>
                <a:prstDash val="solid"/>
              </a:ln>
            </spPr>
          </dPt>
          <dPt>
            <idx val="81"/>
            <invertIfNegative val="0"/>
            <spPr>
              <a:solidFill>
                <a:srgbClr val="ADA6D7"/>
              </a:solidFill>
              <a:ln>
                <a:noFill/>
                <a:prstDash val="solid"/>
              </a:ln>
            </spPr>
          </dPt>
          <dPt>
            <idx val="82"/>
            <invertIfNegative val="0"/>
            <spPr>
              <a:solidFill>
                <a:srgbClr val="ADA6D7"/>
              </a:solidFill>
              <a:ln>
                <a:noFill/>
                <a:prstDash val="solid"/>
              </a:ln>
            </spPr>
          </dPt>
          <dPt>
            <idx val="83"/>
            <invertIfNegative val="0"/>
            <spPr>
              <a:solidFill>
                <a:srgbClr val="ADA6D7"/>
              </a:solidFill>
              <a:ln>
                <a:noFill/>
                <a:prstDash val="solid"/>
              </a:ln>
            </spPr>
          </dPt>
          <dPt>
            <idx val="84"/>
            <invertIfNegative val="0"/>
            <spPr>
              <a:solidFill>
                <a:srgbClr val="ADA6D7"/>
              </a:solidFill>
              <a:ln>
                <a:noFill/>
                <a:prstDash val="solid"/>
              </a:ln>
            </spPr>
          </dPt>
          <dPt>
            <idx val="85"/>
            <invertIfNegative val="0"/>
            <spPr>
              <a:solidFill>
                <a:srgbClr val="ADA6D7"/>
              </a:solidFill>
              <a:ln>
                <a:noFill/>
                <a:prstDash val="solid"/>
              </a:ln>
            </spPr>
          </dPt>
          <dPt>
            <idx val="86"/>
            <invertIfNegative val="0"/>
            <spPr>
              <a:solidFill>
                <a:srgbClr val="ADA6D7"/>
              </a:solidFill>
              <a:ln>
                <a:noFill/>
                <a:prstDash val="solid"/>
              </a:ln>
            </spPr>
          </dPt>
          <dPt>
            <idx val="87"/>
            <invertIfNegative val="0"/>
            <spPr>
              <a:solidFill>
                <a:srgbClr val="ADA6D7"/>
              </a:solidFill>
              <a:ln>
                <a:noFill/>
                <a:prstDash val="solid"/>
              </a:ln>
            </spPr>
          </dPt>
          <dPt>
            <idx val="88"/>
            <invertIfNegative val="0"/>
            <spPr>
              <a:solidFill>
                <a:srgbClr val="ADA6D7"/>
              </a:solidFill>
              <a:ln>
                <a:noFill/>
                <a:prstDash val="solid"/>
              </a:ln>
            </spPr>
          </dPt>
          <dPt>
            <idx val="89"/>
            <invertIfNegative val="0"/>
            <spPr>
              <a:solidFill>
                <a:srgbClr val="ADA6D7"/>
              </a:solidFill>
              <a:ln>
                <a:noFill/>
                <a:prstDash val="solid"/>
              </a:ln>
            </spPr>
          </dPt>
          <dPt>
            <idx val="90"/>
            <invertIfNegative val="0"/>
            <spPr>
              <a:solidFill>
                <a:srgbClr val="ADA6D7"/>
              </a:solidFill>
              <a:ln>
                <a:noFill/>
                <a:prstDash val="solid"/>
              </a:ln>
            </spPr>
          </dPt>
          <dPt>
            <idx val="91"/>
            <invertIfNegative val="0"/>
            <spPr>
              <a:solidFill>
                <a:srgbClr val="ADA6D7"/>
              </a:solidFill>
              <a:ln>
                <a:noFill/>
                <a:prstDash val="solid"/>
              </a:ln>
            </spPr>
          </dPt>
          <dPt>
            <idx val="92"/>
            <invertIfNegative val="0"/>
            <spPr>
              <a:solidFill>
                <a:srgbClr val="ADA6D7"/>
              </a:solidFill>
              <a:ln>
                <a:noFill/>
                <a:prstDash val="solid"/>
              </a:ln>
            </spPr>
          </dPt>
          <dPt>
            <idx val="93"/>
            <invertIfNegative val="0"/>
            <spPr>
              <a:solidFill>
                <a:srgbClr val="ADA6D7"/>
              </a:solidFill>
              <a:ln>
                <a:noFill/>
                <a:prstDash val="solid"/>
              </a:ln>
            </spPr>
          </dPt>
          <dPt>
            <idx val="94"/>
            <invertIfNegative val="0"/>
            <spPr>
              <a:solidFill>
                <a:srgbClr val="ADA6D7"/>
              </a:solidFill>
              <a:ln>
                <a:noFill/>
                <a:prstDash val="solid"/>
              </a:ln>
            </spPr>
          </dPt>
          <dPt>
            <idx val="95"/>
            <invertIfNegative val="0"/>
            <spPr>
              <a:solidFill>
                <a:srgbClr val="ADA6D7"/>
              </a:solidFill>
              <a:ln>
                <a:noFill/>
                <a:prstDash val="solid"/>
              </a:ln>
            </spPr>
          </dPt>
          <dPt>
            <idx val="96"/>
            <invertIfNegative val="0"/>
            <spPr>
              <a:solidFill>
                <a:srgbClr val="DAD7ED"/>
              </a:solidFill>
              <a:ln>
                <a:noFill/>
                <a:prstDash val="solid"/>
              </a:ln>
            </spPr>
          </dPt>
          <dPt>
            <idx val="97"/>
            <invertIfNegative val="0"/>
            <spPr>
              <a:solidFill>
                <a:srgbClr val="DAD7ED"/>
              </a:solidFill>
              <a:ln>
                <a:noFill/>
                <a:prstDash val="solid"/>
              </a:ln>
            </spPr>
          </dPt>
          <dPt>
            <idx val="98"/>
            <invertIfNegative val="0"/>
            <spPr>
              <a:solidFill>
                <a:srgbClr val="DAD7ED"/>
              </a:solidFill>
              <a:ln>
                <a:noFill/>
                <a:prstDash val="solid"/>
              </a:ln>
            </spPr>
          </dPt>
          <dPt>
            <idx val="99"/>
            <invertIfNegative val="0"/>
            <spPr>
              <a:solidFill>
                <a:srgbClr val="DAD7ED"/>
              </a:solidFill>
              <a:ln>
                <a:noFill/>
                <a:prstDash val="solid"/>
              </a:ln>
            </spPr>
          </dPt>
          <dPt>
            <idx val="100"/>
            <invertIfNegative val="0"/>
            <spPr>
              <a:solidFill>
                <a:srgbClr val="DAD7ED"/>
              </a:solidFill>
              <a:ln>
                <a:noFill/>
                <a:prstDash val="solid"/>
              </a:ln>
            </spPr>
          </dPt>
          <dPt>
            <idx val="101"/>
            <invertIfNegative val="0"/>
            <spPr>
              <a:solidFill>
                <a:srgbClr val="DAD7ED"/>
              </a:solidFill>
              <a:ln>
                <a:noFill/>
                <a:prstDash val="solid"/>
              </a:ln>
            </spPr>
          </dPt>
          <dPt>
            <idx val="102"/>
            <invertIfNegative val="0"/>
            <spPr>
              <a:solidFill>
                <a:srgbClr val="DAD7ED"/>
              </a:solidFill>
              <a:ln>
                <a:noFill/>
                <a:prstDash val="solid"/>
              </a:ln>
            </spPr>
          </dPt>
          <dPt>
            <idx val="103"/>
            <invertIfNegative val="0"/>
            <spPr>
              <a:solidFill>
                <a:srgbClr val="DAD7ED"/>
              </a:solidFill>
              <a:ln>
                <a:noFill/>
                <a:prstDash val="solid"/>
              </a:ln>
            </spPr>
          </dPt>
          <dPt>
            <idx val="104"/>
            <invertIfNegative val="0"/>
            <spPr>
              <a:solidFill>
                <a:srgbClr val="DAD7ED"/>
              </a:solidFill>
              <a:ln>
                <a:noFill/>
                <a:prstDash val="solid"/>
              </a:ln>
            </spPr>
          </dPt>
          <dPt>
            <idx val="105"/>
            <invertIfNegative val="0"/>
            <spPr>
              <a:solidFill>
                <a:srgbClr val="DAD7ED"/>
              </a:solidFill>
              <a:ln>
                <a:noFill/>
                <a:prstDash val="solid"/>
              </a:ln>
            </spPr>
          </dPt>
          <dPt>
            <idx val="106"/>
            <invertIfNegative val="0"/>
            <spPr>
              <a:solidFill>
                <a:srgbClr val="DAD7ED"/>
              </a:solidFill>
              <a:ln>
                <a:noFill/>
                <a:prstDash val="solid"/>
              </a:ln>
            </spPr>
          </dPt>
          <dPt>
            <idx val="107"/>
            <invertIfNegative val="0"/>
            <spPr>
              <a:solidFill>
                <a:srgbClr val="DAD7ED"/>
              </a:solidFill>
              <a:ln>
                <a:noFill/>
                <a:prstDash val="solid"/>
              </a:ln>
            </spPr>
          </dPt>
          <dPt>
            <idx val="108"/>
            <invertIfNegative val="0"/>
            <spPr>
              <a:solidFill>
                <a:srgbClr val="DAD7ED"/>
              </a:solidFill>
              <a:ln>
                <a:noFill/>
                <a:prstDash val="solid"/>
              </a:ln>
            </spPr>
          </dPt>
          <dPt>
            <idx val="109"/>
            <invertIfNegative val="0"/>
            <spPr>
              <a:solidFill>
                <a:srgbClr val="DAD7ED"/>
              </a:solidFill>
              <a:ln>
                <a:noFill/>
                <a:prstDash val="solid"/>
              </a:ln>
            </spPr>
          </dPt>
          <dPt>
            <idx val="110"/>
            <invertIfNegative val="0"/>
            <spPr>
              <a:solidFill>
                <a:srgbClr val="DAD7ED"/>
              </a:solidFill>
              <a:ln>
                <a:noFill/>
                <a:prstDash val="solid"/>
              </a:ln>
            </spPr>
          </dPt>
          <dPt>
            <idx val="111"/>
            <invertIfNegative val="0"/>
            <spPr>
              <a:solidFill>
                <a:srgbClr val="DAD7ED"/>
              </a:solidFill>
              <a:ln>
                <a:noFill/>
                <a:prstDash val="solid"/>
              </a:ln>
            </spPr>
          </dPt>
          <dPt>
            <idx val="112"/>
            <invertIfNegative val="0"/>
            <spPr>
              <a:solidFill>
                <a:srgbClr val="DAD7ED"/>
              </a:solidFill>
              <a:ln>
                <a:noFill/>
                <a:prstDash val="solid"/>
              </a:ln>
            </spPr>
          </dPt>
          <dPt>
            <idx val="113"/>
            <invertIfNegative val="0"/>
            <spPr>
              <a:solidFill>
                <a:srgbClr val="DAD7ED"/>
              </a:solidFill>
              <a:ln>
                <a:noFill/>
                <a:prstDash val="solid"/>
              </a:ln>
            </spPr>
          </dPt>
          <dPt>
            <idx val="114"/>
            <invertIfNegative val="0"/>
            <spPr>
              <a:solidFill>
                <a:srgbClr val="DAD7ED"/>
              </a:solidFill>
              <a:ln>
                <a:noFill/>
                <a:prstDash val="solid"/>
              </a:ln>
            </spPr>
          </dPt>
          <dPt>
            <idx val="115"/>
            <invertIfNegative val="0"/>
            <spPr>
              <a:solidFill>
                <a:srgbClr val="DAD7ED"/>
              </a:solidFill>
              <a:ln>
                <a:noFill/>
                <a:prstDash val="solid"/>
              </a:ln>
            </spPr>
          </dPt>
          <dPt>
            <idx val="116"/>
            <invertIfNegative val="0"/>
            <spPr>
              <a:solidFill>
                <a:srgbClr val="DAD7ED"/>
              </a:solidFill>
              <a:ln>
                <a:noFill/>
                <a:prstDash val="solid"/>
              </a:ln>
            </spPr>
          </dPt>
          <dPt>
            <idx val="117"/>
            <invertIfNegative val="0"/>
            <spPr>
              <a:solidFill>
                <a:srgbClr val="DAD7ED"/>
              </a:solidFill>
              <a:ln>
                <a:noFill/>
                <a:prstDash val="solid"/>
              </a:ln>
            </spPr>
          </dPt>
          <dPt>
            <idx val="118"/>
            <invertIfNegative val="0"/>
            <spPr>
              <a:solidFill>
                <a:srgbClr val="DAD7ED"/>
              </a:solidFill>
              <a:ln>
                <a:noFill/>
                <a:prstDash val="solid"/>
              </a:ln>
            </spPr>
          </dPt>
          <dPt>
            <idx val="119"/>
            <invertIfNegative val="0"/>
            <spPr>
              <a:solidFill>
                <a:srgbClr val="DAD7ED"/>
              </a:solidFill>
              <a:ln>
                <a:noFill/>
                <a:prstDash val="solid"/>
              </a:ln>
            </spPr>
          </dPt>
          <dPt>
            <idx val="120"/>
            <invertIfNegative val="0"/>
            <spPr>
              <a:solidFill>
                <a:srgbClr val="DAD7ED"/>
              </a:solidFill>
              <a:ln>
                <a:noFill/>
                <a:prstDash val="solid"/>
              </a:ln>
            </spPr>
          </dPt>
          <dPt>
            <idx val="121"/>
            <invertIfNegative val="0"/>
            <spPr>
              <a:solidFill>
                <a:srgbClr val="DAD7ED"/>
              </a:solidFill>
              <a:ln>
                <a:noFill/>
                <a:prstDash val="solid"/>
              </a:ln>
            </spPr>
          </dPt>
          <dPt>
            <idx val="122"/>
            <invertIfNegative val="0"/>
            <spPr>
              <a:solidFill>
                <a:srgbClr val="DAD7ED"/>
              </a:solidFill>
              <a:ln>
                <a:noFill/>
                <a:prstDash val="solid"/>
              </a:ln>
            </spPr>
          </dPt>
          <dPt>
            <idx val="123"/>
            <invertIfNegative val="0"/>
            <spPr>
              <a:solidFill>
                <a:srgbClr val="DAD7ED"/>
              </a:solidFill>
              <a:ln>
                <a:noFill/>
                <a:prstDash val="solid"/>
              </a:ln>
            </spPr>
          </dPt>
          <dPt>
            <idx val="124"/>
            <invertIfNegative val="0"/>
            <spPr>
              <a:solidFill>
                <a:srgbClr val="DAD7ED"/>
              </a:solidFill>
              <a:ln>
                <a:noFill/>
                <a:prstDash val="solid"/>
              </a:ln>
            </spPr>
          </dPt>
          <dPt>
            <idx val="125"/>
            <invertIfNegative val="0"/>
            <spPr>
              <a:solidFill>
                <a:srgbClr val="DAD7ED"/>
              </a:solidFill>
              <a:ln>
                <a:noFill/>
                <a:prstDash val="solid"/>
              </a:ln>
            </spPr>
          </dPt>
          <dPt>
            <idx val="126"/>
            <invertIfNegative val="0"/>
            <spPr>
              <a:solidFill>
                <a:srgbClr val="DAD7ED"/>
              </a:solidFill>
              <a:ln>
                <a:noFill/>
                <a:prstDash val="solid"/>
              </a:ln>
            </spPr>
          </dPt>
          <dPt>
            <idx val="127"/>
            <invertIfNegative val="0"/>
            <spPr>
              <a:solidFill>
                <a:srgbClr val="DAD7ED"/>
              </a:solidFill>
              <a:ln>
                <a:noFill/>
                <a:prstDash val="solid"/>
              </a:ln>
            </spPr>
          </dPt>
          <dPt>
            <idx val="128"/>
            <invertIfNegative val="0"/>
            <spPr>
              <a:solidFill>
                <a:srgbClr val="DAD7ED"/>
              </a:solidFill>
              <a:ln>
                <a:noFill/>
                <a:prstDash val="solid"/>
              </a:ln>
            </spPr>
          </dPt>
          <dPt>
            <idx val="129"/>
            <invertIfNegative val="0"/>
            <spPr>
              <a:solidFill>
                <a:srgbClr val="DAD7ED"/>
              </a:solidFill>
              <a:ln>
                <a:noFill/>
                <a:prstDash val="solid"/>
              </a:ln>
            </spPr>
          </dPt>
          <dPt>
            <idx val="130"/>
            <invertIfNegative val="0"/>
            <spPr>
              <a:solidFill>
                <a:srgbClr val="DAD7ED"/>
              </a:solidFill>
              <a:ln>
                <a:noFill/>
                <a:prstDash val="solid"/>
              </a:ln>
            </spPr>
          </dPt>
          <dPt>
            <idx val="131"/>
            <invertIfNegative val="0"/>
            <spPr>
              <a:solidFill>
                <a:srgbClr val="DAD7ED"/>
              </a:solidFill>
              <a:ln>
                <a:noFill/>
                <a:prstDash val="solid"/>
              </a:ln>
            </spPr>
          </dPt>
          <dPt>
            <idx val="132"/>
            <invertIfNegative val="0"/>
            <spPr>
              <a:solidFill>
                <a:srgbClr val="DAD7ED"/>
              </a:solidFill>
              <a:ln>
                <a:noFill/>
                <a:prstDash val="solid"/>
              </a:ln>
            </spPr>
          </dPt>
          <dPt>
            <idx val="133"/>
            <invertIfNegative val="0"/>
            <spPr>
              <a:solidFill>
                <a:srgbClr val="DAD7ED"/>
              </a:solidFill>
              <a:ln>
                <a:noFill/>
                <a:prstDash val="solid"/>
              </a:ln>
            </spPr>
          </dPt>
          <dPt>
            <idx val="134"/>
            <invertIfNegative val="0"/>
            <spPr>
              <a:solidFill>
                <a:srgbClr val="DAD7ED"/>
              </a:solidFill>
              <a:ln>
                <a:noFill/>
                <a:prstDash val="solid"/>
              </a:ln>
            </spPr>
          </dPt>
          <dPt>
            <idx val="135"/>
            <invertIfNegative val="0"/>
            <spPr>
              <a:solidFill>
                <a:srgbClr val="DAD7ED"/>
              </a:solidFill>
              <a:ln>
                <a:noFill/>
                <a:prstDash val="solid"/>
              </a:ln>
            </spPr>
          </dPt>
          <dPt>
            <idx val="136"/>
            <invertIfNegative val="0"/>
            <spPr>
              <a:solidFill>
                <a:srgbClr val="DAD7ED"/>
              </a:solidFill>
              <a:ln>
                <a:noFill/>
                <a:prstDash val="solid"/>
              </a:ln>
            </spPr>
          </dPt>
          <dPt>
            <idx val="137"/>
            <invertIfNegative val="0"/>
            <spPr>
              <a:solidFill>
                <a:srgbClr val="DAD7ED"/>
              </a:solidFill>
              <a:ln>
                <a:noFill/>
                <a:prstDash val="solid"/>
              </a:ln>
            </spPr>
          </dPt>
          <dPt>
            <idx val="138"/>
            <invertIfNegative val="0"/>
            <spPr>
              <a:solidFill>
                <a:srgbClr val="DAD7ED"/>
              </a:solidFill>
              <a:ln>
                <a:noFill/>
                <a:prstDash val="solid"/>
              </a:ln>
            </spPr>
          </dPt>
          <dPt>
            <idx val="139"/>
            <invertIfNegative val="0"/>
            <spPr>
              <a:solidFill>
                <a:srgbClr val="DAD7ED"/>
              </a:solidFill>
              <a:ln>
                <a:noFill/>
                <a:prstDash val="solid"/>
              </a:ln>
            </spPr>
          </dPt>
          <dPt>
            <idx val="140"/>
            <invertIfNegative val="0"/>
            <spPr>
              <a:solidFill>
                <a:srgbClr val="DAD7ED"/>
              </a:solidFill>
              <a:ln>
                <a:noFill/>
                <a:prstDash val="solid"/>
              </a:ln>
            </spPr>
          </dPt>
          <dPt>
            <idx val="141"/>
            <invertIfNegative val="0"/>
            <spPr>
              <a:solidFill>
                <a:srgbClr val="DAD7ED"/>
              </a:solidFill>
              <a:ln>
                <a:noFill/>
                <a:prstDash val="solid"/>
              </a:ln>
            </spPr>
          </dPt>
          <dPt>
            <idx val="142"/>
            <invertIfNegative val="0"/>
            <spPr>
              <a:solidFill>
                <a:srgbClr val="DAD7ED"/>
              </a:solidFill>
              <a:ln>
                <a:noFill/>
                <a:prstDash val="solid"/>
              </a:ln>
            </spPr>
          </dPt>
          <dPt>
            <idx val="143"/>
            <invertIfNegative val="0"/>
            <spPr>
              <a:solidFill>
                <a:srgbClr val="DAD7ED"/>
              </a:solidFill>
              <a:ln>
                <a:noFill/>
                <a:prstDash val="solid"/>
              </a:ln>
            </spPr>
          </dPt>
          <dPt>
            <idx val="144"/>
            <invertIfNegative val="0"/>
            <spPr>
              <a:solidFill>
                <a:srgbClr val="DAD7ED"/>
              </a:solidFill>
              <a:ln>
                <a:noFill/>
                <a:prstDash val="solid"/>
              </a:ln>
            </spPr>
          </dPt>
          <dPt>
            <idx val="145"/>
            <invertIfNegative val="0"/>
            <spPr>
              <a:solidFill>
                <a:srgbClr val="DAD7ED"/>
              </a:solidFill>
              <a:ln>
                <a:noFill/>
                <a:prstDash val="solid"/>
              </a:ln>
            </spPr>
          </dPt>
          <dPt>
            <idx val="146"/>
            <invertIfNegative val="0"/>
            <spPr>
              <a:solidFill>
                <a:srgbClr val="DAD7ED"/>
              </a:solidFill>
              <a:ln>
                <a:noFill/>
                <a:prstDash val="solid"/>
              </a:ln>
            </spPr>
          </dPt>
          <dPt>
            <idx val="147"/>
            <invertIfNegative val="0"/>
            <spPr>
              <a:solidFill>
                <a:srgbClr val="DAD7ED"/>
              </a:solidFill>
              <a:ln>
                <a:noFill/>
                <a:prstDash val="solid"/>
              </a:ln>
            </spPr>
          </dPt>
          <dPt>
            <idx val="148"/>
            <invertIfNegative val="0"/>
            <spPr>
              <a:solidFill>
                <a:srgbClr val="DAD7ED"/>
              </a:solidFill>
              <a:ln>
                <a:noFill/>
                <a:prstDash val="solid"/>
              </a:ln>
            </spPr>
          </dPt>
          <dPt>
            <idx val="149"/>
            <invertIfNegative val="0"/>
            <spPr>
              <a:solidFill>
                <a:srgbClr val="DAD7ED"/>
              </a:solidFill>
              <a:ln>
                <a:noFill/>
                <a:prstDash val="solid"/>
              </a:ln>
            </spPr>
          </dPt>
          <dPt>
            <idx val="150"/>
            <invertIfNegative val="0"/>
            <spPr>
              <a:solidFill>
                <a:srgbClr val="DAD7ED"/>
              </a:solidFill>
              <a:ln>
                <a:noFill/>
                <a:prstDash val="solid"/>
              </a:ln>
            </spPr>
          </dPt>
          <dPt>
            <idx val="151"/>
            <invertIfNegative val="0"/>
            <spPr>
              <a:solidFill>
                <a:srgbClr val="DAD7ED"/>
              </a:solidFill>
              <a:ln>
                <a:noFill/>
                <a:prstDash val="solid"/>
              </a:ln>
            </spPr>
          </dPt>
          <dPt>
            <idx val="152"/>
            <invertIfNegative val="0"/>
            <spPr>
              <a:solidFill>
                <a:srgbClr val="DAD7ED"/>
              </a:solidFill>
              <a:ln>
                <a:noFill/>
                <a:prstDash val="solid"/>
              </a:ln>
            </spPr>
          </dPt>
          <dPt>
            <idx val="153"/>
            <invertIfNegative val="0"/>
            <spPr>
              <a:solidFill>
                <a:srgbClr val="DAD7ED"/>
              </a:solidFill>
              <a:ln>
                <a:noFill/>
                <a:prstDash val="solid"/>
              </a:ln>
            </spPr>
          </dPt>
          <dPt>
            <idx val="154"/>
            <invertIfNegative val="0"/>
            <spPr>
              <a:solidFill>
                <a:srgbClr val="DAD7ED"/>
              </a:solidFill>
              <a:ln>
                <a:noFill/>
                <a:prstDash val="solid"/>
              </a:ln>
            </spPr>
          </dPt>
          <dPt>
            <idx val="155"/>
            <invertIfNegative val="0"/>
            <spPr>
              <a:solidFill>
                <a:srgbClr val="DAD7ED"/>
              </a:solidFill>
              <a:ln>
                <a:noFill/>
                <a:prstDash val="solid"/>
              </a:ln>
            </spPr>
          </dPt>
          <cat>
            <numRef>
              <f>'Chart - Louisiana'!$A$2:$A$157</f>
            </numRef>
          </cat>
          <val>
            <numRef>
              <f>'Chart - Louisiana'!$F$2:$F$157</f>
            </numRef>
          </val>
        </ser>
        <gapWidth val="30"/>
        <overlap val="100"/>
        <axId val="10"/>
        <axId val="100"/>
      </barChart>
      <lineChart>
        <grouping val="standard"/>
        <ser>
          <idx val="5"/>
          <order val="5"/>
          <tx>
            <strRef>
              <f>'Chart - Louisiana'!G1</f>
            </strRef>
          </tx>
          <spPr>
            <a:ln w="28575">
              <a:solidFill>
                <a:srgbClr val="6D4C41"/>
              </a:solidFill>
              <a:prstDash val="dash"/>
            </a:ln>
          </spPr>
          <marker>
            <symbol val="none"/>
            <spPr>
              <a:ln>
                <a:prstDash val="solid"/>
              </a:ln>
            </spPr>
          </marker>
          <cat>
            <numRef>
              <f>'Chart - Louisiana'!$A$2:$A$157</f>
            </numRef>
          </cat>
          <val>
            <numRef>
              <f>'Chart - Louisiana'!$G$2:$G$157</f>
            </numRef>
          </val>
          <smooth val="0"/>
        </ser>
        <ser>
          <idx val="6"/>
          <order val="6"/>
          <tx>
            <strRef>
              <f>'Chart - Louisiana'!H1</f>
            </strRef>
          </tx>
          <spPr>
            <a:ln w="28575">
              <a:solidFill>
                <a:srgbClr val="6D4C41"/>
              </a:solidFill>
              <a:prstDash val="solid"/>
            </a:ln>
          </spPr>
          <marker>
            <symbol val="none"/>
            <spPr>
              <a:ln>
                <a:prstDash val="solid"/>
              </a:ln>
            </spPr>
          </marker>
          <cat>
            <numRef>
              <f>'Chart - Louisiana'!$A$2:$A$157</f>
            </numRef>
          </cat>
          <val>
            <numRef>
              <f>'Chart - Louisiana'!$H$2:$H$157</f>
            </numRef>
          </val>
          <smooth val="0"/>
        </ser>
        <ser>
          <idx val="7"/>
          <order val="7"/>
          <tx>
            <strRef>
              <f>'Chart - Louisiana'!I1</f>
            </strRef>
          </tx>
          <spPr>
            <a:ln w="28575">
              <a:solidFill>
                <a:srgbClr val="252525"/>
              </a:solidFill>
              <a:prstDash val="sysDot"/>
            </a:ln>
          </spPr>
          <marker>
            <symbol val="none"/>
            <spPr>
              <a:ln>
                <a:prstDash val="solid"/>
              </a:ln>
            </spPr>
          </marker>
          <cat>
            <numRef>
              <f>'Chart - Louisiana'!$A$2:$A$157</f>
            </numRef>
          </cat>
          <val>
            <numRef>
              <f>'Chart - Louisiana'!$I$2:$I$157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Supply growth by basin vs growth in Gulf demand since Dec 2025 (base, Dec of each year)</a:t>
            </a:r>
          </a:p>
          <a:p>
            <a:pPr>
              <a:defRPr/>
            </a:pPr>
            <a:r>
              <a:rPr sz="1200" b="1"/>
              <a:t>Stack = basin supply growth + extra supply needed to hold the outflow; 2028+ basin supply is a STEO extension</a:t>
            </a:r>
          </a:p>
          <a:p>
            <a:pPr>
              <a:defRPr/>
            </a:pPr>
            <a:r>
              <a:rPr sz="1200" b="1"/>
              <a:t>Louisiana LNG start dates: 5 of 5 trains sourced (EIA 2026 Q2, month assumed); 6 pre-FID projects not forecast (to 2033)</a:t>
            </a:r>
          </a:p>
        </rich>
      </tx>
      <overlay val="0"/>
    </title>
    <plotArea>
      <barChart>
        <barDir val="col"/>
        <grouping val="stacked"/>
        <ser>
          <idx val="0"/>
          <order val="0"/>
          <tx>
            <strRef>
              <f>'Chart - Supply growth vs LNG de'!B1</f>
            </strRef>
          </tx>
          <spPr>
            <a:solidFill>
              <a:srgbClr val="2A78D6"/>
            </a:solidFill>
            <a:ln>
              <a:noFill/>
              <a:prstDash val="solid"/>
            </a:ln>
          </spPr>
          <cat>
            <numRef>
              <f>'Chart - Supply growth vs LNG de'!$A$2:$A$9</f>
            </numRef>
          </cat>
          <val>
            <numRef>
              <f>'Chart - Supply growth vs LNG de'!$B$2:$B$9</f>
            </numRef>
          </val>
        </ser>
        <ser>
          <idx val="1"/>
          <order val="1"/>
          <tx>
            <strRef>
              <f>'Chart - Supply growth vs LNG de'!C1</f>
            </strRef>
          </tx>
          <spPr>
            <a:solidFill>
              <a:srgbClr val="EB6834"/>
            </a:solidFill>
            <a:ln>
              <a:noFill/>
              <a:prstDash val="solid"/>
            </a:ln>
          </spPr>
          <cat>
            <numRef>
              <f>'Chart - Supply growth vs LNG de'!$A$2:$A$9</f>
            </numRef>
          </cat>
          <val>
            <numRef>
              <f>'Chart - Supply growth vs LNG de'!$C$2:$C$9</f>
            </numRef>
          </val>
        </ser>
        <ser>
          <idx val="2"/>
          <order val="2"/>
          <tx>
            <strRef>
              <f>'Chart - Supply growth vs LNG de'!D1</f>
            </strRef>
          </tx>
          <spPr>
            <a:solidFill>
              <a:srgbClr val="1BAF7A"/>
            </a:solidFill>
            <a:ln>
              <a:noFill/>
              <a:prstDash val="solid"/>
            </a:ln>
          </spPr>
          <cat>
            <numRef>
              <f>'Chart - Supply growth vs LNG de'!$A$2:$A$9</f>
            </numRef>
          </cat>
          <val>
            <numRef>
              <f>'Chart - Supply growth vs LNG de'!$D$2:$D$9</f>
            </numRef>
          </val>
        </ser>
        <ser>
          <idx val="3"/>
          <order val="3"/>
          <tx>
            <strRef>
              <f>'Chart - Supply growth vs LNG de'!E1</f>
            </strRef>
          </tx>
          <spPr>
            <a:solidFill>
              <a:srgbClr val="EDA100"/>
            </a:solidFill>
            <a:ln>
              <a:noFill/>
              <a:prstDash val="solid"/>
            </a:ln>
          </spPr>
          <cat>
            <numRef>
              <f>'Chart - Supply growth vs LNG de'!$A$2:$A$9</f>
            </numRef>
          </cat>
          <val>
            <numRef>
              <f>'Chart - Supply growth vs LNG de'!$E$2:$E$9</f>
            </numRef>
          </val>
        </ser>
        <gapWidth val="30"/>
        <overlap val="100"/>
        <axId val="10"/>
        <axId val="100"/>
      </barChart>
      <lineChart>
        <grouping val="standard"/>
        <ser>
          <idx val="4"/>
          <order val="4"/>
          <tx>
            <strRef>
              <f>'Chart - Supply growth vs LNG de'!F1</f>
            </strRef>
          </tx>
          <spPr>
            <a:ln w="28575">
              <a:solidFill>
                <a:srgbClr val="252525"/>
              </a:solidFill>
              <a:prstDash val="solid"/>
            </a:ln>
          </spPr>
          <marker>
            <symbol val="none"/>
            <spPr>
              <a:ln>
                <a:prstDash val="solid"/>
              </a:ln>
            </spPr>
          </marker>
          <cat>
            <numRef>
              <f>'Chart - Supply growth vs LNG de'!$A$2:$A$9</f>
            </numRef>
          </cat>
          <val>
            <numRef>
              <f>'Chart - Supply growth vs LNG de'!$F$2:$F$9</f>
            </numRef>
          </val>
          <smooth val="0"/>
        </ser>
        <ser>
          <idx val="5"/>
          <order val="5"/>
          <tx>
            <strRef>
              <f>'Chart - Supply growth vs LNG de'!G1</f>
            </strRef>
          </tx>
          <spPr>
            <a:ln w="28575">
              <a:solidFill>
                <a:srgbClr val="252525"/>
              </a:solidFill>
              <a:prstDash val="dash"/>
            </a:ln>
          </spPr>
          <marker>
            <symbol val="none"/>
            <spPr>
              <a:ln>
                <a:prstDash val="solid"/>
              </a:ln>
            </spPr>
          </marker>
          <cat>
            <numRef>
              <f>'Chart - Supply growth vs LNG de'!$A$2:$A$9</f>
            </numRef>
          </cat>
          <val>
            <numRef>
              <f>'Chart - Supply growth vs LNG de'!$G$2:$G$9</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14</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10" customWidth="1" min="1" max="1"/>
  </cols>
  <sheetData>
    <row r="1">
      <c r="A1" s="1" t="inlineStr">
        <is>
          <t>Notes</t>
        </is>
      </c>
    </row>
    <row r="2">
      <c r="A2" t="inlineStr">
        <is>
          <t>Notes</t>
        </is>
      </c>
    </row>
    <row r="4">
      <c r="A4" s="1" t="inlineStr">
        <is>
          <t>UNITS</t>
        </is>
      </c>
    </row>
    <row r="5">
      <c r="A5" t="inlineStr">
        <is>
          <t>All flows are Bcf/d (billion cubic feet per day), monthly averages; EIA monthly MMcf / days / 1000. Dry gas for production, consumption and LNG feedgas for demand.</t>
        </is>
      </c>
    </row>
    <row r="7">
      <c r="A7" s="1" t="inlineStr">
        <is>
          <t>WHAT IT ANSWERS</t>
        </is>
      </c>
    </row>
    <row r="8">
      <c r="A8" t="inlineStr">
        <is>
          <t>Whether Permian (takeaway-capped), Eagle Ford and Haynesville supply growth covers the growth in Gulf Coast gas demand (Texas + Louisiana: sectors, Mexico pipeline exports, data centres and above all LNG feedgas) from Dec 2025, or whether Haynesville growth above STEO (or supply from other regions) is needed. See 'Key question' and chart 'Supply growth vs LNG demand'.</t>
        </is>
      </c>
    </row>
    <row r="10">
      <c r="A10" s="1" t="inlineStr">
        <is>
          <t>TEXAS</t>
        </is>
      </c>
    </row>
    <row r="11">
      <c r="A11" t="inlineStr">
        <is>
          <t>Read unchanged (read only) from texas_gas_monthly.xlsx and texas_production_forecast.xlsx: consumption by sector, Mexico pipeline exports, BASE data-centre gas burn, dry production base / takeaway-delayed, LNG feedgas (TEXAS_GAS_FORECAST.py run to Dec 2030). Texas demand incl. LNG and data centres vs 'Demand to 2033' BASE total 2024-30: max abs gap 0.000 Bcf/d.</t>
        </is>
      </c>
    </row>
    <row r="13">
      <c r="A13" s="1" t="inlineStr">
        <is>
          <t>LOUISIANA</t>
        </is>
      </c>
    </row>
    <row r="14">
      <c r="A14" t="inlineStr">
        <is>
          <t>EIA Natural Gas Monthly via API v2, area SLA: consumption by sector (cons/sum), marketed and dry production (prod/sum), LNG exports of the four Louisiana ports Sabine Pass, Cameron, Calcasieu Pass and Plaquemines (move/poe2; Plaquemines is in Plaquemines Parish, Calcasieu Pass in Cameron Parish). Feedgas = exports x 1.09 (as Texas). Pipeline exports to Mexico: none from Louisiana.</t>
        </is>
      </c>
    </row>
    <row r="15">
      <c r="A15" t="inlineStr">
        <is>
          <t>Residential, commercial and vehicle fuel are small and EIA leaves single months blank (bridged by interpolation); months after a sector's last published month are the seasonal-trend estimate (Residential after Apr/26). Dry production: EIA to Dec 2024, then marketed x (1 - 0.4%).</t>
        </is>
      </c>
    </row>
    <row r="16">
      <c r="A16" t="inlineStr">
        <is>
          <t>First forecast month: Texas Aug/26, Louisiana Aug/26; combined Aug/26. Louisiana consumption forecast = seasonal trend (not weather-adjusted).</t>
        </is>
      </c>
    </row>
    <row r="17">
      <c r="A17" t="inlineStr">
        <is>
          <t>LNG forecast: existing plants = EIA peak nameplate x 1.09 x the monthly utilisation of the last 36 EIA months (smoothed 1-2-1); Plaquemines = mean utilisation Jan-Jul 2026 (full output) x the seasonal index; new trains from 'Assump - LA LNG' (ramp from first LNG to steady utilisation); delayed = trains not yet started slip 6 months. x of y sourced: 5 of 5 forecast Louisiana trains (6 pre-FID/undated projects not forecast).</t>
        </is>
      </c>
    </row>
    <row r="18">
      <c r="A18" t="inlineStr">
        <is>
          <t>Date status: SOURCED means an opened document gives the year or half-year (EIA liquefaction capacity file 2026 Q2); the month within it is assumed (mid-period). Anything else is UNVERIFIED and has no first-LNG month, so it is not in the forecast until a date is typed in the yellow cell.</t>
        </is>
      </c>
    </row>
    <row r="20">
      <c r="A20" s="1" t="inlineStr">
        <is>
          <t>SUPPLY</t>
        </is>
      </c>
    </row>
    <row r="21">
      <c r="A21" t="inlineStr">
        <is>
          <t>STEO regional marketed production (Permian, Eagle Ford, Haynesville) as in the Texas workbook, to Dec 2027; 2028 and 2029-30 are extensions (see Assumptions), not EIA forecasts. Haynesville is split Texas 30% / Louisiana 70%; EIA state data imply a Louisiana share of 70% (upper bound). Total Haynesville is STEO's either way. Texas dry production rebuilt from the basin series vs 'Demand to 2033' (Sep 2026-Dec 2030) base: max abs gap 0.000 Bcf/d; delayed: max abs gap 0.000 Bcf/d.</t>
        </is>
      </c>
    </row>
    <row r="22">
      <c r="A22" t="inlineStr">
        <is>
          <t>Permian: Texas share (85%) of STEO Permian, capped by the Texas workbook's takeaway table (all but Matterhorn UNVERIFIED), base and delayed. Dry = marketed x (1 - extraction loss). New Mexico's Permian gas is not counted (memo column on 'Key question').</t>
        </is>
      </c>
    </row>
    <row r="24">
      <c r="A24" s="1" t="inlineStr">
        <is>
          <t>KEY QUESTION</t>
        </is>
      </c>
    </row>
    <row r="25">
      <c r="A25" t="inlineStr">
        <is>
          <t>For each year-end: incremental LNG feedgas (Texas, Louisiana) and other Gulf demand since Dec 2025 against incremental supply by basin. Supply growth less demand growth &gt; 0 is a surplus (the outflow to other states rises); &lt; 0 is a shortfall. 'Outflow held': extra supply needed so the combined outflow ends at its Dec 2025 level (+ the editable allowance). 'Outflow declines': the outflow is allowed to fall; the fall is the gas other regions must replace, and extra supply is needed only if it would go below the floor.</t>
        </is>
      </c>
    </row>
    <row r="26">
      <c r="A26" t="inlineStr">
        <is>
          <t>Combined implied outflow = dry production - demand incl. LNG; Dec 2025 base level 2.8 Bcf/d, last 12 actual months mean 3.7. It includes lease/plant and pipeline fuel EIA withholds. Since Oct 2026 the outflow also includes storage (see STORAGE); the key-question year-end increments stay on the before-storage basis (see STORAGE).</t>
        </is>
      </c>
    </row>
    <row r="28">
      <c r="A28" s="1" t="inlineStr">
        <is>
          <t>STORAGE</t>
        </is>
      </c>
    </row>
    <row r="29">
      <c r="A29" t="inlineStr">
        <is>
          <t>Implied net outflow (Texas, Louisiana, Combined) = dry production + storage withdrawal - demand incl. LNG - storage injection. Gross EIA injections / withdrawals by state (stor/sum SAI / SAW, area STX / SLA) are separate series: withdrawals on the supply side, injections on the demand side of the stacked charts. The old no-storage outflow is kept as the 'Implied net outflow before storage' columns (it carried the storage seasonality: higher in summer, lower in winter).</t>
        </is>
      </c>
    </row>
    <row r="30">
      <c r="A30" t="inlineStr">
        <is>
          <t>Forecast (ASSUMPTION, not an EIA forecast): gross flows = calendar-month mean of the last 36 EIA months (Texas Aug/23-Jul/26, Louisiana Aug/23-Jul/26), net annual storage change held at the last-3-year mean (Texas -0.019, Louisiana +0.034 Bcf/d; + = net injection), Louisiana override editable on Assumptions. No storage capacity additions assumed (no sourced project list was used).</t>
        </is>
      </c>
    </row>
    <row r="31">
      <c r="A31" t="inlineStr">
        <is>
          <t>Key question: storage is NOT in the year-end increments. Net storage withdrawal in Dec of each forecast year is a seasonal pattern compared with one actual Dec 2025, so the difference only measures weather noise; it is shown as the memo column (Dec 2030: -1.22 Bcf/d). Annual net storage change is held at the last-3-year mean, so over a year the storage effect on the outflow is near zero; the outflow difference is seasonal.</t>
        </is>
      </c>
    </row>
    <row r="32">
      <c r="A32" t="inlineStr">
        <is>
          <t>'Storage memo' tab: month-end working gas (EIA, then projected from the net injection) per state, and EIA's annual working-gas capacity where the stor/cap route returned it (best-effort pull; blank if not).</t>
        </is>
      </c>
    </row>
    <row r="34">
      <c r="A34" s="1" t="inlineStr">
        <is>
          <t>LOUISIANA SENSITIVITY (illustrative, not a forecast)</t>
        </is>
      </c>
    </row>
    <row r="35">
      <c r="A35" t="inlineStr">
        <is>
          <t>Projects in 'Assump - LA LNG' with no sourced date (Cameron Train 4, Woodside Louisiana Phase 2, Lake Charles LNG - suspended by Energy Transfer on 18 Dec 2025, Delfin vessels 2-3) are stacked as separate layers on top of the base-case Gulf demand: feedgas = EIA peak nameplate x 1.09 x ramp x the existing plants' seasonal index, from an editable ILLUSTRATIVE first-LNG month on 'Assump - LA sensitivity' (default 2031-01 for all, just beyond the sourced trains; ASSUMPTION, NOT a forecast). Sabine Pass Stage 5 and the Plaquemines expansion have no sourced nameplate and are listed, not stacked. 'Key question' has Dec increments and cumulative extra-supply columns 'with sensitivity layers'. LNG is held flat after the last train; the horizon runs to Dec 2033 and basin supply after 2028 is the damped STEO extension.</t>
        </is>
      </c>
    </row>
    <row r="37">
      <c r="A37" s="1" t="inlineStr">
        <is>
          <t>STATUS COUNTS</t>
        </is>
      </c>
    </row>
    <row r="38">
      <c r="A38" t="inlineStr">
        <is>
          <t>Assumptions tab (27 items): 6 SOURCED, 6 DERIVED, 14 ASSUMPTION, 1 UNVERIFIED.</t>
        </is>
      </c>
    </row>
    <row r="40">
      <c r="A40" s="1" t="inlineStr">
        <is>
          <t>EDITING</t>
        </is>
      </c>
    </row>
    <row r="41">
      <c r="A41" t="inlineStr">
        <is>
          <t>Yellow cells (Assumptions column Value where Editable = yes, and the train table) are read back from the committed workbook on every run; edit them and dispatch gulf_coast_balance.yml. Forecast values are computed by the script (no live Excel formulas).</t>
        </is>
      </c>
    </row>
    <row r="42">
      <c r="A42" t="inlineStr">
        <is>
          <t>Beyond Dec 2027 supply is an extension of EIA STEO and beyond Dec 2028 it is a lighter-shaded scenario. Not an EIA or company forecast; a transparent scenario tool.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7"/>
  <sheetViews>
    <sheetView workbookViewId="0">
      <selection activeCell="A1" sqref="A1"/>
    </sheetView>
  </sheetViews>
  <sheetFormatPr baseColWidth="8" defaultRowHeight="15"/>
  <cols>
    <col width="11" customWidth="1" min="1" max="1"/>
  </cols>
  <sheetData>
    <row r="1">
      <c r="A1" t="inlineStr">
        <is>
          <t>Date</t>
        </is>
      </c>
      <c r="B1" t="inlineStr">
        <is>
          <t>Electric power</t>
        </is>
      </c>
      <c r="C1" t="inlineStr">
        <is>
          <t>Industrial</t>
        </is>
      </c>
      <c r="D1" t="inlineStr">
        <is>
          <t>Res., comm., vehicle</t>
        </is>
      </c>
      <c r="E1" t="inlineStr">
        <is>
          <t>Mexico pipeline (Texas)</t>
        </is>
      </c>
      <c r="F1" t="inlineStr">
        <is>
          <t>Data centres (Texas)</t>
        </is>
      </c>
      <c r="G1" t="inlineStr">
        <is>
          <t>LNG, Texas</t>
        </is>
      </c>
      <c r="H1" t="inlineStr">
        <is>
          <t>LNG, Louisiana</t>
        </is>
      </c>
      <c r="I1" t="inlineStr">
        <is>
          <t>Storage injection</t>
        </is>
      </c>
      <c r="J1" t="inlineStr">
        <is>
          <t>Dry production</t>
        </is>
      </c>
      <c r="K1" t="inlineStr">
        <is>
          <t>Dry prod. + storage withdrawal</t>
        </is>
      </c>
      <c r="L1" t="inlineStr">
        <is>
          <t>Dry prod. + withdrawal, takeaway delayed</t>
        </is>
      </c>
      <c r="M1" t="inlineStr">
        <is>
          <t>Demand, LNG delayed</t>
        </is>
      </c>
    </row>
    <row r="2">
      <c r="A2" s="8" t="n">
        <v>44197</v>
      </c>
      <c r="B2" t="n">
        <v>4.323419354838709</v>
      </c>
      <c r="C2" t="n">
        <v>9.00458064516129</v>
      </c>
      <c r="D2" t="n">
        <v>2.614516129032258</v>
      </c>
      <c r="E2" t="n">
        <v>2.552483870967742</v>
      </c>
      <c r="F2" t="n">
        <v>0</v>
      </c>
      <c r="G2" t="n">
        <v>4.16024870967742</v>
      </c>
      <c r="H2" t="n">
        <v>5.848342258064516</v>
      </c>
      <c r="I2" t="n">
        <v>1.308935483870968</v>
      </c>
      <c r="J2" t="n">
        <v>30.98267741935484</v>
      </c>
      <c r="K2" t="n">
        <v>36.32270967741935</v>
      </c>
    </row>
    <row r="3">
      <c r="A3" s="8" t="n">
        <v>44228</v>
      </c>
      <c r="B3" t="n">
        <v>5.30125</v>
      </c>
      <c r="C3" t="n">
        <v>7.706035714285715</v>
      </c>
      <c r="D3" t="n">
        <v>3.151035714285714</v>
      </c>
      <c r="E3" t="n">
        <v>2.252428571428571</v>
      </c>
      <c r="F3" t="n">
        <v>0</v>
      </c>
      <c r="G3" t="n">
        <v>2.483681785714286</v>
      </c>
      <c r="H3" t="n">
        <v>4.682795714285715</v>
      </c>
      <c r="I3" t="n">
        <v>2.350464285714286</v>
      </c>
      <c r="J3" t="n">
        <v>26.31</v>
      </c>
      <c r="K3" t="n">
        <v>35.04092857142857</v>
      </c>
    </row>
    <row r="4">
      <c r="A4" s="8" t="n">
        <v>44256</v>
      </c>
      <c r="B4" t="n">
        <v>3.659387096774193</v>
      </c>
      <c r="C4" t="n">
        <v>7.622</v>
      </c>
      <c r="D4" t="n">
        <v>1.635</v>
      </c>
      <c r="E4" t="n">
        <v>2.643935483870968</v>
      </c>
      <c r="F4" t="n">
        <v>0</v>
      </c>
      <c r="G4" t="n">
        <v>4.437917419354839</v>
      </c>
      <c r="H4" t="n">
        <v>5.767471290322581</v>
      </c>
      <c r="I4" t="n">
        <v>3.533967741935483</v>
      </c>
      <c r="J4" t="n">
        <v>32.05106451612903</v>
      </c>
      <c r="K4" t="n">
        <v>34.1336129032258</v>
      </c>
    </row>
    <row r="5">
      <c r="A5" s="8" t="n">
        <v>44287</v>
      </c>
      <c r="B5" t="n">
        <v>4.534566666666667</v>
      </c>
      <c r="C5" t="n">
        <v>8.155533333333334</v>
      </c>
      <c r="D5" t="n">
        <v>1.0734</v>
      </c>
      <c r="E5" t="n">
        <v>2.670233333333333</v>
      </c>
      <c r="F5" t="n">
        <v>0</v>
      </c>
      <c r="G5" t="n">
        <v>4.377658</v>
      </c>
      <c r="H5" t="n">
        <v>5.803196333333334</v>
      </c>
      <c r="I5" t="n">
        <v>3.293566666666667</v>
      </c>
      <c r="J5" t="n">
        <v>32.76223333333333</v>
      </c>
      <c r="K5" t="n">
        <v>34.72066666666666</v>
      </c>
    </row>
    <row r="6">
      <c r="A6" s="8" t="n">
        <v>44317</v>
      </c>
      <c r="B6" t="n">
        <v>4.707806451612903</v>
      </c>
      <c r="C6" t="n">
        <v>7.981903225806452</v>
      </c>
      <c r="D6" t="n">
        <v>0.7659354838709678</v>
      </c>
      <c r="E6" t="n">
        <v>2.766322580645161</v>
      </c>
      <c r="F6" t="n">
        <v>0</v>
      </c>
      <c r="G6" t="n">
        <v>4.289044516129033</v>
      </c>
      <c r="H6" t="n">
        <v>5.660651290322581</v>
      </c>
      <c r="I6" t="n">
        <v>3.922193548387097</v>
      </c>
      <c r="J6" t="n">
        <v>32.6638064516129</v>
      </c>
      <c r="K6" t="n">
        <v>33.80370967741935</v>
      </c>
    </row>
    <row r="7">
      <c r="A7" s="8" t="n">
        <v>44348</v>
      </c>
      <c r="B7" t="n">
        <v>6.893733333333333</v>
      </c>
      <c r="C7" t="n">
        <v>8.153633333333332</v>
      </c>
      <c r="D7" t="n">
        <v>0.7088000000000001</v>
      </c>
      <c r="E7" t="n">
        <v>2.929933333333334</v>
      </c>
      <c r="F7" t="n">
        <v>0</v>
      </c>
      <c r="G7" t="n">
        <v>4.362725000000001</v>
      </c>
      <c r="H7" t="n">
        <v>4.53549</v>
      </c>
      <c r="I7" t="n">
        <v>2.415</v>
      </c>
      <c r="J7" t="n">
        <v>32.65496666666667</v>
      </c>
      <c r="K7" t="n">
        <v>35.15343333333333</v>
      </c>
    </row>
    <row r="8">
      <c r="A8" s="8" t="n">
        <v>44378</v>
      </c>
      <c r="B8" t="n">
        <v>7.344064516129032</v>
      </c>
      <c r="C8" t="n">
        <v>8.574612903225807</v>
      </c>
      <c r="D8" t="n">
        <v>0.7047741935483872</v>
      </c>
      <c r="E8" t="n">
        <v>2.876193548387096</v>
      </c>
      <c r="F8" t="n">
        <v>0</v>
      </c>
      <c r="G8" t="n">
        <v>4.267807096774193</v>
      </c>
      <c r="H8" t="n">
        <v>5.222225161290323</v>
      </c>
      <c r="I8" t="n">
        <v>1.88958064516129</v>
      </c>
      <c r="J8" t="n">
        <v>33.60083870967742</v>
      </c>
      <c r="K8" t="n">
        <v>36.30432258064516</v>
      </c>
    </row>
    <row r="9">
      <c r="A9" s="8" t="n">
        <v>44409</v>
      </c>
      <c r="B9" t="n">
        <v>7.406548387096774</v>
      </c>
      <c r="C9" t="n">
        <v>8.350225806451613</v>
      </c>
      <c r="D9" t="n">
        <v>0.6638709677419355</v>
      </c>
      <c r="E9" t="n">
        <v>2.802806451612903</v>
      </c>
      <c r="F9" t="n">
        <v>0</v>
      </c>
      <c r="G9" t="n">
        <v>4.478669354838711</v>
      </c>
      <c r="H9" t="n">
        <v>4.959781290322582</v>
      </c>
      <c r="I9" t="n">
        <v>2.042580645161291</v>
      </c>
      <c r="J9" t="n">
        <v>33.41425806451612</v>
      </c>
      <c r="K9" t="n">
        <v>36.44938709677418</v>
      </c>
    </row>
    <row r="10">
      <c r="A10" s="8" t="n">
        <v>44440</v>
      </c>
      <c r="B10" t="n">
        <v>6.0249</v>
      </c>
      <c r="C10" t="n">
        <v>8.011066666666666</v>
      </c>
      <c r="D10" t="n">
        <v>0.7059666666666669</v>
      </c>
      <c r="E10" t="n">
        <v>2.6138</v>
      </c>
      <c r="F10" t="n">
        <v>0</v>
      </c>
      <c r="G10" t="n">
        <v>4.103632</v>
      </c>
      <c r="H10" t="n">
        <v>5.538035666666667</v>
      </c>
      <c r="I10" t="n">
        <v>3.7064</v>
      </c>
      <c r="J10" t="n">
        <v>34.43586666666667</v>
      </c>
      <c r="K10" t="n">
        <v>35.72790000000001</v>
      </c>
    </row>
    <row r="11">
      <c r="A11" s="8" t="n">
        <v>44470</v>
      </c>
      <c r="B11" t="n">
        <v>5.286064516129033</v>
      </c>
      <c r="C11" t="n">
        <v>8.228193548387097</v>
      </c>
      <c r="D11" t="n">
        <v>0.7774838709677421</v>
      </c>
      <c r="E11" t="n">
        <v>2.767870967741935</v>
      </c>
      <c r="F11" t="n">
        <v>0</v>
      </c>
      <c r="G11" t="n">
        <v>4.390695806451614</v>
      </c>
      <c r="H11" t="n">
        <v>5.413361935483872</v>
      </c>
      <c r="I11" t="n">
        <v>4.059516129032258</v>
      </c>
      <c r="J11" t="n">
        <v>34.60187096774193</v>
      </c>
      <c r="K11" t="n">
        <v>35.72351612903226</v>
      </c>
    </row>
    <row r="12">
      <c r="A12" s="8" t="n">
        <v>44501</v>
      </c>
      <c r="B12" t="n">
        <v>4.301566666666666</v>
      </c>
      <c r="C12" t="n">
        <v>8.884533333333334</v>
      </c>
      <c r="D12" t="n">
        <v>1.256466666666666</v>
      </c>
      <c r="E12" t="n">
        <v>2.557566666666667</v>
      </c>
      <c r="F12" t="n">
        <v>0</v>
      </c>
      <c r="G12" t="n">
        <v>3.903508</v>
      </c>
      <c r="H12" t="n">
        <v>6.209294000000002</v>
      </c>
      <c r="I12" t="n">
        <v>2.0931</v>
      </c>
      <c r="J12" t="n">
        <v>34.91433333333333</v>
      </c>
      <c r="K12" t="n">
        <v>37.24426666666666</v>
      </c>
    </row>
    <row r="13">
      <c r="A13" s="8" t="n">
        <v>44531</v>
      </c>
      <c r="B13" t="n">
        <v>4.13267741935484</v>
      </c>
      <c r="C13" t="n">
        <v>9.043903225806451</v>
      </c>
      <c r="D13" t="n">
        <v>1.294193548387097</v>
      </c>
      <c r="E13" t="n">
        <v>2.405741935483871</v>
      </c>
      <c r="F13" t="n">
        <v>0</v>
      </c>
      <c r="G13" t="n">
        <v>4.614497419354839</v>
      </c>
      <c r="H13" t="n">
        <v>6.344503225806452</v>
      </c>
      <c r="I13" t="n">
        <v>2.688677419354839</v>
      </c>
      <c r="J13" t="n">
        <v>35.41029032258065</v>
      </c>
      <c r="K13" t="n">
        <v>38.32735483870968</v>
      </c>
    </row>
    <row r="14">
      <c r="A14" s="8" t="n">
        <v>44562</v>
      </c>
      <c r="B14" t="n">
        <v>5.021354838709677</v>
      </c>
      <c r="C14" t="n">
        <v>9.07374193548387</v>
      </c>
      <c r="D14" t="n">
        <v>2.447645161290323</v>
      </c>
      <c r="E14" t="n">
        <v>2.562612903225807</v>
      </c>
      <c r="F14" t="n">
        <v>0</v>
      </c>
      <c r="G14" t="n">
        <v>4.595369677419354</v>
      </c>
      <c r="H14" t="n">
        <v>6.72624935483871</v>
      </c>
      <c r="I14" t="n">
        <v>1.221903225806451</v>
      </c>
      <c r="J14" t="n">
        <v>33.41770967741935</v>
      </c>
      <c r="K14" t="n">
        <v>41.47906451612903</v>
      </c>
    </row>
    <row r="15">
      <c r="A15" s="8" t="n">
        <v>44593</v>
      </c>
      <c r="B15" t="n">
        <v>5.004785714285713</v>
      </c>
      <c r="C15" t="n">
        <v>8.851714285714287</v>
      </c>
      <c r="D15" t="n">
        <v>2.82225</v>
      </c>
      <c r="E15" t="n">
        <v>2.727035714285714</v>
      </c>
      <c r="F15" t="n">
        <v>0</v>
      </c>
      <c r="G15" t="n">
        <v>4.697160357142858</v>
      </c>
      <c r="H15" t="n">
        <v>6.433725000000001</v>
      </c>
      <c r="I15" t="n">
        <v>1.517857142857143</v>
      </c>
      <c r="J15" t="n">
        <v>34.68257142857143</v>
      </c>
      <c r="K15" t="n">
        <v>41.60746428571429</v>
      </c>
    </row>
    <row r="16">
      <c r="A16" s="8" t="n">
        <v>44621</v>
      </c>
      <c r="B16" t="n">
        <v>3.630193548387097</v>
      </c>
      <c r="C16" t="n">
        <v>8.826967741935484</v>
      </c>
      <c r="D16" t="n">
        <v>1.872548387096774</v>
      </c>
      <c r="E16" t="n">
        <v>2.667935483870968</v>
      </c>
      <c r="F16" t="n">
        <v>0</v>
      </c>
      <c r="G16" t="n">
        <v>4.382503225806452</v>
      </c>
      <c r="H16" t="n">
        <v>7.350573225806453</v>
      </c>
      <c r="I16" t="n">
        <v>3.044677419354839</v>
      </c>
      <c r="J16" t="n">
        <v>35.15554838709678</v>
      </c>
      <c r="K16" t="n">
        <v>37.88261290322581</v>
      </c>
    </row>
    <row r="17">
      <c r="A17" s="8" t="n">
        <v>44652</v>
      </c>
      <c r="B17" t="n">
        <v>4.189033333333333</v>
      </c>
      <c r="C17" t="n">
        <v>8.749866666666666</v>
      </c>
      <c r="D17" t="n">
        <v>1.068166666666667</v>
      </c>
      <c r="E17" t="n">
        <v>2.7244</v>
      </c>
      <c r="F17" t="n">
        <v>0</v>
      </c>
      <c r="G17" t="n">
        <v>3.544462</v>
      </c>
      <c r="H17" t="n">
        <v>7.265031666666667</v>
      </c>
      <c r="I17" t="n">
        <v>4.418533333333333</v>
      </c>
      <c r="J17" t="n">
        <v>36.13196666666666</v>
      </c>
      <c r="K17" t="n">
        <v>37.25886666666666</v>
      </c>
    </row>
    <row r="18">
      <c r="A18" s="8" t="n">
        <v>44682</v>
      </c>
      <c r="B18" t="n">
        <v>5.993516129032258</v>
      </c>
      <c r="C18" t="n">
        <v>8.428000000000001</v>
      </c>
      <c r="D18" t="n">
        <v>0.7367741935483871</v>
      </c>
      <c r="E18" t="n">
        <v>2.805161290322581</v>
      </c>
      <c r="F18" t="n">
        <v>0</v>
      </c>
      <c r="G18" t="n">
        <v>4.411511290322581</v>
      </c>
      <c r="H18" t="n">
        <v>6.90922870967742</v>
      </c>
      <c r="I18" t="n">
        <v>3.57241935483871</v>
      </c>
      <c r="J18" t="n">
        <v>35.93335483870968</v>
      </c>
      <c r="K18" t="n">
        <v>37.27654838709677</v>
      </c>
    </row>
    <row r="19">
      <c r="A19" s="8" t="n">
        <v>44713</v>
      </c>
      <c r="B19" t="n">
        <v>7.540633333333333</v>
      </c>
      <c r="C19" t="n">
        <v>8.471466666666666</v>
      </c>
      <c r="D19" t="n">
        <v>0.6917333333333332</v>
      </c>
      <c r="E19" t="n">
        <v>2.674066666666667</v>
      </c>
      <c r="F19" t="n">
        <v>0</v>
      </c>
      <c r="G19" t="n">
        <v>2.944598666666666</v>
      </c>
      <c r="H19" t="n">
        <v>6.867000000000001</v>
      </c>
      <c r="I19" t="n">
        <v>2.809066666666667</v>
      </c>
      <c r="J19" t="n">
        <v>35.75323333333333</v>
      </c>
      <c r="K19" t="n">
        <v>37.27476666666666</v>
      </c>
    </row>
    <row r="20">
      <c r="A20" s="8" t="n">
        <v>44743</v>
      </c>
      <c r="B20" t="n">
        <v>8.741677419354838</v>
      </c>
      <c r="C20" t="n">
        <v>8.400645161290322</v>
      </c>
      <c r="D20" t="n">
        <v>0.6818709677419356</v>
      </c>
      <c r="E20" t="n">
        <v>2.817677419354839</v>
      </c>
      <c r="F20" t="n">
        <v>0</v>
      </c>
      <c r="G20" t="n">
        <v>2.218009354838709</v>
      </c>
      <c r="H20" t="n">
        <v>7.165202903225808</v>
      </c>
      <c r="I20" t="n">
        <v>2.342709677419355</v>
      </c>
      <c r="J20" t="n">
        <v>35.75487096774193</v>
      </c>
      <c r="K20" t="n">
        <v>38.68654838709677</v>
      </c>
    </row>
    <row r="21">
      <c r="A21" s="8" t="n">
        <v>44774</v>
      </c>
      <c r="B21" t="n">
        <v>8.276612903225807</v>
      </c>
      <c r="C21" t="n">
        <v>8.388064516129031</v>
      </c>
      <c r="D21" t="n">
        <v>0.645516129032258</v>
      </c>
      <c r="E21" t="n">
        <v>2.790903225806451</v>
      </c>
      <c r="F21" t="n">
        <v>0</v>
      </c>
      <c r="G21" t="n">
        <v>2.229507096774194</v>
      </c>
      <c r="H21" t="n">
        <v>7.23963935483871</v>
      </c>
      <c r="I21" t="n">
        <v>2.739548387096774</v>
      </c>
      <c r="J21" t="n">
        <v>36.54435483870967</v>
      </c>
      <c r="K21" t="n">
        <v>39.46258064516128</v>
      </c>
    </row>
    <row r="22">
      <c r="A22" s="8" t="n">
        <v>44805</v>
      </c>
      <c r="B22" t="n">
        <v>6.977566666666667</v>
      </c>
      <c r="C22" t="n">
        <v>8.3498</v>
      </c>
      <c r="D22" t="n">
        <v>0.6764666666666668</v>
      </c>
      <c r="E22" t="n">
        <v>2.759933333333333</v>
      </c>
      <c r="F22" t="n">
        <v>0</v>
      </c>
      <c r="G22" t="n">
        <v>2.173133</v>
      </c>
      <c r="H22" t="n">
        <v>7.511553333333334</v>
      </c>
      <c r="I22" t="n">
        <v>4.2516</v>
      </c>
      <c r="J22" t="n">
        <v>37.43213333333333</v>
      </c>
      <c r="K22" t="n">
        <v>39.51923333333333</v>
      </c>
    </row>
    <row r="23">
      <c r="A23" s="8" t="n">
        <v>44835</v>
      </c>
      <c r="B23" t="n">
        <v>5.281741935483871</v>
      </c>
      <c r="C23" t="n">
        <v>8.225</v>
      </c>
      <c r="D23" t="n">
        <v>0.8663548387096774</v>
      </c>
      <c r="E23" t="n">
        <v>2.740677419354839</v>
      </c>
      <c r="F23" t="n">
        <v>0</v>
      </c>
      <c r="G23" t="n">
        <v>2.348281935483871</v>
      </c>
      <c r="H23" t="n">
        <v>8.27267806451613</v>
      </c>
      <c r="I23" t="n">
        <v>4.679677419354839</v>
      </c>
      <c r="J23" t="n">
        <v>37.36770967741936</v>
      </c>
      <c r="K23" t="n">
        <v>38.39906451612903</v>
      </c>
    </row>
    <row r="24">
      <c r="A24" s="8" t="n">
        <v>44866</v>
      </c>
      <c r="B24" t="n">
        <v>5.1263</v>
      </c>
      <c r="C24" t="n">
        <v>8.797233333333335</v>
      </c>
      <c r="D24" t="n">
        <v>1.783266666666667</v>
      </c>
      <c r="E24" t="n">
        <v>2.750966666666667</v>
      </c>
      <c r="F24" t="n">
        <v>0</v>
      </c>
      <c r="G24" t="n">
        <v>2.072017333333333</v>
      </c>
      <c r="H24" t="n">
        <v>7.782091333333334</v>
      </c>
      <c r="I24" t="n">
        <v>3.162166666666667</v>
      </c>
      <c r="J24" t="n">
        <v>37.50793333333333</v>
      </c>
      <c r="K24" t="n">
        <v>40.09276666666667</v>
      </c>
    </row>
    <row r="25">
      <c r="A25" s="8" t="n">
        <v>44896</v>
      </c>
      <c r="B25" t="n">
        <v>5.473967741935484</v>
      </c>
      <c r="C25" t="n">
        <v>8.473967741935484</v>
      </c>
      <c r="D25" t="n">
        <v>2.191806451612904</v>
      </c>
      <c r="E25" t="n">
        <v>2.523516129032258</v>
      </c>
      <c r="F25" t="n">
        <v>0</v>
      </c>
      <c r="G25" t="n">
        <v>2.254506774193549</v>
      </c>
      <c r="H25" t="n">
        <v>8.308788709677421</v>
      </c>
      <c r="I25" t="n">
        <v>2.612516129032258</v>
      </c>
      <c r="J25" t="n">
        <v>37.43296774193549</v>
      </c>
      <c r="K25" t="n">
        <v>42.34367741935484</v>
      </c>
    </row>
    <row r="26">
      <c r="A26" s="8" t="n">
        <v>44927</v>
      </c>
      <c r="B26" t="n">
        <v>4.750612903225806</v>
      </c>
      <c r="C26" t="n">
        <v>8.673516129032258</v>
      </c>
      <c r="D26" t="n">
        <v>2.271548387096774</v>
      </c>
      <c r="E26" t="n">
        <v>2.707741935483871</v>
      </c>
      <c r="F26" t="n">
        <v>0</v>
      </c>
      <c r="G26" t="n">
        <v>2.199971612903226</v>
      </c>
      <c r="H26" t="n">
        <v>8.582202903225808</v>
      </c>
      <c r="I26" t="n">
        <v>2.489032258064516</v>
      </c>
      <c r="J26" t="n">
        <v>37.18612903225807</v>
      </c>
      <c r="K26" t="n">
        <v>40.79270967741935</v>
      </c>
    </row>
    <row r="27">
      <c r="A27" s="8" t="n">
        <v>44958</v>
      </c>
      <c r="B27" t="n">
        <v>5.138392857142858</v>
      </c>
      <c r="C27" t="n">
        <v>8.819464285714286</v>
      </c>
      <c r="D27" t="n">
        <v>2.295</v>
      </c>
      <c r="E27" t="n">
        <v>2.707571428571429</v>
      </c>
      <c r="F27" t="n">
        <v>0</v>
      </c>
      <c r="G27" t="n">
        <v>2.945725</v>
      </c>
      <c r="H27" t="n">
        <v>8.575652857142858</v>
      </c>
      <c r="I27" t="n">
        <v>2.391035714285715</v>
      </c>
      <c r="J27" t="n">
        <v>37.63046428571429</v>
      </c>
      <c r="K27" t="n">
        <v>41.22296428571429</v>
      </c>
    </row>
    <row r="28">
      <c r="A28" s="8" t="n">
        <v>44986</v>
      </c>
      <c r="B28" t="n">
        <v>4.781580645161291</v>
      </c>
      <c r="C28" t="n">
        <v>8.643193548387096</v>
      </c>
      <c r="D28" t="n">
        <v>1.511548387096774</v>
      </c>
      <c r="E28" t="n">
        <v>2.856064516129032</v>
      </c>
      <c r="F28" t="n">
        <v>0</v>
      </c>
      <c r="G28" t="n">
        <v>3.379808709677419</v>
      </c>
      <c r="H28" t="n">
        <v>8.121519677419355</v>
      </c>
      <c r="I28" t="n">
        <v>2.912258064516129</v>
      </c>
      <c r="J28" t="n">
        <v>38.69516129032257</v>
      </c>
      <c r="K28" t="n">
        <v>41.1596129032258</v>
      </c>
    </row>
    <row r="29">
      <c r="A29" s="8" t="n">
        <v>45017</v>
      </c>
      <c r="B29" t="n">
        <v>4.891733333333334</v>
      </c>
      <c r="C29" t="n">
        <v>8.730866666666666</v>
      </c>
      <c r="D29" t="n">
        <v>0.9866666666666668</v>
      </c>
      <c r="E29" t="n">
        <v>2.752766666666667</v>
      </c>
      <c r="F29" t="n">
        <v>0</v>
      </c>
      <c r="G29" t="n">
        <v>4.289840333333332</v>
      </c>
      <c r="H29" t="n">
        <v>8.410512666666667</v>
      </c>
      <c r="I29" t="n">
        <v>2.852133333333334</v>
      </c>
      <c r="J29" t="n">
        <v>38.18193333333333</v>
      </c>
      <c r="K29" t="n">
        <v>40.01193333333333</v>
      </c>
    </row>
    <row r="30">
      <c r="A30" s="8" t="n">
        <v>45047</v>
      </c>
      <c r="B30" t="n">
        <v>6.70458064516129</v>
      </c>
      <c r="C30" t="n">
        <v>8.436838709677419</v>
      </c>
      <c r="D30" t="n">
        <v>0.7660645161290323</v>
      </c>
      <c r="E30" t="n">
        <v>2.939967741935484</v>
      </c>
      <c r="F30" t="n">
        <v>0</v>
      </c>
      <c r="G30" t="n">
        <v>4.435456129032257</v>
      </c>
      <c r="H30" t="n">
        <v>7.274554516129033</v>
      </c>
      <c r="I30" t="n">
        <v>3.690903225806451</v>
      </c>
      <c r="J30" t="n">
        <v>38.78922580645161</v>
      </c>
      <c r="K30" t="n">
        <v>40.3736129032258</v>
      </c>
    </row>
    <row r="31">
      <c r="A31" s="8" t="n">
        <v>45078</v>
      </c>
      <c r="B31" t="n">
        <v>8.359766666666665</v>
      </c>
      <c r="C31" t="n">
        <v>8.447533333333332</v>
      </c>
      <c r="D31" t="n">
        <v>0.7346666666666667</v>
      </c>
      <c r="E31" t="n">
        <v>3.368</v>
      </c>
      <c r="F31" t="n">
        <v>0</v>
      </c>
      <c r="G31" t="n">
        <v>4.568444333333334</v>
      </c>
      <c r="H31" t="n">
        <v>6.023376333333334</v>
      </c>
      <c r="I31" t="n">
        <v>2.8993</v>
      </c>
      <c r="J31" t="n">
        <v>37.69206666666666</v>
      </c>
      <c r="K31" t="n">
        <v>39.76523333333333</v>
      </c>
    </row>
    <row r="32">
      <c r="A32" s="8" t="n">
        <v>45108</v>
      </c>
      <c r="B32" t="n">
        <v>8.899612903225806</v>
      </c>
      <c r="C32" t="n">
        <v>8.460096774193548</v>
      </c>
      <c r="D32" t="n">
        <v>0.7147096774193549</v>
      </c>
      <c r="E32" t="n">
        <v>3.123096774193549</v>
      </c>
      <c r="F32" t="n">
        <v>0</v>
      </c>
      <c r="G32" t="n">
        <v>4.154693225806451</v>
      </c>
      <c r="H32" t="n">
        <v>7.097587741935484</v>
      </c>
      <c r="I32" t="n">
        <v>1.985838709677419</v>
      </c>
      <c r="J32" t="n">
        <v>38.09745161290322</v>
      </c>
      <c r="K32" t="n">
        <v>40.98487096774193</v>
      </c>
    </row>
    <row r="33">
      <c r="A33" s="8" t="n">
        <v>45139</v>
      </c>
      <c r="B33" t="n">
        <v>10.10229032258064</v>
      </c>
      <c r="C33" t="n">
        <v>8.531193548387098</v>
      </c>
      <c r="D33" t="n">
        <v>0.6671290322580645</v>
      </c>
      <c r="E33" t="n">
        <v>3.173225806451613</v>
      </c>
      <c r="F33" t="n">
        <v>0</v>
      </c>
      <c r="G33" t="n">
        <v>4.355429032258064</v>
      </c>
      <c r="H33" t="n">
        <v>7.180568387096775</v>
      </c>
      <c r="I33" t="n">
        <v>2.934612903225807</v>
      </c>
      <c r="J33" t="n">
        <v>38.49374193548388</v>
      </c>
      <c r="K33" t="n">
        <v>43.54893548387097</v>
      </c>
    </row>
    <row r="34">
      <c r="A34" s="8" t="n">
        <v>45170</v>
      </c>
      <c r="B34" t="n">
        <v>8.270299999999999</v>
      </c>
      <c r="C34" t="n">
        <v>8.6015</v>
      </c>
      <c r="D34" t="n">
        <v>0.6543333333333333</v>
      </c>
      <c r="E34" t="n">
        <v>3.124733333333333</v>
      </c>
      <c r="F34" t="n">
        <v>0</v>
      </c>
      <c r="G34" t="n">
        <v>4.119473333333334</v>
      </c>
      <c r="H34" t="n">
        <v>7.403207333333334</v>
      </c>
      <c r="I34" t="n">
        <v>4.5404</v>
      </c>
      <c r="J34" t="n">
        <v>38.76446666666666</v>
      </c>
      <c r="K34" t="n">
        <v>42.50506666666666</v>
      </c>
    </row>
    <row r="35">
      <c r="A35" s="8" t="n">
        <v>45200</v>
      </c>
      <c r="B35" t="n">
        <v>5.871451612903225</v>
      </c>
      <c r="C35" t="n">
        <v>8.737032258064517</v>
      </c>
      <c r="D35" t="n">
        <v>0.9027096774193549</v>
      </c>
      <c r="E35" t="n">
        <v>3.054387096774194</v>
      </c>
      <c r="F35" t="n">
        <v>0</v>
      </c>
      <c r="G35" t="n">
        <v>4.477333225806452</v>
      </c>
      <c r="H35" t="n">
        <v>8.432732258064517</v>
      </c>
      <c r="I35" t="n">
        <v>4.466483870967743</v>
      </c>
      <c r="J35" t="n">
        <v>38.62474193548388</v>
      </c>
      <c r="K35" t="n">
        <v>40.33125806451613</v>
      </c>
    </row>
    <row r="36">
      <c r="A36" s="8" t="n">
        <v>45231</v>
      </c>
      <c r="B36" t="n">
        <v>5.6573</v>
      </c>
      <c r="C36" t="n">
        <v>9.037199999999999</v>
      </c>
      <c r="D36" t="n">
        <v>1.5167</v>
      </c>
      <c r="E36" t="n">
        <v>2.908766666666667</v>
      </c>
      <c r="F36" t="n">
        <v>0</v>
      </c>
      <c r="G36" t="n">
        <v>4.525462000000001</v>
      </c>
      <c r="H36" t="n">
        <v>8.451060666666667</v>
      </c>
      <c r="I36" t="n">
        <v>3.155433333333334</v>
      </c>
      <c r="J36" t="n">
        <v>38.64736666666667</v>
      </c>
      <c r="K36" t="n">
        <v>40.96593333333334</v>
      </c>
    </row>
    <row r="37">
      <c r="A37" s="8" t="n">
        <v>45261</v>
      </c>
      <c r="B37" t="n">
        <v>5.254451612903226</v>
      </c>
      <c r="C37" t="n">
        <v>9.372354838709677</v>
      </c>
      <c r="D37" t="n">
        <v>2.018838709677419</v>
      </c>
      <c r="E37" t="n">
        <v>2.73416129032258</v>
      </c>
      <c r="F37" t="n">
        <v>0</v>
      </c>
      <c r="G37" t="n">
        <v>4.761295806451613</v>
      </c>
      <c r="H37" t="n">
        <v>8.897494193548388</v>
      </c>
      <c r="I37" t="n">
        <v>2.478903225806452</v>
      </c>
      <c r="J37" t="n">
        <v>38.07822580645162</v>
      </c>
      <c r="K37" t="n">
        <v>40.89935483870968</v>
      </c>
    </row>
    <row r="38">
      <c r="A38" s="8" t="n">
        <v>45292</v>
      </c>
      <c r="B38" t="n">
        <v>6.614</v>
      </c>
      <c r="C38" t="n">
        <v>8.895032258064516</v>
      </c>
      <c r="D38" t="n">
        <v>3.035290322580645</v>
      </c>
      <c r="E38" t="n">
        <v>3.045290322580645</v>
      </c>
      <c r="F38" t="n">
        <v>0</v>
      </c>
      <c r="G38" t="n">
        <v>4.002901935483871</v>
      </c>
      <c r="H38" t="n">
        <v>8.80829</v>
      </c>
      <c r="I38" t="n">
        <v>1.842322580645161</v>
      </c>
      <c r="J38" t="n">
        <v>36.04503225806452</v>
      </c>
      <c r="K38" t="n">
        <v>43.58677419354839</v>
      </c>
    </row>
    <row r="39">
      <c r="A39" s="8" t="n">
        <v>45323</v>
      </c>
      <c r="B39" t="n">
        <v>4.760103448275862</v>
      </c>
      <c r="C39" t="n">
        <v>8.449586206896551</v>
      </c>
      <c r="D39" t="n">
        <v>2.125344827586207</v>
      </c>
      <c r="E39" t="n">
        <v>2.881137931034483</v>
      </c>
      <c r="F39" t="n">
        <v>0</v>
      </c>
      <c r="G39" t="n">
        <v>3.654431724137932</v>
      </c>
      <c r="H39" t="n">
        <v>8.718045517241379</v>
      </c>
      <c r="I39" t="n">
        <v>3.58751724137931</v>
      </c>
      <c r="J39" t="n">
        <v>37.79451724137931</v>
      </c>
      <c r="K39" t="n">
        <v>40.46424137931034</v>
      </c>
    </row>
    <row r="40">
      <c r="A40" s="8" t="n">
        <v>45352</v>
      </c>
      <c r="B40" t="n">
        <v>5.381258064516129</v>
      </c>
      <c r="C40" t="n">
        <v>8.634612903225806</v>
      </c>
      <c r="D40" t="n">
        <v>1.353645161290323</v>
      </c>
      <c r="E40" t="n">
        <v>2.966548387096774</v>
      </c>
      <c r="F40" t="n">
        <v>0</v>
      </c>
      <c r="G40" t="n">
        <v>3.077456774193548</v>
      </c>
      <c r="H40" t="n">
        <v>8.588250645161292</v>
      </c>
      <c r="I40" t="n">
        <v>3.994225806451613</v>
      </c>
      <c r="J40" t="n">
        <v>37.39364516129032</v>
      </c>
      <c r="K40" t="n">
        <v>39.60554838709677</v>
      </c>
    </row>
    <row r="41">
      <c r="A41" s="8" t="n">
        <v>45383</v>
      </c>
      <c r="B41" t="n">
        <v>5.489333333333334</v>
      </c>
      <c r="C41" t="n">
        <v>8.8005</v>
      </c>
      <c r="D41" t="n">
        <v>0.9083999999999999</v>
      </c>
      <c r="E41" t="n">
        <v>3.1878</v>
      </c>
      <c r="F41" t="n">
        <v>0</v>
      </c>
      <c r="G41" t="n">
        <v>2.211428333333334</v>
      </c>
      <c r="H41" t="n">
        <v>7.679849333333333</v>
      </c>
      <c r="I41" t="n">
        <v>3.9458</v>
      </c>
      <c r="J41" t="n">
        <v>36.68226666666666</v>
      </c>
      <c r="K41" t="n">
        <v>39.01446666666666</v>
      </c>
    </row>
    <row r="42">
      <c r="A42" s="8" t="n">
        <v>45413</v>
      </c>
      <c r="B42" t="n">
        <v>7.239290322580644</v>
      </c>
      <c r="C42" t="n">
        <v>8.493096774193548</v>
      </c>
      <c r="D42" t="n">
        <v>0.7798709677419355</v>
      </c>
      <c r="E42" t="n">
        <v>3.257677419354839</v>
      </c>
      <c r="F42" t="n">
        <v>0</v>
      </c>
      <c r="G42" t="n">
        <v>4.104940000000001</v>
      </c>
      <c r="H42" t="n">
        <v>7.73042064516129</v>
      </c>
      <c r="I42" t="n">
        <v>3.379354838709677</v>
      </c>
      <c r="J42" t="n">
        <v>37.02467741935484</v>
      </c>
      <c r="K42" t="n">
        <v>39.16964516129033</v>
      </c>
    </row>
    <row r="43">
      <c r="A43" s="8" t="n">
        <v>45444</v>
      </c>
      <c r="B43" t="n">
        <v>8.302866666666667</v>
      </c>
      <c r="C43" t="n">
        <v>8.704966666666667</v>
      </c>
      <c r="D43" t="n">
        <v>0.7698999999999999</v>
      </c>
      <c r="E43" t="n">
        <v>3.117133333333333</v>
      </c>
      <c r="F43" t="n">
        <v>0</v>
      </c>
      <c r="G43" t="n">
        <v>4.706075</v>
      </c>
      <c r="H43" t="n">
        <v>7.312083333333334</v>
      </c>
      <c r="I43" t="n">
        <v>2.901766666666667</v>
      </c>
      <c r="J43" t="n">
        <v>37.18496666666667</v>
      </c>
      <c r="K43" t="n">
        <v>39.5864</v>
      </c>
    </row>
    <row r="44">
      <c r="A44" s="8" t="n">
        <v>45474</v>
      </c>
      <c r="B44" t="n">
        <v>8.676419354838709</v>
      </c>
      <c r="C44" t="n">
        <v>8.879806451612904</v>
      </c>
      <c r="D44" t="n">
        <v>0.7533225806451612</v>
      </c>
      <c r="E44" t="n">
        <v>3.147096774193549</v>
      </c>
      <c r="F44" t="n">
        <v>0</v>
      </c>
      <c r="G44" t="n">
        <v>2.888535161290323</v>
      </c>
      <c r="H44" t="n">
        <v>7.408097096774194</v>
      </c>
      <c r="I44" t="n">
        <v>2.173774193548387</v>
      </c>
      <c r="J44" t="n">
        <v>37.58561290322582</v>
      </c>
      <c r="K44" t="n">
        <v>40.33448387096775</v>
      </c>
    </row>
    <row r="45">
      <c r="A45" s="8" t="n">
        <v>45505</v>
      </c>
      <c r="B45" t="n">
        <v>9.841612903225807</v>
      </c>
      <c r="C45" t="n">
        <v>9.001032258064516</v>
      </c>
      <c r="D45" t="n">
        <v>0.7092258064516128</v>
      </c>
      <c r="E45" t="n">
        <v>3.193548387096774</v>
      </c>
      <c r="F45" t="n">
        <v>0</v>
      </c>
      <c r="G45" t="n">
        <v>4.445793548387096</v>
      </c>
      <c r="H45" t="n">
        <v>7.142383225806452</v>
      </c>
      <c r="I45" t="n">
        <v>2.761290322580645</v>
      </c>
      <c r="J45" t="n">
        <v>37.58132258064516</v>
      </c>
      <c r="K45" t="n">
        <v>42.40470967741935</v>
      </c>
    </row>
    <row r="46">
      <c r="A46" s="8" t="n">
        <v>45536</v>
      </c>
      <c r="B46" t="n">
        <v>8.003566666666666</v>
      </c>
      <c r="C46" t="n">
        <v>8.692533333333333</v>
      </c>
      <c r="D46" t="n">
        <v>0.7463</v>
      </c>
      <c r="E46" t="n">
        <v>3.0912</v>
      </c>
      <c r="F46" t="n">
        <v>0</v>
      </c>
      <c r="G46" t="n">
        <v>4.636932666666667</v>
      </c>
      <c r="H46" t="n">
        <v>7.555189666666667</v>
      </c>
      <c r="I46" t="n">
        <v>3.849466666666667</v>
      </c>
      <c r="J46" t="n">
        <v>37.4276</v>
      </c>
      <c r="K46" t="n">
        <v>40.62856666666666</v>
      </c>
    </row>
    <row r="47">
      <c r="A47" s="8" t="n">
        <v>45566</v>
      </c>
      <c r="B47" t="n">
        <v>6.975</v>
      </c>
      <c r="C47" t="n">
        <v>8.500032258064516</v>
      </c>
      <c r="D47" t="n">
        <v>0.8021612903225807</v>
      </c>
      <c r="E47" t="n">
        <v>2.869387096774194</v>
      </c>
      <c r="F47" t="n">
        <v>0</v>
      </c>
      <c r="G47" t="n">
        <v>4.775289999999999</v>
      </c>
      <c r="H47" t="n">
        <v>7.775497419354839</v>
      </c>
      <c r="I47" t="n">
        <v>4.525</v>
      </c>
      <c r="J47" t="n">
        <v>37.79993548387097</v>
      </c>
      <c r="K47" t="n">
        <v>39.30090322580645</v>
      </c>
    </row>
    <row r="48">
      <c r="A48" s="8" t="n">
        <v>45597</v>
      </c>
      <c r="B48" t="n">
        <v>5.8355</v>
      </c>
      <c r="C48" t="n">
        <v>8.972233333333334</v>
      </c>
      <c r="D48" t="n">
        <v>1.0966</v>
      </c>
      <c r="E48" t="n">
        <v>2.7428</v>
      </c>
      <c r="F48" t="n">
        <v>0</v>
      </c>
      <c r="G48" t="n">
        <v>4.40033</v>
      </c>
      <c r="H48" t="n">
        <v>8.210788333333333</v>
      </c>
      <c r="I48" t="n">
        <v>3.076466666666667</v>
      </c>
      <c r="J48" t="n">
        <v>37.45009999999999</v>
      </c>
      <c r="K48" t="n">
        <v>39.57913333333332</v>
      </c>
    </row>
    <row r="49">
      <c r="A49" s="8" t="n">
        <v>45627</v>
      </c>
      <c r="B49" t="n">
        <v>5.542290322580644</v>
      </c>
      <c r="C49" t="n">
        <v>9.558419354838708</v>
      </c>
      <c r="D49" t="n">
        <v>1.833096774193548</v>
      </c>
      <c r="E49" t="n">
        <v>2.697645161290323</v>
      </c>
      <c r="F49" t="n">
        <v>0</v>
      </c>
      <c r="G49" t="n">
        <v>4.759608064516129</v>
      </c>
      <c r="H49" t="n">
        <v>8.471620645161291</v>
      </c>
      <c r="I49" t="n">
        <v>2.519548387096774</v>
      </c>
      <c r="J49" t="n">
        <v>37.66258064516129</v>
      </c>
      <c r="K49" t="n">
        <v>41.23770967741935</v>
      </c>
    </row>
    <row r="50">
      <c r="A50" s="8" t="n">
        <v>45658</v>
      </c>
      <c r="B50" t="n">
        <v>6.819064516129032</v>
      </c>
      <c r="C50" t="n">
        <v>9.346516129032258</v>
      </c>
      <c r="D50" t="n">
        <v>3.542322580645161</v>
      </c>
      <c r="E50" t="n">
        <v>3.12958064516129</v>
      </c>
      <c r="F50" t="n">
        <v>0</v>
      </c>
      <c r="G50" t="n">
        <v>4.154271290322582</v>
      </c>
      <c r="H50" t="n">
        <v>9.178081290322581</v>
      </c>
      <c r="I50" t="n">
        <v>1.668032258064516</v>
      </c>
      <c r="J50" t="n">
        <v>37.39920538412588</v>
      </c>
      <c r="K50" t="n">
        <v>46.24407635186782</v>
      </c>
    </row>
    <row r="51">
      <c r="A51" s="8" t="n">
        <v>45689</v>
      </c>
      <c r="B51" t="n">
        <v>6.170357142857143</v>
      </c>
      <c r="C51" t="n">
        <v>9.102250000000002</v>
      </c>
      <c r="D51" t="n">
        <v>2.846</v>
      </c>
      <c r="E51" t="n">
        <v>3.037857142857143</v>
      </c>
      <c r="F51" t="n">
        <v>0</v>
      </c>
      <c r="G51" t="n">
        <v>4.985854642857143</v>
      </c>
      <c r="H51" t="n">
        <v>9.572107500000001</v>
      </c>
      <c r="I51" t="n">
        <v>2.247607142857142</v>
      </c>
      <c r="J51" t="n">
        <v>37.72922974771563</v>
      </c>
      <c r="K51" t="n">
        <v>45.14551546200134</v>
      </c>
    </row>
    <row r="52">
      <c r="A52" s="8" t="n">
        <v>45717</v>
      </c>
      <c r="B52" t="n">
        <v>4.460322580645162</v>
      </c>
      <c r="C52" t="n">
        <v>8.936193548387097</v>
      </c>
      <c r="D52" t="n">
        <v>1.194387096774194</v>
      </c>
      <c r="E52" t="n">
        <v>2.864387096774194</v>
      </c>
      <c r="F52" t="n">
        <v>0</v>
      </c>
      <c r="G52" t="n">
        <v>4.598463870967743</v>
      </c>
      <c r="H52" t="n">
        <v>10.28608387096774</v>
      </c>
      <c r="I52" t="n">
        <v>4.663774193548387</v>
      </c>
      <c r="J52" t="n">
        <v>39.38605631697386</v>
      </c>
      <c r="K52" t="n">
        <v>41.50512083310289</v>
      </c>
    </row>
    <row r="53">
      <c r="A53" s="8" t="n">
        <v>45748</v>
      </c>
      <c r="B53" t="n">
        <v>5.1703</v>
      </c>
      <c r="C53" t="n">
        <v>8.803333333333333</v>
      </c>
      <c r="D53" t="n">
        <v>1.0895</v>
      </c>
      <c r="E53" t="n">
        <v>3.252</v>
      </c>
      <c r="F53" t="n">
        <v>0</v>
      </c>
      <c r="G53" t="n">
        <v>4.818890000000001</v>
      </c>
      <c r="H53" t="n">
        <v>10.44256333333333</v>
      </c>
      <c r="I53" t="n">
        <v>4.551366666666667</v>
      </c>
      <c r="J53" t="n">
        <v>39.21724229013437</v>
      </c>
      <c r="K53" t="n">
        <v>41.11534229013437</v>
      </c>
    </row>
    <row r="54">
      <c r="A54" s="8" t="n">
        <v>45778</v>
      </c>
      <c r="B54" t="n">
        <v>6.845290322580645</v>
      </c>
      <c r="C54" t="n">
        <v>8.830580645161291</v>
      </c>
      <c r="D54" t="n">
        <v>0.8225806451612903</v>
      </c>
      <c r="E54" t="n">
        <v>3.523838709677419</v>
      </c>
      <c r="F54" t="n">
        <v>0</v>
      </c>
      <c r="G54" t="n">
        <v>4.495722580645161</v>
      </c>
      <c r="H54" t="n">
        <v>9.596746774193548</v>
      </c>
      <c r="I54" t="n">
        <v>4.519612903225807</v>
      </c>
      <c r="J54" t="n">
        <v>39.18442462008141</v>
      </c>
      <c r="K54" t="n">
        <v>40.53661816846851</v>
      </c>
    </row>
    <row r="55">
      <c r="A55" s="8" t="n">
        <v>45809</v>
      </c>
      <c r="B55" t="n">
        <v>7.689399999999999</v>
      </c>
      <c r="C55" t="n">
        <v>8.682700000000001</v>
      </c>
      <c r="D55" t="n">
        <v>0.7652666666666667</v>
      </c>
      <c r="E55" t="n">
        <v>3.446133333333333</v>
      </c>
      <c r="F55" t="n">
        <v>0</v>
      </c>
      <c r="G55" t="n">
        <v>4.700261666666668</v>
      </c>
      <c r="H55" t="n">
        <v>8.772283666666667</v>
      </c>
      <c r="I55" t="n">
        <v>3.616</v>
      </c>
      <c r="J55" t="n">
        <v>38.76039133693509</v>
      </c>
      <c r="K55" t="n">
        <v>40.37579133693509</v>
      </c>
    </row>
    <row r="56">
      <c r="A56" s="8" t="n">
        <v>45839</v>
      </c>
      <c r="B56" t="n">
        <v>8.472483870967741</v>
      </c>
      <c r="C56" t="n">
        <v>8.820451612903225</v>
      </c>
      <c r="D56" t="n">
        <v>0.7136129032258063</v>
      </c>
      <c r="E56" t="n">
        <v>3.09458064516129</v>
      </c>
      <c r="F56" t="n">
        <v>0</v>
      </c>
      <c r="G56" t="n">
        <v>4.49719935483871</v>
      </c>
      <c r="H56" t="n">
        <v>9.927087096774194</v>
      </c>
      <c r="I56" t="n">
        <v>2.949967741935484</v>
      </c>
      <c r="J56" t="n">
        <v>39.56663297978925</v>
      </c>
      <c r="K56" t="n">
        <v>42.18421362495054</v>
      </c>
    </row>
    <row r="57">
      <c r="A57" s="8" t="n">
        <v>45870</v>
      </c>
      <c r="B57" t="n">
        <v>8.993870967741936</v>
      </c>
      <c r="C57" t="n">
        <v>8.910580645161289</v>
      </c>
      <c r="D57" t="n">
        <v>0.6606451612903226</v>
      </c>
      <c r="E57" t="n">
        <v>3.350290322580645</v>
      </c>
      <c r="F57" t="n">
        <v>0</v>
      </c>
      <c r="G57" t="n">
        <v>4.468156129032257</v>
      </c>
      <c r="H57" t="n">
        <v>10.35774258064516</v>
      </c>
      <c r="I57" t="n">
        <v>2.482161290322581</v>
      </c>
      <c r="J57" t="n">
        <v>40.26405531362332</v>
      </c>
      <c r="K57" t="n">
        <v>43.08531337813945</v>
      </c>
    </row>
    <row r="58">
      <c r="A58" s="8" t="n">
        <v>45901</v>
      </c>
      <c r="B58" t="n">
        <v>8.144299999999999</v>
      </c>
      <c r="C58" t="n">
        <v>8.9526</v>
      </c>
      <c r="D58" t="n">
        <v>0.6876333333333333</v>
      </c>
      <c r="E58" t="n">
        <v>2.949933333333334</v>
      </c>
      <c r="F58" t="n">
        <v>0</v>
      </c>
      <c r="G58" t="n">
        <v>4.724750333333333</v>
      </c>
      <c r="H58" t="n">
        <v>10.655186</v>
      </c>
      <c r="I58" t="n">
        <v>2.782166666666667</v>
      </c>
      <c r="J58" t="n">
        <v>39.77951083757303</v>
      </c>
      <c r="K58" t="n">
        <v>42.10404417090636</v>
      </c>
    </row>
    <row r="59">
      <c r="A59" s="8" t="n">
        <v>45931</v>
      </c>
      <c r="B59" t="n">
        <v>6.693548387096774</v>
      </c>
      <c r="C59" t="n">
        <v>8.544096774193548</v>
      </c>
      <c r="D59" t="n">
        <v>0.7671612903225806</v>
      </c>
      <c r="E59" t="n">
        <v>2.833483870967742</v>
      </c>
      <c r="F59" t="n">
        <v>0</v>
      </c>
      <c r="G59" t="n">
        <v>5.143850645161292</v>
      </c>
      <c r="H59" t="n">
        <v>11.63072193548387</v>
      </c>
      <c r="I59" t="n">
        <v>3.916741935483871</v>
      </c>
      <c r="J59" t="n">
        <v>39.41929817193254</v>
      </c>
      <c r="K59" t="n">
        <v>41.20329817193254</v>
      </c>
    </row>
    <row r="60">
      <c r="A60" s="8" t="n">
        <v>45962</v>
      </c>
      <c r="B60" t="n">
        <v>5.677266666666666</v>
      </c>
      <c r="C60" t="n">
        <v>9.2516</v>
      </c>
      <c r="D60" t="n">
        <v>1.0994</v>
      </c>
      <c r="E60" t="n">
        <v>2.9201</v>
      </c>
      <c r="F60" t="n">
        <v>0</v>
      </c>
      <c r="G60" t="n">
        <v>5.420533666666667</v>
      </c>
      <c r="H60" t="n">
        <v>12.56635566666667</v>
      </c>
      <c r="I60" t="n">
        <v>3.326866666666667</v>
      </c>
      <c r="J60" t="n">
        <v>40.80337452783441</v>
      </c>
      <c r="K60" t="n">
        <v>42.78990786116775</v>
      </c>
    </row>
    <row r="61">
      <c r="A61" s="8" t="n">
        <v>45992</v>
      </c>
      <c r="B61" t="n">
        <v>5.743322580645161</v>
      </c>
      <c r="C61" t="n">
        <v>9.491129032258064</v>
      </c>
      <c r="D61" t="n">
        <v>1.903806451612903</v>
      </c>
      <c r="E61" t="n">
        <v>2.764451612903226</v>
      </c>
      <c r="F61" t="n">
        <v>0</v>
      </c>
      <c r="G61" t="n">
        <v>5.626580000000001</v>
      </c>
      <c r="H61" t="n">
        <v>12.86555129032258</v>
      </c>
      <c r="I61" t="n">
        <v>2.569387096774193</v>
      </c>
      <c r="J61" t="n">
        <v>41.19093652612255</v>
      </c>
      <c r="K61" t="n">
        <v>46.29571071967094</v>
      </c>
    </row>
    <row r="62">
      <c r="A62" s="8" t="n">
        <v>46023</v>
      </c>
      <c r="B62" t="n">
        <v>6.444645161290322</v>
      </c>
      <c r="C62" t="n">
        <v>9.186741935483871</v>
      </c>
      <c r="D62" t="n">
        <v>2.744397849462366</v>
      </c>
      <c r="E62" t="n">
        <v>2.873354838709677</v>
      </c>
      <c r="F62" t="n">
        <v>0</v>
      </c>
      <c r="G62" t="n">
        <v>5.1775</v>
      </c>
      <c r="H62" t="n">
        <v>12.63619419354839</v>
      </c>
      <c r="I62" t="n">
        <v>1.66758064516129</v>
      </c>
      <c r="J62" t="n">
        <v>39.56551517861769</v>
      </c>
      <c r="K62" t="n">
        <v>48.18064421087576</v>
      </c>
    </row>
    <row r="63">
      <c r="A63" s="8" t="n">
        <v>46054</v>
      </c>
      <c r="B63" t="n">
        <v>5.539142857142857</v>
      </c>
      <c r="C63" t="n">
        <v>8.947285714285714</v>
      </c>
      <c r="D63" t="n">
        <v>1.83890514592934</v>
      </c>
      <c r="E63" t="n">
        <v>2.989107142857143</v>
      </c>
      <c r="F63" t="n">
        <v>0</v>
      </c>
      <c r="G63" t="n">
        <v>5.757808214285714</v>
      </c>
      <c r="H63" t="n">
        <v>12.46882142857143</v>
      </c>
      <c r="I63" t="n">
        <v>2.403035714285714</v>
      </c>
      <c r="J63" t="n">
        <v>40.96624665068913</v>
      </c>
      <c r="K63" t="n">
        <v>47.00503236497484</v>
      </c>
    </row>
    <row r="64">
      <c r="A64" s="8" t="n">
        <v>46082</v>
      </c>
      <c r="B64" t="n">
        <v>4.979129032258064</v>
      </c>
      <c r="C64" t="n">
        <v>8.944193548387098</v>
      </c>
      <c r="D64" t="n">
        <v>1.248870967741935</v>
      </c>
      <c r="E64" t="n">
        <v>2.768580645161291</v>
      </c>
      <c r="F64" t="n">
        <v>0</v>
      </c>
      <c r="G64" t="n">
        <v>5.815642258064516</v>
      </c>
      <c r="H64" t="n">
        <v>13.02732838709677</v>
      </c>
      <c r="I64" t="n">
        <v>4.027709677419355</v>
      </c>
      <c r="J64" t="n">
        <v>41.40930015286933</v>
      </c>
      <c r="K64" t="n">
        <v>43.75826789480481</v>
      </c>
    </row>
    <row r="65">
      <c r="A65" s="8" t="n">
        <v>46113</v>
      </c>
      <c r="B65" t="n">
        <v>5.823266666666667</v>
      </c>
      <c r="C65" t="n">
        <v>9.137533333333334</v>
      </c>
      <c r="D65" t="n">
        <v>0.9259469534050179</v>
      </c>
      <c r="E65" t="n">
        <v>2.837666666666667</v>
      </c>
      <c r="F65" t="n">
        <v>0</v>
      </c>
      <c r="G65" t="n">
        <v>5.796038666666668</v>
      </c>
      <c r="H65" t="n">
        <v>12.521157</v>
      </c>
      <c r="I65" t="n">
        <v>3.956733333333333</v>
      </c>
      <c r="J65" t="n">
        <v>41.91300492202237</v>
      </c>
      <c r="K65" t="n">
        <v>43.86540492202237</v>
      </c>
    </row>
    <row r="66">
      <c r="A66" s="8" t="n">
        <v>46143</v>
      </c>
      <c r="B66" t="n">
        <v>6.823580645161289</v>
      </c>
      <c r="C66" t="n">
        <v>8.941225806451612</v>
      </c>
      <c r="D66" t="n">
        <v>0.7194342402879762</v>
      </c>
      <c r="E66" t="n">
        <v>3.316451612903226</v>
      </c>
      <c r="F66" t="n">
        <v>0</v>
      </c>
      <c r="G66" t="n">
        <v>5.236957741935484</v>
      </c>
      <c r="H66" t="n">
        <v>11.31602838709678</v>
      </c>
      <c r="I66" t="n">
        <v>4.344645161290323</v>
      </c>
      <c r="J66" t="n">
        <v>41.30863676385287</v>
      </c>
      <c r="K66" t="n">
        <v>43.08953998965932</v>
      </c>
    </row>
    <row r="67">
      <c r="A67" s="8" t="n">
        <v>46174</v>
      </c>
      <c r="B67" t="n">
        <v>8.072666666666667</v>
      </c>
      <c r="C67" t="n">
        <v>8.993433333333332</v>
      </c>
      <c r="D67" t="n">
        <v>0.7417414226299642</v>
      </c>
      <c r="E67" t="n">
        <v>3.3545</v>
      </c>
      <c r="F67" t="n">
        <v>0</v>
      </c>
      <c r="G67" t="n">
        <v>5.555875333333335</v>
      </c>
      <c r="H67" t="n">
        <v>12.02142833333333</v>
      </c>
      <c r="I67" t="n">
        <v>3.8228</v>
      </c>
      <c r="J67" t="n">
        <v>42.13956051293163</v>
      </c>
      <c r="K67" t="n">
        <v>44.11676051293163</v>
      </c>
    </row>
    <row r="68">
      <c r="A68" s="8" t="n">
        <v>46204</v>
      </c>
      <c r="B68" t="n">
        <v>8.987903225806452</v>
      </c>
      <c r="C68" t="n">
        <v>8.82258064516129</v>
      </c>
      <c r="D68" t="n">
        <v>0.6849519872199111</v>
      </c>
      <c r="E68" t="n">
        <v>3.236774193548387</v>
      </c>
      <c r="F68" t="n">
        <v>0</v>
      </c>
      <c r="G68" t="n">
        <v>5.482489032258066</v>
      </c>
      <c r="H68" t="n">
        <v>11.38448741935484</v>
      </c>
      <c r="I68" t="n">
        <v>2.909193548387097</v>
      </c>
      <c r="J68" t="n">
        <v>43.08524367193138</v>
      </c>
      <c r="K68" t="n">
        <v>45.5836952848346</v>
      </c>
      <c r="L68" t="n">
        <v>45.5836952848346</v>
      </c>
      <c r="M68" t="n">
        <v>41.50838005173605</v>
      </c>
    </row>
    <row r="69">
      <c r="A69" s="8" t="n">
        <v>46235</v>
      </c>
      <c r="B69" t="n">
        <v>9.666152140714427</v>
      </c>
      <c r="C69" t="n">
        <v>8.955665814798916</v>
      </c>
      <c r="D69" t="n">
        <v>0.6335046453459757</v>
      </c>
      <c r="E69" t="n">
        <v>3.173172980830327</v>
      </c>
      <c r="F69" t="n">
        <v>0.008863725805226097</v>
      </c>
      <c r="G69" t="n">
        <v>5.887831766063428</v>
      </c>
      <c r="H69" t="n">
        <v>11.05856866678018</v>
      </c>
      <c r="I69" t="n">
        <v>2.726021505376344</v>
      </c>
      <c r="J69" t="n">
        <v>43.25531139258842</v>
      </c>
      <c r="K69" t="n">
        <v>47.4885909624809</v>
      </c>
      <c r="L69" t="n">
        <v>47.08338783530927</v>
      </c>
      <c r="M69" t="n">
        <v>42.10978124571483</v>
      </c>
    </row>
    <row r="70">
      <c r="A70" s="8" t="n">
        <v>46266</v>
      </c>
      <c r="B70" t="n">
        <v>8.154888601897735</v>
      </c>
      <c r="C70" t="n">
        <v>8.896038818827874</v>
      </c>
      <c r="D70" t="n">
        <v>0.6479569337529568</v>
      </c>
      <c r="E70" t="n">
        <v>2.987072935842461</v>
      </c>
      <c r="F70" t="n">
        <v>0.01772745161045225</v>
      </c>
      <c r="G70" t="n">
        <v>6.196107924570369</v>
      </c>
      <c r="H70" t="n">
        <v>11.28059060797097</v>
      </c>
      <c r="I70" t="n">
        <v>3.724011111111111</v>
      </c>
      <c r="J70" t="n">
        <v>43.36901973246979</v>
      </c>
      <c r="K70" t="n">
        <v>46.45771973246979</v>
      </c>
      <c r="L70" t="n">
        <v>46.05251660529817</v>
      </c>
      <c r="M70" t="n">
        <v>41.90439438558393</v>
      </c>
    </row>
    <row r="71">
      <c r="A71" s="8" t="n">
        <v>46296</v>
      </c>
      <c r="B71" t="n">
        <v>6.528474776004843</v>
      </c>
      <c r="C71" t="n">
        <v>8.747293375354793</v>
      </c>
      <c r="D71" t="n">
        <v>0.7623972559083163</v>
      </c>
      <c r="E71" t="n">
        <v>2.849358403364501</v>
      </c>
      <c r="F71" t="n">
        <v>0.02659117741567835</v>
      </c>
      <c r="G71" t="n">
        <v>6.396777187440785</v>
      </c>
      <c r="H71" t="n">
        <v>11.82639372882546</v>
      </c>
      <c r="I71" t="n">
        <v>4.302741935483871</v>
      </c>
      <c r="J71" t="n">
        <v>43.63547021800109</v>
      </c>
      <c r="K71" t="n">
        <v>45.29929817499033</v>
      </c>
      <c r="L71" t="n">
        <v>44.70760059289103</v>
      </c>
      <c r="M71" t="n">
        <v>41.44002783979825</v>
      </c>
    </row>
    <row r="72">
      <c r="A72" s="8" t="n">
        <v>46327</v>
      </c>
      <c r="B72" t="n">
        <v>5.742763136376913</v>
      </c>
      <c r="C72" t="n">
        <v>9.253264744849719</v>
      </c>
      <c r="D72" t="n">
        <v>1.136688411484317</v>
      </c>
      <c r="E72" t="n">
        <v>2.784950506332339</v>
      </c>
      <c r="F72" t="n">
        <v>0.0354549032209045</v>
      </c>
      <c r="G72" t="n">
        <v>6.56437371390203</v>
      </c>
      <c r="H72" t="n">
        <v>12.4606806560368</v>
      </c>
      <c r="I72" t="n">
        <v>3.186255555555555</v>
      </c>
      <c r="J72" t="n">
        <v>43.75435443219153</v>
      </c>
      <c r="K72" t="n">
        <v>45.89906554330264</v>
      </c>
      <c r="L72" t="n">
        <v>45.22119903522974</v>
      </c>
      <c r="M72" t="n">
        <v>41.16443162775858</v>
      </c>
    </row>
    <row r="73">
      <c r="A73" s="8" t="n">
        <v>46357</v>
      </c>
      <c r="B73" t="n">
        <v>5.528507288484666</v>
      </c>
      <c r="C73" t="n">
        <v>9.65442691930981</v>
      </c>
      <c r="D73" t="n">
        <v>1.744599010299023</v>
      </c>
      <c r="E73" t="n">
        <v>2.658115350636674</v>
      </c>
      <c r="F73" t="n">
        <v>0.0443186290261306</v>
      </c>
      <c r="G73" t="n">
        <v>6.644037038101144</v>
      </c>
      <c r="H73" t="n">
        <v>12.81178383756908</v>
      </c>
      <c r="I73" t="n">
        <v>2.522612903225806</v>
      </c>
      <c r="J73" t="n">
        <v>44.08559776590614</v>
      </c>
      <c r="K73" t="n">
        <v>47.91927518526099</v>
      </c>
      <c r="L73" t="n">
        <v>47.15003149770028</v>
      </c>
      <c r="M73" t="n">
        <v>41.47112929954652</v>
      </c>
    </row>
    <row r="74">
      <c r="A74" s="8" t="n">
        <v>46388</v>
      </c>
      <c r="B74" t="n">
        <v>6.642350060349594</v>
      </c>
      <c r="C74" t="n">
        <v>9.321189094001687</v>
      </c>
      <c r="D74" t="n">
        <v>2.800517572106278</v>
      </c>
      <c r="E74" t="n">
        <v>2.928315042689603</v>
      </c>
      <c r="F74" t="n">
        <v>0.05318235483135669</v>
      </c>
      <c r="G74" t="n">
        <v>6.474365214734835</v>
      </c>
      <c r="H74" t="n">
        <v>12.80304511027049</v>
      </c>
      <c r="I74" t="n">
        <v>1.725978494623656</v>
      </c>
      <c r="J74" t="n">
        <v>43.44991902609013</v>
      </c>
      <c r="K74" t="n">
        <v>51.78383300458475</v>
      </c>
      <c r="L74" t="n">
        <v>51.72573958673064</v>
      </c>
      <c r="M74" t="n">
        <v>42.56190979751927</v>
      </c>
    </row>
    <row r="75">
      <c r="A75" s="8" t="n">
        <v>46419</v>
      </c>
      <c r="B75" t="n">
        <v>5.505256424949263</v>
      </c>
      <c r="C75" t="n">
        <v>9.009931854514866</v>
      </c>
      <c r="D75" t="n">
        <v>2.035507205568881</v>
      </c>
      <c r="E75" t="n">
        <v>2.878761529187785</v>
      </c>
      <c r="F75" t="n">
        <v>0.06204608063658285</v>
      </c>
      <c r="G75" t="n">
        <v>6.457224532049643</v>
      </c>
      <c r="H75" t="n">
        <v>12.77374570662752</v>
      </c>
      <c r="I75" t="n">
        <v>2.746053366174056</v>
      </c>
      <c r="J75" t="n">
        <v>44.41818291875697</v>
      </c>
      <c r="K75" t="n">
        <v>49.79311477425779</v>
      </c>
      <c r="L75" t="n">
        <v>49.15185264611929</v>
      </c>
      <c r="M75" t="n">
        <v>41.23022915555137</v>
      </c>
    </row>
    <row r="76">
      <c r="A76" s="8" t="n">
        <v>46447</v>
      </c>
      <c r="B76" t="n">
        <v>4.958722356593817</v>
      </c>
      <c r="C76" t="n">
        <v>9.023104459591682</v>
      </c>
      <c r="D76" t="n">
        <v>1.146927293428262</v>
      </c>
      <c r="E76" t="n">
        <v>2.774088603050509</v>
      </c>
      <c r="F76" t="n">
        <v>0.07090980644180894</v>
      </c>
      <c r="G76" t="n">
        <v>6.475045955188901</v>
      </c>
      <c r="H76" t="n">
        <v>12.67293913912476</v>
      </c>
      <c r="I76" t="n">
        <v>4.228569892473119</v>
      </c>
      <c r="J76" t="n">
        <v>44.59992046747979</v>
      </c>
      <c r="K76" t="n">
        <v>46.82656562877011</v>
      </c>
      <c r="L76" t="n">
        <v>46.03803207572858</v>
      </c>
      <c r="M76" t="n">
        <v>40.93109291516573</v>
      </c>
    </row>
    <row r="77">
      <c r="A77" s="8" t="n">
        <v>46478</v>
      </c>
      <c r="B77" t="n">
        <v>5.516235508061194</v>
      </c>
      <c r="C77" t="n">
        <v>9.107623283071195</v>
      </c>
      <c r="D77" t="n">
        <v>0.8821343775656999</v>
      </c>
      <c r="E77" t="n">
        <v>2.986666029480983</v>
      </c>
      <c r="F77" t="n">
        <v>0.07977353224703504</v>
      </c>
      <c r="G77" t="n">
        <v>6.537792984935101</v>
      </c>
      <c r="H77" t="n">
        <v>12.12736448915697</v>
      </c>
      <c r="I77" t="n">
        <v>4.151300000000001</v>
      </c>
      <c r="J77" t="n">
        <v>44.79376080017222</v>
      </c>
      <c r="K77" t="n">
        <v>46.85466080017221</v>
      </c>
      <c r="L77" t="n">
        <v>46.85466080017221</v>
      </c>
      <c r="M77" t="n">
        <v>40.72753425934302</v>
      </c>
    </row>
    <row r="78">
      <c r="A78" s="8" t="n">
        <v>46508</v>
      </c>
      <c r="B78" t="n">
        <v>6.993895217764203</v>
      </c>
      <c r="C78" t="n">
        <v>8.950665019082464</v>
      </c>
      <c r="D78" t="n">
        <v>0.7035327105751802</v>
      </c>
      <c r="E78" t="n">
        <v>3.246131765669218</v>
      </c>
      <c r="F78" t="n">
        <v>0.08863725805226119</v>
      </c>
      <c r="G78" t="n">
        <v>6.990937874296153</v>
      </c>
      <c r="H78" t="n">
        <v>11.34875595893553</v>
      </c>
      <c r="I78" t="n">
        <v>4.081204301075269</v>
      </c>
      <c r="J78" t="n">
        <v>45.00748860149624</v>
      </c>
      <c r="K78" t="n">
        <v>46.76684344020592</v>
      </c>
      <c r="L78" t="n">
        <v>46.76684344020592</v>
      </c>
      <c r="M78" t="n">
        <v>41.49832791261668</v>
      </c>
    </row>
    <row r="79">
      <c r="A79" s="8" t="n">
        <v>46539</v>
      </c>
      <c r="B79" t="n">
        <v>8.050649522716082</v>
      </c>
      <c r="C79" t="n">
        <v>8.997280139696436</v>
      </c>
      <c r="D79" t="n">
        <v>0.6910917534795176</v>
      </c>
      <c r="E79" t="n">
        <v>3.183163621523248</v>
      </c>
      <c r="F79" t="n">
        <v>0.09750098385748729</v>
      </c>
      <c r="G79" t="n">
        <v>7.317293769208743</v>
      </c>
      <c r="H79" t="n">
        <v>11.00307681727622</v>
      </c>
      <c r="I79" t="n">
        <v>3.446855555555556</v>
      </c>
      <c r="J79" t="n">
        <v>45.23748481659572</v>
      </c>
      <c r="K79" t="n">
        <v>47.23549592770683</v>
      </c>
      <c r="L79" t="n">
        <v>47.23549592770683</v>
      </c>
      <c r="M79" t="n">
        <v>41.77287451470341</v>
      </c>
    </row>
    <row r="80">
      <c r="A80" s="8" t="n">
        <v>46569</v>
      </c>
      <c r="B80" t="n">
        <v>8.743205706451954</v>
      </c>
      <c r="C80" t="n">
        <v>9.053350945574556</v>
      </c>
      <c r="D80" t="n">
        <v>0.6486891365770854</v>
      </c>
      <c r="E80" t="n">
        <v>3.037684824395356</v>
      </c>
      <c r="F80" t="n">
        <v>0.1063647096627134</v>
      </c>
      <c r="G80" t="n">
        <v>7.490755317494781</v>
      </c>
      <c r="H80" t="n">
        <v>11.03492177389689</v>
      </c>
      <c r="I80" t="n">
        <v>2.677645161290322</v>
      </c>
      <c r="J80" t="n">
        <v>45.48902689168921</v>
      </c>
      <c r="K80" t="n">
        <v>48.11066130029135</v>
      </c>
      <c r="L80" t="n">
        <v>48.11066130029135</v>
      </c>
      <c r="M80" t="n">
        <v>41.51406055349239</v>
      </c>
    </row>
    <row r="81">
      <c r="A81" s="8" t="n">
        <v>46600</v>
      </c>
      <c r="B81" t="n">
        <v>9.675680089688059</v>
      </c>
      <c r="C81" t="n">
        <v>9.028878648759912</v>
      </c>
      <c r="D81" t="n">
        <v>0.6159038080456432</v>
      </c>
      <c r="E81" t="n">
        <v>3.108901705501792</v>
      </c>
      <c r="F81" t="n">
        <v>0.1152284354679395</v>
      </c>
      <c r="G81" t="n">
        <v>7.99559592769987</v>
      </c>
      <c r="H81" t="n">
        <v>11.05856866678018</v>
      </c>
      <c r="I81" t="n">
        <v>2.726021505376344</v>
      </c>
      <c r="J81" t="n">
        <v>45.75438358267979</v>
      </c>
      <c r="K81" t="n">
        <v>49.98766315257227</v>
      </c>
      <c r="L81" t="n">
        <v>49.98766315257227</v>
      </c>
      <c r="M81" t="n">
        <v>42.78666083902242</v>
      </c>
    </row>
    <row r="82">
      <c r="A82" s="8" t="n">
        <v>46631</v>
      </c>
      <c r="B82" t="n">
        <v>8.161845942394233</v>
      </c>
      <c r="C82" t="n">
        <v>8.968755829000028</v>
      </c>
      <c r="D82" t="n">
        <v>0.6300530723916201</v>
      </c>
      <c r="E82" t="n">
        <v>2.926571038137624</v>
      </c>
      <c r="F82" t="n">
        <v>0.1240921612731656</v>
      </c>
      <c r="G82" t="n">
        <v>8.695339501376306</v>
      </c>
      <c r="H82" t="n">
        <v>11.28059060797097</v>
      </c>
      <c r="I82" t="n">
        <v>3.724011111111111</v>
      </c>
      <c r="J82" t="n">
        <v>46.01778500105747</v>
      </c>
      <c r="K82" t="n">
        <v>49.10648500105747</v>
      </c>
      <c r="L82" t="n">
        <v>49.10648500105747</v>
      </c>
      <c r="M82" t="n">
        <v>42.80674365570073</v>
      </c>
    </row>
    <row r="83">
      <c r="A83" s="8" t="n">
        <v>46661</v>
      </c>
      <c r="B83" t="n">
        <v>6.537444588533633</v>
      </c>
      <c r="C83" t="n">
        <v>8.818830891251078</v>
      </c>
      <c r="D83" t="n">
        <v>0.7412144830926277</v>
      </c>
      <c r="E83" t="n">
        <v>2.791645855212021</v>
      </c>
      <c r="F83" t="n">
        <v>0.1329558870783917</v>
      </c>
      <c r="G83" t="n">
        <v>9.396864497151915</v>
      </c>
      <c r="H83" t="n">
        <v>12.28980723930454</v>
      </c>
      <c r="I83" t="n">
        <v>4.302741935483871</v>
      </c>
      <c r="J83" t="n">
        <v>46.28649315835899</v>
      </c>
      <c r="K83" t="n">
        <v>47.95032111534824</v>
      </c>
      <c r="L83" t="n">
        <v>47.95032111534824</v>
      </c>
      <c r="M83" t="n">
        <v>42.65164002278178</v>
      </c>
    </row>
    <row r="84">
      <c r="A84" s="8" t="n">
        <v>46692</v>
      </c>
      <c r="B84" t="n">
        <v>5.755221805443956</v>
      </c>
      <c r="C84" t="n">
        <v>9.328893370812469</v>
      </c>
      <c r="D84" t="n">
        <v>1.104694577293822</v>
      </c>
      <c r="E84" t="n">
        <v>2.728542512866445</v>
      </c>
      <c r="F84" t="n">
        <v>0.1418196128836179</v>
      </c>
      <c r="G84" t="n">
        <v>10.02482796884667</v>
      </c>
      <c r="H84" t="n">
        <v>13.16595643039863</v>
      </c>
      <c r="I84" t="n">
        <v>3.186255555555555</v>
      </c>
      <c r="J84" t="n">
        <v>46.55570707083817</v>
      </c>
      <c r="K84" t="n">
        <v>48.70041818194929</v>
      </c>
      <c r="L84" t="n">
        <v>48.70041818194929</v>
      </c>
      <c r="M84" t="n">
        <v>42.64580309243807</v>
      </c>
    </row>
    <row r="85">
      <c r="A85" s="8" t="n">
        <v>46722</v>
      </c>
      <c r="B85" t="n">
        <v>5.536599432195294</v>
      </c>
      <c r="C85" t="n">
        <v>9.733371225467472</v>
      </c>
      <c r="D85" t="n">
        <v>1.694752924780184</v>
      </c>
      <c r="E85" t="n">
        <v>2.604276349552317</v>
      </c>
      <c r="F85" t="n">
        <v>0.150683338688844</v>
      </c>
      <c r="G85" t="n">
        <v>10.18260905034924</v>
      </c>
      <c r="H85" t="n">
        <v>13.76005462555457</v>
      </c>
      <c r="I85" t="n">
        <v>2.522612903225806</v>
      </c>
      <c r="J85" t="n">
        <v>46.8141284480731</v>
      </c>
      <c r="K85" t="n">
        <v>50.64780586742793</v>
      </c>
      <c r="L85" t="n">
        <v>50.64780586742793</v>
      </c>
      <c r="M85" t="n">
        <v>43.13197570122453</v>
      </c>
    </row>
    <row r="86">
      <c r="A86" s="8" t="n">
        <v>46753</v>
      </c>
      <c r="B86" t="n">
        <v>6.65059872592723</v>
      </c>
      <c r="C86" t="n">
        <v>9.397361220112231</v>
      </c>
      <c r="D86" t="n">
        <v>2.719717818309598</v>
      </c>
      <c r="E86" t="n">
        <v>2.869003261234769</v>
      </c>
      <c r="F86" t="n">
        <v>0.1595470644940701</v>
      </c>
      <c r="G86" t="n">
        <v>9.933882743400591</v>
      </c>
      <c r="H86" t="n">
        <v>13.97363944663128</v>
      </c>
      <c r="I86" t="n">
        <v>1.725978494623656</v>
      </c>
      <c r="J86" t="n">
        <v>46.52066744980097</v>
      </c>
      <c r="K86" t="n">
        <v>54.85458142829559</v>
      </c>
      <c r="L86" t="n">
        <v>54.85458142829559</v>
      </c>
      <c r="M86" t="n">
        <v>44.46174654041566</v>
      </c>
    </row>
    <row r="87">
      <c r="A87" s="8" t="n">
        <v>46784</v>
      </c>
      <c r="B87" t="n">
        <v>5.513777882820569</v>
      </c>
      <c r="C87" t="n">
        <v>9.083509903026535</v>
      </c>
      <c r="D87" t="n">
        <v>1.977002781033452</v>
      </c>
      <c r="E87" t="n">
        <v>2.820453433169897</v>
      </c>
      <c r="F87" t="n">
        <v>0.1684107902992963</v>
      </c>
      <c r="G87" t="n">
        <v>10.05862295544212</v>
      </c>
      <c r="H87" t="n">
        <v>14.16412125972599</v>
      </c>
      <c r="I87" t="n">
        <v>2.746053366174056</v>
      </c>
      <c r="J87" t="n">
        <v>47.55875681359606</v>
      </c>
      <c r="K87" t="n">
        <v>52.93368866909687</v>
      </c>
      <c r="L87" t="n">
        <v>52.93368866909687</v>
      </c>
      <c r="M87" t="n">
        <v>43.37947730105719</v>
      </c>
    </row>
    <row r="88">
      <c r="A88" s="8" t="n">
        <v>46813</v>
      </c>
      <c r="B88" t="n">
        <v>4.96810209565738</v>
      </c>
      <c r="C88" t="n">
        <v>9.096813894197409</v>
      </c>
      <c r="D88" t="n">
        <v>1.114450004788705</v>
      </c>
      <c r="E88" t="n">
        <v>2.717900612837081</v>
      </c>
      <c r="F88" t="n">
        <v>0.1772745161045224</v>
      </c>
      <c r="G88" t="n">
        <v>9.974197376981069</v>
      </c>
      <c r="H88" t="n">
        <v>14.27304676587438</v>
      </c>
      <c r="I88" t="n">
        <v>4.228569892473119</v>
      </c>
      <c r="J88" t="n">
        <v>47.75469950496071</v>
      </c>
      <c r="K88" t="n">
        <v>49.98134466625103</v>
      </c>
      <c r="L88" t="n">
        <v>49.98134466625103</v>
      </c>
      <c r="M88" t="n">
        <v>43.29478745303485</v>
      </c>
    </row>
    <row r="89">
      <c r="A89" s="8" t="n">
        <v>46844</v>
      </c>
      <c r="B89" t="n">
        <v>5.527660574636847</v>
      </c>
      <c r="C89" t="n">
        <v>9.182102856618908</v>
      </c>
      <c r="D89" t="n">
        <v>0.8573470152073261</v>
      </c>
      <c r="E89" t="n">
        <v>2.926172373492231</v>
      </c>
      <c r="F89" t="n">
        <v>0.1861382419097485</v>
      </c>
      <c r="G89" t="n">
        <v>9.851180955530085</v>
      </c>
      <c r="H89" t="n">
        <v>13.86978999028831</v>
      </c>
      <c r="I89" t="n">
        <v>4.151300000000001</v>
      </c>
      <c r="J89" t="n">
        <v>47.96375636355367</v>
      </c>
      <c r="K89" t="n">
        <v>50.02465636355367</v>
      </c>
      <c r="L89" t="n">
        <v>50.02465636355367</v>
      </c>
      <c r="M89" t="n">
        <v>43.85446649890371</v>
      </c>
    </row>
    <row r="90">
      <c r="A90" s="8" t="n">
        <v>46874</v>
      </c>
      <c r="B90" t="n">
        <v>7.00529574525538</v>
      </c>
      <c r="C90" t="n">
        <v>9.023881096205125</v>
      </c>
      <c r="D90" t="n">
        <v>0.6839574385355199</v>
      </c>
      <c r="E90" t="n">
        <v>3.180382741041686</v>
      </c>
      <c r="F90" t="n">
        <v>0.1950019677149746</v>
      </c>
      <c r="G90" t="n">
        <v>10.37861337246806</v>
      </c>
      <c r="H90" t="n">
        <v>13.17695648402449</v>
      </c>
      <c r="I90" t="n">
        <v>4.081204301075269</v>
      </c>
      <c r="J90" t="n">
        <v>48.194223371287</v>
      </c>
      <c r="K90" t="n">
        <v>49.95357820999668</v>
      </c>
      <c r="L90" t="n">
        <v>49.95357820999668</v>
      </c>
      <c r="M90" t="n">
        <v>45.19891126132423</v>
      </c>
    </row>
    <row r="91">
      <c r="A91" s="8" t="n">
        <v>46905</v>
      </c>
      <c r="B91" t="n">
        <v>8.06336678515347</v>
      </c>
      <c r="C91" t="n">
        <v>9.070855471019376</v>
      </c>
      <c r="D91" t="n">
        <v>0.6718656073679865</v>
      </c>
      <c r="E91" t="n">
        <v>3.118689989997127</v>
      </c>
      <c r="F91" t="n">
        <v>0.2038656935202007</v>
      </c>
      <c r="G91" t="n">
        <v>10.77479381700417</v>
      </c>
      <c r="H91" t="n">
        <v>12.96721414721974</v>
      </c>
      <c r="I91" t="n">
        <v>3.446855555555556</v>
      </c>
      <c r="J91" t="n">
        <v>48.44221624479437</v>
      </c>
      <c r="K91" t="n">
        <v>50.44022735590548</v>
      </c>
      <c r="L91" t="n">
        <v>50.44022735590548</v>
      </c>
      <c r="M91" t="n">
        <v>45.79431794402117</v>
      </c>
    </row>
    <row r="92">
      <c r="A92" s="8" t="n">
        <v>46935</v>
      </c>
      <c r="B92" t="n">
        <v>8.756501296848677</v>
      </c>
      <c r="C92" t="n">
        <v>9.127417764521731</v>
      </c>
      <c r="D92" t="n">
        <v>0.6305396453184171</v>
      </c>
      <c r="E92" t="n">
        <v>2.976157804314989</v>
      </c>
      <c r="F92" t="n">
        <v>0.2127294193254269</v>
      </c>
      <c r="G92" t="n">
        <v>10.78008861771616</v>
      </c>
      <c r="H92" t="n">
        <v>13.19692143091807</v>
      </c>
      <c r="I92" t="n">
        <v>2.677645161290322</v>
      </c>
      <c r="J92" t="n">
        <v>48.71317462742694</v>
      </c>
      <c r="K92" t="n">
        <v>51.33480903602909</v>
      </c>
      <c r="L92" t="n">
        <v>51.33480903602909</v>
      </c>
      <c r="M92" t="n">
        <v>45.7041800263294</v>
      </c>
    </row>
    <row r="93">
      <c r="A93" s="8" t="n">
        <v>46966</v>
      </c>
      <c r="B93" t="n">
        <v>9.686557947864491</v>
      </c>
      <c r="C93" t="n">
        <v>9.102690953879762</v>
      </c>
      <c r="D93" t="n">
        <v>0.5988219910382293</v>
      </c>
      <c r="E93" t="n">
        <v>3.045932217645074</v>
      </c>
      <c r="F93" t="n">
        <v>0.221593145130653</v>
      </c>
      <c r="G93" t="n">
        <v>11.27506783682496</v>
      </c>
      <c r="H93" t="n">
        <v>13.4177908717757</v>
      </c>
      <c r="I93" t="n">
        <v>2.726021505376344</v>
      </c>
      <c r="J93" t="n">
        <v>48.99873870147235</v>
      </c>
      <c r="K93" t="n">
        <v>53.23201827136482</v>
      </c>
      <c r="L93" t="n">
        <v>53.23201827136482</v>
      </c>
      <c r="M93" t="n">
        <v>47.43996870911526</v>
      </c>
    </row>
    <row r="94">
      <c r="A94" s="8" t="n">
        <v>46997</v>
      </c>
      <c r="B94" t="n">
        <v>8.169914906086893</v>
      </c>
      <c r="C94" t="n">
        <v>9.042068180725233</v>
      </c>
      <c r="D94" t="n">
        <v>0.6126764849520919</v>
      </c>
      <c r="E94" t="n">
        <v>2.867294580756646</v>
      </c>
      <c r="F94" t="n">
        <v>0.2304568709358791</v>
      </c>
      <c r="G94" t="n">
        <v>12.09451430971443</v>
      </c>
      <c r="H94" t="n">
        <v>13.88363488832788</v>
      </c>
      <c r="I94" t="n">
        <v>3.724011111111111</v>
      </c>
      <c r="J94" t="n">
        <v>49.28222494976268</v>
      </c>
      <c r="K94" t="n">
        <v>52.37092494976268</v>
      </c>
      <c r="L94" t="n">
        <v>52.37092494976268</v>
      </c>
      <c r="M94" t="n">
        <v>47.84771680227354</v>
      </c>
    </row>
    <row r="95">
      <c r="A95" s="8" t="n">
        <v>47027</v>
      </c>
      <c r="B95" t="n">
        <v>6.547389981511079</v>
      </c>
      <c r="C95" t="n">
        <v>8.890954395170803</v>
      </c>
      <c r="D95" t="n">
        <v>0.7206563621337674</v>
      </c>
      <c r="E95" t="n">
        <v>2.73510225028912</v>
      </c>
      <c r="F95" t="n">
        <v>0.2393205967411053</v>
      </c>
      <c r="G95" t="n">
        <v>12.69228003083021</v>
      </c>
      <c r="H95" t="n">
        <v>14.76134596185965</v>
      </c>
      <c r="I95" t="n">
        <v>4.302741935483871</v>
      </c>
      <c r="J95" t="n">
        <v>49.57118623957307</v>
      </c>
      <c r="K95" t="n">
        <v>51.23501419656232</v>
      </c>
      <c r="L95" t="n">
        <v>51.23501419656232</v>
      </c>
      <c r="M95" t="n">
        <v>47.98971015715865</v>
      </c>
    </row>
    <row r="96">
      <c r="A96" s="8" t="n">
        <v>47058</v>
      </c>
      <c r="B96" t="n">
        <v>5.768653736996765</v>
      </c>
      <c r="C96" t="n">
        <v>9.405141106166965</v>
      </c>
      <c r="D96" t="n">
        <v>1.073647048549002</v>
      </c>
      <c r="E96" t="n">
        <v>2.67327703942725</v>
      </c>
      <c r="F96" t="n">
        <v>0.2481843225463314</v>
      </c>
      <c r="G96" t="n">
        <v>13.09400310968609</v>
      </c>
      <c r="H96" t="n">
        <v>15.55304366670018</v>
      </c>
      <c r="I96" t="n">
        <v>3.186255555555555</v>
      </c>
      <c r="J96" t="n">
        <v>49.86045457872709</v>
      </c>
      <c r="K96" t="n">
        <v>52.0051656898382</v>
      </c>
      <c r="L96" t="n">
        <v>52.0051656898382</v>
      </c>
      <c r="M96" t="n">
        <v>48.33486483008449</v>
      </c>
    </row>
    <row r="97">
      <c r="A97" s="8" t="n">
        <v>47088</v>
      </c>
      <c r="B97" t="n">
        <v>5.545530228640029</v>
      </c>
      <c r="C97" t="n">
        <v>9.812962091444904</v>
      </c>
      <c r="D97" t="n">
        <v>1.646386243078595</v>
      </c>
      <c r="E97" t="n">
        <v>2.551527834641582</v>
      </c>
      <c r="F97" t="n">
        <v>0.2570480483515575</v>
      </c>
      <c r="G97" t="n">
        <v>13.04702460392214</v>
      </c>
      <c r="H97" t="n">
        <v>15.99128000904985</v>
      </c>
      <c r="I97" t="n">
        <v>2.522612903225806</v>
      </c>
      <c r="J97" t="n">
        <v>50.13816807793663</v>
      </c>
      <c r="K97" t="n">
        <v>53.97184549729147</v>
      </c>
      <c r="L97" t="n">
        <v>53.97184549729147</v>
      </c>
      <c r="M97" t="n">
        <v>49.10505217743778</v>
      </c>
    </row>
    <row r="98">
      <c r="A98" s="8" t="n">
        <v>47119</v>
      </c>
      <c r="B98" t="n">
        <v>6.681806447686583</v>
      </c>
      <c r="C98" t="n">
        <v>9.474156807618703</v>
      </c>
      <c r="D98" t="n">
        <v>2.641321436577481</v>
      </c>
      <c r="E98" t="n">
        <v>2.810892814802997</v>
      </c>
      <c r="F98" t="n">
        <v>0.2659117741567836</v>
      </c>
      <c r="G98" t="n">
        <v>12.67205817734582</v>
      </c>
      <c r="H98" t="n">
        <v>15.98037259467834</v>
      </c>
      <c r="I98" t="n">
        <v>1.725978494623656</v>
      </c>
      <c r="J98" t="n">
        <v>50.28430678525324</v>
      </c>
      <c r="K98" t="n">
        <v>58.61822076374786</v>
      </c>
      <c r="L98" t="n">
        <v>58.61822076374786</v>
      </c>
      <c r="M98" t="n">
        <v>50.4520274250448</v>
      </c>
    </row>
    <row r="99">
      <c r="A99" s="8" t="n">
        <v>47150</v>
      </c>
      <c r="B99" t="n">
        <v>5.541170557383547</v>
      </c>
      <c r="C99" t="n">
        <v>9.157689759576485</v>
      </c>
      <c r="D99" t="n">
        <v>1.920237068633452</v>
      </c>
      <c r="E99" t="n">
        <v>2.763326342951468</v>
      </c>
      <c r="F99" t="n">
        <v>0.2747754999620097</v>
      </c>
      <c r="G99" t="n">
        <v>12.56022123652036</v>
      </c>
      <c r="H99" t="n">
        <v>15.94380196769204</v>
      </c>
      <c r="I99" t="n">
        <v>2.746053366174056</v>
      </c>
      <c r="J99" t="n">
        <v>50.43088113748851</v>
      </c>
      <c r="K99" t="n">
        <v>55.80581299298933</v>
      </c>
      <c r="L99" t="n">
        <v>55.80581299298933</v>
      </c>
      <c r="M99" t="n">
        <v>49.47936259949827</v>
      </c>
    </row>
    <row r="100">
      <c r="A100" s="8" t="n">
        <v>47178</v>
      </c>
      <c r="B100" t="n">
        <v>4.994320286332644</v>
      </c>
      <c r="C100" t="n">
        <v>9.17112641016217</v>
      </c>
      <c r="D100" t="n">
        <v>1.082934655642286</v>
      </c>
      <c r="E100" t="n">
        <v>2.662850686577613</v>
      </c>
      <c r="F100" t="n">
        <v>0.2836392257672359</v>
      </c>
      <c r="G100" t="n">
        <v>12.25593655124702</v>
      </c>
      <c r="H100" t="n">
        <v>15.81797826756367</v>
      </c>
      <c r="I100" t="n">
        <v>4.228569892473119</v>
      </c>
      <c r="J100" t="n">
        <v>50.5778924861177</v>
      </c>
      <c r="K100" t="n">
        <v>52.80453764740803</v>
      </c>
      <c r="L100" t="n">
        <v>52.80453764740803</v>
      </c>
      <c r="M100" t="n">
        <v>49.5135228911017</v>
      </c>
    </row>
    <row r="101">
      <c r="A101" s="8" t="n">
        <v>47209</v>
      </c>
      <c r="B101" t="n">
        <v>5.557724630213094</v>
      </c>
      <c r="C101" t="n">
        <v>9.257192477516844</v>
      </c>
      <c r="D101" t="n">
        <v>0.8332925223914077</v>
      </c>
      <c r="E101" t="n">
        <v>2.866903990894866</v>
      </c>
      <c r="F101" t="n">
        <v>0.292502951572462</v>
      </c>
      <c r="G101" t="n">
        <v>11.8381445387415</v>
      </c>
      <c r="H101" t="n">
        <v>15.31978044227872</v>
      </c>
      <c r="I101" t="n">
        <v>4.151300000000001</v>
      </c>
      <c r="J101" t="n">
        <v>50.72534218694364</v>
      </c>
      <c r="K101" t="n">
        <v>52.78624218694364</v>
      </c>
      <c r="L101" t="n">
        <v>52.78624218694364</v>
      </c>
      <c r="M101" t="n">
        <v>49.43382044239656</v>
      </c>
    </row>
    <row r="102">
      <c r="A102" s="8" t="n">
        <v>47239</v>
      </c>
      <c r="B102" t="n">
        <v>7.040616585871298</v>
      </c>
      <c r="C102" t="n">
        <v>9.097697038797511</v>
      </c>
      <c r="D102" t="n">
        <v>0.664959609268158</v>
      </c>
      <c r="E102" t="n">
        <v>3.115965435072403</v>
      </c>
      <c r="F102" t="n">
        <v>0.3013666773776881</v>
      </c>
      <c r="G102" t="n">
        <v>12.20315815805368</v>
      </c>
      <c r="H102" t="n">
        <v>14.45023543600952</v>
      </c>
      <c r="I102" t="n">
        <v>4.081204301075269</v>
      </c>
      <c r="J102" t="n">
        <v>50.8732316001109</v>
      </c>
      <c r="K102" t="n">
        <v>52.63258643882057</v>
      </c>
      <c r="L102" t="n">
        <v>52.63258643882057</v>
      </c>
      <c r="M102" t="n">
        <v>50.27215233542492</v>
      </c>
    </row>
    <row r="103">
      <c r="A103" s="8" t="n">
        <v>47270</v>
      </c>
      <c r="B103" t="n">
        <v>8.10365658207639</v>
      </c>
      <c r="C103" t="n">
        <v>9.145033427501591</v>
      </c>
      <c r="D103" t="n">
        <v>0.6532065848055395</v>
      </c>
      <c r="E103" t="n">
        <v>3.055522244581936</v>
      </c>
      <c r="F103" t="n">
        <v>0.3102304031829142</v>
      </c>
      <c r="G103" t="n">
        <v>12.32918349618877</v>
      </c>
      <c r="H103" t="n">
        <v>14.12063813272129</v>
      </c>
      <c r="I103" t="n">
        <v>3.446855555555556</v>
      </c>
      <c r="J103" t="n">
        <v>51.02156209012018</v>
      </c>
      <c r="K103" t="n">
        <v>53.01957320123129</v>
      </c>
      <c r="L103" t="n">
        <v>53.01957320123129</v>
      </c>
      <c r="M103" t="n">
        <v>50.49419711400499</v>
      </c>
    </row>
    <row r="104">
      <c r="A104" s="8" t="n">
        <v>47300</v>
      </c>
      <c r="B104" t="n">
        <v>8.799789554774062</v>
      </c>
      <c r="C104" t="n">
        <v>9.202091508888227</v>
      </c>
      <c r="D104" t="n">
        <v>0.612926231081127</v>
      </c>
      <c r="E104" t="n">
        <v>2.915876987978199</v>
      </c>
      <c r="F104" t="n">
        <v>0.3190941289881403</v>
      </c>
      <c r="G104" t="n">
        <v>11.99695972456145</v>
      </c>
      <c r="H104" t="n">
        <v>14.50687355059762</v>
      </c>
      <c r="I104" t="n">
        <v>2.677645161290322</v>
      </c>
      <c r="J104" t="n">
        <v>51.17033502584238</v>
      </c>
      <c r="K104" t="n">
        <v>53.79196943444452</v>
      </c>
      <c r="L104" t="n">
        <v>53.79196943444452</v>
      </c>
      <c r="M104" t="n">
        <v>50.13796784856451</v>
      </c>
    </row>
    <row r="105">
      <c r="A105" s="8" t="n">
        <v>47331</v>
      </c>
      <c r="B105" t="n">
        <v>9.730985823306439</v>
      </c>
      <c r="C105" t="n">
        <v>9.177107646616571</v>
      </c>
      <c r="D105" t="n">
        <v>0.5822436814567213</v>
      </c>
      <c r="E105" t="n">
        <v>2.98423815010606</v>
      </c>
      <c r="F105" t="n">
        <v>0.3279578547933664</v>
      </c>
      <c r="G105" t="n">
        <v>12.31445570816869</v>
      </c>
      <c r="H105" t="n">
        <v>14.76004136439691</v>
      </c>
      <c r="I105" t="n">
        <v>2.726021505376344</v>
      </c>
      <c r="J105" t="n">
        <v>51.31955178053312</v>
      </c>
      <c r="K105" t="n">
        <v>55.55283135042559</v>
      </c>
      <c r="L105" t="n">
        <v>55.55283135042559</v>
      </c>
      <c r="M105" t="n">
        <v>51.56392985851922</v>
      </c>
    </row>
    <row r="106">
      <c r="A106" s="8" t="n">
        <v>47362</v>
      </c>
      <c r="B106" t="n">
        <v>8.206388218162846</v>
      </c>
      <c r="C106" t="n">
        <v>9.115980756012775</v>
      </c>
      <c r="D106" t="n">
        <v>0.5958114163261953</v>
      </c>
      <c r="E106" t="n">
        <v>2.80921874292457</v>
      </c>
      <c r="F106" t="n">
        <v>0.3368215805985925</v>
      </c>
      <c r="G106" t="n">
        <v>12.89759651652548</v>
      </c>
      <c r="H106" t="n">
        <v>15.28291698089712</v>
      </c>
      <c r="I106" t="n">
        <v>3.724011111111111</v>
      </c>
      <c r="J106" t="n">
        <v>51.46921373184701</v>
      </c>
      <c r="K106" t="n">
        <v>54.55791373184701</v>
      </c>
      <c r="L106" t="n">
        <v>54.55791373184701</v>
      </c>
      <c r="M106" t="n">
        <v>51.76591940209185</v>
      </c>
    </row>
    <row r="107">
      <c r="A107" s="8" t="n">
        <v>47392</v>
      </c>
      <c r="B107" t="n">
        <v>6.579761026617127</v>
      </c>
      <c r="C107" t="n">
        <v>8.963668694943564</v>
      </c>
      <c r="D107" t="n">
        <v>0.7007042229299073</v>
      </c>
      <c r="E107" t="n">
        <v>2.679703912145565</v>
      </c>
      <c r="F107" t="n">
        <v>0.3456853064038187</v>
      </c>
      <c r="G107" t="n">
        <v>13.25228722923687</v>
      </c>
      <c r="H107" t="n">
        <v>16.25987020647609</v>
      </c>
      <c r="I107" t="n">
        <v>4.302741935483871</v>
      </c>
      <c r="J107" t="n">
        <v>51.61932226185212</v>
      </c>
      <c r="K107" t="n">
        <v>53.28315021884136</v>
      </c>
      <c r="L107" t="n">
        <v>53.28315021884136</v>
      </c>
      <c r="M107" t="n">
        <v>51.76413425518926</v>
      </c>
    </row>
    <row r="108">
      <c r="A108" s="8" t="n">
        <v>47423</v>
      </c>
      <c r="B108" t="n">
        <v>5.801390833965021</v>
      </c>
      <c r="C108" t="n">
        <v>9.482013027245753</v>
      </c>
      <c r="D108" t="n">
        <v>1.043517522714156</v>
      </c>
      <c r="E108" t="n">
        <v>2.61913094475531</v>
      </c>
      <c r="F108" t="n">
        <v>0.3545490322090448</v>
      </c>
      <c r="G108" t="n">
        <v>13.53544208829908</v>
      </c>
      <c r="H108" t="n">
        <v>17.38217688382564</v>
      </c>
      <c r="I108" t="n">
        <v>3.186255555555555</v>
      </c>
      <c r="J108" t="n">
        <v>51.76987875704442</v>
      </c>
      <c r="K108" t="n">
        <v>53.91458986815554</v>
      </c>
      <c r="L108" t="n">
        <v>53.91458986815554</v>
      </c>
      <c r="M108" t="n">
        <v>51.88833487900112</v>
      </c>
    </row>
    <row r="109">
      <c r="A109" s="8" t="n">
        <v>47453</v>
      </c>
      <c r="B109" t="n">
        <v>5.573405948551158</v>
      </c>
      <c r="C109" t="n">
        <v>9.893204821212841</v>
      </c>
      <c r="D109" t="n">
        <v>1.599454685540496</v>
      </c>
      <c r="E109" t="n">
        <v>2.499847718568692</v>
      </c>
      <c r="F109" t="n">
        <v>0.3634127580142709</v>
      </c>
      <c r="G109" t="n">
        <v>13.35375671170559</v>
      </c>
      <c r="H109" t="n">
        <v>18.12924181730824</v>
      </c>
      <c r="I109" t="n">
        <v>2.522612903225806</v>
      </c>
      <c r="J109" t="n">
        <v>51.92088460836241</v>
      </c>
      <c r="K109" t="n">
        <v>55.75456202771726</v>
      </c>
      <c r="L109" t="n">
        <v>55.75456202771726</v>
      </c>
      <c r="M109" t="n">
        <v>52.24751145061293</v>
      </c>
    </row>
    <row r="110">
      <c r="A110" s="8" t="n">
        <v>47484</v>
      </c>
      <c r="B110" t="n">
        <v>6.713923397092312</v>
      </c>
      <c r="C110" t="n">
        <v>9.551580967728643</v>
      </c>
      <c r="D110" t="n">
        <v>2.565256457973432</v>
      </c>
      <c r="E110" t="n">
        <v>2.753959370861995</v>
      </c>
      <c r="F110" t="n">
        <v>0.372276483819497</v>
      </c>
      <c r="G110" t="n">
        <v>12.84320527110733</v>
      </c>
      <c r="H110" t="n">
        <v>18.24535321001983</v>
      </c>
      <c r="I110" t="n">
        <v>1.725978494623656</v>
      </c>
      <c r="J110" t="n">
        <v>51.99723361896918</v>
      </c>
      <c r="K110" t="n">
        <v>60.3311475974638</v>
      </c>
      <c r="L110" t="n">
        <v>60.3311475974638</v>
      </c>
      <c r="M110" t="n">
        <v>53.35748747762922</v>
      </c>
    </row>
    <row r="111">
      <c r="A111" s="8" t="n">
        <v>47515</v>
      </c>
      <c r="B111" t="n">
        <v>5.569361309333043</v>
      </c>
      <c r="C111" t="n">
        <v>9.232476354350272</v>
      </c>
      <c r="D111" t="n">
        <v>1.865158012298868</v>
      </c>
      <c r="E111" t="n">
        <v>2.707356337760023</v>
      </c>
      <c r="F111" t="n">
        <v>0.3811402096247231</v>
      </c>
      <c r="G111" t="n">
        <v>12.64447062575261</v>
      </c>
      <c r="H111" t="n">
        <v>18.33178230240186</v>
      </c>
      <c r="I111" t="n">
        <v>2.746053366174056</v>
      </c>
      <c r="J111" t="n">
        <v>52.07369760368559</v>
      </c>
      <c r="K111" t="n">
        <v>57.44862945918641</v>
      </c>
      <c r="L111" t="n">
        <v>57.44862945918641</v>
      </c>
      <c r="M111" t="n">
        <v>52.1953307051954</v>
      </c>
    </row>
    <row r="112">
      <c r="A112" s="8" t="n">
        <v>47543</v>
      </c>
      <c r="B112" t="n">
        <v>5.021302336157375</v>
      </c>
      <c r="C112" t="n">
        <v>9.246046949758064</v>
      </c>
      <c r="D112" t="n">
        <v>1.052352467183314</v>
      </c>
      <c r="E112" t="n">
        <v>2.60891577326853</v>
      </c>
      <c r="F112" t="n">
        <v>0.3900039354299493</v>
      </c>
      <c r="G112" t="n">
        <v>12.25593655124702</v>
      </c>
      <c r="H112" t="n">
        <v>18.31428485880027</v>
      </c>
      <c r="I112" t="n">
        <v>4.228569892473119</v>
      </c>
      <c r="J112" t="n">
        <v>52.15027674273144</v>
      </c>
      <c r="K112" t="n">
        <v>54.37692190402176</v>
      </c>
      <c r="L112" t="n">
        <v>54.37692190402176</v>
      </c>
      <c r="M112" t="n">
        <v>51.9723953222739</v>
      </c>
    </row>
    <row r="113">
      <c r="A113" s="8" t="n">
        <v>47574</v>
      </c>
      <c r="B113" t="n">
        <v>5.588664593063283</v>
      </c>
      <c r="C113" t="n">
        <v>9.332897150659825</v>
      </c>
      <c r="D113" t="n">
        <v>0.8099489819725662</v>
      </c>
      <c r="E113" t="n">
        <v>2.80883606429508</v>
      </c>
      <c r="F113" t="n">
        <v>0.3988676612351754</v>
      </c>
      <c r="G113" t="n">
        <v>11.8381445387415</v>
      </c>
      <c r="H113" t="n">
        <v>17.64754492105152</v>
      </c>
      <c r="I113" t="n">
        <v>4.151300000000001</v>
      </c>
      <c r="J113" t="n">
        <v>52.22697121661827</v>
      </c>
      <c r="K113" t="n">
        <v>54.28787121661827</v>
      </c>
      <c r="L113" t="n">
        <v>54.28787121661827</v>
      </c>
      <c r="M113" t="n">
        <v>51.60232782442315</v>
      </c>
    </row>
    <row r="114">
      <c r="A114" s="8" t="n">
        <v>47604</v>
      </c>
      <c r="B114" t="n">
        <v>7.076966488622186</v>
      </c>
      <c r="C114" t="n">
        <v>9.172117769611754</v>
      </c>
      <c r="D114" t="n">
        <v>0.6465219624292829</v>
      </c>
      <c r="E114" t="n">
        <v>3.052852874363742</v>
      </c>
      <c r="F114" t="n">
        <v>0.4077313870404015</v>
      </c>
      <c r="G114" t="n">
        <v>12.20315815805368</v>
      </c>
      <c r="H114" t="n">
        <v>16.62840981948412</v>
      </c>
      <c r="I114" t="n">
        <v>4.081204301075269</v>
      </c>
      <c r="J114" t="n">
        <v>52.30378120614953</v>
      </c>
      <c r="K114" t="n">
        <v>54.06313604485921</v>
      </c>
      <c r="L114" t="n">
        <v>54.06313604485921</v>
      </c>
      <c r="M114" t="n">
        <v>52.47163704766673</v>
      </c>
    </row>
    <row r="115">
      <c r="A115" s="8" t="n">
        <v>47635</v>
      </c>
      <c r="B115" t="n">
        <v>8.145120210191209</v>
      </c>
      <c r="C115" t="n">
        <v>9.219818953014656</v>
      </c>
      <c r="D115" t="n">
        <v>0.6350977340340092</v>
      </c>
      <c r="E115" t="n">
        <v>2.99363393510736</v>
      </c>
      <c r="F115" t="n">
        <v>0.4165951128456276</v>
      </c>
      <c r="G115" t="n">
        <v>12.32918349618877</v>
      </c>
      <c r="H115" t="n">
        <v>16.23232887086422</v>
      </c>
      <c r="I115" t="n">
        <v>3.446855555555556</v>
      </c>
      <c r="J115" t="n">
        <v>52.38070689242134</v>
      </c>
      <c r="K115" t="n">
        <v>54.37871800353246</v>
      </c>
      <c r="L115" t="n">
        <v>54.37871800353246</v>
      </c>
      <c r="M115" t="n">
        <v>52.75614623714563</v>
      </c>
    </row>
    <row r="116">
      <c r="A116" s="8" t="n">
        <v>47665</v>
      </c>
      <c r="B116" t="n">
        <v>8.844339003156499</v>
      </c>
      <c r="C116" t="n">
        <v>9.277377160109515</v>
      </c>
      <c r="D116" t="n">
        <v>0.5958328654674927</v>
      </c>
      <c r="E116" t="n">
        <v>2.856817134055754</v>
      </c>
      <c r="F116" t="n">
        <v>0.4254588386508537</v>
      </c>
      <c r="G116" t="n">
        <v>12.11686231590201</v>
      </c>
      <c r="H116" t="n">
        <v>16.69086036657659</v>
      </c>
      <c r="I116" t="n">
        <v>2.677645161290322</v>
      </c>
      <c r="J116" t="n">
        <v>52.45774845682281</v>
      </c>
      <c r="K116" t="n">
        <v>55.07938286542496</v>
      </c>
      <c r="L116" t="n">
        <v>55.07938286542496</v>
      </c>
      <c r="M116" t="n">
        <v>52.40006731773236</v>
      </c>
    </row>
    <row r="117">
      <c r="A117" s="8" t="n">
        <v>47696</v>
      </c>
      <c r="B117" t="n">
        <v>9.776708091621185</v>
      </c>
      <c r="C117" t="n">
        <v>9.252133683816083</v>
      </c>
      <c r="D117" t="n">
        <v>0.5661538314498581</v>
      </c>
      <c r="E117" t="n">
        <v>2.923793669786177</v>
      </c>
      <c r="F117" t="n">
        <v>0.4343225644560798</v>
      </c>
      <c r="G117" t="n">
        <v>12.51958200464404</v>
      </c>
      <c r="H117" t="n">
        <v>17.02083234376693</v>
      </c>
      <c r="I117" t="n">
        <v>2.726021505376344</v>
      </c>
      <c r="J117" t="n">
        <v>52.5349060810366</v>
      </c>
      <c r="K117" t="n">
        <v>56.76818565092908</v>
      </c>
      <c r="L117" t="n">
        <v>56.76818565092908</v>
      </c>
      <c r="M117" t="n">
        <v>53.86389663958241</v>
      </c>
    </row>
    <row r="118">
      <c r="A118" s="8" t="n">
        <v>47727</v>
      </c>
      <c r="B118" t="n">
        <v>8.24392416928532</v>
      </c>
      <c r="C118" t="n">
        <v>9.19049847697177</v>
      </c>
      <c r="D118" t="n">
        <v>0.5794425836543213</v>
      </c>
      <c r="E118" t="n">
        <v>2.752319206600729</v>
      </c>
      <c r="F118" t="n">
        <v>0.4431862902613058</v>
      </c>
      <c r="G118" t="n">
        <v>13.34674215256428</v>
      </c>
      <c r="H118" t="n">
        <v>17.66266976350623</v>
      </c>
      <c r="I118" t="n">
        <v>3.724011111111111</v>
      </c>
      <c r="J118" t="n">
        <v>52.61217994703938</v>
      </c>
      <c r="K118" t="n">
        <v>55.70087994703938</v>
      </c>
      <c r="L118" t="n">
        <v>55.70087994703938</v>
      </c>
      <c r="M118" t="n">
        <v>54.13311217686879</v>
      </c>
    </row>
    <row r="119">
      <c r="A119" s="8" t="n">
        <v>47757</v>
      </c>
      <c r="B119" t="n">
        <v>6.613075192447574</v>
      </c>
      <c r="C119" t="n">
        <v>9.036978637910448</v>
      </c>
      <c r="D119" t="n">
        <v>0.6813399550369138</v>
      </c>
      <c r="E119" t="n">
        <v>2.625427643887605</v>
      </c>
      <c r="F119" t="n">
        <v>0.4520500160665321</v>
      </c>
      <c r="G119" t="n">
        <v>13.90371721049099</v>
      </c>
      <c r="H119" t="n">
        <v>18.831897413148</v>
      </c>
      <c r="I119" t="n">
        <v>4.302741935483871</v>
      </c>
      <c r="J119" t="n">
        <v>52.68957023710232</v>
      </c>
      <c r="K119" t="n">
        <v>54.35339819409156</v>
      </c>
      <c r="L119" t="n">
        <v>54.35339819409156</v>
      </c>
      <c r="M119" t="n">
        <v>54.17347774202567</v>
      </c>
    </row>
    <row r="120">
      <c r="A120" s="8" t="n">
        <v>47788</v>
      </c>
      <c r="B120" t="n">
        <v>5.835081716469279</v>
      </c>
      <c r="C120" t="n">
        <v>9.559514252072502</v>
      </c>
      <c r="D120" t="n">
        <v>1.014278545774176</v>
      </c>
      <c r="E120" t="n">
        <v>2.566081556307597</v>
      </c>
      <c r="F120" t="n">
        <v>0.4609137418717582</v>
      </c>
      <c r="G120" t="n">
        <v>14.39478163770154</v>
      </c>
      <c r="H120" t="n">
        <v>20.1734187016023</v>
      </c>
      <c r="I120" t="n">
        <v>3.186255555555555</v>
      </c>
      <c r="J120" t="n">
        <v>52.76707713379156</v>
      </c>
      <c r="K120" t="n">
        <v>54.91178824490267</v>
      </c>
      <c r="L120" t="n">
        <v>54.91178824490267</v>
      </c>
      <c r="M120" t="n">
        <v>54.41519017094859</v>
      </c>
    </row>
    <row r="121">
      <c r="A121" s="8" t="n">
        <v>47818</v>
      </c>
      <c r="B121" t="n">
        <v>5.602093819230655</v>
      </c>
      <c r="C121" t="n">
        <v>9.974104762323991</v>
      </c>
      <c r="D121" t="n">
        <v>1.553915300244726</v>
      </c>
      <c r="E121" t="n">
        <v>2.449214361367505</v>
      </c>
      <c r="F121" t="n">
        <v>0.4697774676769843</v>
      </c>
      <c r="G121" t="n">
        <v>14.39294827114436</v>
      </c>
      <c r="H121" t="n">
        <v>20.96859393460808</v>
      </c>
      <c r="I121" t="n">
        <v>2.522612903225806</v>
      </c>
      <c r="J121" t="n">
        <v>52.84470081996877</v>
      </c>
      <c r="K121" t="n">
        <v>56.67837823932361</v>
      </c>
      <c r="L121" t="n">
        <v>56.67837823932361</v>
      </c>
      <c r="M121" t="n">
        <v>54.82610577009903</v>
      </c>
    </row>
    <row r="122">
      <c r="A122" s="8" t="n">
        <v>47849</v>
      </c>
      <c r="B122" t="n">
        <v>6.746976064220154</v>
      </c>
      <c r="C122" t="n">
        <v>9.629638853620415</v>
      </c>
      <c r="D122" t="n">
        <v>2.49145307178118</v>
      </c>
      <c r="E122" t="n">
        <v>2.69817908972461</v>
      </c>
      <c r="F122" t="n">
        <v>0.4746460968977579</v>
      </c>
      <c r="G122" t="n">
        <v>14.15509556829357</v>
      </c>
      <c r="H122" t="n">
        <v>21.18088801367117</v>
      </c>
      <c r="I122" t="n">
        <v>1.725978494623656</v>
      </c>
      <c r="J122" t="n">
        <v>52.88373211047023</v>
      </c>
      <c r="K122" t="n">
        <v>61.21764608896486</v>
      </c>
      <c r="L122" t="n">
        <v>61.21764608896486</v>
      </c>
      <c r="M122" t="n">
        <v>56.10367088887244</v>
      </c>
    </row>
    <row r="123">
      <c r="A123" s="8" t="n">
        <v>47880</v>
      </c>
      <c r="B123" t="n">
        <v>5.598373390415189</v>
      </c>
      <c r="C123" t="n">
        <v>9.307874657988686</v>
      </c>
      <c r="D123" t="n">
        <v>1.811715116966611</v>
      </c>
      <c r="E123" t="n">
        <v>2.652519981328204</v>
      </c>
      <c r="F123" t="n">
        <v>0.4795147261185315</v>
      </c>
      <c r="G123" t="n">
        <v>14.20153157323998</v>
      </c>
      <c r="H123" t="n">
        <v>21.23031097829645</v>
      </c>
      <c r="I123" t="n">
        <v>2.746053366174056</v>
      </c>
      <c r="J123" t="n">
        <v>52.92279294300751</v>
      </c>
      <c r="K123" t="n">
        <v>58.29772479850833</v>
      </c>
      <c r="L123" t="n">
        <v>58.29772479850833</v>
      </c>
      <c r="M123" t="n">
        <v>55.11189806503289</v>
      </c>
    </row>
    <row r="124">
      <c r="A124" s="8" t="n">
        <v>47908</v>
      </c>
      <c r="B124" t="n">
        <v>5.049070499939599</v>
      </c>
      <c r="C124" t="n">
        <v>9.321580495825375</v>
      </c>
      <c r="D124" t="n">
        <v>1.022675523461264</v>
      </c>
      <c r="E124" t="n">
        <v>2.556073288794575</v>
      </c>
      <c r="F124" t="n">
        <v>0.4843833553393052</v>
      </c>
      <c r="G124" t="n">
        <v>14.02246622474038</v>
      </c>
      <c r="H124" t="n">
        <v>21.15989000191371</v>
      </c>
      <c r="I124" t="n">
        <v>4.228569892473119</v>
      </c>
      <c r="J124" t="n">
        <v>52.96188334085731</v>
      </c>
      <c r="K124" t="n">
        <v>55.18852850214763</v>
      </c>
      <c r="L124" t="n">
        <v>55.18852850214763</v>
      </c>
      <c r="M124" t="n">
        <v>55.18784005962815</v>
      </c>
    </row>
    <row r="125">
      <c r="A125" s="8" t="n">
        <v>47939</v>
      </c>
      <c r="B125" t="n">
        <v>5.620505982484056</v>
      </c>
      <c r="C125" t="n">
        <v>9.409221922070921</v>
      </c>
      <c r="D125" t="n">
        <v>0.7872951338777138</v>
      </c>
      <c r="E125" t="n">
        <v>2.751944278964868</v>
      </c>
      <c r="F125" t="n">
        <v>0.4892519845600789</v>
      </c>
      <c r="G125" t="n">
        <v>13.71412009222568</v>
      </c>
      <c r="H125" t="n">
        <v>20.34189014062969</v>
      </c>
      <c r="I125" t="n">
        <v>4.151300000000001</v>
      </c>
      <c r="J125" t="n">
        <v>53.00100332731535</v>
      </c>
      <c r="K125" t="n">
        <v>55.06190332731535</v>
      </c>
      <c r="L125" t="n">
        <v>55.06190332731535</v>
      </c>
      <c r="M125" t="n">
        <v>54.94073191506694</v>
      </c>
    </row>
    <row r="126">
      <c r="A126" s="8" t="n">
        <v>47969</v>
      </c>
      <c r="B126" t="n">
        <v>7.114375434925789</v>
      </c>
      <c r="C126" t="n">
        <v>9.247148251864761</v>
      </c>
      <c r="D126" t="n">
        <v>0.6286277550818116</v>
      </c>
      <c r="E126" t="n">
        <v>2.991018631852827</v>
      </c>
      <c r="F126" t="n">
        <v>0.4941206137808525</v>
      </c>
      <c r="G126" t="n">
        <v>14.3118733709199</v>
      </c>
      <c r="H126" t="n">
        <v>19.12286162552623</v>
      </c>
      <c r="I126" t="n">
        <v>4.081204301075269</v>
      </c>
      <c r="J126" t="n">
        <v>53.04015292569626</v>
      </c>
      <c r="K126" t="n">
        <v>54.79950776440594</v>
      </c>
      <c r="L126" t="n">
        <v>54.79950776440594</v>
      </c>
      <c r="M126" t="n">
        <v>55.90765890415826</v>
      </c>
    </row>
    <row r="127">
      <c r="A127" s="8" t="n">
        <v>48000</v>
      </c>
      <c r="B127" t="n">
        <v>8.187791868718879</v>
      </c>
      <c r="C127" t="n">
        <v>9.295217032055833</v>
      </c>
      <c r="D127" t="n">
        <v>0.6175226114507412</v>
      </c>
      <c r="E127" t="n">
        <v>2.932999147140086</v>
      </c>
      <c r="F127" t="n">
        <v>0.4989892430016262</v>
      </c>
      <c r="G127" t="n">
        <v>14.54182463442464</v>
      </c>
      <c r="H127" t="n">
        <v>18.62471079636015</v>
      </c>
      <c r="I127" t="n">
        <v>3.446855555555556</v>
      </c>
      <c r="J127" t="n">
        <v>53.07933215933363</v>
      </c>
      <c r="K127" t="n">
        <v>55.07734327044474</v>
      </c>
      <c r="L127" t="n">
        <v>55.07734327044474</v>
      </c>
      <c r="M127" t="n">
        <v>56.27636511682572</v>
      </c>
    </row>
    <row r="128">
      <c r="A128" s="8" t="n">
        <v>48030</v>
      </c>
      <c r="B128" t="n">
        <v>8.89018638640302</v>
      </c>
      <c r="C128" t="n">
        <v>9.353279740574393</v>
      </c>
      <c r="D128" t="n">
        <v>0.5792440005860179</v>
      </c>
      <c r="E128" t="n">
        <v>2.798953512470861</v>
      </c>
      <c r="F128" t="n">
        <v>0.5038578722223999</v>
      </c>
      <c r="G128" t="n">
        <v>14.22991380966947</v>
      </c>
      <c r="H128" t="n">
        <v>18.76318309027753</v>
      </c>
      <c r="I128" t="n">
        <v>2.677645161290322</v>
      </c>
      <c r="J128" t="n">
        <v>53.11854105158002</v>
      </c>
      <c r="K128" t="n">
        <v>55.74017546018217</v>
      </c>
      <c r="L128" t="n">
        <v>55.74017546018217</v>
      </c>
      <c r="M128" t="n">
        <v>56.28134520250355</v>
      </c>
    </row>
    <row r="129">
      <c r="A129" s="8" t="n">
        <v>48061</v>
      </c>
      <c r="B129" t="n">
        <v>9.823762464558222</v>
      </c>
      <c r="C129" t="n">
        <v>9.327774063044004</v>
      </c>
      <c r="D129" t="n">
        <v>0.5505378442340325</v>
      </c>
      <c r="E129" t="n">
        <v>2.864573466825327</v>
      </c>
      <c r="F129" t="n">
        <v>0.5087265014431734</v>
      </c>
      <c r="G129" t="n">
        <v>14.68855477995527</v>
      </c>
      <c r="H129" t="n">
        <v>18.80339098570049</v>
      </c>
      <c r="I129" t="n">
        <v>2.726021505376344</v>
      </c>
      <c r="J129" t="n">
        <v>53.15777962580702</v>
      </c>
      <c r="K129" t="n">
        <v>57.3910591956995</v>
      </c>
      <c r="L129" t="n">
        <v>57.3910591956995</v>
      </c>
      <c r="M129" t="n">
        <v>58.01191425165567</v>
      </c>
    </row>
    <row r="130">
      <c r="A130" s="8" t="n">
        <v>48092</v>
      </c>
      <c r="B130" t="n">
        <v>8.282553719125339</v>
      </c>
      <c r="C130" t="n">
        <v>9.265626306141083</v>
      </c>
      <c r="D130" t="n">
        <v>0.5635551621605658</v>
      </c>
      <c r="E130" t="n">
        <v>2.696572146296074</v>
      </c>
      <c r="F130" t="n">
        <v>0.5135951306639471</v>
      </c>
      <c r="G130" t="n">
        <v>15.4700550280206</v>
      </c>
      <c r="H130" t="n">
        <v>19.18090506490999</v>
      </c>
      <c r="I130" t="n">
        <v>3.724011111111111</v>
      </c>
      <c r="J130" t="n">
        <v>53.19704790540521</v>
      </c>
      <c r="K130" t="n">
        <v>56.28574790540521</v>
      </c>
      <c r="L130" t="n">
        <v>56.28574790540521</v>
      </c>
      <c r="M130" t="n">
        <v>58.63762494196446</v>
      </c>
    </row>
    <row r="131">
      <c r="A131" s="8" t="n">
        <v>48122</v>
      </c>
      <c r="B131" t="n">
        <v>6.647359956542854</v>
      </c>
      <c r="C131" t="n">
        <v>9.110889111249282</v>
      </c>
      <c r="D131" t="n">
        <v>0.6625459908814725</v>
      </c>
      <c r="E131" t="n">
        <v>2.572250718464745</v>
      </c>
      <c r="F131" t="n">
        <v>0.5184637598847208</v>
      </c>
      <c r="G131" t="n">
        <v>15.89548970777218</v>
      </c>
      <c r="H131" t="n">
        <v>20.10895911890998</v>
      </c>
      <c r="I131" t="n">
        <v>4.302741935483871</v>
      </c>
      <c r="J131" t="n">
        <v>53.23634591378414</v>
      </c>
      <c r="K131" t="n">
        <v>54.90017387077339</v>
      </c>
      <c r="L131" t="n">
        <v>54.90017387077339</v>
      </c>
      <c r="M131" t="n">
        <v>59.00366709328516</v>
      </c>
    </row>
    <row r="132">
      <c r="A132" s="8" t="n">
        <v>48153</v>
      </c>
      <c r="B132" t="n">
        <v>5.869754172766071</v>
      </c>
      <c r="C132" t="n">
        <v>9.637649940704984</v>
      </c>
      <c r="D132" t="n">
        <v>0.9859034867824812</v>
      </c>
      <c r="E132" t="n">
        <v>2.514106660763842</v>
      </c>
      <c r="F132" t="n">
        <v>0.5233323891054944</v>
      </c>
      <c r="G132" t="n">
        <v>16.23512052546222</v>
      </c>
      <c r="H132" t="n">
        <v>21.18746624301015</v>
      </c>
      <c r="I132" t="n">
        <v>3.186255555555555</v>
      </c>
      <c r="J132" t="n">
        <v>53.2650906638243</v>
      </c>
      <c r="K132" t="n">
        <v>55.40980177493542</v>
      </c>
      <c r="L132" t="n">
        <v>55.40980177493542</v>
      </c>
      <c r="M132" t="n">
        <v>59.58785430862078</v>
      </c>
    </row>
    <row r="133">
      <c r="A133" s="8" t="n">
        <v>48183</v>
      </c>
      <c r="B133" t="n">
        <v>5.631617502448426</v>
      </c>
      <c r="C133" t="n">
        <v>10.05566730627173</v>
      </c>
      <c r="D133" t="n">
        <v>1.509726423174962</v>
      </c>
      <c r="E133" t="n">
        <v>2.399606561380231</v>
      </c>
      <c r="F133" t="n">
        <v>0.5282010183262681</v>
      </c>
      <c r="G133" t="n">
        <v>16.01719753724603</v>
      </c>
      <c r="H133" t="n">
        <v>21.78446306941743</v>
      </c>
      <c r="I133" t="n">
        <v>2.522612903225806</v>
      </c>
      <c r="J133" t="n">
        <v>53.28012139634734</v>
      </c>
      <c r="K133" t="n">
        <v>57.11379881570218</v>
      </c>
      <c r="L133" t="n">
        <v>57.11379881570218</v>
      </c>
      <c r="M133" t="n">
        <v>60.08398001747891</v>
      </c>
    </row>
    <row r="134">
      <c r="A134" s="8" t="n">
        <v>48214</v>
      </c>
      <c r="B134" t="n">
        <v>6.780991710926282</v>
      </c>
      <c r="C134" t="n">
        <v>9.708335660788435</v>
      </c>
      <c r="D134" t="n">
        <v>2.419843560763508</v>
      </c>
      <c r="E134" t="n">
        <v>2.643528614566458</v>
      </c>
      <c r="F134" t="n">
        <v>0.5330696475470417</v>
      </c>
      <c r="G134" t="n">
        <v>15.40481531001708</v>
      </c>
      <c r="H134" t="n">
        <v>21.76960421100057</v>
      </c>
      <c r="I134" t="n">
        <v>1.725978494623656</v>
      </c>
      <c r="J134" t="n">
        <v>53.28765265208122</v>
      </c>
      <c r="K134" t="n">
        <v>61.62156663057584</v>
      </c>
      <c r="L134" t="n">
        <v>61.62156663057584</v>
      </c>
      <c r="M134" t="n">
        <v>60.8150201164715</v>
      </c>
    </row>
    <row r="135">
      <c r="A135" s="8" t="n">
        <v>48245</v>
      </c>
      <c r="B135" t="n">
        <v>5.628230729808795</v>
      </c>
      <c r="C135" t="n">
        <v>9.383889681920255</v>
      </c>
      <c r="D135" t="n">
        <v>1.759859401754635</v>
      </c>
      <c r="E135" t="n">
        <v>2.598794312080328</v>
      </c>
      <c r="F135" t="n">
        <v>0.5379382767678154</v>
      </c>
      <c r="G135" t="n">
        <v>15.16644253291303</v>
      </c>
      <c r="H135" t="n">
        <v>21.71978509254615</v>
      </c>
      <c r="I135" t="n">
        <v>2.746053366174056</v>
      </c>
      <c r="J135" t="n">
        <v>53.2951860337655</v>
      </c>
      <c r="K135" t="n">
        <v>58.67011788926632</v>
      </c>
      <c r="L135" t="n">
        <v>58.67011788926632</v>
      </c>
      <c r="M135" t="n">
        <v>59.45674400473283</v>
      </c>
    </row>
    <row r="136">
      <c r="A136" s="8" t="n">
        <v>48274</v>
      </c>
      <c r="B136" t="n">
        <v>5.077647680874519</v>
      </c>
      <c r="C136" t="n">
        <v>9.397732072106098</v>
      </c>
      <c r="D136" t="n">
        <v>0.9938767454983871</v>
      </c>
      <c r="E136" t="n">
        <v>2.504301106472185</v>
      </c>
      <c r="F136" t="n">
        <v>0.5428069059885891</v>
      </c>
      <c r="G136" t="n">
        <v>14.70041434656364</v>
      </c>
      <c r="H136" t="n">
        <v>21.54837906706522</v>
      </c>
      <c r="I136" t="n">
        <v>4.228569892473119</v>
      </c>
      <c r="J136" t="n">
        <v>53.30272154200205</v>
      </c>
      <c r="K136" t="n">
        <v>55.52936670329237</v>
      </c>
      <c r="L136" t="n">
        <v>55.52936670329237</v>
      </c>
      <c r="M136" t="n">
        <v>58.99372781704176</v>
      </c>
    </row>
    <row r="137">
      <c r="A137" s="8" t="n">
        <v>48305</v>
      </c>
      <c r="B137" t="n">
        <v>5.653275061269135</v>
      </c>
      <c r="C137" t="n">
        <v>9.486171879239958</v>
      </c>
      <c r="D137" t="n">
        <v>0.7653103553967202</v>
      </c>
      <c r="E137" t="n">
        <v>2.696204812660747</v>
      </c>
      <c r="F137" t="n">
        <v>0.5476755352093626</v>
      </c>
      <c r="G137" t="n">
        <v>14.1992926518784</v>
      </c>
      <c r="H137" t="n">
        <v>20.62071349258198</v>
      </c>
      <c r="I137" t="n">
        <v>4.151300000000001</v>
      </c>
      <c r="J137" t="n">
        <v>53.31025917739285</v>
      </c>
      <c r="K137" t="n">
        <v>55.37115917739285</v>
      </c>
      <c r="L137" t="n">
        <v>55.37115917739285</v>
      </c>
      <c r="M137" t="n">
        <v>58.1199437882363</v>
      </c>
    </row>
    <row r="138">
      <c r="A138" s="8" t="n">
        <v>48335</v>
      </c>
      <c r="B138" t="n">
        <v>7.152874279699502</v>
      </c>
      <c r="C138" t="n">
        <v>9.322793489571364</v>
      </c>
      <c r="D138" t="n">
        <v>0.6112607461757733</v>
      </c>
      <c r="E138" t="n">
        <v>2.930436815745756</v>
      </c>
      <c r="F138" t="n">
        <v>0.5525441644301362</v>
      </c>
      <c r="G138" t="n">
        <v>14.63710916827362</v>
      </c>
      <c r="H138" t="n">
        <v>19.29680973435555</v>
      </c>
      <c r="I138" t="n">
        <v>4.081204301075269</v>
      </c>
      <c r="J138" t="n">
        <v>53.31779894054016</v>
      </c>
      <c r="K138" t="n">
        <v>55.07715377924983</v>
      </c>
      <c r="L138" t="n">
        <v>55.07715377924983</v>
      </c>
      <c r="M138" t="n">
        <v>58.58503269932697</v>
      </c>
    </row>
    <row r="139">
      <c r="A139" s="8" t="n">
        <v>48366</v>
      </c>
      <c r="B139" t="n">
        <v>8.231706753264431</v>
      </c>
      <c r="C139" t="n">
        <v>9.371232690082454</v>
      </c>
      <c r="D139" t="n">
        <v>0.6004652663664752</v>
      </c>
      <c r="E139" t="n">
        <v>2.873592491132675</v>
      </c>
      <c r="F139" t="n">
        <v>0.5574127936509099</v>
      </c>
      <c r="G139" t="n">
        <v>14.78827058143899</v>
      </c>
      <c r="H139" t="n">
        <v>18.70903565146297</v>
      </c>
      <c r="I139" t="n">
        <v>3.446855555555556</v>
      </c>
      <c r="J139" t="n">
        <v>53.32534083204629</v>
      </c>
      <c r="K139" t="n">
        <v>55.32335194315741</v>
      </c>
      <c r="L139" t="n">
        <v>55.32335194315741</v>
      </c>
      <c r="M139" t="n">
        <v>58.57857178295446</v>
      </c>
    </row>
    <row r="140">
      <c r="A140" s="8" t="n">
        <v>48396</v>
      </c>
      <c r="B140" t="n">
        <v>8.937369519457977</v>
      </c>
      <c r="C140" t="n">
        <v>9.429804313962252</v>
      </c>
      <c r="D140" t="n">
        <v>0.5631445546384606</v>
      </c>
      <c r="E140" t="n">
        <v>2.742261894043959</v>
      </c>
      <c r="F140" t="n">
        <v>0.5622814228716836</v>
      </c>
      <c r="G140" t="n">
        <v>14.38978393145688</v>
      </c>
      <c r="H140" t="n">
        <v>18.76318309027753</v>
      </c>
      <c r="I140" t="n">
        <v>2.677645161290322</v>
      </c>
      <c r="J140" t="n">
        <v>53.3328848525138</v>
      </c>
      <c r="K140" t="n">
        <v>55.95451926111595</v>
      </c>
      <c r="L140" t="n">
        <v>55.95451926111595</v>
      </c>
      <c r="M140" t="n">
        <v>58.06547388799906</v>
      </c>
    </row>
    <row r="141">
      <c r="A141" s="8" t="n">
        <v>48427</v>
      </c>
      <c r="B141" t="n">
        <v>9.872187752587594</v>
      </c>
      <c r="C141" t="n">
        <v>9.404033822921074</v>
      </c>
      <c r="D141" t="n">
        <v>0.53538156056362</v>
      </c>
      <c r="E141" t="n">
        <v>2.806552744003916</v>
      </c>
      <c r="F141" t="n">
        <v>0.5671500520924572</v>
      </c>
      <c r="G141" t="n">
        <v>14.77060529854541</v>
      </c>
      <c r="H141" t="n">
        <v>18.80339098570049</v>
      </c>
      <c r="I141" t="n">
        <v>2.726021505376344</v>
      </c>
      <c r="J141" t="n">
        <v>53.34043100254539</v>
      </c>
      <c r="K141" t="n">
        <v>57.57371057243786</v>
      </c>
      <c r="L141" t="n">
        <v>57.57371057243786</v>
      </c>
      <c r="M141" t="n">
        <v>59.48532372179091</v>
      </c>
    </row>
    <row r="142">
      <c r="A142" s="8" t="n">
        <v>48458</v>
      </c>
      <c r="B142" t="n">
        <v>8.322308729354697</v>
      </c>
      <c r="C142" t="n">
        <v>9.341369246821957</v>
      </c>
      <c r="D142" t="n">
        <v>0.5481347714127977</v>
      </c>
      <c r="E142" t="n">
        <v>2.641954219096749</v>
      </c>
      <c r="F142" t="n">
        <v>0.5720186813132307</v>
      </c>
      <c r="G142" t="n">
        <v>15.4700550280206</v>
      </c>
      <c r="H142" t="n">
        <v>19.18090506490999</v>
      </c>
      <c r="I142" t="n">
        <v>3.724011111111111</v>
      </c>
      <c r="J142" t="n">
        <v>53.34797928274393</v>
      </c>
      <c r="K142" t="n">
        <v>56.43667928274393</v>
      </c>
      <c r="L142" t="n">
        <v>56.43667928274393</v>
      </c>
      <c r="M142" t="n">
        <v>59.80075685204112</v>
      </c>
    </row>
    <row r="143">
      <c r="A143" s="8" t="n">
        <v>48488</v>
      </c>
      <c r="B143" t="n">
        <v>6.682643596993329</v>
      </c>
      <c r="C143" t="n">
        <v>9.185405042302564</v>
      </c>
      <c r="D143" t="n">
        <v>0.6443052894778025</v>
      </c>
      <c r="E143" t="n">
        <v>2.520150869153281</v>
      </c>
      <c r="F143" t="n">
        <v>0.5768873105340044</v>
      </c>
      <c r="G143" t="n">
        <v>15.89548970777218</v>
      </c>
      <c r="H143" t="n">
        <v>20.10895911890998</v>
      </c>
      <c r="I143" t="n">
        <v>4.302741935483871</v>
      </c>
      <c r="J143" t="n">
        <v>53.35552969371246</v>
      </c>
      <c r="K143" t="n">
        <v>55.01935765070171</v>
      </c>
      <c r="L143" t="n">
        <v>55.01935765070171</v>
      </c>
      <c r="M143" t="n">
        <v>59.91658287062701</v>
      </c>
    </row>
    <row r="144">
      <c r="A144" s="8" t="n">
        <v>48519</v>
      </c>
      <c r="B144" t="n">
        <v>5.90543680071448</v>
      </c>
      <c r="C144" t="n">
        <v>9.716425295580864</v>
      </c>
      <c r="D144" t="n">
        <v>0.9583665131725072</v>
      </c>
      <c r="E144" t="n">
        <v>2.463184494725174</v>
      </c>
      <c r="F144" t="n">
        <v>0.5817559397547781</v>
      </c>
      <c r="G144" t="n">
        <v>16.23512052546222</v>
      </c>
      <c r="H144" t="n">
        <v>21.18746624301015</v>
      </c>
      <c r="I144" t="n">
        <v>3.186255555555555</v>
      </c>
      <c r="J144" t="n">
        <v>53.36308223605425</v>
      </c>
      <c r="K144" t="n">
        <v>55.50779334716536</v>
      </c>
      <c r="L144" t="n">
        <v>55.50779334716536</v>
      </c>
      <c r="M144" t="n">
        <v>60.23401136797573</v>
      </c>
    </row>
    <row r="145">
      <c r="A145" s="8" t="n">
        <v>48549</v>
      </c>
      <c r="B145" t="n">
        <v>5.662001349352975</v>
      </c>
      <c r="C145" t="n">
        <v>10.13789788885175</v>
      </c>
      <c r="D145" t="n">
        <v>1.46684763958676</v>
      </c>
      <c r="E145" t="n">
        <v>2.351003546379683</v>
      </c>
      <c r="F145" t="n">
        <v>0.5866245689755517</v>
      </c>
      <c r="G145" t="n">
        <v>16.01719753724603</v>
      </c>
      <c r="H145" t="n">
        <v>21.78446306941743</v>
      </c>
      <c r="I145" t="n">
        <v>2.522612903225806</v>
      </c>
      <c r="J145" t="n">
        <v>53.37063691037264</v>
      </c>
      <c r="K145" t="n">
        <v>57.20431432972748</v>
      </c>
      <c r="L145" t="n">
        <v>57.20431432972748</v>
      </c>
      <c r="M145" t="n">
        <v>60.52864850303599</v>
      </c>
    </row>
    <row r="146">
      <c r="A146" s="8" t="n">
        <v>48580</v>
      </c>
      <c r="B146" t="n">
        <v>6.815998393332904</v>
      </c>
      <c r="C146" t="n">
        <v>9.787676627391217</v>
      </c>
      <c r="D146" t="n">
        <v>2.350362238363284</v>
      </c>
      <c r="E146" t="n">
        <v>2.589985061645746</v>
      </c>
      <c r="F146" t="n">
        <v>0.5914931981963253</v>
      </c>
      <c r="G146" t="n">
        <v>15.40481531001708</v>
      </c>
      <c r="H146" t="n">
        <v>21.76960421100057</v>
      </c>
      <c r="I146" t="n">
        <v>1.725978494623656</v>
      </c>
      <c r="J146" t="n">
        <v>53.37441824653332</v>
      </c>
      <c r="K146" t="n">
        <v>61.70833222502795</v>
      </c>
      <c r="L146" t="n">
        <v>61.70833222502795</v>
      </c>
      <c r="M146" t="n">
        <v>61.03591353457078</v>
      </c>
    </row>
    <row r="147">
      <c r="A147" s="8" t="n">
        <v>48611</v>
      </c>
      <c r="B147" t="n">
        <v>5.658957953862141</v>
      </c>
      <c r="C147" t="n">
        <v>9.460526478696487</v>
      </c>
      <c r="D147" t="n">
        <v>1.709543354540807</v>
      </c>
      <c r="E147" t="n">
        <v>2.546156833517707</v>
      </c>
      <c r="F147" t="n">
        <v>0.596361827417099</v>
      </c>
      <c r="G147" t="n">
        <v>15.16644253291303</v>
      </c>
      <c r="H147" t="n">
        <v>21.71978509254615</v>
      </c>
      <c r="I147" t="n">
        <v>2.746053366174056</v>
      </c>
      <c r="J147" t="n">
        <v>53.37820011682059</v>
      </c>
      <c r="K147" t="n">
        <v>58.75313197232141</v>
      </c>
      <c r="L147" t="n">
        <v>58.75313197232141</v>
      </c>
      <c r="M147" t="n">
        <v>59.60382743966747</v>
      </c>
    </row>
    <row r="148">
      <c r="A148" s="8" t="n">
        <v>48639</v>
      </c>
      <c r="B148" t="n">
        <v>5.107057449435089</v>
      </c>
      <c r="C148" t="n">
        <v>9.474506743580255</v>
      </c>
      <c r="D148" t="n">
        <v>0.9659298661837707</v>
      </c>
      <c r="E148" t="n">
        <v>2.453577547784403</v>
      </c>
      <c r="F148" t="n">
        <v>0.6012304566378727</v>
      </c>
      <c r="G148" t="n">
        <v>14.70041434656364</v>
      </c>
      <c r="H148" t="n">
        <v>21.54837906706522</v>
      </c>
      <c r="I148" t="n">
        <v>4.228569892473119</v>
      </c>
      <c r="J148" t="n">
        <v>53.38198252131007</v>
      </c>
      <c r="K148" t="n">
        <v>55.60862768260039</v>
      </c>
      <c r="L148" t="n">
        <v>55.60862768260039</v>
      </c>
      <c r="M148" t="n">
        <v>59.07966536972337</v>
      </c>
    </row>
    <row r="149">
      <c r="A149" s="8" t="n">
        <v>48670</v>
      </c>
      <c r="B149" t="n">
        <v>5.686998857370892</v>
      </c>
      <c r="C149" t="n">
        <v>9.563752151464877</v>
      </c>
      <c r="D149" t="n">
        <v>0.7439746420643388</v>
      </c>
      <c r="E149" t="n">
        <v>2.641594325648691</v>
      </c>
      <c r="F149" t="n">
        <v>0.6060990858586462</v>
      </c>
      <c r="G149" t="n">
        <v>14.1992926518784</v>
      </c>
      <c r="H149" t="n">
        <v>20.62071349258198</v>
      </c>
      <c r="I149" t="n">
        <v>4.151300000000001</v>
      </c>
      <c r="J149" t="n">
        <v>53.38576546007744</v>
      </c>
      <c r="K149" t="n">
        <v>55.44666546007744</v>
      </c>
      <c r="L149" t="n">
        <v>55.44666546007744</v>
      </c>
      <c r="M149" t="n">
        <v>58.21372520686782</v>
      </c>
    </row>
    <row r="150">
      <c r="A150" s="8" t="n">
        <v>48700</v>
      </c>
      <c r="B150" t="n">
        <v>7.192494776809507</v>
      </c>
      <c r="C150" t="n">
        <v>9.399058527880264</v>
      </c>
      <c r="D150" t="n">
        <v>0.5944051814942699</v>
      </c>
      <c r="E150" t="n">
        <v>2.871082058675945</v>
      </c>
      <c r="F150" t="n">
        <v>0.6109677150794198</v>
      </c>
      <c r="G150" t="n">
        <v>14.63710916827362</v>
      </c>
      <c r="H150" t="n">
        <v>19.29680973435555</v>
      </c>
      <c r="I150" t="n">
        <v>4.081204301075269</v>
      </c>
      <c r="J150" t="n">
        <v>53.38954893319839</v>
      </c>
      <c r="K150" t="n">
        <v>55.14890377190807</v>
      </c>
      <c r="L150" t="n">
        <v>55.14890377190807</v>
      </c>
      <c r="M150" t="n">
        <v>58.68313146364385</v>
      </c>
    </row>
    <row r="151">
      <c r="A151" s="8" t="n">
        <v>48731</v>
      </c>
      <c r="B151" t="n">
        <v>8.276901084846335</v>
      </c>
      <c r="C151" t="n">
        <v>9.447870993849081</v>
      </c>
      <c r="D151" t="n">
        <v>0.5839102262204762</v>
      </c>
      <c r="E151" t="n">
        <v>2.815389091792223</v>
      </c>
      <c r="F151" t="n">
        <v>0.6158363443001935</v>
      </c>
      <c r="G151" t="n">
        <v>14.78827058143899</v>
      </c>
      <c r="H151" t="n">
        <v>18.70903565146297</v>
      </c>
      <c r="I151" t="n">
        <v>3.446855555555556</v>
      </c>
      <c r="J151" t="n">
        <v>53.39333294074862</v>
      </c>
      <c r="K151" t="n">
        <v>55.39134405185973</v>
      </c>
      <c r="L151" t="n">
        <v>55.39134405185973</v>
      </c>
      <c r="M151" t="n">
        <v>58.68406952946582</v>
      </c>
    </row>
    <row r="152">
      <c r="A152" s="8" t="n">
        <v>48761</v>
      </c>
      <c r="B152" t="n">
        <v>8.98592731899282</v>
      </c>
      <c r="C152" t="n">
        <v>9.506955985583087</v>
      </c>
      <c r="D152" t="n">
        <v>0.5475198979392394</v>
      </c>
      <c r="E152" t="n">
        <v>2.686718540347266</v>
      </c>
      <c r="F152" t="n">
        <v>0.6207049735209672</v>
      </c>
      <c r="G152" t="n">
        <v>14.38978393145688</v>
      </c>
      <c r="H152" t="n">
        <v>18.76318309027753</v>
      </c>
      <c r="I152" t="n">
        <v>2.677645161290322</v>
      </c>
      <c r="J152" t="n">
        <v>53.39711748280384</v>
      </c>
      <c r="K152" t="n">
        <v>56.01875189140598</v>
      </c>
      <c r="L152" t="n">
        <v>56.01875189140598</v>
      </c>
      <c r="M152" t="n">
        <v>58.1784388994081</v>
      </c>
    </row>
    <row r="153">
      <c r="A153" s="8" t="n">
        <v>48792</v>
      </c>
      <c r="B153" t="n">
        <v>9.922023896910789</v>
      </c>
      <c r="C153" t="n">
        <v>9.480918043460884</v>
      </c>
      <c r="D153" t="n">
        <v>0.5206712456071836</v>
      </c>
      <c r="E153" t="n">
        <v>2.749707206359532</v>
      </c>
      <c r="F153" t="n">
        <v>0.6255736027417408</v>
      </c>
      <c r="G153" t="n">
        <v>14.77060529854541</v>
      </c>
      <c r="H153" t="n">
        <v>18.80339098570049</v>
      </c>
      <c r="I153" t="n">
        <v>2.726021505376344</v>
      </c>
      <c r="J153" t="n">
        <v>53.40090255943976</v>
      </c>
      <c r="K153" t="n">
        <v>57.63418212933224</v>
      </c>
      <c r="L153" t="n">
        <v>57.63418212933224</v>
      </c>
      <c r="M153" t="n">
        <v>59.59891178470237</v>
      </c>
    </row>
    <row r="154">
      <c r="A154" s="8" t="n">
        <v>48823</v>
      </c>
      <c r="B154" t="n">
        <v>8.363221989925467</v>
      </c>
      <c r="C154" t="n">
        <v>9.417732343413389</v>
      </c>
      <c r="D154" t="n">
        <v>0.5331674619949068</v>
      </c>
      <c r="E154" t="n">
        <v>2.588442554889738</v>
      </c>
      <c r="F154" t="n">
        <v>0.6304422319625144</v>
      </c>
      <c r="G154" t="n">
        <v>15.4700550280206</v>
      </c>
      <c r="H154" t="n">
        <v>19.18090506490999</v>
      </c>
      <c r="I154" t="n">
        <v>3.724011111111111</v>
      </c>
      <c r="J154" t="n">
        <v>53.40468817073212</v>
      </c>
      <c r="K154" t="n">
        <v>56.49338817073212</v>
      </c>
      <c r="L154" t="n">
        <v>56.49338817073212</v>
      </c>
      <c r="M154" t="n">
        <v>59.9079777862277</v>
      </c>
    </row>
    <row r="155">
      <c r="A155" s="8" t="n">
        <v>48853</v>
      </c>
      <c r="B155" t="n">
        <v>6.718955215763073</v>
      </c>
      <c r="C155" t="n">
        <v>9.260531398908102</v>
      </c>
      <c r="D155" t="n">
        <v>0.6266013206328482</v>
      </c>
      <c r="E155" t="n">
        <v>2.469106280232568</v>
      </c>
      <c r="F155" t="n">
        <v>0.6353108611832881</v>
      </c>
      <c r="G155" t="n">
        <v>15.89548970777218</v>
      </c>
      <c r="H155" t="n">
        <v>20.10895911890998</v>
      </c>
      <c r="I155" t="n">
        <v>4.302741935483871</v>
      </c>
      <c r="J155" t="n">
        <v>53.40847431675666</v>
      </c>
      <c r="K155" t="n">
        <v>55.0723022737459</v>
      </c>
      <c r="L155" t="n">
        <v>55.0723022737459</v>
      </c>
      <c r="M155" t="n">
        <v>60.01769583888592</v>
      </c>
    </row>
    <row r="156">
      <c r="A156" s="8" t="n">
        <v>48884</v>
      </c>
      <c r="B156" t="n">
        <v>5.942159031363664</v>
      </c>
      <c r="C156" t="n">
        <v>9.795845561866342</v>
      </c>
      <c r="D156" t="n">
        <v>0.93164256680982</v>
      </c>
      <c r="E156" t="n">
        <v>2.413293735601152</v>
      </c>
      <c r="F156" t="n">
        <v>0.6401794904040617</v>
      </c>
      <c r="G156" t="n">
        <v>16.23512052546222</v>
      </c>
      <c r="H156" t="n">
        <v>21.18746624301015</v>
      </c>
      <c r="I156" t="n">
        <v>3.186255555555555</v>
      </c>
      <c r="J156" t="n">
        <v>53.4122609975891</v>
      </c>
      <c r="K156" t="n">
        <v>55.55697210870022</v>
      </c>
      <c r="L156" t="n">
        <v>55.55697210870022</v>
      </c>
      <c r="M156" t="n">
        <v>60.33196271007296</v>
      </c>
    </row>
    <row r="157">
      <c r="A157" s="8" t="n">
        <v>48914</v>
      </c>
      <c r="B157" t="n">
        <v>5.69327042055624</v>
      </c>
      <c r="C157" t="n">
        <v>10.22080199052671</v>
      </c>
      <c r="D157" t="n">
        <v>1.425239746533556</v>
      </c>
      <c r="E157" t="n">
        <v>2.303384964871343</v>
      </c>
      <c r="F157" t="n">
        <v>0.6450481196248353</v>
      </c>
      <c r="G157" t="n">
        <v>16.01719753724603</v>
      </c>
      <c r="H157" t="n">
        <v>21.78446306941743</v>
      </c>
      <c r="I157" t="n">
        <v>2.522612903225806</v>
      </c>
      <c r="J157" t="n">
        <v>53.41604821330526</v>
      </c>
      <c r="K157" t="n">
        <v>57.2497256326601</v>
      </c>
      <c r="L157" t="n">
        <v>57.2497256326601</v>
      </c>
      <c r="M157" t="n">
        <v>60.61201875200194</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11" customWidth="1" min="1" max="1"/>
  </cols>
  <sheetData>
    <row r="1">
      <c r="A1" t="inlineStr">
        <is>
          <t>Date</t>
        </is>
      </c>
      <c r="B1" t="inlineStr">
        <is>
          <t>Gulf demand incl. LNG and storage injection, base case</t>
        </is>
      </c>
      <c r="C1" t="inlineStr">
        <is>
          <t>Cameron LNG Train 4</t>
        </is>
      </c>
      <c r="D1" t="inlineStr">
        <is>
          <t>Woodside Louisiana LNG Phase 2</t>
        </is>
      </c>
      <c r="E1" t="inlineStr">
        <is>
          <t>Lake Charles LNG (SUSPENDED)</t>
        </is>
      </c>
      <c r="F1" t="inlineStr">
        <is>
          <t>Delfin FLNG vessels 2-3</t>
        </is>
      </c>
      <c r="G1" t="inlineStr">
        <is>
          <t>Dry prod. + storage withdrawal (base)</t>
        </is>
      </c>
      <c r="H1" t="inlineStr">
        <is>
          <t>Total demand incl. all layers</t>
        </is>
      </c>
    </row>
    <row r="2">
      <c r="A2" s="8" t="n">
        <v>46753</v>
      </c>
      <c r="B2" t="n">
        <v>47.42972877473343</v>
      </c>
      <c r="C2" t="n">
        <v>0</v>
      </c>
      <c r="D2" t="n">
        <v>0</v>
      </c>
      <c r="E2" t="n">
        <v>0</v>
      </c>
      <c r="F2" t="n">
        <v>0</v>
      </c>
      <c r="G2" t="n">
        <v>54.85458142829559</v>
      </c>
      <c r="H2" t="n">
        <v>47.42972877473343</v>
      </c>
    </row>
    <row r="3">
      <c r="A3" s="8" t="n">
        <v>46784</v>
      </c>
      <c r="B3" t="n">
        <v>46.53195237169192</v>
      </c>
      <c r="C3" t="n">
        <v>0</v>
      </c>
      <c r="D3" t="n">
        <v>0</v>
      </c>
      <c r="E3" t="n">
        <v>0</v>
      </c>
      <c r="F3" t="n">
        <v>0</v>
      </c>
      <c r="G3" t="n">
        <v>52.93368866909687</v>
      </c>
      <c r="H3" t="n">
        <v>46.53195237169192</v>
      </c>
    </row>
    <row r="4">
      <c r="A4" s="8" t="n">
        <v>46813</v>
      </c>
      <c r="B4" t="n">
        <v>46.55035515891366</v>
      </c>
      <c r="C4" t="n">
        <v>0</v>
      </c>
      <c r="D4" t="n">
        <v>0</v>
      </c>
      <c r="E4" t="n">
        <v>0</v>
      </c>
      <c r="F4" t="n">
        <v>0</v>
      </c>
      <c r="G4" t="n">
        <v>49.98134466625103</v>
      </c>
      <c r="H4" t="n">
        <v>46.55035515891366</v>
      </c>
    </row>
    <row r="5">
      <c r="A5" s="8" t="n">
        <v>46844</v>
      </c>
      <c r="B5" t="n">
        <v>46.55169200768345</v>
      </c>
      <c r="C5" t="n">
        <v>0</v>
      </c>
      <c r="D5" t="n">
        <v>0</v>
      </c>
      <c r="E5" t="n">
        <v>0</v>
      </c>
      <c r="F5" t="n">
        <v>0</v>
      </c>
      <c r="G5" t="n">
        <v>50.02465636355367</v>
      </c>
      <c r="H5" t="n">
        <v>46.55169200768345</v>
      </c>
    </row>
    <row r="6">
      <c r="A6" s="8" t="n">
        <v>46874</v>
      </c>
      <c r="B6" t="n">
        <v>47.72529314632051</v>
      </c>
      <c r="C6" t="n">
        <v>0</v>
      </c>
      <c r="D6" t="n">
        <v>0</v>
      </c>
      <c r="E6" t="n">
        <v>0</v>
      </c>
      <c r="F6" t="n">
        <v>0</v>
      </c>
      <c r="G6" t="n">
        <v>49.95357820999668</v>
      </c>
      <c r="H6" t="n">
        <v>47.72529314632051</v>
      </c>
    </row>
    <row r="7">
      <c r="A7" s="8" t="n">
        <v>46905</v>
      </c>
      <c r="B7" t="n">
        <v>48.31750706683763</v>
      </c>
      <c r="C7" t="n">
        <v>0</v>
      </c>
      <c r="D7" t="n">
        <v>0</v>
      </c>
      <c r="E7" t="n">
        <v>0</v>
      </c>
      <c r="F7" t="n">
        <v>0</v>
      </c>
      <c r="G7" t="n">
        <v>50.44022735590548</v>
      </c>
      <c r="H7" t="n">
        <v>48.31750706683763</v>
      </c>
    </row>
    <row r="8">
      <c r="A8" s="8" t="n">
        <v>46935</v>
      </c>
      <c r="B8" t="n">
        <v>48.35800114025379</v>
      </c>
      <c r="C8" t="n">
        <v>0</v>
      </c>
      <c r="D8" t="n">
        <v>0</v>
      </c>
      <c r="E8" t="n">
        <v>0</v>
      </c>
      <c r="F8" t="n">
        <v>0</v>
      </c>
      <c r="G8" t="n">
        <v>51.33480903602909</v>
      </c>
      <c r="H8" t="n">
        <v>48.35800114025379</v>
      </c>
    </row>
    <row r="9">
      <c r="A9" s="8" t="n">
        <v>46966</v>
      </c>
      <c r="B9" t="n">
        <v>50.07447646953523</v>
      </c>
      <c r="C9" t="n">
        <v>0</v>
      </c>
      <c r="D9" t="n">
        <v>0</v>
      </c>
      <c r="E9" t="n">
        <v>0</v>
      </c>
      <c r="F9" t="n">
        <v>0</v>
      </c>
      <c r="G9" t="n">
        <v>53.23201827136482</v>
      </c>
      <c r="H9" t="n">
        <v>50.07447646953523</v>
      </c>
    </row>
    <row r="10">
      <c r="A10" s="8" t="n">
        <v>46997</v>
      </c>
      <c r="B10" t="n">
        <v>50.62457133261016</v>
      </c>
      <c r="C10" t="n">
        <v>0</v>
      </c>
      <c r="D10" t="n">
        <v>0</v>
      </c>
      <c r="E10" t="n">
        <v>0</v>
      </c>
      <c r="F10" t="n">
        <v>0</v>
      </c>
      <c r="G10" t="n">
        <v>52.37092494976268</v>
      </c>
      <c r="H10" t="n">
        <v>50.62457133261016</v>
      </c>
    </row>
    <row r="11">
      <c r="A11" s="8" t="n">
        <v>47027</v>
      </c>
      <c r="B11" t="n">
        <v>50.88979151401961</v>
      </c>
      <c r="C11" t="n">
        <v>0</v>
      </c>
      <c r="D11" t="n">
        <v>0</v>
      </c>
      <c r="E11" t="n">
        <v>0</v>
      </c>
      <c r="F11" t="n">
        <v>0</v>
      </c>
      <c r="G11" t="n">
        <v>51.23501419656232</v>
      </c>
      <c r="H11" t="n">
        <v>50.88979151401961</v>
      </c>
    </row>
    <row r="12">
      <c r="A12" s="8" t="n">
        <v>47058</v>
      </c>
      <c r="B12" t="n">
        <v>51.00220558562815</v>
      </c>
      <c r="C12" t="n">
        <v>0</v>
      </c>
      <c r="D12" t="n">
        <v>0</v>
      </c>
      <c r="E12" t="n">
        <v>0</v>
      </c>
      <c r="F12" t="n">
        <v>0</v>
      </c>
      <c r="G12" t="n">
        <v>52.0051656898382</v>
      </c>
      <c r="H12" t="n">
        <v>51.00220558562815</v>
      </c>
    </row>
    <row r="13">
      <c r="A13" s="8" t="n">
        <v>47088</v>
      </c>
      <c r="B13" t="n">
        <v>51.37437196235446</v>
      </c>
      <c r="C13" t="n">
        <v>0</v>
      </c>
      <c r="D13" t="n">
        <v>0</v>
      </c>
      <c r="E13" t="n">
        <v>0</v>
      </c>
      <c r="F13" t="n">
        <v>0</v>
      </c>
      <c r="G13" t="n">
        <v>53.97184549729147</v>
      </c>
      <c r="H13" t="n">
        <v>51.37437196235446</v>
      </c>
    </row>
    <row r="14">
      <c r="A14" s="8" t="n">
        <v>47119</v>
      </c>
      <c r="B14" t="n">
        <v>52.25249854749038</v>
      </c>
      <c r="C14" t="n">
        <v>0</v>
      </c>
      <c r="D14" t="n">
        <v>0</v>
      </c>
      <c r="E14" t="n">
        <v>0</v>
      </c>
      <c r="F14" t="n">
        <v>0</v>
      </c>
      <c r="G14" t="n">
        <v>58.61822076374786</v>
      </c>
      <c r="H14" t="n">
        <v>52.25249854749038</v>
      </c>
    </row>
    <row r="15">
      <c r="A15" s="8" t="n">
        <v>47150</v>
      </c>
      <c r="B15" t="n">
        <v>50.90727579889342</v>
      </c>
      <c r="C15" t="n">
        <v>0</v>
      </c>
      <c r="D15" t="n">
        <v>0</v>
      </c>
      <c r="E15" t="n">
        <v>0</v>
      </c>
      <c r="F15" t="n">
        <v>0</v>
      </c>
      <c r="G15" t="n">
        <v>55.80581299298933</v>
      </c>
      <c r="H15" t="n">
        <v>50.90727579889342</v>
      </c>
    </row>
    <row r="16">
      <c r="A16" s="8" t="n">
        <v>47178</v>
      </c>
      <c r="B16" t="n">
        <v>50.49735597576576</v>
      </c>
      <c r="C16" t="n">
        <v>0</v>
      </c>
      <c r="D16" t="n">
        <v>0</v>
      </c>
      <c r="E16" t="n">
        <v>0</v>
      </c>
      <c r="F16" t="n">
        <v>0</v>
      </c>
      <c r="G16" t="n">
        <v>52.80453764740803</v>
      </c>
      <c r="H16" t="n">
        <v>50.49735597576576</v>
      </c>
    </row>
    <row r="17">
      <c r="A17" s="8" t="n">
        <v>47209</v>
      </c>
      <c r="B17" t="n">
        <v>50.1168415536089</v>
      </c>
      <c r="C17" t="n">
        <v>0</v>
      </c>
      <c r="D17" t="n">
        <v>0</v>
      </c>
      <c r="E17" t="n">
        <v>0</v>
      </c>
      <c r="F17" t="n">
        <v>0</v>
      </c>
      <c r="G17" t="n">
        <v>52.78624218694364</v>
      </c>
      <c r="H17" t="n">
        <v>50.1168415536089</v>
      </c>
    </row>
    <row r="18">
      <c r="A18" s="8" t="n">
        <v>47239</v>
      </c>
      <c r="B18" t="n">
        <v>50.95520324152552</v>
      </c>
      <c r="C18" t="n">
        <v>0</v>
      </c>
      <c r="D18" t="n">
        <v>0</v>
      </c>
      <c r="E18" t="n">
        <v>0</v>
      </c>
      <c r="F18" t="n">
        <v>0</v>
      </c>
      <c r="G18" t="n">
        <v>52.63258643882057</v>
      </c>
      <c r="H18" t="n">
        <v>50.95520324152552</v>
      </c>
    </row>
    <row r="19">
      <c r="A19" s="8" t="n">
        <v>47270</v>
      </c>
      <c r="B19" t="n">
        <v>51.16432642661398</v>
      </c>
      <c r="C19" t="n">
        <v>0</v>
      </c>
      <c r="D19" t="n">
        <v>0</v>
      </c>
      <c r="E19" t="n">
        <v>0</v>
      </c>
      <c r="F19" t="n">
        <v>0</v>
      </c>
      <c r="G19" t="n">
        <v>53.01957320123129</v>
      </c>
      <c r="H19" t="n">
        <v>51.16432642661398</v>
      </c>
    </row>
    <row r="20">
      <c r="A20" s="8" t="n">
        <v>47300</v>
      </c>
      <c r="B20" t="n">
        <v>51.03125684815915</v>
      </c>
      <c r="C20" t="n">
        <v>0</v>
      </c>
      <c r="D20" t="n">
        <v>0</v>
      </c>
      <c r="E20" t="n">
        <v>0</v>
      </c>
      <c r="F20" t="n">
        <v>0</v>
      </c>
      <c r="G20" t="n">
        <v>53.79196943444452</v>
      </c>
      <c r="H20" t="n">
        <v>51.03125684815915</v>
      </c>
    </row>
    <row r="21">
      <c r="A21" s="8" t="n">
        <v>47331</v>
      </c>
      <c r="B21" t="n">
        <v>52.6030517342211</v>
      </c>
      <c r="C21" t="n">
        <v>0</v>
      </c>
      <c r="D21" t="n">
        <v>0</v>
      </c>
      <c r="E21" t="n">
        <v>0</v>
      </c>
      <c r="F21" t="n">
        <v>0</v>
      </c>
      <c r="G21" t="n">
        <v>55.55283135042559</v>
      </c>
      <c r="H21" t="n">
        <v>52.6030517342211</v>
      </c>
    </row>
    <row r="22">
      <c r="A22" s="8" t="n">
        <v>47362</v>
      </c>
      <c r="B22" t="n">
        <v>52.96874532255869</v>
      </c>
      <c r="C22" t="n">
        <v>0</v>
      </c>
      <c r="D22" t="n">
        <v>0</v>
      </c>
      <c r="E22" t="n">
        <v>0</v>
      </c>
      <c r="F22" t="n">
        <v>0</v>
      </c>
      <c r="G22" t="n">
        <v>54.55791373184701</v>
      </c>
      <c r="H22" t="n">
        <v>52.96874532255869</v>
      </c>
    </row>
    <row r="23">
      <c r="A23" s="8" t="n">
        <v>47392</v>
      </c>
      <c r="B23" t="n">
        <v>53.08442253423682</v>
      </c>
      <c r="C23" t="n">
        <v>0</v>
      </c>
      <c r="D23" t="n">
        <v>0</v>
      </c>
      <c r="E23" t="n">
        <v>0</v>
      </c>
      <c r="F23" t="n">
        <v>0</v>
      </c>
      <c r="G23" t="n">
        <v>53.28315021884136</v>
      </c>
      <c r="H23" t="n">
        <v>53.08442253423682</v>
      </c>
    </row>
    <row r="24">
      <c r="A24" s="8" t="n">
        <v>47423</v>
      </c>
      <c r="B24" t="n">
        <v>53.40447588856956</v>
      </c>
      <c r="C24" t="n">
        <v>0</v>
      </c>
      <c r="D24" t="n">
        <v>0</v>
      </c>
      <c r="E24" t="n">
        <v>0</v>
      </c>
      <c r="F24" t="n">
        <v>0</v>
      </c>
      <c r="G24" t="n">
        <v>53.91458986815554</v>
      </c>
      <c r="H24" t="n">
        <v>53.40447588856956</v>
      </c>
    </row>
    <row r="25">
      <c r="A25" s="8" t="n">
        <v>47453</v>
      </c>
      <c r="B25" t="n">
        <v>53.93493736412709</v>
      </c>
      <c r="C25" t="n">
        <v>0</v>
      </c>
      <c r="D25" t="n">
        <v>0</v>
      </c>
      <c r="E25" t="n">
        <v>0</v>
      </c>
      <c r="F25" t="n">
        <v>0</v>
      </c>
      <c r="G25" t="n">
        <v>55.75456202771726</v>
      </c>
      <c r="H25" t="n">
        <v>53.93493736412709</v>
      </c>
    </row>
    <row r="26">
      <c r="A26" s="8" t="n">
        <v>47484</v>
      </c>
      <c r="B26" t="n">
        <v>54.77153365322669</v>
      </c>
      <c r="C26" t="n">
        <v>0</v>
      </c>
      <c r="D26" t="n">
        <v>0</v>
      </c>
      <c r="E26" t="n">
        <v>0</v>
      </c>
      <c r="F26" t="n">
        <v>0</v>
      </c>
      <c r="G26" t="n">
        <v>60.3311475974638</v>
      </c>
      <c r="H26" t="n">
        <v>54.77153365322669</v>
      </c>
    </row>
    <row r="27">
      <c r="A27" s="8" t="n">
        <v>47515</v>
      </c>
      <c r="B27" t="n">
        <v>53.47779851769544</v>
      </c>
      <c r="C27" t="n">
        <v>0</v>
      </c>
      <c r="D27" t="n">
        <v>0</v>
      </c>
      <c r="E27" t="n">
        <v>0</v>
      </c>
      <c r="F27" t="n">
        <v>0</v>
      </c>
      <c r="G27" t="n">
        <v>57.44862945918641</v>
      </c>
      <c r="H27" t="n">
        <v>53.47779851769544</v>
      </c>
    </row>
    <row r="28">
      <c r="A28" s="8" t="n">
        <v>47543</v>
      </c>
      <c r="B28" t="n">
        <v>53.11741276431763</v>
      </c>
      <c r="C28" t="n">
        <v>0</v>
      </c>
      <c r="D28" t="n">
        <v>0</v>
      </c>
      <c r="E28" t="n">
        <v>0</v>
      </c>
      <c r="F28" t="n">
        <v>0</v>
      </c>
      <c r="G28" t="n">
        <v>54.37692190402176</v>
      </c>
      <c r="H28" t="n">
        <v>53.11741276431763</v>
      </c>
    </row>
    <row r="29">
      <c r="A29" s="8" t="n">
        <v>47574</v>
      </c>
      <c r="B29" t="n">
        <v>52.57620391101896</v>
      </c>
      <c r="C29" t="n">
        <v>0</v>
      </c>
      <c r="D29" t="n">
        <v>0</v>
      </c>
      <c r="E29" t="n">
        <v>0</v>
      </c>
      <c r="F29" t="n">
        <v>0</v>
      </c>
      <c r="G29" t="n">
        <v>54.28787121661827</v>
      </c>
      <c r="H29" t="n">
        <v>52.57620391101896</v>
      </c>
    </row>
    <row r="30">
      <c r="A30" s="8" t="n">
        <v>47604</v>
      </c>
      <c r="B30" t="n">
        <v>53.26896276068043</v>
      </c>
      <c r="C30" t="n">
        <v>0</v>
      </c>
      <c r="D30" t="n">
        <v>0</v>
      </c>
      <c r="E30" t="n">
        <v>0</v>
      </c>
      <c r="F30" t="n">
        <v>0</v>
      </c>
      <c r="G30" t="n">
        <v>54.06313604485921</v>
      </c>
      <c r="H30" t="n">
        <v>53.26896276068043</v>
      </c>
    </row>
    <row r="31">
      <c r="A31" s="8" t="n">
        <v>47635</v>
      </c>
      <c r="B31" t="n">
        <v>53.41863386780142</v>
      </c>
      <c r="C31" t="n">
        <v>0</v>
      </c>
      <c r="D31" t="n">
        <v>0</v>
      </c>
      <c r="E31" t="n">
        <v>0</v>
      </c>
      <c r="F31" t="n">
        <v>0</v>
      </c>
      <c r="G31" t="n">
        <v>54.37871800353246</v>
      </c>
      <c r="H31" t="n">
        <v>53.41863386780142</v>
      </c>
    </row>
    <row r="32">
      <c r="A32" s="8" t="n">
        <v>47665</v>
      </c>
      <c r="B32" t="n">
        <v>53.48519284520904</v>
      </c>
      <c r="C32" t="n">
        <v>0</v>
      </c>
      <c r="D32" t="n">
        <v>0</v>
      </c>
      <c r="E32" t="n">
        <v>0</v>
      </c>
      <c r="F32" t="n">
        <v>0</v>
      </c>
      <c r="G32" t="n">
        <v>55.07938286542496</v>
      </c>
      <c r="H32" t="n">
        <v>53.48519284520904</v>
      </c>
    </row>
    <row r="33">
      <c r="A33" s="8" t="n">
        <v>47696</v>
      </c>
      <c r="B33" t="n">
        <v>55.21954769491669</v>
      </c>
      <c r="C33" t="n">
        <v>0</v>
      </c>
      <c r="D33" t="n">
        <v>0</v>
      </c>
      <c r="E33" t="n">
        <v>0</v>
      </c>
      <c r="F33" t="n">
        <v>0</v>
      </c>
      <c r="G33" t="n">
        <v>56.76818565092908</v>
      </c>
      <c r="H33" t="n">
        <v>55.21954769491669</v>
      </c>
    </row>
    <row r="34">
      <c r="A34" s="8" t="n">
        <v>47727</v>
      </c>
      <c r="B34" t="n">
        <v>55.94279375395506</v>
      </c>
      <c r="C34" t="n">
        <v>0</v>
      </c>
      <c r="D34" t="n">
        <v>0</v>
      </c>
      <c r="E34" t="n">
        <v>0</v>
      </c>
      <c r="F34" t="n">
        <v>0</v>
      </c>
      <c r="G34" t="n">
        <v>55.70087994703938</v>
      </c>
      <c r="H34" t="n">
        <v>55.94279375395506</v>
      </c>
    </row>
    <row r="35">
      <c r="A35" s="8" t="n">
        <v>47757</v>
      </c>
      <c r="B35" t="n">
        <v>56.44722800447193</v>
      </c>
      <c r="C35" t="n">
        <v>0</v>
      </c>
      <c r="D35" t="n">
        <v>0</v>
      </c>
      <c r="E35" t="n">
        <v>0</v>
      </c>
      <c r="F35" t="n">
        <v>0</v>
      </c>
      <c r="G35" t="n">
        <v>54.35339819409156</v>
      </c>
      <c r="H35" t="n">
        <v>56.44722800447193</v>
      </c>
    </row>
    <row r="36">
      <c r="A36" s="8" t="n">
        <v>47788</v>
      </c>
      <c r="B36" t="n">
        <v>57.19032570735472</v>
      </c>
      <c r="C36" t="n">
        <v>0</v>
      </c>
      <c r="D36" t="n">
        <v>0</v>
      </c>
      <c r="E36" t="n">
        <v>0</v>
      </c>
      <c r="F36" t="n">
        <v>0</v>
      </c>
      <c r="G36" t="n">
        <v>54.91178824490267</v>
      </c>
      <c r="H36" t="n">
        <v>57.19032570735472</v>
      </c>
    </row>
    <row r="37">
      <c r="A37" s="8" t="n">
        <v>47818</v>
      </c>
      <c r="B37" t="n">
        <v>57.9332608198221</v>
      </c>
      <c r="C37" t="n">
        <v>0</v>
      </c>
      <c r="D37" t="n">
        <v>0</v>
      </c>
      <c r="E37" t="n">
        <v>0</v>
      </c>
      <c r="F37" t="n">
        <v>0</v>
      </c>
      <c r="G37" t="n">
        <v>56.67837823932361</v>
      </c>
      <c r="H37" t="n">
        <v>57.9332608198221</v>
      </c>
    </row>
    <row r="38">
      <c r="A38" s="8" t="n">
        <v>47849</v>
      </c>
      <c r="B38" t="n">
        <v>59.10285525283251</v>
      </c>
      <c r="C38" t="n">
        <v>0.168397187248705</v>
      </c>
      <c r="D38" t="n">
        <v>0.1700607053883324</v>
      </c>
      <c r="E38" t="n">
        <v>0.2541668151342334</v>
      </c>
      <c r="F38" t="n">
        <v>0.3695382720062973</v>
      </c>
      <c r="G38" t="n">
        <v>61.21764608896486</v>
      </c>
      <c r="H38" t="n">
        <v>60.06501823261008</v>
      </c>
    </row>
    <row r="39">
      <c r="A39" s="8" t="n">
        <v>47880</v>
      </c>
      <c r="B39" t="n">
        <v>58.02789379052771</v>
      </c>
      <c r="C39" t="n">
        <v>0.2800196918128397</v>
      </c>
      <c r="D39" t="n">
        <v>0.2898555241189054</v>
      </c>
      <c r="E39" t="n">
        <v>0.4332079844437755</v>
      </c>
      <c r="F39" t="n">
        <v>0.5684010827382144</v>
      </c>
      <c r="G39" t="n">
        <v>58.29772479850833</v>
      </c>
      <c r="H39" t="n">
        <v>59.59937807364144</v>
      </c>
    </row>
    <row r="40">
      <c r="A40" s="8" t="n">
        <v>47908</v>
      </c>
      <c r="B40" t="n">
        <v>57.84470928248733</v>
      </c>
      <c r="C40" t="n">
        <v>0.3889338046210798</v>
      </c>
      <c r="D40" t="n">
        <v>0.4068036130769718</v>
      </c>
      <c r="E40" t="n">
        <v>0.6079945304517524</v>
      </c>
      <c r="F40" t="n">
        <v>0.7620478810538933</v>
      </c>
      <c r="G40" t="n">
        <v>55.18852850214763</v>
      </c>
      <c r="H40" t="n">
        <v>60.01048911169104</v>
      </c>
    </row>
    <row r="41">
      <c r="A41" s="8" t="n">
        <v>47939</v>
      </c>
      <c r="B41" t="n">
        <v>57.26552953481301</v>
      </c>
      <c r="C41" t="n">
        <v>0.4785300804124207</v>
      </c>
      <c r="D41" t="n">
        <v>0.5033929774529329</v>
      </c>
      <c r="E41" t="n">
        <v>0.7523536348269735</v>
      </c>
      <c r="F41" t="n">
        <v>0.9188442168739388</v>
      </c>
      <c r="G41" t="n">
        <v>55.06190332731535</v>
      </c>
      <c r="H41" t="n">
        <v>59.91865044437927</v>
      </c>
    </row>
    <row r="42">
      <c r="A42" s="8" t="n">
        <v>47969</v>
      </c>
      <c r="B42" t="n">
        <v>57.99122998502745</v>
      </c>
      <c r="C42" t="n">
        <v>0.5473199077189386</v>
      </c>
      <c r="D42" t="n">
        <v>0.5778505663012588</v>
      </c>
      <c r="E42" t="n">
        <v>0.8636353572974226</v>
      </c>
      <c r="F42" t="n">
        <v>1.03728179477289</v>
      </c>
      <c r="G42" t="n">
        <v>54.79950776440594</v>
      </c>
      <c r="H42" t="n">
        <v>61.01731761111795</v>
      </c>
    </row>
    <row r="43">
      <c r="A43" s="8" t="n">
        <v>48000</v>
      </c>
      <c r="B43" t="n">
        <v>58.14591088870752</v>
      </c>
      <c r="C43" t="n">
        <v>0.6271303226427209</v>
      </c>
      <c r="D43" t="n">
        <v>0.6637737929629901</v>
      </c>
      <c r="E43" t="n">
        <v>0.9920532232400594</v>
      </c>
      <c r="F43" t="n">
        <v>1.005686553693307</v>
      </c>
      <c r="G43" t="n">
        <v>55.07734327044474</v>
      </c>
      <c r="H43" t="n">
        <v>61.4345547812466</v>
      </c>
    </row>
    <row r="44">
      <c r="A44" s="8" t="n">
        <v>48030</v>
      </c>
      <c r="B44" t="n">
        <v>57.79626357349401</v>
      </c>
      <c r="C44" t="n">
        <v>0.7257061785805374</v>
      </c>
      <c r="D44" t="n">
        <v>0.7695188499460978</v>
      </c>
      <c r="E44" t="n">
        <v>1.150096107327899</v>
      </c>
      <c r="F44" t="n">
        <v>1.008597198161959</v>
      </c>
      <c r="G44" t="n">
        <v>55.74017546018217</v>
      </c>
      <c r="H44" t="n">
        <v>61.4501819075105</v>
      </c>
    </row>
    <row r="45">
      <c r="A45" s="8" t="n">
        <v>48061</v>
      </c>
      <c r="B45" t="n">
        <v>59.29334161113687</v>
      </c>
      <c r="C45" t="n">
        <v>0.8242294787825083</v>
      </c>
      <c r="D45" t="n">
        <v>0.8752143206819132</v>
      </c>
      <c r="E45" t="n">
        <v>1.308064881535271</v>
      </c>
      <c r="F45" t="n">
        <v>1.010758535631858</v>
      </c>
      <c r="G45" t="n">
        <v>57.3910591956995</v>
      </c>
      <c r="H45" t="n">
        <v>63.31160882776842</v>
      </c>
    </row>
    <row r="46">
      <c r="A46" s="8" t="n">
        <v>48092</v>
      </c>
      <c r="B46" t="n">
        <v>59.6968736684287</v>
      </c>
      <c r="C46" t="n">
        <v>0.9396924595667642</v>
      </c>
      <c r="D46" t="n">
        <v>0.9989213136228182</v>
      </c>
      <c r="E46" t="n">
        <v>1.492953050344314</v>
      </c>
      <c r="F46" t="n">
        <v>1.031051448658683</v>
      </c>
      <c r="G46" t="n">
        <v>56.28574790540521</v>
      </c>
      <c r="H46" t="n">
        <v>64.15949194062128</v>
      </c>
    </row>
    <row r="47">
      <c r="A47" s="8" t="n">
        <v>48122</v>
      </c>
      <c r="B47" t="n">
        <v>59.81870029918911</v>
      </c>
      <c r="C47" t="n">
        <v>0.9851587915079807</v>
      </c>
      <c r="D47" t="n">
        <v>1.158524063042426</v>
      </c>
      <c r="E47" t="n">
        <v>1.731489768241711</v>
      </c>
      <c r="F47" t="n">
        <v>1.080938118425939</v>
      </c>
      <c r="G47" t="n">
        <v>54.90017387077339</v>
      </c>
      <c r="H47" t="n">
        <v>64.77481104040716</v>
      </c>
    </row>
    <row r="48">
      <c r="A48" s="8" t="n">
        <v>48153</v>
      </c>
      <c r="B48" t="n">
        <v>60.1395889741508</v>
      </c>
      <c r="C48" t="n">
        <v>1.037995975607287</v>
      </c>
      <c r="D48" t="n">
        <v>1.337897846450563</v>
      </c>
      <c r="E48" t="n">
        <v>1.99957558585206</v>
      </c>
      <c r="F48" t="n">
        <v>1.13891225097751</v>
      </c>
      <c r="G48" t="n">
        <v>55.40980177493542</v>
      </c>
      <c r="H48" t="n">
        <v>65.65397063303823</v>
      </c>
    </row>
    <row r="49">
      <c r="A49" s="8" t="n">
        <v>48183</v>
      </c>
      <c r="B49" t="n">
        <v>60.44909232149087</v>
      </c>
      <c r="C49" t="n">
        <v>1.067243470147391</v>
      </c>
      <c r="D49" t="n">
        <v>1.496137528039063</v>
      </c>
      <c r="E49" t="n">
        <v>2.23607510998001</v>
      </c>
      <c r="F49" t="n">
        <v>1.171003251930219</v>
      </c>
      <c r="G49" t="n">
        <v>57.11379881570218</v>
      </c>
      <c r="H49" t="n">
        <v>66.41955168158755</v>
      </c>
    </row>
    <row r="50">
      <c r="A50" s="8" t="n">
        <v>48214</v>
      </c>
      <c r="B50" t="n">
        <v>60.98616721023302</v>
      </c>
      <c r="C50" t="n">
        <v>1.066515519241798</v>
      </c>
      <c r="D50" t="n">
        <v>1.615576701189157</v>
      </c>
      <c r="E50" t="n">
        <v>2.414584743775217</v>
      </c>
      <c r="F50" t="n">
        <v>1.170204528019941</v>
      </c>
      <c r="G50" t="n">
        <v>61.62156663057584</v>
      </c>
      <c r="H50" t="n">
        <v>67.25304870245913</v>
      </c>
    </row>
    <row r="51">
      <c r="A51" s="8" t="n">
        <v>48245</v>
      </c>
      <c r="B51" t="n">
        <v>59.54099339396506</v>
      </c>
      <c r="C51" t="n">
        <v>1.064074828888791</v>
      </c>
      <c r="D51" t="n">
        <v>1.611879499978303</v>
      </c>
      <c r="E51" t="n">
        <v>2.409059035443434</v>
      </c>
      <c r="F51" t="n">
        <v>1.167526548327143</v>
      </c>
      <c r="G51" t="n">
        <v>58.67011788926632</v>
      </c>
      <c r="H51" t="n">
        <v>65.79353330660274</v>
      </c>
    </row>
    <row r="52">
      <c r="A52" s="8" t="n">
        <v>48274</v>
      </c>
      <c r="B52" t="n">
        <v>58.99372781704176</v>
      </c>
      <c r="C52" t="n">
        <v>1.055677469685788</v>
      </c>
      <c r="D52" t="n">
        <v>1.599159030716372</v>
      </c>
      <c r="E52" t="n">
        <v>2.390047464534474</v>
      </c>
      <c r="F52" t="n">
        <v>1.158312779201918</v>
      </c>
      <c r="G52" t="n">
        <v>55.52936670329237</v>
      </c>
      <c r="H52" t="n">
        <v>65.19692456118031</v>
      </c>
    </row>
    <row r="53">
      <c r="A53" s="8" t="n">
        <v>48305</v>
      </c>
      <c r="B53" t="n">
        <v>58.1199437882363</v>
      </c>
      <c r="C53" t="n">
        <v>1.010230169759555</v>
      </c>
      <c r="D53" t="n">
        <v>1.530314651456916</v>
      </c>
      <c r="E53" t="n">
        <v>2.287155049873999</v>
      </c>
      <c r="F53" t="n">
        <v>1.108446991784434</v>
      </c>
      <c r="G53" t="n">
        <v>55.37115917739285</v>
      </c>
      <c r="H53" t="n">
        <v>64.05609065111121</v>
      </c>
    </row>
    <row r="54">
      <c r="A54" s="8" t="n">
        <v>48335</v>
      </c>
      <c r="B54" t="n">
        <v>58.58503269932697</v>
      </c>
      <c r="C54" t="n">
        <v>0.9453707496963485</v>
      </c>
      <c r="D54" t="n">
        <v>1.432064446920511</v>
      </c>
      <c r="E54" t="n">
        <v>2.140313711563178</v>
      </c>
      <c r="F54" t="n">
        <v>1.03728179477289</v>
      </c>
      <c r="G54" t="n">
        <v>55.07715377924983</v>
      </c>
      <c r="H54" t="n">
        <v>64.14006340227991</v>
      </c>
    </row>
    <row r="55">
      <c r="A55" s="8" t="n">
        <v>48366</v>
      </c>
      <c r="B55" t="n">
        <v>58.57857178295446</v>
      </c>
      <c r="C55" t="n">
        <v>0.9165750869393616</v>
      </c>
      <c r="D55" t="n">
        <v>1.388444264179465</v>
      </c>
      <c r="E55" t="n">
        <v>2.075120503658105</v>
      </c>
      <c r="F55" t="n">
        <v>1.005686553693307</v>
      </c>
      <c r="G55" t="n">
        <v>55.32335194315741</v>
      </c>
      <c r="H55" t="n">
        <v>63.96439819142469</v>
      </c>
    </row>
    <row r="56">
      <c r="A56" s="8" t="n">
        <v>48396</v>
      </c>
      <c r="B56" t="n">
        <v>58.06547388799906</v>
      </c>
      <c r="C56" t="n">
        <v>0.919227826202014</v>
      </c>
      <c r="D56" t="n">
        <v>1.392462680854843</v>
      </c>
      <c r="E56" t="n">
        <v>2.081126289450484</v>
      </c>
      <c r="F56" t="n">
        <v>1.008597198161959</v>
      </c>
      <c r="G56" t="n">
        <v>55.95451926111595</v>
      </c>
      <c r="H56" t="n">
        <v>63.46688788266835</v>
      </c>
    </row>
    <row r="57">
      <c r="A57" s="8" t="n">
        <v>48427</v>
      </c>
      <c r="B57" t="n">
        <v>59.48532372179091</v>
      </c>
      <c r="C57" t="n">
        <v>0.921197652756921</v>
      </c>
      <c r="D57" t="n">
        <v>1.395446609199134</v>
      </c>
      <c r="E57" t="n">
        <v>2.085585964965326</v>
      </c>
      <c r="F57" t="n">
        <v>1.010758535631858</v>
      </c>
      <c r="G57" t="n">
        <v>57.57371057243786</v>
      </c>
      <c r="H57" t="n">
        <v>64.89831248434416</v>
      </c>
    </row>
    <row r="58">
      <c r="A58" s="8" t="n">
        <v>48458</v>
      </c>
      <c r="B58" t="n">
        <v>59.80075685204112</v>
      </c>
      <c r="C58" t="n">
        <v>0.9396924595667642</v>
      </c>
      <c r="D58" t="n">
        <v>1.423462871912516</v>
      </c>
      <c r="E58" t="n">
        <v>2.127458096740647</v>
      </c>
      <c r="F58" t="n">
        <v>1.031051448658683</v>
      </c>
      <c r="G58" t="n">
        <v>56.43667928274393</v>
      </c>
      <c r="H58" t="n">
        <v>65.32242172891974</v>
      </c>
    </row>
    <row r="59">
      <c r="A59" s="8" t="n">
        <v>48488</v>
      </c>
      <c r="B59" t="n">
        <v>59.91658287062701</v>
      </c>
      <c r="C59" t="n">
        <v>0.9851587915079807</v>
      </c>
      <c r="D59" t="n">
        <v>1.492336081207193</v>
      </c>
      <c r="E59" t="n">
        <v>2.230393599768983</v>
      </c>
      <c r="F59" t="n">
        <v>1.080938118425939</v>
      </c>
      <c r="G59" t="n">
        <v>55.01935765070171</v>
      </c>
      <c r="H59" t="n">
        <v>65.7054094615371</v>
      </c>
    </row>
    <row r="60">
      <c r="A60" s="8" t="n">
        <v>48519</v>
      </c>
      <c r="B60" t="n">
        <v>60.23401136797573</v>
      </c>
      <c r="C60" t="n">
        <v>1.037995975607287</v>
      </c>
      <c r="D60" t="n">
        <v>1.572374788612002</v>
      </c>
      <c r="E60" t="n">
        <v>2.350016667908607</v>
      </c>
      <c r="F60" t="n">
        <v>1.13891225097751</v>
      </c>
      <c r="G60" t="n">
        <v>55.50779334716536</v>
      </c>
      <c r="H60" t="n">
        <v>66.33331105108114</v>
      </c>
    </row>
    <row r="61">
      <c r="A61" s="8" t="n">
        <v>48549</v>
      </c>
      <c r="B61" t="n">
        <v>60.52864850303599</v>
      </c>
      <c r="C61" t="n">
        <v>1.067243470147391</v>
      </c>
      <c r="D61" t="n">
        <v>1.61667941418439</v>
      </c>
      <c r="E61" t="n">
        <v>2.41623282026276</v>
      </c>
      <c r="F61" t="n">
        <v>1.171003251930219</v>
      </c>
      <c r="G61" t="n">
        <v>57.20431432972748</v>
      </c>
      <c r="H61" t="n">
        <v>66.79980745956074</v>
      </c>
    </row>
    <row r="62">
      <c r="A62" s="8" t="n">
        <v>48580</v>
      </c>
      <c r="B62" t="n">
        <v>61.03591353457078</v>
      </c>
      <c r="C62" t="n">
        <v>1.066515519241798</v>
      </c>
      <c r="D62" t="n">
        <v>1.615576701189157</v>
      </c>
      <c r="E62" t="n">
        <v>2.414584743775217</v>
      </c>
      <c r="F62" t="n">
        <v>1.170204528019941</v>
      </c>
      <c r="G62" t="n">
        <v>61.70833222502795</v>
      </c>
      <c r="H62" t="n">
        <v>67.30279502679689</v>
      </c>
    </row>
    <row r="63">
      <c r="A63" s="8" t="n">
        <v>48611</v>
      </c>
      <c r="B63" t="n">
        <v>59.60382743966747</v>
      </c>
      <c r="C63" t="n">
        <v>1.064074828888791</v>
      </c>
      <c r="D63" t="n">
        <v>1.611879499978303</v>
      </c>
      <c r="E63" t="n">
        <v>2.409059035443434</v>
      </c>
      <c r="F63" t="n">
        <v>1.167526548327143</v>
      </c>
      <c r="G63" t="n">
        <v>58.75313197232141</v>
      </c>
      <c r="H63" t="n">
        <v>65.85636735230514</v>
      </c>
    </row>
    <row r="64">
      <c r="A64" s="8" t="n">
        <v>48639</v>
      </c>
      <c r="B64" t="n">
        <v>59.07966536972337</v>
      </c>
      <c r="C64" t="n">
        <v>1.055677469685788</v>
      </c>
      <c r="D64" t="n">
        <v>1.599159030716372</v>
      </c>
      <c r="E64" t="n">
        <v>2.390047464534474</v>
      </c>
      <c r="F64" t="n">
        <v>1.158312779201918</v>
      </c>
      <c r="G64" t="n">
        <v>55.60862768260039</v>
      </c>
      <c r="H64" t="n">
        <v>65.28286211386192</v>
      </c>
    </row>
    <row r="65">
      <c r="A65" s="8" t="n">
        <v>48670</v>
      </c>
      <c r="B65" t="n">
        <v>58.21372520686782</v>
      </c>
      <c r="C65" t="n">
        <v>1.010230169759555</v>
      </c>
      <c r="D65" t="n">
        <v>1.530314651456916</v>
      </c>
      <c r="E65" t="n">
        <v>2.287155049873999</v>
      </c>
      <c r="F65" t="n">
        <v>1.108446991784434</v>
      </c>
      <c r="G65" t="n">
        <v>55.44666546007744</v>
      </c>
      <c r="H65" t="n">
        <v>64.14987206974273</v>
      </c>
    </row>
    <row r="66">
      <c r="A66" s="8" t="n">
        <v>48700</v>
      </c>
      <c r="B66" t="n">
        <v>58.68313146364385</v>
      </c>
      <c r="C66" t="n">
        <v>0.9453707496963485</v>
      </c>
      <c r="D66" t="n">
        <v>1.432064446920511</v>
      </c>
      <c r="E66" t="n">
        <v>2.140313711563178</v>
      </c>
      <c r="F66" t="n">
        <v>1.03728179477289</v>
      </c>
      <c r="G66" t="n">
        <v>55.14890377190807</v>
      </c>
      <c r="H66" t="n">
        <v>64.23816216659678</v>
      </c>
    </row>
    <row r="67">
      <c r="A67" s="8" t="n">
        <v>48731</v>
      </c>
      <c r="B67" t="n">
        <v>58.68406952946582</v>
      </c>
      <c r="C67" t="n">
        <v>0.9165750869393616</v>
      </c>
      <c r="D67" t="n">
        <v>1.388444264179465</v>
      </c>
      <c r="E67" t="n">
        <v>2.075120503658105</v>
      </c>
      <c r="F67" t="n">
        <v>1.005686553693307</v>
      </c>
      <c r="G67" t="n">
        <v>55.39134405185973</v>
      </c>
      <c r="H67" t="n">
        <v>64.06989593793605</v>
      </c>
    </row>
    <row r="68">
      <c r="A68" s="8" t="n">
        <v>48761</v>
      </c>
      <c r="B68" t="n">
        <v>58.1784388994081</v>
      </c>
      <c r="C68" t="n">
        <v>0.919227826202014</v>
      </c>
      <c r="D68" t="n">
        <v>1.392462680854843</v>
      </c>
      <c r="E68" t="n">
        <v>2.081126289450484</v>
      </c>
      <c r="F68" t="n">
        <v>1.008597198161959</v>
      </c>
      <c r="G68" t="n">
        <v>56.01875189140598</v>
      </c>
      <c r="H68" t="n">
        <v>63.57985289407739</v>
      </c>
    </row>
    <row r="69">
      <c r="A69" s="8" t="n">
        <v>48792</v>
      </c>
      <c r="B69" t="n">
        <v>59.59891178470237</v>
      </c>
      <c r="C69" t="n">
        <v>0.921197652756921</v>
      </c>
      <c r="D69" t="n">
        <v>1.395446609199134</v>
      </c>
      <c r="E69" t="n">
        <v>2.085585964965326</v>
      </c>
      <c r="F69" t="n">
        <v>1.010758535631858</v>
      </c>
      <c r="G69" t="n">
        <v>57.63418212933224</v>
      </c>
      <c r="H69" t="n">
        <v>65.01190054725561</v>
      </c>
    </row>
    <row r="70">
      <c r="A70" s="8" t="n">
        <v>48823</v>
      </c>
      <c r="B70" t="n">
        <v>59.9079777862277</v>
      </c>
      <c r="C70" t="n">
        <v>0.9396924595667642</v>
      </c>
      <c r="D70" t="n">
        <v>1.423462871912516</v>
      </c>
      <c r="E70" t="n">
        <v>2.127458096740647</v>
      </c>
      <c r="F70" t="n">
        <v>1.031051448658683</v>
      </c>
      <c r="G70" t="n">
        <v>56.49338817073212</v>
      </c>
      <c r="H70" t="n">
        <v>65.42964266310631</v>
      </c>
    </row>
    <row r="71">
      <c r="A71" s="8" t="n">
        <v>48853</v>
      </c>
      <c r="B71" t="n">
        <v>60.01769583888592</v>
      </c>
      <c r="C71" t="n">
        <v>0.9851587915079807</v>
      </c>
      <c r="D71" t="n">
        <v>1.492336081207193</v>
      </c>
      <c r="E71" t="n">
        <v>2.230393599768983</v>
      </c>
      <c r="F71" t="n">
        <v>1.080938118425939</v>
      </c>
      <c r="G71" t="n">
        <v>55.0723022737459</v>
      </c>
      <c r="H71" t="n">
        <v>65.806522429796</v>
      </c>
    </row>
    <row r="72">
      <c r="A72" s="8" t="n">
        <v>48884</v>
      </c>
      <c r="B72" t="n">
        <v>60.33196271007296</v>
      </c>
      <c r="C72" t="n">
        <v>1.037995975607287</v>
      </c>
      <c r="D72" t="n">
        <v>1.572374788612002</v>
      </c>
      <c r="E72" t="n">
        <v>2.350016667908607</v>
      </c>
      <c r="F72" t="n">
        <v>1.13891225097751</v>
      </c>
      <c r="G72" t="n">
        <v>55.55697210870022</v>
      </c>
      <c r="H72" t="n">
        <v>66.43126239317837</v>
      </c>
    </row>
    <row r="73">
      <c r="A73" s="8" t="n">
        <v>48914</v>
      </c>
      <c r="B73" t="n">
        <v>60.61201875200194</v>
      </c>
      <c r="C73" t="n">
        <v>1.067243470147391</v>
      </c>
      <c r="D73" t="n">
        <v>1.61667941418439</v>
      </c>
      <c r="E73" t="n">
        <v>2.41623282026276</v>
      </c>
      <c r="F73" t="n">
        <v>1.171003251930219</v>
      </c>
      <c r="G73" t="n">
        <v>57.2497256326601</v>
      </c>
      <c r="H73" t="n">
        <v>66.8831777085267</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11" customWidth="1" min="1" max="1"/>
  </cols>
  <sheetData>
    <row r="1">
      <c r="A1" t="inlineStr">
        <is>
          <t>Date</t>
        </is>
      </c>
      <c r="B1" t="inlineStr">
        <is>
          <t>Cameron LNG Train 4</t>
        </is>
      </c>
      <c r="C1" t="inlineStr">
        <is>
          <t>Woodside Louisiana LNG Phase 2</t>
        </is>
      </c>
      <c r="D1" t="inlineStr">
        <is>
          <t>Lake Charles LNG (SUSPENDED)</t>
        </is>
      </c>
      <c r="E1" t="inlineStr">
        <is>
          <t>Delfin FLNG vessels 2-3</t>
        </is>
      </c>
      <c r="F1" t="inlineStr">
        <is>
          <t>Implied net outflow, base</t>
        </is>
      </c>
      <c r="G1" t="inlineStr">
        <is>
          <t>Implied net outflow with all layers</t>
        </is>
      </c>
    </row>
    <row r="2">
      <c r="A2" s="8" t="n">
        <v>47119</v>
      </c>
      <c r="B2" t="n">
        <v>0</v>
      </c>
      <c r="C2" t="n">
        <v>0</v>
      </c>
      <c r="D2" t="n">
        <v>0</v>
      </c>
      <c r="E2" t="n">
        <v>0</v>
      </c>
      <c r="F2" t="n">
        <v>6.365722216257494</v>
      </c>
      <c r="G2" t="n">
        <v>6.365722216257494</v>
      </c>
    </row>
    <row r="3">
      <c r="A3" s="8" t="n">
        <v>47150</v>
      </c>
      <c r="B3" t="n">
        <v>0</v>
      </c>
      <c r="C3" t="n">
        <v>0</v>
      </c>
      <c r="D3" t="n">
        <v>0</v>
      </c>
      <c r="E3" t="n">
        <v>0</v>
      </c>
      <c r="F3" t="n">
        <v>4.898537194095905</v>
      </c>
      <c r="G3" t="n">
        <v>4.898537194095905</v>
      </c>
    </row>
    <row r="4">
      <c r="A4" s="8" t="n">
        <v>47178</v>
      </c>
      <c r="B4" t="n">
        <v>0</v>
      </c>
      <c r="C4" t="n">
        <v>0</v>
      </c>
      <c r="D4" t="n">
        <v>0</v>
      </c>
      <c r="E4" t="n">
        <v>0</v>
      </c>
      <c r="F4" t="n">
        <v>2.307181671642268</v>
      </c>
      <c r="G4" t="n">
        <v>2.307181671642268</v>
      </c>
    </row>
    <row r="5">
      <c r="A5" s="8" t="n">
        <v>47209</v>
      </c>
      <c r="B5" t="n">
        <v>0</v>
      </c>
      <c r="C5" t="n">
        <v>0</v>
      </c>
      <c r="D5" t="n">
        <v>0</v>
      </c>
      <c r="E5" t="n">
        <v>0</v>
      </c>
      <c r="F5" t="n">
        <v>2.669400633334737</v>
      </c>
      <c r="G5" t="n">
        <v>2.669400633334737</v>
      </c>
    </row>
    <row r="6">
      <c r="A6" s="8" t="n">
        <v>47239</v>
      </c>
      <c r="B6" t="n">
        <v>0</v>
      </c>
      <c r="C6" t="n">
        <v>0</v>
      </c>
      <c r="D6" t="n">
        <v>0</v>
      </c>
      <c r="E6" t="n">
        <v>0</v>
      </c>
      <c r="F6" t="n">
        <v>1.677383197295041</v>
      </c>
      <c r="G6" t="n">
        <v>1.677383197295041</v>
      </c>
    </row>
    <row r="7">
      <c r="A7" s="8" t="n">
        <v>47270</v>
      </c>
      <c r="B7" t="n">
        <v>0</v>
      </c>
      <c r="C7" t="n">
        <v>0</v>
      </c>
      <c r="D7" t="n">
        <v>0</v>
      </c>
      <c r="E7" t="n">
        <v>0</v>
      </c>
      <c r="F7" t="n">
        <v>1.855246774617309</v>
      </c>
      <c r="G7" t="n">
        <v>1.855246774617309</v>
      </c>
    </row>
    <row r="8">
      <c r="A8" s="8" t="n">
        <v>47300</v>
      </c>
      <c r="B8" t="n">
        <v>0</v>
      </c>
      <c r="C8" t="n">
        <v>0</v>
      </c>
      <c r="D8" t="n">
        <v>0</v>
      </c>
      <c r="E8" t="n">
        <v>0</v>
      </c>
      <c r="F8" t="n">
        <v>2.760712586285371</v>
      </c>
      <c r="G8" t="n">
        <v>2.760712586285371</v>
      </c>
    </row>
    <row r="9">
      <c r="A9" s="8" t="n">
        <v>47331</v>
      </c>
      <c r="B9" t="n">
        <v>0</v>
      </c>
      <c r="C9" t="n">
        <v>0</v>
      </c>
      <c r="D9" t="n">
        <v>0</v>
      </c>
      <c r="E9" t="n">
        <v>0</v>
      </c>
      <c r="F9" t="n">
        <v>2.949779616204489</v>
      </c>
      <c r="G9" t="n">
        <v>2.949779616204489</v>
      </c>
    </row>
    <row r="10">
      <c r="A10" s="8" t="n">
        <v>47362</v>
      </c>
      <c r="B10" t="n">
        <v>0</v>
      </c>
      <c r="C10" t="n">
        <v>0</v>
      </c>
      <c r="D10" t="n">
        <v>0</v>
      </c>
      <c r="E10" t="n">
        <v>0</v>
      </c>
      <c r="F10" t="n">
        <v>1.589168409288319</v>
      </c>
      <c r="G10" t="n">
        <v>1.589168409288319</v>
      </c>
    </row>
    <row r="11">
      <c r="A11" s="8" t="n">
        <v>47392</v>
      </c>
      <c r="B11" t="n">
        <v>0</v>
      </c>
      <c r="C11" t="n">
        <v>0</v>
      </c>
      <c r="D11" t="n">
        <v>0</v>
      </c>
      <c r="E11" t="n">
        <v>0</v>
      </c>
      <c r="F11" t="n">
        <v>0.1987276846045436</v>
      </c>
      <c r="G11" t="n">
        <v>0.1987276846045436</v>
      </c>
    </row>
    <row r="12">
      <c r="A12" s="8" t="n">
        <v>47423</v>
      </c>
      <c r="B12" t="n">
        <v>0</v>
      </c>
      <c r="C12" t="n">
        <v>0</v>
      </c>
      <c r="D12" t="n">
        <v>0</v>
      </c>
      <c r="E12" t="n">
        <v>0</v>
      </c>
      <c r="F12" t="n">
        <v>0.5101139795859799</v>
      </c>
      <c r="G12" t="n">
        <v>0.5101139795859799</v>
      </c>
    </row>
    <row r="13">
      <c r="A13" s="8" t="n">
        <v>47453</v>
      </c>
      <c r="B13" t="n">
        <v>0</v>
      </c>
      <c r="C13" t="n">
        <v>0</v>
      </c>
      <c r="D13" t="n">
        <v>0</v>
      </c>
      <c r="E13" t="n">
        <v>0</v>
      </c>
      <c r="F13" t="n">
        <v>1.819624663590161</v>
      </c>
      <c r="G13" t="n">
        <v>1.819624663590161</v>
      </c>
    </row>
    <row r="14">
      <c r="A14" s="8" t="n">
        <v>47484</v>
      </c>
      <c r="B14" t="n">
        <v>0</v>
      </c>
      <c r="C14" t="n">
        <v>0</v>
      </c>
      <c r="D14" t="n">
        <v>0</v>
      </c>
      <c r="E14" t="n">
        <v>0</v>
      </c>
      <c r="F14" t="n">
        <v>5.559613944237105</v>
      </c>
      <c r="G14" t="n">
        <v>5.559613944237105</v>
      </c>
    </row>
    <row r="15">
      <c r="A15" s="8" t="n">
        <v>47515</v>
      </c>
      <c r="B15" t="n">
        <v>0</v>
      </c>
      <c r="C15" t="n">
        <v>0</v>
      </c>
      <c r="D15" t="n">
        <v>0</v>
      </c>
      <c r="E15" t="n">
        <v>0</v>
      </c>
      <c r="F15" t="n">
        <v>3.970830941490956</v>
      </c>
      <c r="G15" t="n">
        <v>3.970830941490956</v>
      </c>
    </row>
    <row r="16">
      <c r="A16" s="8" t="n">
        <v>47543</v>
      </c>
      <c r="B16" t="n">
        <v>0</v>
      </c>
      <c r="C16" t="n">
        <v>0</v>
      </c>
      <c r="D16" t="n">
        <v>0</v>
      </c>
      <c r="E16" t="n">
        <v>0</v>
      </c>
      <c r="F16" t="n">
        <v>1.259509139704121</v>
      </c>
      <c r="G16" t="n">
        <v>1.259509139704121</v>
      </c>
    </row>
    <row r="17">
      <c r="A17" s="8" t="n">
        <v>47574</v>
      </c>
      <c r="B17" t="n">
        <v>0</v>
      </c>
      <c r="C17" t="n">
        <v>0</v>
      </c>
      <c r="D17" t="n">
        <v>0</v>
      </c>
      <c r="E17" t="n">
        <v>0</v>
      </c>
      <c r="F17" t="n">
        <v>1.711667305599311</v>
      </c>
      <c r="G17" t="n">
        <v>1.711667305599311</v>
      </c>
    </row>
    <row r="18">
      <c r="A18" s="8" t="n">
        <v>47604</v>
      </c>
      <c r="B18" t="n">
        <v>0</v>
      </c>
      <c r="C18" t="n">
        <v>0</v>
      </c>
      <c r="D18" t="n">
        <v>0</v>
      </c>
      <c r="E18" t="n">
        <v>0</v>
      </c>
      <c r="F18" t="n">
        <v>0.7941732841787736</v>
      </c>
      <c r="G18" t="n">
        <v>0.7941732841787736</v>
      </c>
    </row>
    <row r="19">
      <c r="A19" s="8" t="n">
        <v>47635</v>
      </c>
      <c r="B19" t="n">
        <v>0</v>
      </c>
      <c r="C19" t="n">
        <v>0</v>
      </c>
      <c r="D19" t="n">
        <v>0</v>
      </c>
      <c r="E19" t="n">
        <v>0</v>
      </c>
      <c r="F19" t="n">
        <v>0.9600841357310399</v>
      </c>
      <c r="G19" t="n">
        <v>0.9600841357310399</v>
      </c>
    </row>
    <row r="20">
      <c r="A20" s="8" t="n">
        <v>47665</v>
      </c>
      <c r="B20" t="n">
        <v>0</v>
      </c>
      <c r="C20" t="n">
        <v>0</v>
      </c>
      <c r="D20" t="n">
        <v>0</v>
      </c>
      <c r="E20" t="n">
        <v>0</v>
      </c>
      <c r="F20" t="n">
        <v>1.594190020215918</v>
      </c>
      <c r="G20" t="n">
        <v>1.594190020215918</v>
      </c>
    </row>
    <row r="21">
      <c r="A21" s="8" t="n">
        <v>47696</v>
      </c>
      <c r="B21" t="n">
        <v>0</v>
      </c>
      <c r="C21" t="n">
        <v>0</v>
      </c>
      <c r="D21" t="n">
        <v>0</v>
      </c>
      <c r="E21" t="n">
        <v>0</v>
      </c>
      <c r="F21" t="n">
        <v>1.548637956012386</v>
      </c>
      <c r="G21" t="n">
        <v>1.548637956012386</v>
      </c>
    </row>
    <row r="22">
      <c r="A22" s="8" t="n">
        <v>47727</v>
      </c>
      <c r="B22" t="n">
        <v>0</v>
      </c>
      <c r="C22" t="n">
        <v>0</v>
      </c>
      <c r="D22" t="n">
        <v>0</v>
      </c>
      <c r="E22" t="n">
        <v>0</v>
      </c>
      <c r="F22" t="n">
        <v>-0.2419138069156768</v>
      </c>
      <c r="G22" t="n">
        <v>-0.2419138069156768</v>
      </c>
    </row>
    <row r="23">
      <c r="A23" s="8" t="n">
        <v>47757</v>
      </c>
      <c r="B23" t="n">
        <v>0</v>
      </c>
      <c r="C23" t="n">
        <v>0</v>
      </c>
      <c r="D23" t="n">
        <v>0</v>
      </c>
      <c r="E23" t="n">
        <v>0</v>
      </c>
      <c r="F23" t="n">
        <v>-2.093829810380369</v>
      </c>
      <c r="G23" t="n">
        <v>-2.093829810380369</v>
      </c>
    </row>
    <row r="24">
      <c r="A24" s="8" t="n">
        <v>47788</v>
      </c>
      <c r="B24" t="n">
        <v>0</v>
      </c>
      <c r="C24" t="n">
        <v>0</v>
      </c>
      <c r="D24" t="n">
        <v>0</v>
      </c>
      <c r="E24" t="n">
        <v>0</v>
      </c>
      <c r="F24" t="n">
        <v>-2.278537462452037</v>
      </c>
      <c r="G24" t="n">
        <v>-2.278537462452037</v>
      </c>
    </row>
    <row r="25">
      <c r="A25" s="8" t="n">
        <v>47818</v>
      </c>
      <c r="B25" t="n">
        <v>0</v>
      </c>
      <c r="C25" t="n">
        <v>0</v>
      </c>
      <c r="D25" t="n">
        <v>0</v>
      </c>
      <c r="E25" t="n">
        <v>0</v>
      </c>
      <c r="F25" t="n">
        <v>-1.254882580498496</v>
      </c>
      <c r="G25" t="n">
        <v>-1.254882580498496</v>
      </c>
    </row>
    <row r="26">
      <c r="A26" s="8" t="n">
        <v>47849</v>
      </c>
      <c r="B26" t="n">
        <v>0.168397187248705</v>
      </c>
      <c r="C26" t="n">
        <v>0.1700607053883324</v>
      </c>
      <c r="D26" t="n">
        <v>0.2541668151342334</v>
      </c>
      <c r="E26" t="n">
        <v>0.3695382720062973</v>
      </c>
      <c r="F26" t="n">
        <v>2.114790836132341</v>
      </c>
      <c r="G26" t="n">
        <v>1.152627856354773</v>
      </c>
    </row>
    <row r="27">
      <c r="A27" s="8" t="n">
        <v>47880</v>
      </c>
      <c r="B27" t="n">
        <v>0.2800196918128397</v>
      </c>
      <c r="C27" t="n">
        <v>0.2898555241189054</v>
      </c>
      <c r="D27" t="n">
        <v>0.4332079844437755</v>
      </c>
      <c r="E27" t="n">
        <v>0.5684010827382144</v>
      </c>
      <c r="F27" t="n">
        <v>0.2698310079806245</v>
      </c>
      <c r="G27" t="n">
        <v>-1.30165327513311</v>
      </c>
    </row>
    <row r="28">
      <c r="A28" s="8" t="n">
        <v>47908</v>
      </c>
      <c r="B28" t="n">
        <v>0.3889338046210798</v>
      </c>
      <c r="C28" t="n">
        <v>0.4068036130769718</v>
      </c>
      <c r="D28" t="n">
        <v>0.6079945304517524</v>
      </c>
      <c r="E28" t="n">
        <v>0.7620478810538933</v>
      </c>
      <c r="F28" t="n">
        <v>-2.656180780339697</v>
      </c>
      <c r="G28" t="n">
        <v>-4.821960609543394</v>
      </c>
    </row>
    <row r="29">
      <c r="A29" s="8" t="n">
        <v>47939</v>
      </c>
      <c r="B29" t="n">
        <v>0.4785300804124207</v>
      </c>
      <c r="C29" t="n">
        <v>0.5033929774529329</v>
      </c>
      <c r="D29" t="n">
        <v>0.7523536348269735</v>
      </c>
      <c r="E29" t="n">
        <v>0.9188442168739388</v>
      </c>
      <c r="F29" t="n">
        <v>-2.203626207497658</v>
      </c>
      <c r="G29" t="n">
        <v>-4.856747117063923</v>
      </c>
    </row>
    <row r="30">
      <c r="A30" s="8" t="n">
        <v>47969</v>
      </c>
      <c r="B30" t="n">
        <v>0.5473199077189386</v>
      </c>
      <c r="C30" t="n">
        <v>0.5778505663012588</v>
      </c>
      <c r="D30" t="n">
        <v>0.8636353572974226</v>
      </c>
      <c r="E30" t="n">
        <v>1.03728179477289</v>
      </c>
      <c r="F30" t="n">
        <v>-3.191722220621516</v>
      </c>
      <c r="G30" t="n">
        <v>-6.217809846712026</v>
      </c>
    </row>
    <row r="31">
      <c r="A31" s="8" t="n">
        <v>48000</v>
      </c>
      <c r="B31" t="n">
        <v>0.6271303226427209</v>
      </c>
      <c r="C31" t="n">
        <v>0.6637737929629901</v>
      </c>
      <c r="D31" t="n">
        <v>0.9920532232400594</v>
      </c>
      <c r="E31" t="n">
        <v>1.005686553693307</v>
      </c>
      <c r="F31" t="n">
        <v>-3.068567618262773</v>
      </c>
      <c r="G31" t="n">
        <v>-6.357211510801851</v>
      </c>
    </row>
    <row r="32">
      <c r="A32" s="8" t="n">
        <v>48030</v>
      </c>
      <c r="B32" t="n">
        <v>0.7257061785805374</v>
      </c>
      <c r="C32" t="n">
        <v>0.7695188499460978</v>
      </c>
      <c r="D32" t="n">
        <v>1.150096107327899</v>
      </c>
      <c r="E32" t="n">
        <v>1.008597198161959</v>
      </c>
      <c r="F32" t="n">
        <v>-2.056088113311838</v>
      </c>
      <c r="G32" t="n">
        <v>-5.710006447328332</v>
      </c>
    </row>
    <row r="33">
      <c r="A33" s="8" t="n">
        <v>48061</v>
      </c>
      <c r="B33" t="n">
        <v>0.8242294787825083</v>
      </c>
      <c r="C33" t="n">
        <v>0.8752143206819132</v>
      </c>
      <c r="D33" t="n">
        <v>1.308064881535271</v>
      </c>
      <c r="E33" t="n">
        <v>1.010758535631858</v>
      </c>
      <c r="F33" t="n">
        <v>-1.902282415437361</v>
      </c>
      <c r="G33" t="n">
        <v>-5.920549632068911</v>
      </c>
    </row>
    <row r="34">
      <c r="A34" s="8" t="n">
        <v>48092</v>
      </c>
      <c r="B34" t="n">
        <v>0.9396924595667642</v>
      </c>
      <c r="C34" t="n">
        <v>0.9989213136228182</v>
      </c>
      <c r="D34" t="n">
        <v>1.492953050344314</v>
      </c>
      <c r="E34" t="n">
        <v>1.031051448658683</v>
      </c>
      <c r="F34" t="n">
        <v>-3.411125763023493</v>
      </c>
      <c r="G34" t="n">
        <v>-7.873744035216071</v>
      </c>
    </row>
    <row r="35">
      <c r="A35" s="8" t="n">
        <v>48122</v>
      </c>
      <c r="B35" t="n">
        <v>0.9851587915079807</v>
      </c>
      <c r="C35" t="n">
        <v>1.158524063042426</v>
      </c>
      <c r="D35" t="n">
        <v>1.731489768241711</v>
      </c>
      <c r="E35" t="n">
        <v>1.080938118425939</v>
      </c>
      <c r="F35" t="n">
        <v>-4.918526428415722</v>
      </c>
      <c r="G35" t="n">
        <v>-9.874637169633779</v>
      </c>
    </row>
    <row r="36">
      <c r="A36" s="8" t="n">
        <v>48153</v>
      </c>
      <c r="B36" t="n">
        <v>1.037995975607287</v>
      </c>
      <c r="C36" t="n">
        <v>1.337897846450563</v>
      </c>
      <c r="D36" t="n">
        <v>1.99957558585206</v>
      </c>
      <c r="E36" t="n">
        <v>1.13891225097751</v>
      </c>
      <c r="F36" t="n">
        <v>-4.729787199215374</v>
      </c>
      <c r="G36" t="n">
        <v>-10.24416885810279</v>
      </c>
    </row>
    <row r="37">
      <c r="A37" s="8" t="n">
        <v>48183</v>
      </c>
      <c r="B37" t="n">
        <v>1.067243470147391</v>
      </c>
      <c r="C37" t="n">
        <v>1.496137528039063</v>
      </c>
      <c r="D37" t="n">
        <v>2.23607510998001</v>
      </c>
      <c r="E37" t="n">
        <v>1.171003251930219</v>
      </c>
      <c r="F37" t="n">
        <v>-3.335293505788699</v>
      </c>
      <c r="G37" t="n">
        <v>-9.305752865885383</v>
      </c>
    </row>
    <row r="38">
      <c r="A38" s="8" t="n">
        <v>48214</v>
      </c>
      <c r="B38" t="n">
        <v>1.066515519241798</v>
      </c>
      <c r="C38" t="n">
        <v>1.615576701189157</v>
      </c>
      <c r="D38" t="n">
        <v>2.414584743775217</v>
      </c>
      <c r="E38" t="n">
        <v>1.170204528019941</v>
      </c>
      <c r="F38" t="n">
        <v>0.6353994203428122</v>
      </c>
      <c r="G38" t="n">
        <v>-5.631482071883303</v>
      </c>
    </row>
    <row r="39">
      <c r="A39" s="8" t="n">
        <v>48245</v>
      </c>
      <c r="B39" t="n">
        <v>1.064074828888791</v>
      </c>
      <c r="C39" t="n">
        <v>1.611879499978303</v>
      </c>
      <c r="D39" t="n">
        <v>2.409059035443434</v>
      </c>
      <c r="E39" t="n">
        <v>1.167526548327143</v>
      </c>
      <c r="F39" t="n">
        <v>-0.870875504698748</v>
      </c>
      <c r="G39" t="n">
        <v>-7.123415417336417</v>
      </c>
    </row>
    <row r="40">
      <c r="A40" s="8" t="n">
        <v>48274</v>
      </c>
      <c r="B40" t="n">
        <v>1.055677469685788</v>
      </c>
      <c r="C40" t="n">
        <v>1.599159030716372</v>
      </c>
      <c r="D40" t="n">
        <v>2.390047464534474</v>
      </c>
      <c r="E40" t="n">
        <v>1.158312779201918</v>
      </c>
      <c r="F40" t="n">
        <v>-3.464361113749391</v>
      </c>
      <c r="G40" t="n">
        <v>-9.667557857887942</v>
      </c>
    </row>
    <row r="41">
      <c r="A41" s="8" t="n">
        <v>48305</v>
      </c>
      <c r="B41" t="n">
        <v>1.010230169759555</v>
      </c>
      <c r="C41" t="n">
        <v>1.530314651456916</v>
      </c>
      <c r="D41" t="n">
        <v>2.287155049873999</v>
      </c>
      <c r="E41" t="n">
        <v>1.108446991784434</v>
      </c>
      <c r="F41" t="n">
        <v>-2.748784610843446</v>
      </c>
      <c r="G41" t="n">
        <v>-8.684931473718351</v>
      </c>
    </row>
    <row r="42">
      <c r="A42" s="8" t="n">
        <v>48335</v>
      </c>
      <c r="B42" t="n">
        <v>0.9453707496963485</v>
      </c>
      <c r="C42" t="n">
        <v>1.432064446920511</v>
      </c>
      <c r="D42" t="n">
        <v>2.140313711563178</v>
      </c>
      <c r="E42" t="n">
        <v>1.03728179477289</v>
      </c>
      <c r="F42" t="n">
        <v>-3.507878920077134</v>
      </c>
      <c r="G42" t="n">
        <v>-9.062909623030063</v>
      </c>
    </row>
    <row r="43">
      <c r="A43" s="8" t="n">
        <v>48366</v>
      </c>
      <c r="B43" t="n">
        <v>0.9165750869393616</v>
      </c>
      <c r="C43" t="n">
        <v>1.388444264179465</v>
      </c>
      <c r="D43" t="n">
        <v>2.075120503658105</v>
      </c>
      <c r="E43" t="n">
        <v>1.005686553693307</v>
      </c>
      <c r="F43" t="n">
        <v>-3.255219839797047</v>
      </c>
      <c r="G43" t="n">
        <v>-8.641046248267287</v>
      </c>
    </row>
    <row r="44">
      <c r="A44" s="8" t="n">
        <v>48396</v>
      </c>
      <c r="B44" t="n">
        <v>0.919227826202014</v>
      </c>
      <c r="C44" t="n">
        <v>1.392462680854843</v>
      </c>
      <c r="D44" t="n">
        <v>2.081126289450484</v>
      </c>
      <c r="E44" t="n">
        <v>1.008597198161959</v>
      </c>
      <c r="F44" t="n">
        <v>-2.110954626883115</v>
      </c>
      <c r="G44" t="n">
        <v>-7.512368621552415</v>
      </c>
    </row>
    <row r="45">
      <c r="A45" s="8" t="n">
        <v>48427</v>
      </c>
      <c r="B45" t="n">
        <v>0.921197652756921</v>
      </c>
      <c r="C45" t="n">
        <v>1.395446609199134</v>
      </c>
      <c r="D45" t="n">
        <v>2.085585964965326</v>
      </c>
      <c r="E45" t="n">
        <v>1.010758535631858</v>
      </c>
      <c r="F45" t="n">
        <v>-1.911613149353051</v>
      </c>
      <c r="G45" t="n">
        <v>-7.32460191190629</v>
      </c>
    </row>
    <row r="46">
      <c r="A46" s="8" t="n">
        <v>48458</v>
      </c>
      <c r="B46" t="n">
        <v>0.9396924595667642</v>
      </c>
      <c r="C46" t="n">
        <v>1.423462871912516</v>
      </c>
      <c r="D46" t="n">
        <v>2.127458096740647</v>
      </c>
      <c r="E46" t="n">
        <v>1.031051448658683</v>
      </c>
      <c r="F46" t="n">
        <v>-3.364077569297195</v>
      </c>
      <c r="G46" t="n">
        <v>-8.885742446175804</v>
      </c>
    </row>
    <row r="47">
      <c r="A47" s="8" t="n">
        <v>48488</v>
      </c>
      <c r="B47" t="n">
        <v>0.9851587915079807</v>
      </c>
      <c r="C47" t="n">
        <v>1.492336081207193</v>
      </c>
      <c r="D47" t="n">
        <v>2.230393599768983</v>
      </c>
      <c r="E47" t="n">
        <v>1.080938118425939</v>
      </c>
      <c r="F47" t="n">
        <v>-4.897225219925309</v>
      </c>
      <c r="G47" t="n">
        <v>-10.68605181083541</v>
      </c>
    </row>
    <row r="48">
      <c r="A48" s="8" t="n">
        <v>48519</v>
      </c>
      <c r="B48" t="n">
        <v>1.037995975607287</v>
      </c>
      <c r="C48" t="n">
        <v>1.572374788612002</v>
      </c>
      <c r="D48" t="n">
        <v>2.350016667908607</v>
      </c>
      <c r="E48" t="n">
        <v>1.13891225097751</v>
      </c>
      <c r="F48" t="n">
        <v>-4.726218020810372</v>
      </c>
      <c r="G48" t="n">
        <v>-10.82551770391578</v>
      </c>
    </row>
    <row r="49">
      <c r="A49" s="8" t="n">
        <v>48549</v>
      </c>
      <c r="B49" t="n">
        <v>1.067243470147391</v>
      </c>
      <c r="C49" t="n">
        <v>1.61667941418439</v>
      </c>
      <c r="D49" t="n">
        <v>2.41623282026276</v>
      </c>
      <c r="E49" t="n">
        <v>1.171003251930219</v>
      </c>
      <c r="F49" t="n">
        <v>-3.324334173308501</v>
      </c>
      <c r="G49" t="n">
        <v>-9.595493129833262</v>
      </c>
    </row>
    <row r="50">
      <c r="A50" s="8" t="n">
        <v>48580</v>
      </c>
      <c r="B50" t="n">
        <v>1.066515519241798</v>
      </c>
      <c r="C50" t="n">
        <v>1.615576701189157</v>
      </c>
      <c r="D50" t="n">
        <v>2.414584743775217</v>
      </c>
      <c r="E50" t="n">
        <v>1.170204528019941</v>
      </c>
      <c r="F50" t="n">
        <v>0.6724186904571545</v>
      </c>
      <c r="G50" t="n">
        <v>-5.594462801768961</v>
      </c>
    </row>
    <row r="51">
      <c r="A51" s="8" t="n">
        <v>48611</v>
      </c>
      <c r="B51" t="n">
        <v>1.064074828888791</v>
      </c>
      <c r="C51" t="n">
        <v>1.611879499978303</v>
      </c>
      <c r="D51" t="n">
        <v>2.409059035443434</v>
      </c>
      <c r="E51" t="n">
        <v>1.167526548327143</v>
      </c>
      <c r="F51" t="n">
        <v>-0.8506954673460743</v>
      </c>
      <c r="G51" t="n">
        <v>-7.103235379983744</v>
      </c>
    </row>
    <row r="52">
      <c r="A52" s="8" t="n">
        <v>48639</v>
      </c>
      <c r="B52" t="n">
        <v>1.055677469685788</v>
      </c>
      <c r="C52" t="n">
        <v>1.599159030716372</v>
      </c>
      <c r="D52" t="n">
        <v>2.390047464534474</v>
      </c>
      <c r="E52" t="n">
        <v>1.158312779201918</v>
      </c>
      <c r="F52" t="n">
        <v>-3.471037687122981</v>
      </c>
      <c r="G52" t="n">
        <v>-9.674234431261532</v>
      </c>
    </row>
    <row r="53">
      <c r="A53" s="8" t="n">
        <v>48670</v>
      </c>
      <c r="B53" t="n">
        <v>1.010230169759555</v>
      </c>
      <c r="C53" t="n">
        <v>1.530314651456916</v>
      </c>
      <c r="D53" t="n">
        <v>2.287155049873999</v>
      </c>
      <c r="E53" t="n">
        <v>1.108446991784434</v>
      </c>
      <c r="F53" t="n">
        <v>-2.767059746790382</v>
      </c>
      <c r="G53" t="n">
        <v>-8.703206609665287</v>
      </c>
    </row>
    <row r="54">
      <c r="A54" s="8" t="n">
        <v>48700</v>
      </c>
      <c r="B54" t="n">
        <v>0.9453707496963485</v>
      </c>
      <c r="C54" t="n">
        <v>1.432064446920511</v>
      </c>
      <c r="D54" t="n">
        <v>2.140313711563178</v>
      </c>
      <c r="E54" t="n">
        <v>1.03728179477289</v>
      </c>
      <c r="F54" t="n">
        <v>-3.534227691735781</v>
      </c>
      <c r="G54" t="n">
        <v>-9.089258394688709</v>
      </c>
    </row>
    <row r="55">
      <c r="A55" s="8" t="n">
        <v>48731</v>
      </c>
      <c r="B55" t="n">
        <v>0.9165750869393616</v>
      </c>
      <c r="C55" t="n">
        <v>1.388444264179465</v>
      </c>
      <c r="D55" t="n">
        <v>2.075120503658105</v>
      </c>
      <c r="E55" t="n">
        <v>1.005686553693307</v>
      </c>
      <c r="F55" t="n">
        <v>-3.292725477606088</v>
      </c>
      <c r="G55" t="n">
        <v>-8.678551886076328</v>
      </c>
    </row>
    <row r="56">
      <c r="A56" s="8" t="n">
        <v>48761</v>
      </c>
      <c r="B56" t="n">
        <v>0.919227826202014</v>
      </c>
      <c r="C56" t="n">
        <v>1.392462680854843</v>
      </c>
      <c r="D56" t="n">
        <v>2.081126289450484</v>
      </c>
      <c r="E56" t="n">
        <v>1.008597198161959</v>
      </c>
      <c r="F56" t="n">
        <v>-2.159687008002117</v>
      </c>
      <c r="G56" t="n">
        <v>-7.561101002671418</v>
      </c>
    </row>
    <row r="57">
      <c r="A57" s="8" t="n">
        <v>48792</v>
      </c>
      <c r="B57" t="n">
        <v>0.921197652756921</v>
      </c>
      <c r="C57" t="n">
        <v>1.395446609199134</v>
      </c>
      <c r="D57" t="n">
        <v>2.085585964965326</v>
      </c>
      <c r="E57" t="n">
        <v>1.010758535631858</v>
      </c>
      <c r="F57" t="n">
        <v>-1.964729655370134</v>
      </c>
      <c r="G57" t="n">
        <v>-7.377718417923374</v>
      </c>
    </row>
    <row r="58">
      <c r="A58" s="8" t="n">
        <v>48823</v>
      </c>
      <c r="B58" t="n">
        <v>0.9396924595667642</v>
      </c>
      <c r="C58" t="n">
        <v>1.423462871912516</v>
      </c>
      <c r="D58" t="n">
        <v>2.127458096740647</v>
      </c>
      <c r="E58" t="n">
        <v>1.031051448658683</v>
      </c>
      <c r="F58" t="n">
        <v>-3.41458961549558</v>
      </c>
      <c r="G58" t="n">
        <v>-8.936254492374189</v>
      </c>
    </row>
    <row r="59">
      <c r="A59" s="8" t="n">
        <v>48853</v>
      </c>
      <c r="B59" t="n">
        <v>0.9851587915079807</v>
      </c>
      <c r="C59" t="n">
        <v>1.492336081207193</v>
      </c>
      <c r="D59" t="n">
        <v>2.230393599768983</v>
      </c>
      <c r="E59" t="n">
        <v>1.080938118425939</v>
      </c>
      <c r="F59" t="n">
        <v>-4.945393565140014</v>
      </c>
      <c r="G59" t="n">
        <v>-10.73422015605011</v>
      </c>
    </row>
    <row r="60">
      <c r="A60" s="8" t="n">
        <v>48884</v>
      </c>
      <c r="B60" t="n">
        <v>1.037995975607287</v>
      </c>
      <c r="C60" t="n">
        <v>1.572374788612002</v>
      </c>
      <c r="D60" t="n">
        <v>2.350016667908607</v>
      </c>
      <c r="E60" t="n">
        <v>1.13891225097751</v>
      </c>
      <c r="F60" t="n">
        <v>-4.774990601372751</v>
      </c>
      <c r="G60" t="n">
        <v>-10.87429028447816</v>
      </c>
    </row>
    <row r="61">
      <c r="A61" s="8" t="n">
        <v>48914</v>
      </c>
      <c r="B61" t="n">
        <v>1.067243470147391</v>
      </c>
      <c r="C61" t="n">
        <v>1.61667941418439</v>
      </c>
      <c r="D61" t="n">
        <v>2.41623282026276</v>
      </c>
      <c r="E61" t="n">
        <v>1.171003251930219</v>
      </c>
      <c r="F61" t="n">
        <v>-3.362293119341843</v>
      </c>
      <c r="G61" t="n">
        <v>-9.633452075866604</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K157"/>
  <sheetViews>
    <sheetView workbookViewId="0">
      <selection activeCell="A1" sqref="A1"/>
    </sheetView>
  </sheetViews>
  <sheetFormatPr baseColWidth="8" defaultRowHeight="15"/>
  <cols>
    <col width="11" customWidth="1" min="1" max="1"/>
  </cols>
  <sheetData>
    <row r="1">
      <c r="A1" t="inlineStr">
        <is>
          <t>Date</t>
        </is>
      </c>
      <c r="B1" t="inlineStr">
        <is>
          <t>Electric power</t>
        </is>
      </c>
      <c r="C1" t="inlineStr">
        <is>
          <t>Industrial</t>
        </is>
      </c>
      <c r="D1" t="inlineStr">
        <is>
          <t>Res., comm., vehicle</t>
        </is>
      </c>
      <c r="E1" t="inlineStr">
        <is>
          <t>Mexico pipeline</t>
        </is>
      </c>
      <c r="F1" t="inlineStr">
        <is>
          <t>Data centres</t>
        </is>
      </c>
      <c r="G1" t="inlineStr">
        <is>
          <t>LNG feedgas</t>
        </is>
      </c>
      <c r="H1" t="inlineStr">
        <is>
          <t>Storage injection</t>
        </is>
      </c>
      <c r="I1" t="inlineStr">
        <is>
          <t>Dry production</t>
        </is>
      </c>
      <c r="J1" t="inlineStr">
        <is>
          <t>Dry prod. + storage withdrawal</t>
        </is>
      </c>
      <c r="K1" t="inlineStr">
        <is>
          <t>Dry prod. + withdrawal, takeaway delayed</t>
        </is>
      </c>
    </row>
    <row r="2">
      <c r="A2" s="8" t="n">
        <v>44197</v>
      </c>
      <c r="B2" t="n">
        <v>3.671612903225806</v>
      </c>
      <c r="C2" t="n">
        <v>5.748096774193549</v>
      </c>
      <c r="D2" t="n">
        <v>2.254548387096774</v>
      </c>
      <c r="E2" t="n">
        <v>2.552483870967742</v>
      </c>
      <c r="F2" t="n">
        <v>0</v>
      </c>
      <c r="G2" t="n">
        <v>4.16024870967742</v>
      </c>
      <c r="H2" t="n">
        <v>0.5196451612903226</v>
      </c>
      <c r="I2" t="n">
        <v>22.10383870967742</v>
      </c>
      <c r="J2" t="n">
        <v>24.66383870967742</v>
      </c>
    </row>
    <row r="3">
      <c r="A3" s="8" t="n">
        <v>44228</v>
      </c>
      <c r="B3" t="n">
        <v>4.4955</v>
      </c>
      <c r="C3" t="n">
        <v>4.749571428571429</v>
      </c>
      <c r="D3" t="n">
        <v>2.726857142857143</v>
      </c>
      <c r="E3" t="n">
        <v>2.252428571428571</v>
      </c>
      <c r="F3" t="n">
        <v>0</v>
      </c>
      <c r="G3" t="n">
        <v>2.483681785714286</v>
      </c>
      <c r="H3" t="n">
        <v>1.272107142857143</v>
      </c>
      <c r="I3" t="n">
        <v>18.401</v>
      </c>
      <c r="J3" t="n">
        <v>22.81375</v>
      </c>
    </row>
    <row r="4">
      <c r="A4" s="8" t="n">
        <v>44256</v>
      </c>
      <c r="B4" t="n">
        <v>2.87358064516129</v>
      </c>
      <c r="C4" t="n">
        <v>4.849387096774193</v>
      </c>
      <c r="D4" t="n">
        <v>1.40158064516129</v>
      </c>
      <c r="E4" t="n">
        <v>2.643935483870968</v>
      </c>
      <c r="F4" t="n">
        <v>0</v>
      </c>
      <c r="G4" t="n">
        <v>4.437917419354839</v>
      </c>
      <c r="H4" t="n">
        <v>1.762354838709677</v>
      </c>
      <c r="I4" t="n">
        <v>22.99258064516129</v>
      </c>
      <c r="J4" t="n">
        <v>24.13693548387097</v>
      </c>
    </row>
    <row r="5">
      <c r="A5" s="8" t="n">
        <v>44287</v>
      </c>
      <c r="B5" t="n">
        <v>3.746233333333333</v>
      </c>
      <c r="C5" t="n">
        <v>5.287166666666667</v>
      </c>
      <c r="D5" t="n">
        <v>0.8880333333333335</v>
      </c>
      <c r="E5" t="n">
        <v>2.670233333333333</v>
      </c>
      <c r="F5" t="n">
        <v>0</v>
      </c>
      <c r="G5" t="n">
        <v>4.377658</v>
      </c>
      <c r="H5" t="n">
        <v>1.559</v>
      </c>
      <c r="I5" t="n">
        <v>23.71223333333333</v>
      </c>
      <c r="J5" t="n">
        <v>24.4791</v>
      </c>
    </row>
    <row r="6">
      <c r="A6" s="8" t="n">
        <v>44317</v>
      </c>
      <c r="B6" t="n">
        <v>3.843774193548387</v>
      </c>
      <c r="C6" t="n">
        <v>5.234774193548387</v>
      </c>
      <c r="D6" t="n">
        <v>0.6370322580645161</v>
      </c>
      <c r="E6" t="n">
        <v>2.766322580645161</v>
      </c>
      <c r="F6" t="n">
        <v>0</v>
      </c>
      <c r="G6" t="n">
        <v>4.289044516129033</v>
      </c>
      <c r="H6" t="n">
        <v>2.060290322580645</v>
      </c>
      <c r="I6" t="n">
        <v>23.58770967741935</v>
      </c>
      <c r="J6" t="n">
        <v>23.95854838709677</v>
      </c>
    </row>
    <row r="7">
      <c r="A7" s="8" t="n">
        <v>44348</v>
      </c>
      <c r="B7" t="n">
        <v>5.751166666666667</v>
      </c>
      <c r="C7" t="n">
        <v>5.296266666666666</v>
      </c>
      <c r="D7" t="n">
        <v>0.5951666666666667</v>
      </c>
      <c r="E7" t="n">
        <v>2.929933333333334</v>
      </c>
      <c r="F7" t="n">
        <v>0</v>
      </c>
      <c r="G7" t="n">
        <v>4.362725000000001</v>
      </c>
      <c r="H7" t="n">
        <v>1.1406</v>
      </c>
      <c r="I7" t="n">
        <v>23.52116666666667</v>
      </c>
      <c r="J7" t="n">
        <v>24.8605</v>
      </c>
    </row>
    <row r="8">
      <c r="A8" s="8" t="n">
        <v>44378</v>
      </c>
      <c r="B8" t="n">
        <v>6.234870967741935</v>
      </c>
      <c r="C8" t="n">
        <v>5.42283870967742</v>
      </c>
      <c r="D8" t="n">
        <v>0.5890000000000001</v>
      </c>
      <c r="E8" t="n">
        <v>2.876193548387096</v>
      </c>
      <c r="F8" t="n">
        <v>0</v>
      </c>
      <c r="G8" t="n">
        <v>4.267807096774193</v>
      </c>
      <c r="H8" t="n">
        <v>0.9387096774193548</v>
      </c>
      <c r="I8" t="n">
        <v>23.99703225806451</v>
      </c>
      <c r="J8" t="n">
        <v>25.25290322580645</v>
      </c>
    </row>
    <row r="9">
      <c r="A9" s="8" t="n">
        <v>44409</v>
      </c>
      <c r="B9" t="n">
        <v>6.327096774193548</v>
      </c>
      <c r="C9" t="n">
        <v>5.458516129032258</v>
      </c>
      <c r="D9" t="n">
        <v>0.5680322580645162</v>
      </c>
      <c r="E9" t="n">
        <v>2.802806451612903</v>
      </c>
      <c r="F9" t="n">
        <v>0</v>
      </c>
      <c r="G9" t="n">
        <v>4.478669354838711</v>
      </c>
      <c r="H9" t="n">
        <v>1.041451612903226</v>
      </c>
      <c r="I9" t="n">
        <v>24.04129032258064</v>
      </c>
      <c r="J9" t="n">
        <v>25.72906451612903</v>
      </c>
    </row>
    <row r="10">
      <c r="A10" s="8" t="n">
        <v>44440</v>
      </c>
      <c r="B10" t="n">
        <v>5.298666666666667</v>
      </c>
      <c r="C10" t="n">
        <v>5.518066666666667</v>
      </c>
      <c r="D10" t="n">
        <v>0.5734000000000001</v>
      </c>
      <c r="E10" t="n">
        <v>2.6138</v>
      </c>
      <c r="F10" t="n">
        <v>0</v>
      </c>
      <c r="G10" t="n">
        <v>4.103632</v>
      </c>
      <c r="H10" t="n">
        <v>2.160866666666667</v>
      </c>
      <c r="I10" t="n">
        <v>24.82143333333334</v>
      </c>
      <c r="J10" t="n">
        <v>25.49676666666667</v>
      </c>
    </row>
    <row r="11">
      <c r="A11" s="8" t="n">
        <v>44470</v>
      </c>
      <c r="B11" t="n">
        <v>4.412612903225807</v>
      </c>
      <c r="C11" t="n">
        <v>5.262677419354839</v>
      </c>
      <c r="D11" t="n">
        <v>0.6468709677419356</v>
      </c>
      <c r="E11" t="n">
        <v>2.767870967741935</v>
      </c>
      <c r="F11" t="n">
        <v>0</v>
      </c>
      <c r="G11" t="n">
        <v>4.390695806451614</v>
      </c>
      <c r="H11" t="n">
        <v>2.154032258064516</v>
      </c>
      <c r="I11" t="n">
        <v>24.74848387096774</v>
      </c>
      <c r="J11" t="n">
        <v>25.33777419354838</v>
      </c>
    </row>
    <row r="12">
      <c r="A12" s="8" t="n">
        <v>44501</v>
      </c>
      <c r="B12" t="n">
        <v>3.4576</v>
      </c>
      <c r="C12" t="n">
        <v>5.6497</v>
      </c>
      <c r="D12" t="n">
        <v>1.053933333333333</v>
      </c>
      <c r="E12" t="n">
        <v>2.557566666666667</v>
      </c>
      <c r="F12" t="n">
        <v>0</v>
      </c>
      <c r="G12" t="n">
        <v>3.903508</v>
      </c>
      <c r="H12" t="n">
        <v>1.294366666666667</v>
      </c>
      <c r="I12" t="n">
        <v>24.64196666666667</v>
      </c>
      <c r="J12" t="n">
        <v>25.75683333333334</v>
      </c>
    </row>
    <row r="13">
      <c r="A13" s="8" t="n">
        <v>44531</v>
      </c>
      <c r="B13" t="n">
        <v>3.378290322580646</v>
      </c>
      <c r="C13" t="n">
        <v>5.783322580645161</v>
      </c>
      <c r="D13" t="n">
        <v>1.123838709677419</v>
      </c>
      <c r="E13" t="n">
        <v>2.405741935483871</v>
      </c>
      <c r="F13" t="n">
        <v>0</v>
      </c>
      <c r="G13" t="n">
        <v>4.614497419354839</v>
      </c>
      <c r="H13" t="n">
        <v>1.387967741935484</v>
      </c>
      <c r="I13" t="n">
        <v>24.995</v>
      </c>
      <c r="J13" t="n">
        <v>26.36251612903226</v>
      </c>
    </row>
    <row r="14">
      <c r="A14" s="8" t="n">
        <v>44562</v>
      </c>
      <c r="B14" t="n">
        <v>4.094129032258064</v>
      </c>
      <c r="C14" t="n">
        <v>5.599161290322581</v>
      </c>
      <c r="D14" t="n">
        <v>2.062354838709678</v>
      </c>
      <c r="E14" t="n">
        <v>2.562612903225807</v>
      </c>
      <c r="F14" t="n">
        <v>0</v>
      </c>
      <c r="G14" t="n">
        <v>4.595369677419354</v>
      </c>
      <c r="H14" t="n">
        <v>0.5149677419354839</v>
      </c>
      <c r="I14" t="n">
        <v>23.17987096774193</v>
      </c>
      <c r="J14" t="n">
        <v>27.18048387096774</v>
      </c>
    </row>
    <row r="15">
      <c r="A15" s="8" t="n">
        <v>44593</v>
      </c>
      <c r="B15" t="n">
        <v>4.156392857142857</v>
      </c>
      <c r="C15" t="n">
        <v>5.527285714285715</v>
      </c>
      <c r="D15" t="n">
        <v>2.543178571428571</v>
      </c>
      <c r="E15" t="n">
        <v>2.727035714285714</v>
      </c>
      <c r="F15" t="n">
        <v>0</v>
      </c>
      <c r="G15" t="n">
        <v>4.697160357142858</v>
      </c>
      <c r="H15" t="n">
        <v>0.7398571428571429</v>
      </c>
      <c r="I15" t="n">
        <v>24.34007142857143</v>
      </c>
      <c r="J15" t="n">
        <v>28.02125</v>
      </c>
    </row>
    <row r="16">
      <c r="A16" s="8" t="n">
        <v>44621</v>
      </c>
      <c r="B16" t="n">
        <v>2.959516129032258</v>
      </c>
      <c r="C16" t="n">
        <v>5.511225806451613</v>
      </c>
      <c r="D16" t="n">
        <v>1.635258064516129</v>
      </c>
      <c r="E16" t="n">
        <v>2.667935483870968</v>
      </c>
      <c r="F16" t="n">
        <v>0</v>
      </c>
      <c r="G16" t="n">
        <v>4.382503225806452</v>
      </c>
      <c r="H16" t="n">
        <v>1.433064516129032</v>
      </c>
      <c r="I16" t="n">
        <v>24.87987096774194</v>
      </c>
      <c r="J16" t="n">
        <v>26.30580645161291</v>
      </c>
    </row>
    <row r="17">
      <c r="A17" s="8" t="n">
        <v>44652</v>
      </c>
      <c r="B17" t="n">
        <v>3.282933333333333</v>
      </c>
      <c r="C17" t="n">
        <v>5.453966666666666</v>
      </c>
      <c r="D17" t="n">
        <v>0.9139666666666667</v>
      </c>
      <c r="E17" t="n">
        <v>2.7244</v>
      </c>
      <c r="F17" t="n">
        <v>0</v>
      </c>
      <c r="G17" t="n">
        <v>3.544462</v>
      </c>
      <c r="H17" t="n">
        <v>2.011033333333333</v>
      </c>
      <c r="I17" t="n">
        <v>25.36933333333333</v>
      </c>
      <c r="J17" t="n">
        <v>25.88993333333333</v>
      </c>
    </row>
    <row r="18">
      <c r="A18" s="8" t="n">
        <v>44682</v>
      </c>
      <c r="B18" t="n">
        <v>4.855322580645161</v>
      </c>
      <c r="C18" t="n">
        <v>5.277774193548387</v>
      </c>
      <c r="D18" t="n">
        <v>0.6311612903225807</v>
      </c>
      <c r="E18" t="n">
        <v>2.805161290322581</v>
      </c>
      <c r="F18" t="n">
        <v>0</v>
      </c>
      <c r="G18" t="n">
        <v>4.411511290322581</v>
      </c>
      <c r="H18" t="n">
        <v>1.664612903225806</v>
      </c>
      <c r="I18" t="n">
        <v>24.7518064516129</v>
      </c>
      <c r="J18" t="n">
        <v>25.42041935483871</v>
      </c>
    </row>
    <row r="19">
      <c r="A19" s="8" t="n">
        <v>44713</v>
      </c>
      <c r="B19" t="n">
        <v>6.1464</v>
      </c>
      <c r="C19" t="n">
        <v>5.399933333333333</v>
      </c>
      <c r="D19" t="n">
        <v>0.5885333333333332</v>
      </c>
      <c r="E19" t="n">
        <v>2.674066666666667</v>
      </c>
      <c r="F19" t="n">
        <v>0</v>
      </c>
      <c r="G19" t="n">
        <v>2.944598666666666</v>
      </c>
      <c r="H19" t="n">
        <v>1.453166666666667</v>
      </c>
      <c r="I19" t="n">
        <v>24.54246666666667</v>
      </c>
      <c r="J19" t="n">
        <v>25.32426666666667</v>
      </c>
    </row>
    <row r="20">
      <c r="A20" s="8" t="n">
        <v>44743</v>
      </c>
      <c r="B20" t="n">
        <v>7.247</v>
      </c>
      <c r="C20" t="n">
        <v>5.349774193548387</v>
      </c>
      <c r="D20" t="n">
        <v>0.5826774193548387</v>
      </c>
      <c r="E20" t="n">
        <v>2.817677419354839</v>
      </c>
      <c r="F20" t="n">
        <v>0</v>
      </c>
      <c r="G20" t="n">
        <v>2.218009354838709</v>
      </c>
      <c r="H20" t="n">
        <v>1.202129032258065</v>
      </c>
      <c r="I20" t="n">
        <v>24.48077419354838</v>
      </c>
      <c r="J20" t="n">
        <v>25.86877419354838</v>
      </c>
    </row>
    <row r="21">
      <c r="A21" s="8" t="n">
        <v>44774</v>
      </c>
      <c r="B21" t="n">
        <v>7.078322580645161</v>
      </c>
      <c r="C21" t="n">
        <v>5.306225806451613</v>
      </c>
      <c r="D21" t="n">
        <v>0.5395483870967741</v>
      </c>
      <c r="E21" t="n">
        <v>2.790903225806451</v>
      </c>
      <c r="F21" t="n">
        <v>0</v>
      </c>
      <c r="G21" t="n">
        <v>2.229507096774194</v>
      </c>
      <c r="H21" t="n">
        <v>1.73141935483871</v>
      </c>
      <c r="I21" t="n">
        <v>25.02229032258064</v>
      </c>
      <c r="J21" t="n">
        <v>26.76590322580645</v>
      </c>
    </row>
    <row r="22">
      <c r="A22" s="8" t="n">
        <v>44805</v>
      </c>
      <c r="B22" t="n">
        <v>6.03</v>
      </c>
      <c r="C22" t="n">
        <v>5.1567</v>
      </c>
      <c r="D22" t="n">
        <v>0.5680000000000001</v>
      </c>
      <c r="E22" t="n">
        <v>2.759933333333333</v>
      </c>
      <c r="F22" t="n">
        <v>0</v>
      </c>
      <c r="G22" t="n">
        <v>2.173133</v>
      </c>
      <c r="H22" t="n">
        <v>2.6006</v>
      </c>
      <c r="I22" t="n">
        <v>25.65153333333333</v>
      </c>
      <c r="J22" t="n">
        <v>26.78766666666666</v>
      </c>
    </row>
    <row r="23">
      <c r="A23" s="8" t="n">
        <v>44835</v>
      </c>
      <c r="B23" t="n">
        <v>4.475677419354839</v>
      </c>
      <c r="C23" t="n">
        <v>5.268645161290323</v>
      </c>
      <c r="D23" t="n">
        <v>0.7331612903225807</v>
      </c>
      <c r="E23" t="n">
        <v>2.740677419354839</v>
      </c>
      <c r="F23" t="n">
        <v>0</v>
      </c>
      <c r="G23" t="n">
        <v>2.348281935483871</v>
      </c>
      <c r="H23" t="n">
        <v>2.467064516129032</v>
      </c>
      <c r="I23" t="n">
        <v>25.33190322580645</v>
      </c>
      <c r="J23" t="n">
        <v>25.78496774193548</v>
      </c>
    </row>
    <row r="24">
      <c r="A24" s="8" t="n">
        <v>44866</v>
      </c>
      <c r="B24" t="n">
        <v>4.325966666666666</v>
      </c>
      <c r="C24" t="n">
        <v>5.461066666666667</v>
      </c>
      <c r="D24" t="n">
        <v>1.553833333333333</v>
      </c>
      <c r="E24" t="n">
        <v>2.750966666666667</v>
      </c>
      <c r="F24" t="n">
        <v>0</v>
      </c>
      <c r="G24" t="n">
        <v>2.072017333333333</v>
      </c>
      <c r="H24" t="n">
        <v>1.554566666666667</v>
      </c>
      <c r="I24" t="n">
        <v>25.37643333333333</v>
      </c>
      <c r="J24" t="n">
        <v>26.79403333333333</v>
      </c>
    </row>
    <row r="25">
      <c r="A25" s="8" t="n">
        <v>44896</v>
      </c>
      <c r="B25" t="n">
        <v>4.625387096774193</v>
      </c>
      <c r="C25" t="n">
        <v>5.226</v>
      </c>
      <c r="D25" t="n">
        <v>1.912096774193549</v>
      </c>
      <c r="E25" t="n">
        <v>2.523516129032258</v>
      </c>
      <c r="F25" t="n">
        <v>0</v>
      </c>
      <c r="G25" t="n">
        <v>2.254506774193549</v>
      </c>
      <c r="H25" t="n">
        <v>1.395903225806452</v>
      </c>
      <c r="I25" t="n">
        <v>25.55032258064516</v>
      </c>
      <c r="J25" t="n">
        <v>27.83441935483871</v>
      </c>
    </row>
    <row r="26">
      <c r="A26" s="8" t="n">
        <v>44927</v>
      </c>
      <c r="B26" t="n">
        <v>4.131806451612904</v>
      </c>
      <c r="C26" t="n">
        <v>5.51583870967742</v>
      </c>
      <c r="D26" t="n">
        <v>1.972</v>
      </c>
      <c r="E26" t="n">
        <v>2.707741935483871</v>
      </c>
      <c r="F26" t="n">
        <v>0</v>
      </c>
      <c r="G26" t="n">
        <v>2.199971612903226</v>
      </c>
      <c r="H26" t="n">
        <v>1.189967741935484</v>
      </c>
      <c r="I26" t="n">
        <v>25.18170967741936</v>
      </c>
      <c r="J26" t="n">
        <v>27.11406451612904</v>
      </c>
    </row>
    <row r="27">
      <c r="A27" s="8" t="n">
        <v>44958</v>
      </c>
      <c r="B27" t="n">
        <v>4.249357142857143</v>
      </c>
      <c r="C27" t="n">
        <v>5.526035714285714</v>
      </c>
      <c r="D27" t="n">
        <v>2.053714285714286</v>
      </c>
      <c r="E27" t="n">
        <v>2.707571428571429</v>
      </c>
      <c r="F27" t="n">
        <v>0</v>
      </c>
      <c r="G27" t="n">
        <v>2.945725</v>
      </c>
      <c r="H27" t="n">
        <v>1.318821428571429</v>
      </c>
      <c r="I27" t="n">
        <v>25.22707142857143</v>
      </c>
      <c r="J27" t="n">
        <v>27.12071428571429</v>
      </c>
    </row>
    <row r="28">
      <c r="A28" s="8" t="n">
        <v>44986</v>
      </c>
      <c r="B28" t="n">
        <v>3.893903225806452</v>
      </c>
      <c r="C28" t="n">
        <v>5.402161290322581</v>
      </c>
      <c r="D28" t="n">
        <v>1.312290322580645</v>
      </c>
      <c r="E28" t="n">
        <v>2.856064516129032</v>
      </c>
      <c r="F28" t="n">
        <v>0</v>
      </c>
      <c r="G28" t="n">
        <v>3.379808709677419</v>
      </c>
      <c r="H28" t="n">
        <v>1.539709677419355</v>
      </c>
      <c r="I28" t="n">
        <v>26.69438709677419</v>
      </c>
      <c r="J28" t="n">
        <v>27.71354838709677</v>
      </c>
    </row>
    <row r="29">
      <c r="A29" s="8" t="n">
        <v>45017</v>
      </c>
      <c r="B29" t="n">
        <v>3.9954</v>
      </c>
      <c r="C29" t="n">
        <v>5.470466666666666</v>
      </c>
      <c r="D29" t="n">
        <v>0.8502333333333334</v>
      </c>
      <c r="E29" t="n">
        <v>2.752766666666667</v>
      </c>
      <c r="F29" t="n">
        <v>0</v>
      </c>
      <c r="G29" t="n">
        <v>4.289840333333332</v>
      </c>
      <c r="H29" t="n">
        <v>1.441633333333334</v>
      </c>
      <c r="I29" t="n">
        <v>26.09276666666667</v>
      </c>
      <c r="J29" t="n">
        <v>26.7881</v>
      </c>
    </row>
    <row r="30">
      <c r="A30" s="8" t="n">
        <v>45047</v>
      </c>
      <c r="B30" t="n">
        <v>5.581419354838709</v>
      </c>
      <c r="C30" t="n">
        <v>5.328387096774193</v>
      </c>
      <c r="D30" t="n">
        <v>0.6496774193548387</v>
      </c>
      <c r="E30" t="n">
        <v>2.939967741935484</v>
      </c>
      <c r="F30" t="n">
        <v>0</v>
      </c>
      <c r="G30" t="n">
        <v>4.435456129032257</v>
      </c>
      <c r="H30" t="n">
        <v>1.817225806451613</v>
      </c>
      <c r="I30" t="n">
        <v>26.302</v>
      </c>
      <c r="J30" t="n">
        <v>27.00748387096774</v>
      </c>
    </row>
    <row r="31">
      <c r="A31" s="8" t="n">
        <v>45078</v>
      </c>
      <c r="B31" t="n">
        <v>7.014966666666666</v>
      </c>
      <c r="C31" t="n">
        <v>5.343</v>
      </c>
      <c r="D31" t="n">
        <v>0.6355333333333334</v>
      </c>
      <c r="E31" t="n">
        <v>3.368</v>
      </c>
      <c r="F31" t="n">
        <v>0</v>
      </c>
      <c r="G31" t="n">
        <v>4.568444333333334</v>
      </c>
      <c r="H31" t="n">
        <v>1.372766666666667</v>
      </c>
      <c r="I31" t="n">
        <v>25.9884</v>
      </c>
      <c r="J31" t="n">
        <v>27.0037</v>
      </c>
    </row>
    <row r="32">
      <c r="A32" s="8" t="n">
        <v>45108</v>
      </c>
      <c r="B32" t="n">
        <v>7.577548387096774</v>
      </c>
      <c r="C32" t="n">
        <v>5.342064516129033</v>
      </c>
      <c r="D32" t="n">
        <v>0.618</v>
      </c>
      <c r="E32" t="n">
        <v>3.123096774193549</v>
      </c>
      <c r="F32" t="n">
        <v>0</v>
      </c>
      <c r="G32" t="n">
        <v>4.154693225806451</v>
      </c>
      <c r="H32" t="n">
        <v>0.9224516129032259</v>
      </c>
      <c r="I32" t="n">
        <v>26.24264516129032</v>
      </c>
      <c r="J32" t="n">
        <v>27.72909677419355</v>
      </c>
    </row>
    <row r="33">
      <c r="A33" s="8" t="n">
        <v>45139</v>
      </c>
      <c r="B33" t="n">
        <v>8.656483870967742</v>
      </c>
      <c r="C33" t="n">
        <v>5.447580645161291</v>
      </c>
      <c r="D33" t="n">
        <v>0.5730322580645161</v>
      </c>
      <c r="E33" t="n">
        <v>3.173225806451613</v>
      </c>
      <c r="F33" t="n">
        <v>0</v>
      </c>
      <c r="G33" t="n">
        <v>4.355429032258064</v>
      </c>
      <c r="H33" t="n">
        <v>1.958129032258065</v>
      </c>
      <c r="I33" t="n">
        <v>26.59361290322581</v>
      </c>
      <c r="J33" t="n">
        <v>29.96564516129033</v>
      </c>
    </row>
    <row r="34">
      <c r="A34" s="8" t="n">
        <v>45170</v>
      </c>
      <c r="B34" t="n">
        <v>7.155399999999999</v>
      </c>
      <c r="C34" t="n">
        <v>5.445399999999999</v>
      </c>
      <c r="D34" t="n">
        <v>0.5554333333333333</v>
      </c>
      <c r="E34" t="n">
        <v>3.124733333333333</v>
      </c>
      <c r="F34" t="n">
        <v>0</v>
      </c>
      <c r="G34" t="n">
        <v>4.119473333333334</v>
      </c>
      <c r="H34" t="n">
        <v>3.023566666666667</v>
      </c>
      <c r="I34" t="n">
        <v>26.9492</v>
      </c>
      <c r="J34" t="n">
        <v>29.7367</v>
      </c>
    </row>
    <row r="35">
      <c r="A35" s="8" t="n">
        <v>45200</v>
      </c>
      <c r="B35" t="n">
        <v>4.932032258064516</v>
      </c>
      <c r="C35" t="n">
        <v>5.434838709677419</v>
      </c>
      <c r="D35" t="n">
        <v>0.7882903225806452</v>
      </c>
      <c r="E35" t="n">
        <v>3.054387096774194</v>
      </c>
      <c r="F35" t="n">
        <v>0</v>
      </c>
      <c r="G35" t="n">
        <v>4.477333225806452</v>
      </c>
      <c r="H35" t="n">
        <v>2.598548387096774</v>
      </c>
      <c r="I35" t="n">
        <v>26.96512903225807</v>
      </c>
      <c r="J35" t="n">
        <v>28.01590322580646</v>
      </c>
    </row>
    <row r="36">
      <c r="A36" s="8" t="n">
        <v>45231</v>
      </c>
      <c r="B36" t="n">
        <v>4.633666666666667</v>
      </c>
      <c r="C36" t="n">
        <v>5.712766666666666</v>
      </c>
      <c r="D36" t="n">
        <v>1.318333333333333</v>
      </c>
      <c r="E36" t="n">
        <v>2.908766666666667</v>
      </c>
      <c r="F36" t="n">
        <v>0</v>
      </c>
      <c r="G36" t="n">
        <v>4.525462000000001</v>
      </c>
      <c r="H36" t="n">
        <v>1.747533333333333</v>
      </c>
      <c r="I36" t="n">
        <v>27.1668</v>
      </c>
      <c r="J36" t="n">
        <v>28.54576666666667</v>
      </c>
    </row>
    <row r="37">
      <c r="A37" s="8" t="n">
        <v>45261</v>
      </c>
      <c r="B37" t="n">
        <v>4.421</v>
      </c>
      <c r="C37" t="n">
        <v>5.817548387096775</v>
      </c>
      <c r="D37" t="n">
        <v>1.740677419354839</v>
      </c>
      <c r="E37" t="n">
        <v>2.73416129032258</v>
      </c>
      <c r="F37" t="n">
        <v>0</v>
      </c>
      <c r="G37" t="n">
        <v>4.761295806451613</v>
      </c>
      <c r="H37" t="n">
        <v>1.347290322580645</v>
      </c>
      <c r="I37" t="n">
        <v>27.04570967741936</v>
      </c>
      <c r="J37" t="n">
        <v>28.48216129032259</v>
      </c>
    </row>
    <row r="38">
      <c r="A38" s="8" t="n">
        <v>45292</v>
      </c>
      <c r="B38" t="n">
        <v>5.561419354838709</v>
      </c>
      <c r="C38" t="n">
        <v>5.737903225806452</v>
      </c>
      <c r="D38" t="n">
        <v>2.638677419354838</v>
      </c>
      <c r="E38" t="n">
        <v>3.045290322580645</v>
      </c>
      <c r="F38" t="n">
        <v>0</v>
      </c>
      <c r="G38" t="n">
        <v>4.002901935483871</v>
      </c>
      <c r="H38" t="n">
        <v>0.917741935483871</v>
      </c>
      <c r="I38" t="n">
        <v>25.127</v>
      </c>
      <c r="J38" t="n">
        <v>29.08141935483871</v>
      </c>
    </row>
    <row r="39">
      <c r="A39" s="8" t="n">
        <v>45323</v>
      </c>
      <c r="B39" t="n">
        <v>4.008068965517241</v>
      </c>
      <c r="C39" t="n">
        <v>5.536586206896551</v>
      </c>
      <c r="D39" t="n">
        <v>1.869551724137931</v>
      </c>
      <c r="E39" t="n">
        <v>2.881137931034483</v>
      </c>
      <c r="F39" t="n">
        <v>0</v>
      </c>
      <c r="G39" t="n">
        <v>3.654431724137932</v>
      </c>
      <c r="H39" t="n">
        <v>2.00796551724138</v>
      </c>
      <c r="I39" t="n">
        <v>26.47165517241379</v>
      </c>
      <c r="J39" t="n">
        <v>28.07275862068965</v>
      </c>
    </row>
    <row r="40">
      <c r="A40" s="8" t="n">
        <v>45352</v>
      </c>
      <c r="B40" t="n">
        <v>4.475806451612903</v>
      </c>
      <c r="C40" t="n">
        <v>5.56</v>
      </c>
      <c r="D40" t="n">
        <v>1.177451612903226</v>
      </c>
      <c r="E40" t="n">
        <v>2.966548387096774</v>
      </c>
      <c r="F40" t="n">
        <v>0</v>
      </c>
      <c r="G40" t="n">
        <v>3.077456774193548</v>
      </c>
      <c r="H40" t="n">
        <v>2.315548387096774</v>
      </c>
      <c r="I40" t="n">
        <v>26.71183870967742</v>
      </c>
      <c r="J40" t="n">
        <v>27.842</v>
      </c>
    </row>
    <row r="41">
      <c r="A41" s="8" t="n">
        <v>45383</v>
      </c>
      <c r="B41" t="n">
        <v>4.507533333333334</v>
      </c>
      <c r="C41" t="n">
        <v>5.455</v>
      </c>
      <c r="D41" t="n">
        <v>0.7840666666666666</v>
      </c>
      <c r="E41" t="n">
        <v>3.1878</v>
      </c>
      <c r="F41" t="n">
        <v>0</v>
      </c>
      <c r="G41" t="n">
        <v>2.211428333333334</v>
      </c>
      <c r="H41" t="n">
        <v>2.3053</v>
      </c>
      <c r="I41" t="n">
        <v>26.68763333333333</v>
      </c>
      <c r="J41" t="n">
        <v>28.0144</v>
      </c>
    </row>
    <row r="42">
      <c r="A42" s="8" t="n">
        <v>45413</v>
      </c>
      <c r="B42" t="n">
        <v>6.010064516129032</v>
      </c>
      <c r="C42" t="n">
        <v>5.232161290322581</v>
      </c>
      <c r="D42" t="n">
        <v>0.6711935483870969</v>
      </c>
      <c r="E42" t="n">
        <v>3.257677419354839</v>
      </c>
      <c r="F42" t="n">
        <v>0</v>
      </c>
      <c r="G42" t="n">
        <v>4.104940000000001</v>
      </c>
      <c r="H42" t="n">
        <v>1.905258064516129</v>
      </c>
      <c r="I42" t="n">
        <v>27.57170967741936</v>
      </c>
      <c r="J42" t="n">
        <v>28.81493548387097</v>
      </c>
    </row>
    <row r="43">
      <c r="A43" s="8" t="n">
        <v>45444</v>
      </c>
      <c r="B43" t="n">
        <v>6.976733333333334</v>
      </c>
      <c r="C43" t="n">
        <v>5.412633333333333</v>
      </c>
      <c r="D43" t="n">
        <v>0.6607666666666666</v>
      </c>
      <c r="E43" t="n">
        <v>3.117133333333333</v>
      </c>
      <c r="F43" t="n">
        <v>0</v>
      </c>
      <c r="G43" t="n">
        <v>4.706075</v>
      </c>
      <c r="H43" t="n">
        <v>1.550366666666667</v>
      </c>
      <c r="I43" t="n">
        <v>27.7913</v>
      </c>
      <c r="J43" t="n">
        <v>29.1215</v>
      </c>
    </row>
    <row r="44">
      <c r="A44" s="8" t="n">
        <v>45474</v>
      </c>
      <c r="B44" t="n">
        <v>7.261322580645161</v>
      </c>
      <c r="C44" t="n">
        <v>5.511741935483871</v>
      </c>
      <c r="D44" t="n">
        <v>0.6538387096774193</v>
      </c>
      <c r="E44" t="n">
        <v>3.147096774193549</v>
      </c>
      <c r="F44" t="n">
        <v>0</v>
      </c>
      <c r="G44" t="n">
        <v>2.888535161290323</v>
      </c>
      <c r="H44" t="n">
        <v>1.135903225806452</v>
      </c>
      <c r="I44" t="n">
        <v>27.72906451612904</v>
      </c>
      <c r="J44" t="n">
        <v>29.39983870967743</v>
      </c>
    </row>
    <row r="45">
      <c r="A45" s="8" t="n">
        <v>45505</v>
      </c>
      <c r="B45" t="n">
        <v>8.358483870967742</v>
      </c>
      <c r="C45" t="n">
        <v>5.637741935483871</v>
      </c>
      <c r="D45" t="n">
        <v>0.611258064516129</v>
      </c>
      <c r="E45" t="n">
        <v>3.193548387096774</v>
      </c>
      <c r="F45" t="n">
        <v>0</v>
      </c>
      <c r="G45" t="n">
        <v>4.445793548387096</v>
      </c>
      <c r="H45" t="n">
        <v>1.875322580645161</v>
      </c>
      <c r="I45" t="n">
        <v>27.9198064516129</v>
      </c>
      <c r="J45" t="n">
        <v>31.39454838709677</v>
      </c>
    </row>
    <row r="46">
      <c r="A46" s="8" t="n">
        <v>45536</v>
      </c>
      <c r="B46" t="n">
        <v>6.897866666666666</v>
      </c>
      <c r="C46" t="n">
        <v>5.5316</v>
      </c>
      <c r="D46" t="n">
        <v>0.6315</v>
      </c>
      <c r="E46" t="n">
        <v>3.0912</v>
      </c>
      <c r="F46" t="n">
        <v>0</v>
      </c>
      <c r="G46" t="n">
        <v>4.636932666666667</v>
      </c>
      <c r="H46" t="n">
        <v>2.5233</v>
      </c>
      <c r="I46" t="n">
        <v>28.2645</v>
      </c>
      <c r="J46" t="n">
        <v>30.49186666666667</v>
      </c>
    </row>
    <row r="47">
      <c r="A47" s="8" t="n">
        <v>45566</v>
      </c>
      <c r="B47" t="n">
        <v>5.92516129032258</v>
      </c>
      <c r="C47" t="n">
        <v>5.303709677419355</v>
      </c>
      <c r="D47" t="n">
        <v>0.6788064516129032</v>
      </c>
      <c r="E47" t="n">
        <v>2.869387096774194</v>
      </c>
      <c r="F47" t="n">
        <v>0</v>
      </c>
      <c r="G47" t="n">
        <v>4.775289999999999</v>
      </c>
      <c r="H47" t="n">
        <v>2.784935483870968</v>
      </c>
      <c r="I47" t="n">
        <v>28.559</v>
      </c>
      <c r="J47" t="n">
        <v>29.54835483870968</v>
      </c>
    </row>
    <row r="48">
      <c r="A48" s="8" t="n">
        <v>45597</v>
      </c>
      <c r="B48" t="n">
        <v>4.806333333333333</v>
      </c>
      <c r="C48" t="n">
        <v>5.701866666666667</v>
      </c>
      <c r="D48" t="n">
        <v>0.9406666666666667</v>
      </c>
      <c r="E48" t="n">
        <v>2.7428</v>
      </c>
      <c r="F48" t="n">
        <v>0</v>
      </c>
      <c r="G48" t="n">
        <v>4.40033</v>
      </c>
      <c r="H48" t="n">
        <v>1.816766666666667</v>
      </c>
      <c r="I48" t="n">
        <v>28.28536666666666</v>
      </c>
      <c r="J48" t="n">
        <v>29.54219999999999</v>
      </c>
    </row>
    <row r="49">
      <c r="A49" s="8" t="n">
        <v>45627</v>
      </c>
      <c r="B49" t="n">
        <v>4.653419354838709</v>
      </c>
      <c r="C49" t="n">
        <v>6.043483870967742</v>
      </c>
      <c r="D49" t="n">
        <v>1.587645161290323</v>
      </c>
      <c r="E49" t="n">
        <v>2.697645161290323</v>
      </c>
      <c r="F49" t="n">
        <v>0</v>
      </c>
      <c r="G49" t="n">
        <v>4.759608064516129</v>
      </c>
      <c r="H49" t="n">
        <v>1.449032258064516</v>
      </c>
      <c r="I49" t="n">
        <v>28.49945161290323</v>
      </c>
      <c r="J49" t="n">
        <v>30.37351612903226</v>
      </c>
    </row>
    <row r="50">
      <c r="A50" s="8" t="n">
        <v>45658</v>
      </c>
      <c r="B50" t="n">
        <v>5.869</v>
      </c>
      <c r="C50" t="n">
        <v>5.845741935483871</v>
      </c>
      <c r="D50" t="n">
        <v>3.117935483870968</v>
      </c>
      <c r="E50" t="n">
        <v>3.12958064516129</v>
      </c>
      <c r="F50" t="n">
        <v>0</v>
      </c>
      <c r="G50" t="n">
        <v>4.154271290322582</v>
      </c>
      <c r="H50" t="n">
        <v>1.033096774193548</v>
      </c>
      <c r="I50" t="n">
        <v>28.24405679752158</v>
      </c>
      <c r="J50" t="n">
        <v>32.92408905558609</v>
      </c>
    </row>
    <row r="51">
      <c r="A51" s="8" t="n">
        <v>45689</v>
      </c>
      <c r="B51" t="n">
        <v>5.272785714285715</v>
      </c>
      <c r="C51" t="n">
        <v>5.759535714285715</v>
      </c>
      <c r="D51" t="n">
        <v>2.536678571428571</v>
      </c>
      <c r="E51" t="n">
        <v>3.037857142857143</v>
      </c>
      <c r="F51" t="n">
        <v>0</v>
      </c>
      <c r="G51" t="n">
        <v>4.985854642857143</v>
      </c>
      <c r="H51" t="n">
        <v>1.292535714285714</v>
      </c>
      <c r="I51" t="n">
        <v>28.33351354931359</v>
      </c>
      <c r="J51" t="n">
        <v>32.39544212074216</v>
      </c>
    </row>
    <row r="52">
      <c r="A52" s="8" t="n">
        <v>45717</v>
      </c>
      <c r="B52" t="n">
        <v>3.69841935483871</v>
      </c>
      <c r="C52" t="n">
        <v>5.697580645161291</v>
      </c>
      <c r="D52" t="n">
        <v>1.004903225806452</v>
      </c>
      <c r="E52" t="n">
        <v>2.864387096774194</v>
      </c>
      <c r="F52" t="n">
        <v>0</v>
      </c>
      <c r="G52" t="n">
        <v>4.598463870967743</v>
      </c>
      <c r="H52" t="n">
        <v>2.661516129032258</v>
      </c>
      <c r="I52" t="n">
        <v>28.42087368859537</v>
      </c>
      <c r="J52" t="n">
        <v>29.66800272085344</v>
      </c>
    </row>
    <row r="53">
      <c r="A53" s="8" t="n">
        <v>45748</v>
      </c>
      <c r="B53" t="n">
        <v>4.2876</v>
      </c>
      <c r="C53" t="n">
        <v>5.537833333333333</v>
      </c>
      <c r="D53" t="n">
        <v>0.9670666666666665</v>
      </c>
      <c r="E53" t="n">
        <v>3.252</v>
      </c>
      <c r="F53" t="n">
        <v>0</v>
      </c>
      <c r="G53" t="n">
        <v>4.818890000000001</v>
      </c>
      <c r="H53" t="n">
        <v>2.422766666666667</v>
      </c>
      <c r="I53" t="n">
        <v>28.66872758850139</v>
      </c>
      <c r="J53" t="n">
        <v>29.69009425516806</v>
      </c>
    </row>
    <row r="54">
      <c r="A54" s="8" t="n">
        <v>45778</v>
      </c>
      <c r="B54" t="n">
        <v>5.777741935483871</v>
      </c>
      <c r="C54" t="n">
        <v>5.462096774193548</v>
      </c>
      <c r="D54" t="n">
        <v>0.7119354838709677</v>
      </c>
      <c r="E54" t="n">
        <v>3.523838709677419</v>
      </c>
      <c r="F54" t="n">
        <v>0</v>
      </c>
      <c r="G54" t="n">
        <v>4.495722580645161</v>
      </c>
      <c r="H54" t="n">
        <v>2.441677419354839</v>
      </c>
      <c r="I54" t="n">
        <v>28.39991141756023</v>
      </c>
      <c r="J54" t="n">
        <v>29.24294367562474</v>
      </c>
    </row>
    <row r="55">
      <c r="A55" s="8" t="n">
        <v>45809</v>
      </c>
      <c r="B55" t="n">
        <v>6.4434</v>
      </c>
      <c r="C55" t="n">
        <v>5.411233333333334</v>
      </c>
      <c r="D55" t="n">
        <v>0.6611</v>
      </c>
      <c r="E55" t="n">
        <v>3.446133333333333</v>
      </c>
      <c r="F55" t="n">
        <v>0</v>
      </c>
      <c r="G55" t="n">
        <v>4.700261666666668</v>
      </c>
      <c r="H55" t="n">
        <v>2.011666666666667</v>
      </c>
      <c r="I55" t="n">
        <v>28.79030246552894</v>
      </c>
      <c r="J55" t="n">
        <v>29.58750246552894</v>
      </c>
    </row>
    <row r="56">
      <c r="A56" s="8" t="n">
        <v>45839</v>
      </c>
      <c r="B56" t="n">
        <v>7.139032258064516</v>
      </c>
      <c r="C56" t="n">
        <v>5.410709677419355</v>
      </c>
      <c r="D56" t="n">
        <v>0.6281612903225805</v>
      </c>
      <c r="E56" t="n">
        <v>3.09458064516129</v>
      </c>
      <c r="F56" t="n">
        <v>0</v>
      </c>
      <c r="G56" t="n">
        <v>4.49719935483871</v>
      </c>
      <c r="H56" t="n">
        <v>1.676290322580645</v>
      </c>
      <c r="I56" t="n">
        <v>29.17521868269277</v>
      </c>
      <c r="J56" t="n">
        <v>30.62612190849922</v>
      </c>
    </row>
    <row r="57">
      <c r="A57" s="8" t="n">
        <v>45870</v>
      </c>
      <c r="B57" t="n">
        <v>7.713354838709678</v>
      </c>
      <c r="C57" t="n">
        <v>5.538838709677419</v>
      </c>
      <c r="D57" t="n">
        <v>0.5841612903225807</v>
      </c>
      <c r="E57" t="n">
        <v>3.350290322580645</v>
      </c>
      <c r="F57" t="n">
        <v>0</v>
      </c>
      <c r="G57" t="n">
        <v>4.468156129032257</v>
      </c>
      <c r="H57" t="n">
        <v>1.391838709677419</v>
      </c>
      <c r="I57" t="n">
        <v>29.48895130800512</v>
      </c>
      <c r="J57" t="n">
        <v>31.29282227574706</v>
      </c>
    </row>
    <row r="58">
      <c r="A58" s="8" t="n">
        <v>45901</v>
      </c>
      <c r="B58" t="n">
        <v>6.913966666666666</v>
      </c>
      <c r="C58" t="n">
        <v>5.562266666666666</v>
      </c>
      <c r="D58" t="n">
        <v>0.6038666666666667</v>
      </c>
      <c r="E58" t="n">
        <v>2.949933333333334</v>
      </c>
      <c r="F58" t="n">
        <v>0</v>
      </c>
      <c r="G58" t="n">
        <v>4.724750333333333</v>
      </c>
      <c r="H58" t="n">
        <v>1.689533333333333</v>
      </c>
      <c r="I58" t="n">
        <v>29.45501958725445</v>
      </c>
      <c r="J58" t="n">
        <v>30.75471958725445</v>
      </c>
    </row>
    <row r="59">
      <c r="A59" s="8" t="n">
        <v>45931</v>
      </c>
      <c r="B59" t="n">
        <v>5.629225806451613</v>
      </c>
      <c r="C59" t="n">
        <v>5.351806451612903</v>
      </c>
      <c r="D59" t="n">
        <v>0.6700322580645161</v>
      </c>
      <c r="E59" t="n">
        <v>2.833483870967742</v>
      </c>
      <c r="F59" t="n">
        <v>0</v>
      </c>
      <c r="G59" t="n">
        <v>5.143850645161292</v>
      </c>
      <c r="H59" t="n">
        <v>2.187</v>
      </c>
      <c r="I59" t="n">
        <v>29.14146861697209</v>
      </c>
      <c r="J59" t="n">
        <v>30.2716944234237</v>
      </c>
    </row>
    <row r="60">
      <c r="A60" s="8" t="n">
        <v>45962</v>
      </c>
      <c r="B60" t="n">
        <v>4.648733333333333</v>
      </c>
      <c r="C60" t="n">
        <v>5.8022</v>
      </c>
      <c r="D60" t="n">
        <v>0.9714333333333334</v>
      </c>
      <c r="E60" t="n">
        <v>2.9201</v>
      </c>
      <c r="F60" t="n">
        <v>0</v>
      </c>
      <c r="G60" t="n">
        <v>5.420533666666667</v>
      </c>
      <c r="H60" t="n">
        <v>2.081066666666667</v>
      </c>
      <c r="I60" t="n">
        <v>29.76337540353552</v>
      </c>
      <c r="J60" t="n">
        <v>30.99060873686885</v>
      </c>
    </row>
    <row r="61">
      <c r="A61" s="8" t="n">
        <v>45992</v>
      </c>
      <c r="B61" t="n">
        <v>4.848451612903226</v>
      </c>
      <c r="C61" t="n">
        <v>5.93</v>
      </c>
      <c r="D61" t="n">
        <v>1.681129032258065</v>
      </c>
      <c r="E61" t="n">
        <v>2.764451612903226</v>
      </c>
      <c r="F61" t="n">
        <v>0</v>
      </c>
      <c r="G61" t="n">
        <v>5.626580000000001</v>
      </c>
      <c r="H61" t="n">
        <v>1.341290322580645</v>
      </c>
      <c r="I61" t="n">
        <v>30.07883555019745</v>
      </c>
      <c r="J61" t="n">
        <v>33.24464200181036</v>
      </c>
    </row>
    <row r="62">
      <c r="A62" s="8" t="n">
        <v>46023</v>
      </c>
      <c r="B62" t="n">
        <v>5.437354838709677</v>
      </c>
      <c r="C62" t="n">
        <v>5.787548387096774</v>
      </c>
      <c r="D62" t="n">
        <v>2.425451612903226</v>
      </c>
      <c r="E62" t="n">
        <v>2.873354838709677</v>
      </c>
      <c r="F62" t="n">
        <v>0</v>
      </c>
      <c r="G62" t="n">
        <v>5.1775</v>
      </c>
      <c r="H62" t="n">
        <v>1.035096774193548</v>
      </c>
      <c r="I62" t="n">
        <v>29.03649539097756</v>
      </c>
      <c r="J62" t="n">
        <v>33.70807603613885</v>
      </c>
    </row>
    <row r="63">
      <c r="A63" s="8" t="n">
        <v>46054</v>
      </c>
      <c r="B63" t="n">
        <v>4.554392857142857</v>
      </c>
      <c r="C63" t="n">
        <v>5.705857142857143</v>
      </c>
      <c r="D63" t="n">
        <v>1.613892857142857</v>
      </c>
      <c r="E63" t="n">
        <v>2.989107142857143</v>
      </c>
      <c r="F63" t="n">
        <v>0</v>
      </c>
      <c r="G63" t="n">
        <v>5.757808214285714</v>
      </c>
      <c r="H63" t="n">
        <v>1.613321428571429</v>
      </c>
      <c r="I63" t="n">
        <v>29.89721649149912</v>
      </c>
      <c r="J63" t="n">
        <v>32.79289506292769</v>
      </c>
    </row>
    <row r="64">
      <c r="A64" s="8" t="n">
        <v>46082</v>
      </c>
      <c r="B64" t="n">
        <v>4.129</v>
      </c>
      <c r="C64" t="n">
        <v>5.653225806451613</v>
      </c>
      <c r="D64" t="n">
        <v>1.097129032258064</v>
      </c>
      <c r="E64" t="n">
        <v>2.768580645161291</v>
      </c>
      <c r="F64" t="n">
        <v>0</v>
      </c>
      <c r="G64" t="n">
        <v>5.815642258064516</v>
      </c>
      <c r="H64" t="n">
        <v>2.199451612903226</v>
      </c>
      <c r="I64" t="n">
        <v>30.04411425956394</v>
      </c>
      <c r="J64" t="n">
        <v>31.2286303885962</v>
      </c>
    </row>
    <row r="65">
      <c r="A65" s="8" t="n">
        <v>46113</v>
      </c>
      <c r="B65" t="n">
        <v>4.808033333333333</v>
      </c>
      <c r="C65" t="n">
        <v>5.719533333333334</v>
      </c>
      <c r="D65" t="n">
        <v>0.8162333333333333</v>
      </c>
      <c r="E65" t="n">
        <v>2.837666666666667</v>
      </c>
      <c r="F65" t="n">
        <v>0</v>
      </c>
      <c r="G65" t="n">
        <v>5.796038666666668</v>
      </c>
      <c r="H65" t="n">
        <v>2.0877</v>
      </c>
      <c r="I65" t="n">
        <v>30.27805446331141</v>
      </c>
      <c r="J65" t="n">
        <v>31.40892112997808</v>
      </c>
    </row>
    <row r="66">
      <c r="A66" s="8" t="n">
        <v>46143</v>
      </c>
      <c r="B66" t="n">
        <v>5.746419354838709</v>
      </c>
      <c r="C66" t="n">
        <v>5.633806451612903</v>
      </c>
      <c r="D66" t="n">
        <v>0.6205806451612902</v>
      </c>
      <c r="E66" t="n">
        <v>3.316451612903226</v>
      </c>
      <c r="F66" t="n">
        <v>0</v>
      </c>
      <c r="G66" t="n">
        <v>5.236957741935484</v>
      </c>
      <c r="H66" t="n">
        <v>2.190806451612903</v>
      </c>
      <c r="I66" t="n">
        <v>30.03561604157672</v>
      </c>
      <c r="J66" t="n">
        <v>31.31845475125414</v>
      </c>
    </row>
    <row r="67">
      <c r="A67" s="8" t="n">
        <v>46174</v>
      </c>
      <c r="B67" t="n">
        <v>6.806066666666666</v>
      </c>
      <c r="C67" t="n">
        <v>5.6723</v>
      </c>
      <c r="D67" t="n">
        <v>0.6533</v>
      </c>
      <c r="E67" t="n">
        <v>3.3545</v>
      </c>
      <c r="F67" t="n">
        <v>0</v>
      </c>
      <c r="G67" t="n">
        <v>5.555875333333335</v>
      </c>
      <c r="H67" t="n">
        <v>1.944366666666667</v>
      </c>
      <c r="I67" t="n">
        <v>30.44816450679276</v>
      </c>
      <c r="J67" t="n">
        <v>31.7683978401261</v>
      </c>
    </row>
    <row r="68">
      <c r="A68" s="8" t="n">
        <v>46204</v>
      </c>
      <c r="B68" t="n">
        <v>7.621806451612904</v>
      </c>
      <c r="C68" t="n">
        <v>5.519354838709677</v>
      </c>
      <c r="D68" t="n">
        <v>0.5979677419354839</v>
      </c>
      <c r="E68" t="n">
        <v>3.236774193548387</v>
      </c>
      <c r="F68" t="n">
        <v>0</v>
      </c>
      <c r="G68" t="n">
        <v>5.482489032258066</v>
      </c>
      <c r="H68" t="n">
        <v>1.523032258064516</v>
      </c>
      <c r="I68" t="n">
        <v>31.2355644213723</v>
      </c>
      <c r="J68" t="n">
        <v>32.67804829234004</v>
      </c>
      <c r="K68" t="n">
        <v>32.67804829234004</v>
      </c>
    </row>
    <row r="69">
      <c r="A69" s="8" t="n">
        <v>46235</v>
      </c>
      <c r="B69" t="n">
        <v>8.226357563120109</v>
      </c>
      <c r="C69" t="n">
        <v>5.621485403354847</v>
      </c>
      <c r="D69" t="n">
        <v>0.5441915414247405</v>
      </c>
      <c r="E69" t="n">
        <v>3.173172980830327</v>
      </c>
      <c r="F69" t="n">
        <v>0.008863725805226097</v>
      </c>
      <c r="G69" t="n">
        <v>5.887831766063428</v>
      </c>
      <c r="H69" t="n">
        <v>1.741763440860215</v>
      </c>
      <c r="I69" t="n">
        <v>31.28109757745621</v>
      </c>
      <c r="J69" t="n">
        <v>34.16464596455299</v>
      </c>
      <c r="K69" t="n">
        <v>33.75944283738136</v>
      </c>
    </row>
    <row r="70">
      <c r="A70" s="8" t="n">
        <v>46266</v>
      </c>
      <c r="B70" t="n">
        <v>6.972881215060556</v>
      </c>
      <c r="C70" t="n">
        <v>5.596456138285548</v>
      </c>
      <c r="D70" t="n">
        <v>0.5500762741102851</v>
      </c>
      <c r="E70" t="n">
        <v>2.987072935842461</v>
      </c>
      <c r="F70" t="n">
        <v>0.01772745161045225</v>
      </c>
      <c r="G70" t="n">
        <v>6.196107924570369</v>
      </c>
      <c r="H70" t="n">
        <v>2.412133333333333</v>
      </c>
      <c r="I70" t="n">
        <v>31.31724698954871</v>
      </c>
      <c r="J70" t="n">
        <v>33.42210254510427</v>
      </c>
      <c r="K70" t="n">
        <v>33.01689941793264</v>
      </c>
    </row>
    <row r="71">
      <c r="A71" s="8" t="n">
        <v>46296</v>
      </c>
      <c r="B71" t="n">
        <v>5.479411440179787</v>
      </c>
      <c r="C71" t="n">
        <v>5.449022447701622</v>
      </c>
      <c r="D71" t="n">
        <v>0.6530693650274654</v>
      </c>
      <c r="E71" t="n">
        <v>2.849358403364501</v>
      </c>
      <c r="F71" t="n">
        <v>0.02659117741567835</v>
      </c>
      <c r="G71" t="n">
        <v>6.396777187440785</v>
      </c>
      <c r="H71" t="n">
        <v>2.523494623655914</v>
      </c>
      <c r="I71" t="n">
        <v>31.53641690756494</v>
      </c>
      <c r="J71" t="n">
        <v>32.5932018538015</v>
      </c>
      <c r="K71" t="n">
        <v>32.0015042717022</v>
      </c>
    </row>
    <row r="72">
      <c r="A72" s="8" t="n">
        <v>46327</v>
      </c>
      <c r="B72" t="n">
        <v>4.681836989623317</v>
      </c>
      <c r="C72" t="n">
        <v>5.833597724237229</v>
      </c>
      <c r="D72" t="n">
        <v>0.979924186975514</v>
      </c>
      <c r="E72" t="n">
        <v>2.784950506332339</v>
      </c>
      <c r="F72" t="n">
        <v>0.0354549032209045</v>
      </c>
      <c r="G72" t="n">
        <v>6.56437371390203</v>
      </c>
      <c r="H72" t="n">
        <v>1.881788888888889</v>
      </c>
      <c r="I72" t="n">
        <v>31.64860220599815</v>
      </c>
      <c r="J72" t="n">
        <v>32.93627998377593</v>
      </c>
      <c r="K72" t="n">
        <v>32.25841347570303</v>
      </c>
    </row>
    <row r="73">
      <c r="A73" s="8" t="n">
        <v>46357</v>
      </c>
      <c r="B73" t="n">
        <v>4.625126022211296</v>
      </c>
      <c r="C73" t="n">
        <v>6.031840489538337</v>
      </c>
      <c r="D73" t="n">
        <v>1.513867581125043</v>
      </c>
      <c r="E73" t="n">
        <v>2.658115350636674</v>
      </c>
      <c r="F73" t="n">
        <v>0.0443186290261306</v>
      </c>
      <c r="G73" t="n">
        <v>6.644037038101144</v>
      </c>
      <c r="H73" t="n">
        <v>1.379204301075269</v>
      </c>
      <c r="I73" t="n">
        <v>31.82203171238674</v>
      </c>
      <c r="J73" t="n">
        <v>33.98080590593513</v>
      </c>
      <c r="K73" t="n">
        <v>33.21156221837443</v>
      </c>
    </row>
    <row r="74">
      <c r="A74" s="8" t="n">
        <v>46388</v>
      </c>
      <c r="B74" t="n">
        <v>5.60152132066198</v>
      </c>
      <c r="C74" t="n">
        <v>5.893686262858893</v>
      </c>
      <c r="D74" t="n">
        <v>2.443027359928487</v>
      </c>
      <c r="E74" t="n">
        <v>2.928315042689603</v>
      </c>
      <c r="F74" t="n">
        <v>0.05318235483135669</v>
      </c>
      <c r="G74" t="n">
        <v>6.474365214734835</v>
      </c>
      <c r="H74" t="n">
        <v>0.9953118279569892</v>
      </c>
      <c r="I74" t="n">
        <v>31.34480261369272</v>
      </c>
      <c r="J74" t="n">
        <v>35.78014669971422</v>
      </c>
      <c r="K74" t="n">
        <v>35.72205328186011</v>
      </c>
    </row>
    <row r="75">
      <c r="A75" s="8" t="n">
        <v>46419</v>
      </c>
      <c r="B75" t="n">
        <v>4.591665770626252</v>
      </c>
      <c r="C75" t="n">
        <v>5.771683468248021</v>
      </c>
      <c r="D75" t="n">
        <v>1.788053651671243</v>
      </c>
      <c r="E75" t="n">
        <v>2.878761529187785</v>
      </c>
      <c r="F75" t="n">
        <v>0.06204608063658285</v>
      </c>
      <c r="G75" t="n">
        <v>6.457224532049643</v>
      </c>
      <c r="H75" t="n">
        <v>1.637940886699507</v>
      </c>
      <c r="I75" t="n">
        <v>32.14974562843171</v>
      </c>
      <c r="J75" t="n">
        <v>35.00264915880938</v>
      </c>
      <c r="K75" t="n">
        <v>34.36138703067088</v>
      </c>
    </row>
    <row r="76">
      <c r="A76" s="8" t="n">
        <v>46447</v>
      </c>
      <c r="B76" t="n">
        <v>4.084302667522916</v>
      </c>
      <c r="C76" t="n">
        <v>5.744850592631705</v>
      </c>
      <c r="D76" t="n">
        <v>0.9864766515682823</v>
      </c>
      <c r="E76" t="n">
        <v>2.774088603050509</v>
      </c>
      <c r="F76" t="n">
        <v>0.07090980644180894</v>
      </c>
      <c r="G76" t="n">
        <v>6.475045955188901</v>
      </c>
      <c r="H76" t="n">
        <v>2.392172043010753</v>
      </c>
      <c r="I76" t="n">
        <v>32.3263064166282</v>
      </c>
      <c r="J76" t="n">
        <v>33.5135752338325</v>
      </c>
      <c r="K76" t="n">
        <v>32.72504168079096</v>
      </c>
    </row>
    <row r="77">
      <c r="A77" s="8" t="n">
        <v>46478</v>
      </c>
      <c r="B77" t="n">
        <v>4.513549912598049</v>
      </c>
      <c r="C77" t="n">
        <v>5.680608138500108</v>
      </c>
      <c r="D77" t="n">
        <v>0.769749411093318</v>
      </c>
      <c r="E77" t="n">
        <v>2.986666029480983</v>
      </c>
      <c r="F77" t="n">
        <v>0.07977353224703504</v>
      </c>
      <c r="G77" t="n">
        <v>6.537792984935101</v>
      </c>
      <c r="H77" t="n">
        <v>2.271922222222222</v>
      </c>
      <c r="I77" t="n">
        <v>32.51242239218128</v>
      </c>
      <c r="J77" t="n">
        <v>33.67208905884794</v>
      </c>
      <c r="K77" t="n">
        <v>33.67208905884794</v>
      </c>
    </row>
    <row r="78">
      <c r="A78" s="8" t="n">
        <v>46508</v>
      </c>
      <c r="B78" t="n">
        <v>5.815887213640851</v>
      </c>
      <c r="C78" t="n">
        <v>5.552993543365289</v>
      </c>
      <c r="D78" t="n">
        <v>0.6006258609295048</v>
      </c>
      <c r="E78" t="n">
        <v>3.246131765669218</v>
      </c>
      <c r="F78" t="n">
        <v>0.08863725805226119</v>
      </c>
      <c r="G78" t="n">
        <v>6.990937874296153</v>
      </c>
      <c r="H78" t="n">
        <v>2.179247311827957</v>
      </c>
      <c r="I78" t="n">
        <v>32.71624278042914</v>
      </c>
      <c r="J78" t="n">
        <v>33.83927503849366</v>
      </c>
      <c r="K78" t="n">
        <v>33.83927503849366</v>
      </c>
    </row>
    <row r="79">
      <c r="A79" s="8" t="n">
        <v>46539</v>
      </c>
      <c r="B79" t="n">
        <v>6.706918670559735</v>
      </c>
      <c r="C79" t="n">
        <v>5.614579908845148</v>
      </c>
      <c r="D79" t="n">
        <v>0.5926383540330482</v>
      </c>
      <c r="E79" t="n">
        <v>3.183163621523248</v>
      </c>
      <c r="F79" t="n">
        <v>0.09750098385748729</v>
      </c>
      <c r="G79" t="n">
        <v>7.317293769208743</v>
      </c>
      <c r="H79" t="n">
        <v>1.835466666666667</v>
      </c>
      <c r="I79" t="n">
        <v>32.93451173619186</v>
      </c>
      <c r="J79" t="n">
        <v>34.08372284730297</v>
      </c>
      <c r="K79" t="n">
        <v>34.08372284730297</v>
      </c>
    </row>
    <row r="80">
      <c r="A80" s="8" t="n">
        <v>46569</v>
      </c>
      <c r="B80" t="n">
        <v>7.299471258702761</v>
      </c>
      <c r="C80" t="n">
        <v>5.600740992260573</v>
      </c>
      <c r="D80" t="n">
        <v>0.5622294882113995</v>
      </c>
      <c r="E80" t="n">
        <v>3.037684824395356</v>
      </c>
      <c r="F80" t="n">
        <v>0.1063647096627134</v>
      </c>
      <c r="G80" t="n">
        <v>7.490755317494781</v>
      </c>
      <c r="H80" t="n">
        <v>1.445075268817204</v>
      </c>
      <c r="I80" t="n">
        <v>33.16438630289471</v>
      </c>
      <c r="J80" t="n">
        <v>34.6857733996689</v>
      </c>
      <c r="K80" t="n">
        <v>34.6857733996689</v>
      </c>
    </row>
    <row r="81">
      <c r="A81" s="8" t="n">
        <v>46600</v>
      </c>
      <c r="B81" t="n">
        <v>8.193937527388337</v>
      </c>
      <c r="C81" t="n">
        <v>5.666028153285912</v>
      </c>
      <c r="D81" t="n">
        <v>0.5278657951819984</v>
      </c>
      <c r="E81" t="n">
        <v>3.108901705501792</v>
      </c>
      <c r="F81" t="n">
        <v>0.1152284354679395</v>
      </c>
      <c r="G81" t="n">
        <v>7.99559592769987</v>
      </c>
      <c r="H81" t="n">
        <v>1.741763440860215</v>
      </c>
      <c r="I81" t="n">
        <v>33.39840372909472</v>
      </c>
      <c r="J81" t="n">
        <v>36.28195211619149</v>
      </c>
      <c r="K81" t="n">
        <v>36.28195211619149</v>
      </c>
    </row>
    <row r="82">
      <c r="A82" s="8" t="n">
        <v>46631</v>
      </c>
      <c r="B82" t="n">
        <v>6.945401123609252</v>
      </c>
      <c r="C82" t="n">
        <v>5.640800564781621</v>
      </c>
      <c r="D82" t="n">
        <v>0.5335739858869766</v>
      </c>
      <c r="E82" t="n">
        <v>2.926571038137624</v>
      </c>
      <c r="F82" t="n">
        <v>0.1240921612731656</v>
      </c>
      <c r="G82" t="n">
        <v>8.695339501376306</v>
      </c>
      <c r="H82" t="n">
        <v>2.412133333333333</v>
      </c>
      <c r="I82" t="n">
        <v>33.63099851262336</v>
      </c>
      <c r="J82" t="n">
        <v>35.73585406817891</v>
      </c>
      <c r="K82" t="n">
        <v>35.73585406817891</v>
      </c>
    </row>
    <row r="83">
      <c r="A83" s="8" t="n">
        <v>46661</v>
      </c>
      <c r="B83" t="n">
        <v>5.457817105953894</v>
      </c>
      <c r="C83" t="n">
        <v>5.492198659475094</v>
      </c>
      <c r="D83" t="n">
        <v>0.6334772840766415</v>
      </c>
      <c r="E83" t="n">
        <v>2.791645855212021</v>
      </c>
      <c r="F83" t="n">
        <v>0.1329558870783917</v>
      </c>
      <c r="G83" t="n">
        <v>9.396864497151915</v>
      </c>
      <c r="H83" t="n">
        <v>2.523494623655914</v>
      </c>
      <c r="I83" t="n">
        <v>33.86432455900134</v>
      </c>
      <c r="J83" t="n">
        <v>34.9211095052379</v>
      </c>
      <c r="K83" t="n">
        <v>34.9211095052379</v>
      </c>
    </row>
    <row r="84">
      <c r="A84" s="8" t="n">
        <v>46692</v>
      </c>
      <c r="B84" t="n">
        <v>4.663385892484723</v>
      </c>
      <c r="C84" t="n">
        <v>5.879821180492057</v>
      </c>
      <c r="D84" t="n">
        <v>0.9505264613662487</v>
      </c>
      <c r="E84" t="n">
        <v>2.728542512866445</v>
      </c>
      <c r="F84" t="n">
        <v>0.1418196128836179</v>
      </c>
      <c r="G84" t="n">
        <v>10.02482796884667</v>
      </c>
      <c r="H84" t="n">
        <v>1.881788888888889</v>
      </c>
      <c r="I84" t="n">
        <v>34.0936053442197</v>
      </c>
      <c r="J84" t="n">
        <v>35.38128312199748</v>
      </c>
      <c r="K84" t="n">
        <v>35.38128312199748</v>
      </c>
    </row>
    <row r="85">
      <c r="A85" s="8" t="n">
        <v>46722</v>
      </c>
      <c r="B85" t="n">
        <v>4.606898422723488</v>
      </c>
      <c r="C85" t="n">
        <v>6.079634754447258</v>
      </c>
      <c r="D85" t="n">
        <v>1.468451553691291</v>
      </c>
      <c r="E85" t="n">
        <v>2.604276349552317</v>
      </c>
      <c r="F85" t="n">
        <v>0.150683338688844</v>
      </c>
      <c r="G85" t="n">
        <v>10.18260905034924</v>
      </c>
      <c r="H85" t="n">
        <v>1.379204301075269</v>
      </c>
      <c r="I85" t="n">
        <v>34.31354508796161</v>
      </c>
      <c r="J85" t="n">
        <v>36.47231928151</v>
      </c>
      <c r="K85" t="n">
        <v>36.47231928151</v>
      </c>
    </row>
    <row r="86">
      <c r="A86" s="8" t="n">
        <v>46753</v>
      </c>
      <c r="B86" t="n">
        <v>5.579445751982315</v>
      </c>
      <c r="C86" t="n">
        <v>5.940385840380165</v>
      </c>
      <c r="D86" t="n">
        <v>2.369736539130633</v>
      </c>
      <c r="E86" t="n">
        <v>2.869003261234769</v>
      </c>
      <c r="F86" t="n">
        <v>0.1595470644940701</v>
      </c>
      <c r="G86" t="n">
        <v>9.933882743400591</v>
      </c>
      <c r="H86" t="n">
        <v>0.9953118279569892</v>
      </c>
      <c r="I86" t="n">
        <v>33.73408061239353</v>
      </c>
      <c r="J86" t="n">
        <v>38.16942469841503</v>
      </c>
      <c r="K86" t="n">
        <v>38.16942469841503</v>
      </c>
    </row>
    <row r="87">
      <c r="A87" s="8" t="n">
        <v>46784</v>
      </c>
      <c r="B87" t="n">
        <v>4.573570037829584</v>
      </c>
      <c r="C87" t="n">
        <v>5.817416336869187</v>
      </c>
      <c r="D87" t="n">
        <v>1.734412042121105</v>
      </c>
      <c r="E87" t="n">
        <v>2.820453433169897</v>
      </c>
      <c r="F87" t="n">
        <v>0.1684107902992963</v>
      </c>
      <c r="G87" t="n">
        <v>10.05862295544212</v>
      </c>
      <c r="H87" t="n">
        <v>1.637940886699507</v>
      </c>
      <c r="I87" t="n">
        <v>34.59969540182533</v>
      </c>
      <c r="J87" t="n">
        <v>37.452598932203</v>
      </c>
      <c r="K87" t="n">
        <v>37.452598932203</v>
      </c>
    </row>
    <row r="88">
      <c r="A88" s="8" t="n">
        <v>46813</v>
      </c>
      <c r="B88" t="n">
        <v>4.068206450284062</v>
      </c>
      <c r="C88" t="n">
        <v>5.790370846617636</v>
      </c>
      <c r="D88" t="n">
        <v>0.9568823520212337</v>
      </c>
      <c r="E88" t="n">
        <v>2.717900612837081</v>
      </c>
      <c r="F88" t="n">
        <v>0.1772745161045224</v>
      </c>
      <c r="G88" t="n">
        <v>9.974197376981069</v>
      </c>
      <c r="H88" t="n">
        <v>2.392172043010753</v>
      </c>
      <c r="I88" t="n">
        <v>34.79017118914386</v>
      </c>
      <c r="J88" t="n">
        <v>35.97744000634816</v>
      </c>
      <c r="K88" t="n">
        <v>35.97744000634816</v>
      </c>
    </row>
    <row r="89">
      <c r="A89" s="8" t="n">
        <v>46844</v>
      </c>
      <c r="B89" t="n">
        <v>4.495762034023503</v>
      </c>
      <c r="C89" t="n">
        <v>5.725619356997369</v>
      </c>
      <c r="D89" t="n">
        <v>0.7466569287605183</v>
      </c>
      <c r="E89" t="n">
        <v>2.926172373492231</v>
      </c>
      <c r="F89" t="n">
        <v>0.1861382419097485</v>
      </c>
      <c r="G89" t="n">
        <v>9.851180955530085</v>
      </c>
      <c r="H89" t="n">
        <v>2.271922222222222</v>
      </c>
      <c r="I89" t="n">
        <v>34.99107076113182</v>
      </c>
      <c r="J89" t="n">
        <v>36.15073742779849</v>
      </c>
      <c r="K89" t="n">
        <v>36.15073742779849</v>
      </c>
    </row>
    <row r="90">
      <c r="A90" s="8" t="n">
        <v>46874</v>
      </c>
      <c r="B90" t="n">
        <v>5.792966830004294</v>
      </c>
      <c r="C90" t="n">
        <v>5.596993586952225</v>
      </c>
      <c r="D90" t="n">
        <v>0.5826070851016196</v>
      </c>
      <c r="E90" t="n">
        <v>3.180382741041686</v>
      </c>
      <c r="F90" t="n">
        <v>0.1950019677149746</v>
      </c>
      <c r="G90" t="n">
        <v>10.37861337246806</v>
      </c>
      <c r="H90" t="n">
        <v>2.179247311827957</v>
      </c>
      <c r="I90" t="n">
        <v>35.21107507190299</v>
      </c>
      <c r="J90" t="n">
        <v>36.33410732996751</v>
      </c>
      <c r="K90" t="n">
        <v>36.33410732996751</v>
      </c>
    </row>
    <row r="91">
      <c r="A91" s="8" t="n">
        <v>46905</v>
      </c>
      <c r="B91" t="n">
        <v>6.680486736221694</v>
      </c>
      <c r="C91" t="n">
        <v>5.659067941972197</v>
      </c>
      <c r="D91" t="n">
        <v>0.5748592034120567</v>
      </c>
      <c r="E91" t="n">
        <v>3.118689989997127</v>
      </c>
      <c r="F91" t="n">
        <v>0.2038656935202007</v>
      </c>
      <c r="G91" t="n">
        <v>10.77479381700417</v>
      </c>
      <c r="H91" t="n">
        <v>1.835466666666667</v>
      </c>
      <c r="I91" t="n">
        <v>35.44668340469384</v>
      </c>
      <c r="J91" t="n">
        <v>36.59589451580496</v>
      </c>
      <c r="K91" t="n">
        <v>36.59589451580496</v>
      </c>
    </row>
    <row r="92">
      <c r="A92" s="8" t="n">
        <v>46935</v>
      </c>
      <c r="B92" t="n">
        <v>7.270704077454631</v>
      </c>
      <c r="C92" t="n">
        <v>5.645119370491004</v>
      </c>
      <c r="D92" t="n">
        <v>0.5453626035650575</v>
      </c>
      <c r="E92" t="n">
        <v>2.976157804314989</v>
      </c>
      <c r="F92" t="n">
        <v>0.2127294193254269</v>
      </c>
      <c r="G92" t="n">
        <v>10.78008861771616</v>
      </c>
      <c r="H92" t="n">
        <v>1.445075268817204</v>
      </c>
      <c r="I92" t="n">
        <v>35.69475987330169</v>
      </c>
      <c r="J92" t="n">
        <v>37.21614697007588</v>
      </c>
      <c r="K92" t="n">
        <v>37.21614697007588</v>
      </c>
    </row>
    <row r="93">
      <c r="A93" s="8" t="n">
        <v>46966</v>
      </c>
      <c r="B93" t="n">
        <v>8.161645258862009</v>
      </c>
      <c r="C93" t="n">
        <v>5.710923844909262</v>
      </c>
      <c r="D93" t="n">
        <v>0.5120298213265384</v>
      </c>
      <c r="E93" t="n">
        <v>3.045932217645074</v>
      </c>
      <c r="F93" t="n">
        <v>0.221593145130653</v>
      </c>
      <c r="G93" t="n">
        <v>11.27506783682496</v>
      </c>
      <c r="H93" t="n">
        <v>1.741763440860215</v>
      </c>
      <c r="I93" t="n">
        <v>35.94722820096002</v>
      </c>
      <c r="J93" t="n">
        <v>38.83077658805679</v>
      </c>
      <c r="K93" t="n">
        <v>38.83077658805679</v>
      </c>
    </row>
    <row r="94">
      <c r="A94" s="8" t="n">
        <v>46997</v>
      </c>
      <c r="B94" t="n">
        <v>6.918029331066658</v>
      </c>
      <c r="C94" t="n">
        <v>5.685496361522128</v>
      </c>
      <c r="D94" t="n">
        <v>0.5175667663103672</v>
      </c>
      <c r="E94" t="n">
        <v>2.867294580756646</v>
      </c>
      <c r="F94" t="n">
        <v>0.2304568709358791</v>
      </c>
      <c r="G94" t="n">
        <v>12.09451430971443</v>
      </c>
      <c r="H94" t="n">
        <v>2.412133333333333</v>
      </c>
      <c r="I94" t="n">
        <v>36.1981811852821</v>
      </c>
      <c r="J94" t="n">
        <v>38.30303674083765</v>
      </c>
      <c r="K94" t="n">
        <v>38.30303674083765</v>
      </c>
    </row>
    <row r="95">
      <c r="A95" s="8" t="n">
        <v>47027</v>
      </c>
      <c r="B95" t="n">
        <v>5.436307874895696</v>
      </c>
      <c r="C95" t="n">
        <v>5.535716984954465</v>
      </c>
      <c r="D95" t="n">
        <v>0.6144729655543421</v>
      </c>
      <c r="E95" t="n">
        <v>2.73510225028912</v>
      </c>
      <c r="F95" t="n">
        <v>0.2393205967411053</v>
      </c>
      <c r="G95" t="n">
        <v>12.69228003083021</v>
      </c>
      <c r="H95" t="n">
        <v>2.523494623655914</v>
      </c>
      <c r="I95" t="n">
        <v>36.4497772919081</v>
      </c>
      <c r="J95" t="n">
        <v>37.50656223814466</v>
      </c>
      <c r="K95" t="n">
        <v>37.50656223814466</v>
      </c>
    </row>
    <row r="96">
      <c r="A96" s="8" t="n">
        <v>47058</v>
      </c>
      <c r="B96" t="n">
        <v>4.645007511031529</v>
      </c>
      <c r="C96" t="n">
        <v>5.926410895787899</v>
      </c>
      <c r="D96" t="n">
        <v>0.9220106675252612</v>
      </c>
      <c r="E96" t="n">
        <v>2.67327703942725</v>
      </c>
      <c r="F96" t="n">
        <v>0.2481843225463314</v>
      </c>
      <c r="G96" t="n">
        <v>13.09400310968609</v>
      </c>
      <c r="H96" t="n">
        <v>1.881788888888889</v>
      </c>
      <c r="I96" t="n">
        <v>36.69687435930132</v>
      </c>
      <c r="J96" t="n">
        <v>37.9845521370791</v>
      </c>
      <c r="K96" t="n">
        <v>37.9845521370791</v>
      </c>
    </row>
    <row r="97">
      <c r="A97" s="8" t="n">
        <v>47088</v>
      </c>
      <c r="B97" t="n">
        <v>4.588742658117908</v>
      </c>
      <c r="C97" t="n">
        <v>6.127807724953939</v>
      </c>
      <c r="D97" t="n">
        <v>1.424398007080552</v>
      </c>
      <c r="E97" t="n">
        <v>2.551527834641582</v>
      </c>
      <c r="F97" t="n">
        <v>0.2570480483515575</v>
      </c>
      <c r="G97" t="n">
        <v>13.04702460392214</v>
      </c>
      <c r="H97" t="n">
        <v>1.379204301075269</v>
      </c>
      <c r="I97" t="n">
        <v>36.93394943284404</v>
      </c>
      <c r="J97" t="n">
        <v>39.09272362639243</v>
      </c>
      <c r="K97" t="n">
        <v>39.09272362639243</v>
      </c>
    </row>
    <row r="98">
      <c r="A98" s="8" t="n">
        <v>47119</v>
      </c>
      <c r="B98" t="n">
        <v>5.579445751982315</v>
      </c>
      <c r="C98" t="n">
        <v>5.987455449566409</v>
      </c>
      <c r="D98" t="n">
        <v>2.298644442956714</v>
      </c>
      <c r="E98" t="n">
        <v>2.810892814802997</v>
      </c>
      <c r="F98" t="n">
        <v>0.2659117741567836</v>
      </c>
      <c r="G98" t="n">
        <v>12.67205817734582</v>
      </c>
      <c r="H98" t="n">
        <v>0.9953118279569892</v>
      </c>
      <c r="I98" t="n">
        <v>37.04951749580509</v>
      </c>
      <c r="J98" t="n">
        <v>41.48486158182659</v>
      </c>
      <c r="K98" t="n">
        <v>41.48486158182659</v>
      </c>
    </row>
    <row r="99">
      <c r="A99" s="8" t="n">
        <v>47150</v>
      </c>
      <c r="B99" t="n">
        <v>4.573570037829584</v>
      </c>
      <c r="C99" t="n">
        <v>5.863511577280807</v>
      </c>
      <c r="D99" t="n">
        <v>1.682379680857472</v>
      </c>
      <c r="E99" t="n">
        <v>2.763326342951468</v>
      </c>
      <c r="F99" t="n">
        <v>0.2747754999620097</v>
      </c>
      <c r="G99" t="n">
        <v>12.56022123652036</v>
      </c>
      <c r="H99" t="n">
        <v>1.637940886699507</v>
      </c>
      <c r="I99" t="n">
        <v>37.16545071279388</v>
      </c>
      <c r="J99" t="n">
        <v>40.01835424317154</v>
      </c>
      <c r="K99" t="n">
        <v>40.01835424317154</v>
      </c>
    </row>
    <row r="100">
      <c r="A100" s="8" t="n">
        <v>47178</v>
      </c>
      <c r="B100" t="n">
        <v>4.068206450284062</v>
      </c>
      <c r="C100" t="n">
        <v>5.836251787707528</v>
      </c>
      <c r="D100" t="n">
        <v>0.9281758814605967</v>
      </c>
      <c r="E100" t="n">
        <v>2.662850686577613</v>
      </c>
      <c r="F100" t="n">
        <v>0.2836392257672359</v>
      </c>
      <c r="G100" t="n">
        <v>12.25593655124702</v>
      </c>
      <c r="H100" t="n">
        <v>2.392172043010753</v>
      </c>
      <c r="I100" t="n">
        <v>37.28175027274523</v>
      </c>
      <c r="J100" t="n">
        <v>38.46901908994953</v>
      </c>
      <c r="K100" t="n">
        <v>38.46901908994953</v>
      </c>
    </row>
    <row r="101">
      <c r="A101" s="8" t="n">
        <v>47209</v>
      </c>
      <c r="B101" t="n">
        <v>4.495762034023503</v>
      </c>
      <c r="C101" t="n">
        <v>5.770987229173467</v>
      </c>
      <c r="D101" t="n">
        <v>0.7242572208977028</v>
      </c>
      <c r="E101" t="n">
        <v>2.866903990894866</v>
      </c>
      <c r="F101" t="n">
        <v>0.292502951572462</v>
      </c>
      <c r="G101" t="n">
        <v>11.8381445387415</v>
      </c>
      <c r="H101" t="n">
        <v>2.271922222222222</v>
      </c>
      <c r="I101" t="n">
        <v>37.39841736854674</v>
      </c>
      <c r="J101" t="n">
        <v>38.5580840352134</v>
      </c>
      <c r="K101" t="n">
        <v>38.5580840352134</v>
      </c>
    </row>
    <row r="102">
      <c r="A102" s="8" t="n">
        <v>47239</v>
      </c>
      <c r="B102" t="n">
        <v>5.792966830004294</v>
      </c>
      <c r="C102" t="n">
        <v>5.641342272009844</v>
      </c>
      <c r="D102" t="n">
        <v>0.5651288725485711</v>
      </c>
      <c r="E102" t="n">
        <v>3.115965435072403</v>
      </c>
      <c r="F102" t="n">
        <v>0.3013666773776881</v>
      </c>
      <c r="G102" t="n">
        <v>12.20315815805368</v>
      </c>
      <c r="H102" t="n">
        <v>2.179247311827957</v>
      </c>
      <c r="I102" t="n">
        <v>37.51545319705213</v>
      </c>
      <c r="J102" t="n">
        <v>38.63848545511665</v>
      </c>
      <c r="K102" t="n">
        <v>38.63848545511665</v>
      </c>
    </row>
    <row r="103">
      <c r="A103" s="8" t="n">
        <v>47270</v>
      </c>
      <c r="B103" t="n">
        <v>6.680486736221694</v>
      </c>
      <c r="C103" t="n">
        <v>5.703908483234074</v>
      </c>
      <c r="D103" t="n">
        <v>0.5576134273096949</v>
      </c>
      <c r="E103" t="n">
        <v>3.055522244581936</v>
      </c>
      <c r="F103" t="n">
        <v>0.3102304031829142</v>
      </c>
      <c r="G103" t="n">
        <v>12.32918349618877</v>
      </c>
      <c r="H103" t="n">
        <v>1.835466666666667</v>
      </c>
      <c r="I103" t="n">
        <v>37.63285895909468</v>
      </c>
      <c r="J103" t="n">
        <v>38.7820700702058</v>
      </c>
      <c r="K103" t="n">
        <v>38.7820700702058</v>
      </c>
    </row>
    <row r="104">
      <c r="A104" s="8" t="n">
        <v>47300</v>
      </c>
      <c r="B104" t="n">
        <v>7.270704077454631</v>
      </c>
      <c r="C104" t="n">
        <v>5.689849387987933</v>
      </c>
      <c r="D104" t="n">
        <v>0.5290017254581059</v>
      </c>
      <c r="E104" t="n">
        <v>2.915876987978199</v>
      </c>
      <c r="F104" t="n">
        <v>0.3190941289881403</v>
      </c>
      <c r="G104" t="n">
        <v>11.99695972456145</v>
      </c>
      <c r="H104" t="n">
        <v>1.445075268817204</v>
      </c>
      <c r="I104" t="n">
        <v>37.75063585950051</v>
      </c>
      <c r="J104" t="n">
        <v>39.2720229562747</v>
      </c>
      <c r="K104" t="n">
        <v>39.2720229562747</v>
      </c>
    </row>
    <row r="105">
      <c r="A105" s="8" t="n">
        <v>47331</v>
      </c>
      <c r="B105" t="n">
        <v>8.161645258862009</v>
      </c>
      <c r="C105" t="n">
        <v>5.756175274815552</v>
      </c>
      <c r="D105" t="n">
        <v>0.4966689266867422</v>
      </c>
      <c r="E105" t="n">
        <v>2.98423815010606</v>
      </c>
      <c r="F105" t="n">
        <v>0.3279578547933664</v>
      </c>
      <c r="G105" t="n">
        <v>12.31445570816869</v>
      </c>
      <c r="H105" t="n">
        <v>1.741763440860215</v>
      </c>
      <c r="I105" t="n">
        <v>37.86878510710218</v>
      </c>
      <c r="J105" t="n">
        <v>40.75233349419895</v>
      </c>
      <c r="K105" t="n">
        <v>40.75233349419895</v>
      </c>
    </row>
    <row r="106">
      <c r="A106" s="8" t="n">
        <v>47362</v>
      </c>
      <c r="B106" t="n">
        <v>6.918029331066658</v>
      </c>
      <c r="C106" t="n">
        <v>5.7305463126461</v>
      </c>
      <c r="D106" t="n">
        <v>0.5020397633210562</v>
      </c>
      <c r="E106" t="n">
        <v>2.80921874292457</v>
      </c>
      <c r="F106" t="n">
        <v>0.3368215805985925</v>
      </c>
      <c r="G106" t="n">
        <v>12.89759651652548</v>
      </c>
      <c r="H106" t="n">
        <v>2.412133333333333</v>
      </c>
      <c r="I106" t="n">
        <v>37.98730791475212</v>
      </c>
      <c r="J106" t="n">
        <v>40.09216347030767</v>
      </c>
      <c r="K106" t="n">
        <v>40.09216347030767</v>
      </c>
    </row>
    <row r="107">
      <c r="A107" s="8" t="n">
        <v>47392</v>
      </c>
      <c r="B107" t="n">
        <v>5.436307874895696</v>
      </c>
      <c r="C107" t="n">
        <v>5.579580134933084</v>
      </c>
      <c r="D107" t="n">
        <v>0.5960387765877118</v>
      </c>
      <c r="E107" t="n">
        <v>2.679703912145565</v>
      </c>
      <c r="F107" t="n">
        <v>0.3456853064038187</v>
      </c>
      <c r="G107" t="n">
        <v>13.25228722923687</v>
      </c>
      <c r="H107" t="n">
        <v>2.523494623655914</v>
      </c>
      <c r="I107" t="n">
        <v>38.10620549933621</v>
      </c>
      <c r="J107" t="n">
        <v>39.16299044557277</v>
      </c>
      <c r="K107" t="n">
        <v>39.16299044557277</v>
      </c>
    </row>
    <row r="108">
      <c r="A108" s="8" t="n">
        <v>47423</v>
      </c>
      <c r="B108" t="n">
        <v>4.645007511031529</v>
      </c>
      <c r="C108" t="n">
        <v>5.973369772237578</v>
      </c>
      <c r="D108" t="n">
        <v>0.8943503474995033</v>
      </c>
      <c r="E108" t="n">
        <v>2.61913094475531</v>
      </c>
      <c r="F108" t="n">
        <v>0.3545490322090448</v>
      </c>
      <c r="G108" t="n">
        <v>13.53544208829908</v>
      </c>
      <c r="H108" t="n">
        <v>1.881788888888889</v>
      </c>
      <c r="I108" t="n">
        <v>38.22547908178736</v>
      </c>
      <c r="J108" t="n">
        <v>39.51315685956514</v>
      </c>
      <c r="K108" t="n">
        <v>39.51315685956514</v>
      </c>
    </row>
    <row r="109">
      <c r="A109" s="8" t="n">
        <v>47453</v>
      </c>
      <c r="B109" t="n">
        <v>4.588742658117908</v>
      </c>
      <c r="C109" t="n">
        <v>6.176362401793511</v>
      </c>
      <c r="D109" t="n">
        <v>1.381666066868136</v>
      </c>
      <c r="E109" t="n">
        <v>2.499847718568692</v>
      </c>
      <c r="F109" t="n">
        <v>0.3634127580142709</v>
      </c>
      <c r="G109" t="n">
        <v>13.35375671170559</v>
      </c>
      <c r="H109" t="n">
        <v>1.379204301075269</v>
      </c>
      <c r="I109" t="n">
        <v>38.34512988709921</v>
      </c>
      <c r="J109" t="n">
        <v>40.5039040806476</v>
      </c>
      <c r="K109" t="n">
        <v>40.5039040806476</v>
      </c>
    </row>
    <row r="110">
      <c r="A110" s="8" t="n">
        <v>47484</v>
      </c>
      <c r="B110" t="n">
        <v>5.579445751982315</v>
      </c>
      <c r="C110" t="n">
        <v>6.034898022423445</v>
      </c>
      <c r="D110" t="n">
        <v>2.229685109668012</v>
      </c>
      <c r="E110" t="n">
        <v>2.753959370861995</v>
      </c>
      <c r="F110" t="n">
        <v>0.372276483819497</v>
      </c>
      <c r="G110" t="n">
        <v>12.84320527110733</v>
      </c>
      <c r="H110" t="n">
        <v>0.9953118279569892</v>
      </c>
      <c r="I110" t="n">
        <v>38.40566570148782</v>
      </c>
      <c r="J110" t="n">
        <v>42.84100978750932</v>
      </c>
      <c r="K110" t="n">
        <v>42.84100978750932</v>
      </c>
    </row>
    <row r="111">
      <c r="A111" s="8" t="n">
        <v>47515</v>
      </c>
      <c r="B111" t="n">
        <v>4.573570037829584</v>
      </c>
      <c r="C111" t="n">
        <v>5.909972060794444</v>
      </c>
      <c r="D111" t="n">
        <v>1.631908290431748</v>
      </c>
      <c r="E111" t="n">
        <v>2.707356337760023</v>
      </c>
      <c r="F111" t="n">
        <v>0.3811402096247231</v>
      </c>
      <c r="G111" t="n">
        <v>12.64447062575261</v>
      </c>
      <c r="H111" t="n">
        <v>1.637940886699507</v>
      </c>
      <c r="I111" t="n">
        <v>38.46629814319879</v>
      </c>
      <c r="J111" t="n">
        <v>41.31920167357646</v>
      </c>
      <c r="K111" t="n">
        <v>41.31920167357646</v>
      </c>
    </row>
    <row r="112">
      <c r="A112" s="8" t="n">
        <v>47543</v>
      </c>
      <c r="B112" t="n">
        <v>4.068206450284062</v>
      </c>
      <c r="C112" t="n">
        <v>5.882496273864059</v>
      </c>
      <c r="D112" t="n">
        <v>0.9003306050167788</v>
      </c>
      <c r="E112" t="n">
        <v>2.60891577326853</v>
      </c>
      <c r="F112" t="n">
        <v>0.3900039354299493</v>
      </c>
      <c r="G112" t="n">
        <v>12.25593655124702</v>
      </c>
      <c r="H112" t="n">
        <v>2.392172043010753</v>
      </c>
      <c r="I112" t="n">
        <v>38.52702737116564</v>
      </c>
      <c r="J112" t="n">
        <v>39.71429618836994</v>
      </c>
      <c r="K112" t="n">
        <v>39.71429618836994</v>
      </c>
    </row>
    <row r="113">
      <c r="A113" s="8" t="n">
        <v>47574</v>
      </c>
      <c r="B113" t="n">
        <v>4.495762034023503</v>
      </c>
      <c r="C113" t="n">
        <v>5.816714581031577</v>
      </c>
      <c r="D113" t="n">
        <v>0.7025295042707718</v>
      </c>
      <c r="E113" t="n">
        <v>2.80883606429508</v>
      </c>
      <c r="F113" t="n">
        <v>0.3988676612351754</v>
      </c>
      <c r="G113" t="n">
        <v>11.8381445387415</v>
      </c>
      <c r="H113" t="n">
        <v>2.271922222222222</v>
      </c>
      <c r="I113" t="n">
        <v>38.58785354458887</v>
      </c>
      <c r="J113" t="n">
        <v>39.74752021125553</v>
      </c>
      <c r="K113" t="n">
        <v>39.74752021125553</v>
      </c>
    </row>
    <row r="114">
      <c r="A114" s="8" t="n">
        <v>47604</v>
      </c>
      <c r="B114" t="n">
        <v>5.792966830004294</v>
      </c>
      <c r="C114" t="n">
        <v>5.686042361055296</v>
      </c>
      <c r="D114" t="n">
        <v>0.5481750063721139</v>
      </c>
      <c r="E114" t="n">
        <v>3.052852874363742</v>
      </c>
      <c r="F114" t="n">
        <v>0.4077313870404015</v>
      </c>
      <c r="G114" t="n">
        <v>12.20315815805368</v>
      </c>
      <c r="H114" t="n">
        <v>2.179247311827957</v>
      </c>
      <c r="I114" t="n">
        <v>38.64877682293622</v>
      </c>
      <c r="J114" t="n">
        <v>39.77180908100074</v>
      </c>
      <c r="K114" t="n">
        <v>39.77180908100074</v>
      </c>
    </row>
    <row r="115">
      <c r="A115" s="8" t="n">
        <v>47635</v>
      </c>
      <c r="B115" t="n">
        <v>6.680486736221694</v>
      </c>
      <c r="C115" t="n">
        <v>5.74910432578607</v>
      </c>
      <c r="D115" t="n">
        <v>0.540885024490404</v>
      </c>
      <c r="E115" t="n">
        <v>2.99363393510736</v>
      </c>
      <c r="F115" t="n">
        <v>0.4165951128456276</v>
      </c>
      <c r="G115" t="n">
        <v>12.32918349618877</v>
      </c>
      <c r="H115" t="n">
        <v>1.835466666666667</v>
      </c>
      <c r="I115" t="n">
        <v>38.70979736594332</v>
      </c>
      <c r="J115" t="n">
        <v>39.85900847705443</v>
      </c>
      <c r="K115" t="n">
        <v>39.85900847705443</v>
      </c>
    </row>
    <row r="116">
      <c r="A116" s="8" t="n">
        <v>47665</v>
      </c>
      <c r="B116" t="n">
        <v>7.270704077454631</v>
      </c>
      <c r="C116" t="n">
        <v>5.734933831022031</v>
      </c>
      <c r="D116" t="n">
        <v>0.5131316736943625</v>
      </c>
      <c r="E116" t="n">
        <v>2.856817134055754</v>
      </c>
      <c r="F116" t="n">
        <v>0.4254588386508537</v>
      </c>
      <c r="G116" t="n">
        <v>12.11686231590201</v>
      </c>
      <c r="H116" t="n">
        <v>1.445075268817204</v>
      </c>
      <c r="I116" t="n">
        <v>38.770915333614</v>
      </c>
      <c r="J116" t="n">
        <v>40.29230243038819</v>
      </c>
      <c r="K116" t="n">
        <v>40.29230243038819</v>
      </c>
    </row>
    <row r="117">
      <c r="A117" s="8" t="n">
        <v>47696</v>
      </c>
      <c r="B117" t="n">
        <v>8.161645258862009</v>
      </c>
      <c r="C117" t="n">
        <v>5.801785261754675</v>
      </c>
      <c r="D117" t="n">
        <v>0.4817688588861398</v>
      </c>
      <c r="E117" t="n">
        <v>2.923793669786177</v>
      </c>
      <c r="F117" t="n">
        <v>0.4343225644560798</v>
      </c>
      <c r="G117" t="n">
        <v>12.51958200464404</v>
      </c>
      <c r="H117" t="n">
        <v>1.741763440860215</v>
      </c>
      <c r="I117" t="n">
        <v>38.83213088622084</v>
      </c>
      <c r="J117" t="n">
        <v>41.71567927331761</v>
      </c>
      <c r="K117" t="n">
        <v>41.71567927331761</v>
      </c>
    </row>
    <row r="118">
      <c r="A118" s="8" t="n">
        <v>47727</v>
      </c>
      <c r="B118" t="n">
        <v>6.918029331066658</v>
      </c>
      <c r="C118" t="n">
        <v>5.775953224353145</v>
      </c>
      <c r="D118" t="n">
        <v>0.4869785704214246</v>
      </c>
      <c r="E118" t="n">
        <v>2.752319206600729</v>
      </c>
      <c r="F118" t="n">
        <v>0.4431862902613058</v>
      </c>
      <c r="G118" t="n">
        <v>13.34674215256428</v>
      </c>
      <c r="H118" t="n">
        <v>2.412133333333333</v>
      </c>
      <c r="I118" t="n">
        <v>38.89344418430559</v>
      </c>
      <c r="J118" t="n">
        <v>40.99829973986114</v>
      </c>
      <c r="K118" t="n">
        <v>40.99829973986114</v>
      </c>
    </row>
    <row r="119">
      <c r="A119" s="8" t="n">
        <v>47757</v>
      </c>
      <c r="B119" t="n">
        <v>5.436307874895696</v>
      </c>
      <c r="C119" t="n">
        <v>5.623790841683713</v>
      </c>
      <c r="D119" t="n">
        <v>0.5781576132900805</v>
      </c>
      <c r="E119" t="n">
        <v>2.625427643887605</v>
      </c>
      <c r="F119" t="n">
        <v>0.4520500160665321</v>
      </c>
      <c r="G119" t="n">
        <v>13.90371721049099</v>
      </c>
      <c r="H119" t="n">
        <v>2.523494623655914</v>
      </c>
      <c r="I119" t="n">
        <v>38.95485538867963</v>
      </c>
      <c r="J119" t="n">
        <v>40.01164033491619</v>
      </c>
      <c r="K119" t="n">
        <v>40.01164033491619</v>
      </c>
    </row>
    <row r="120">
      <c r="A120" s="8" t="n">
        <v>47788</v>
      </c>
      <c r="B120" t="n">
        <v>4.645007511031529</v>
      </c>
      <c r="C120" t="n">
        <v>6.020700734949278</v>
      </c>
      <c r="D120" t="n">
        <v>0.8675198370745181</v>
      </c>
      <c r="E120" t="n">
        <v>2.566081556307597</v>
      </c>
      <c r="F120" t="n">
        <v>0.4609137418717582</v>
      </c>
      <c r="G120" t="n">
        <v>14.39478163770154</v>
      </c>
      <c r="H120" t="n">
        <v>1.881788888888889</v>
      </c>
      <c r="I120" t="n">
        <v>39.01636466042443</v>
      </c>
      <c r="J120" t="n">
        <v>40.30404243820221</v>
      </c>
      <c r="K120" t="n">
        <v>40.30404243820221</v>
      </c>
    </row>
    <row r="121">
      <c r="A121" s="8" t="n">
        <v>47818</v>
      </c>
      <c r="B121" t="n">
        <v>4.588742658117908</v>
      </c>
      <c r="C121" t="n">
        <v>6.225301809477917</v>
      </c>
      <c r="D121" t="n">
        <v>1.340216084862092</v>
      </c>
      <c r="E121" t="n">
        <v>2.449214361367505</v>
      </c>
      <c r="F121" t="n">
        <v>0.4697774676769843</v>
      </c>
      <c r="G121" t="n">
        <v>14.39294827114436</v>
      </c>
      <c r="H121" t="n">
        <v>1.379204301075269</v>
      </c>
      <c r="I121" t="n">
        <v>39.07797216089202</v>
      </c>
      <c r="J121" t="n">
        <v>41.23674635444041</v>
      </c>
      <c r="K121" t="n">
        <v>41.23674635444041</v>
      </c>
    </row>
    <row r="122">
      <c r="A122" s="8" t="n">
        <v>47849</v>
      </c>
      <c r="B122" t="n">
        <v>5.579445751982315</v>
      </c>
      <c r="C122" t="n">
        <v>6.082716514189316</v>
      </c>
      <c r="D122" t="n">
        <v>2.162794556377972</v>
      </c>
      <c r="E122" t="n">
        <v>2.69817908972461</v>
      </c>
      <c r="F122" t="n">
        <v>0.4746460968977579</v>
      </c>
      <c r="G122" t="n">
        <v>14.15509556829357</v>
      </c>
      <c r="H122" t="n">
        <v>0.9953118279569892</v>
      </c>
      <c r="I122" t="n">
        <v>39.10896050210854</v>
      </c>
      <c r="J122" t="n">
        <v>43.54430458813005</v>
      </c>
      <c r="K122" t="n">
        <v>43.54430458813005</v>
      </c>
    </row>
    <row r="123">
      <c r="A123" s="8" t="n">
        <v>47880</v>
      </c>
      <c r="B123" t="n">
        <v>4.573570037829584</v>
      </c>
      <c r="C123" t="n">
        <v>5.956800681472964</v>
      </c>
      <c r="D123" t="n">
        <v>1.582951041718796</v>
      </c>
      <c r="E123" t="n">
        <v>2.652519981328204</v>
      </c>
      <c r="F123" t="n">
        <v>0.4795147261185315</v>
      </c>
      <c r="G123" t="n">
        <v>14.20153157323998</v>
      </c>
      <c r="H123" t="n">
        <v>1.637940886699507</v>
      </c>
      <c r="I123" t="n">
        <v>39.13997370468741</v>
      </c>
      <c r="J123" t="n">
        <v>41.99287723506507</v>
      </c>
      <c r="K123" t="n">
        <v>41.99287723506507</v>
      </c>
    </row>
    <row r="124">
      <c r="A124" s="8" t="n">
        <v>47908</v>
      </c>
      <c r="B124" t="n">
        <v>4.068206450284062</v>
      </c>
      <c r="C124" t="n">
        <v>5.929107185695436</v>
      </c>
      <c r="D124" t="n">
        <v>0.8733206868662754</v>
      </c>
      <c r="E124" t="n">
        <v>2.556073288794575</v>
      </c>
      <c r="F124" t="n">
        <v>0.4843833553393052</v>
      </c>
      <c r="G124" t="n">
        <v>14.02246622474038</v>
      </c>
      <c r="H124" t="n">
        <v>2.392172043010753</v>
      </c>
      <c r="I124" t="n">
        <v>39.17101178918138</v>
      </c>
      <c r="J124" t="n">
        <v>40.35828060638568</v>
      </c>
      <c r="K124" t="n">
        <v>40.35828060638568</v>
      </c>
    </row>
    <row r="125">
      <c r="A125" s="8" t="n">
        <v>47939</v>
      </c>
      <c r="B125" t="n">
        <v>4.495762034023503</v>
      </c>
      <c r="C125" t="n">
        <v>5.862804260967176</v>
      </c>
      <c r="D125" t="n">
        <v>0.6814536191426485</v>
      </c>
      <c r="E125" t="n">
        <v>2.751944278964868</v>
      </c>
      <c r="F125" t="n">
        <v>0.4892519845600789</v>
      </c>
      <c r="G125" t="n">
        <v>13.71412009222568</v>
      </c>
      <c r="H125" t="n">
        <v>2.271922222222222</v>
      </c>
      <c r="I125" t="n">
        <v>39.20207477616061</v>
      </c>
      <c r="J125" t="n">
        <v>40.36174144282727</v>
      </c>
      <c r="K125" t="n">
        <v>40.36174144282727</v>
      </c>
    </row>
    <row r="126">
      <c r="A126" s="8" t="n">
        <v>47969</v>
      </c>
      <c r="B126" t="n">
        <v>5.792966830004294</v>
      </c>
      <c r="C126" t="n">
        <v>5.731096638494989</v>
      </c>
      <c r="D126" t="n">
        <v>0.5317297561809505</v>
      </c>
      <c r="E126" t="n">
        <v>2.991018631852827</v>
      </c>
      <c r="F126" t="n">
        <v>0.4941206137808525</v>
      </c>
      <c r="G126" t="n">
        <v>14.3118733709199</v>
      </c>
      <c r="H126" t="n">
        <v>2.179247311827957</v>
      </c>
      <c r="I126" t="n">
        <v>39.23316268621259</v>
      </c>
      <c r="J126" t="n">
        <v>40.35619494427711</v>
      </c>
      <c r="K126" t="n">
        <v>40.35619494427711</v>
      </c>
    </row>
    <row r="127">
      <c r="A127" s="8" t="n">
        <v>48000</v>
      </c>
      <c r="B127" t="n">
        <v>6.680486736221694</v>
      </c>
      <c r="C127" t="n">
        <v>5.794658284915496</v>
      </c>
      <c r="D127" t="n">
        <v>0.5246584737556921</v>
      </c>
      <c r="E127" t="n">
        <v>2.932999147140086</v>
      </c>
      <c r="F127" t="n">
        <v>0.4989892430016262</v>
      </c>
      <c r="G127" t="n">
        <v>14.54182463442464</v>
      </c>
      <c r="H127" t="n">
        <v>1.835466666666667</v>
      </c>
      <c r="I127" t="n">
        <v>39.26427553994218</v>
      </c>
      <c r="J127" t="n">
        <v>40.4134866510533</v>
      </c>
      <c r="K127" t="n">
        <v>40.4134866510533</v>
      </c>
    </row>
    <row r="128">
      <c r="A128" s="8" t="n">
        <v>48030</v>
      </c>
      <c r="B128" t="n">
        <v>7.270704077454631</v>
      </c>
      <c r="C128" t="n">
        <v>5.780375507941438</v>
      </c>
      <c r="D128" t="n">
        <v>0.4977377234835317</v>
      </c>
      <c r="E128" t="n">
        <v>2.798953512470861</v>
      </c>
      <c r="F128" t="n">
        <v>0.5038578722223999</v>
      </c>
      <c r="G128" t="n">
        <v>14.22991380966947</v>
      </c>
      <c r="H128" t="n">
        <v>1.445075268817204</v>
      </c>
      <c r="I128" t="n">
        <v>39.29541335797166</v>
      </c>
      <c r="J128" t="n">
        <v>40.81680045474585</v>
      </c>
      <c r="K128" t="n">
        <v>40.81680045474585</v>
      </c>
    </row>
    <row r="129">
      <c r="A129" s="8" t="n">
        <v>48061</v>
      </c>
      <c r="B129" t="n">
        <v>8.161645258862009</v>
      </c>
      <c r="C129" t="n">
        <v>5.847756646811344</v>
      </c>
      <c r="D129" t="n">
        <v>0.4673157931195557</v>
      </c>
      <c r="E129" t="n">
        <v>2.864573466825327</v>
      </c>
      <c r="F129" t="n">
        <v>0.5087265014431734</v>
      </c>
      <c r="G129" t="n">
        <v>14.68855477995527</v>
      </c>
      <c r="H129" t="n">
        <v>1.741763440860215</v>
      </c>
      <c r="I129" t="n">
        <v>39.3265761609407</v>
      </c>
      <c r="J129" t="n">
        <v>42.21012454803747</v>
      </c>
      <c r="K129" t="n">
        <v>42.21012454803747</v>
      </c>
    </row>
    <row r="130">
      <c r="A130" s="8" t="n">
        <v>48092</v>
      </c>
      <c r="B130" t="n">
        <v>6.918029331066658</v>
      </c>
      <c r="C130" t="n">
        <v>5.82171992507825</v>
      </c>
      <c r="D130" t="n">
        <v>0.4723692133087817</v>
      </c>
      <c r="E130" t="n">
        <v>2.696572146296074</v>
      </c>
      <c r="F130" t="n">
        <v>0.5135951306639471</v>
      </c>
      <c r="G130" t="n">
        <v>15.4700550280206</v>
      </c>
      <c r="H130" t="n">
        <v>2.412133333333333</v>
      </c>
      <c r="I130" t="n">
        <v>39.35776396950637</v>
      </c>
      <c r="J130" t="n">
        <v>41.46261952506192</v>
      </c>
      <c r="K130" t="n">
        <v>41.46261952506192</v>
      </c>
    </row>
    <row r="131">
      <c r="A131" s="8" t="n">
        <v>48122</v>
      </c>
      <c r="B131" t="n">
        <v>5.436307874895696</v>
      </c>
      <c r="C131" t="n">
        <v>5.668351859128716</v>
      </c>
      <c r="D131" t="n">
        <v>0.5608128848913779</v>
      </c>
      <c r="E131" t="n">
        <v>2.572250718464745</v>
      </c>
      <c r="F131" t="n">
        <v>0.5184637598847208</v>
      </c>
      <c r="G131" t="n">
        <v>15.89548970777218</v>
      </c>
      <c r="H131" t="n">
        <v>2.523494623655914</v>
      </c>
      <c r="I131" t="n">
        <v>39.38897680434319</v>
      </c>
      <c r="J131" t="n">
        <v>40.44576175057975</v>
      </c>
      <c r="K131" t="n">
        <v>40.44576175057975</v>
      </c>
    </row>
    <row r="132">
      <c r="A132" s="8" t="n">
        <v>48153</v>
      </c>
      <c r="B132" t="n">
        <v>4.645007511031529</v>
      </c>
      <c r="C132" t="n">
        <v>6.068406732208753</v>
      </c>
      <c r="D132" t="n">
        <v>0.8414942419622826</v>
      </c>
      <c r="E132" t="n">
        <v>2.514106660763842</v>
      </c>
      <c r="F132" t="n">
        <v>0.5233323891054944</v>
      </c>
      <c r="G132" t="n">
        <v>16.23512052546222</v>
      </c>
      <c r="H132" t="n">
        <v>1.881788888888889</v>
      </c>
      <c r="I132" t="n">
        <v>39.40963167559494</v>
      </c>
      <c r="J132" t="n">
        <v>40.69730945337272</v>
      </c>
      <c r="K132" t="n">
        <v>40.69730945337272</v>
      </c>
    </row>
    <row r="133">
      <c r="A133" s="8" t="n">
        <v>48183</v>
      </c>
      <c r="B133" t="n">
        <v>4.588742658117908</v>
      </c>
      <c r="C133" t="n">
        <v>6.274628996484306</v>
      </c>
      <c r="D133" t="n">
        <v>1.300009602316229</v>
      </c>
      <c r="E133" t="n">
        <v>2.399606561380231</v>
      </c>
      <c r="F133" t="n">
        <v>0.5282010183262681</v>
      </c>
      <c r="G133" t="n">
        <v>16.01719753724603</v>
      </c>
      <c r="H133" t="n">
        <v>1.379204301075269</v>
      </c>
      <c r="I133" t="n">
        <v>39.41656782134501</v>
      </c>
      <c r="J133" t="n">
        <v>41.5753420148934</v>
      </c>
      <c r="K133" t="n">
        <v>41.5753420148934</v>
      </c>
    </row>
    <row r="134">
      <c r="A134" s="8" t="n">
        <v>48214</v>
      </c>
      <c r="B134" t="n">
        <v>5.579445751982315</v>
      </c>
      <c r="C134" t="n">
        <v>6.13091390351837</v>
      </c>
      <c r="D134" t="n">
        <v>2.097910719686632</v>
      </c>
      <c r="E134" t="n">
        <v>2.643528614566458</v>
      </c>
      <c r="F134" t="n">
        <v>0.5330696475470417</v>
      </c>
      <c r="G134" t="n">
        <v>15.40481531001708</v>
      </c>
      <c r="H134" t="n">
        <v>0.9953118279569892</v>
      </c>
      <c r="I134" t="n">
        <v>39.42004294921241</v>
      </c>
      <c r="J134" t="n">
        <v>43.85538703523392</v>
      </c>
      <c r="K134" t="n">
        <v>43.85538703523392</v>
      </c>
    </row>
    <row r="135">
      <c r="A135" s="8" t="n">
        <v>48245</v>
      </c>
      <c r="B135" t="n">
        <v>4.573570037829584</v>
      </c>
      <c r="C135" t="n">
        <v>6.00400035631081</v>
      </c>
      <c r="D135" t="n">
        <v>1.535462510467231</v>
      </c>
      <c r="E135" t="n">
        <v>2.598794312080328</v>
      </c>
      <c r="F135" t="n">
        <v>0.5379382767678154</v>
      </c>
      <c r="G135" t="n">
        <v>15.16644253291303</v>
      </c>
      <c r="H135" t="n">
        <v>1.637940886699507</v>
      </c>
      <c r="I135" t="n">
        <v>39.42351902089015</v>
      </c>
      <c r="J135" t="n">
        <v>42.27642255126781</v>
      </c>
      <c r="K135" t="n">
        <v>42.27642255126781</v>
      </c>
    </row>
    <row r="136">
      <c r="A136" s="8" t="n">
        <v>48274</v>
      </c>
      <c r="B136" t="n">
        <v>4.068206450284062</v>
      </c>
      <c r="C136" t="n">
        <v>5.976087426634833</v>
      </c>
      <c r="D136" t="n">
        <v>0.8471210662602872</v>
      </c>
      <c r="E136" t="n">
        <v>2.504301106472185</v>
      </c>
      <c r="F136" t="n">
        <v>0.5428069059885891</v>
      </c>
      <c r="G136" t="n">
        <v>14.70041434656364</v>
      </c>
      <c r="H136" t="n">
        <v>2.392172043010753</v>
      </c>
      <c r="I136" t="n">
        <v>39.42699603663554</v>
      </c>
      <c r="J136" t="n">
        <v>40.61426485383984</v>
      </c>
      <c r="K136" t="n">
        <v>40.61426485383984</v>
      </c>
    </row>
    <row r="137">
      <c r="A137" s="8" t="n">
        <v>48305</v>
      </c>
      <c r="B137" t="n">
        <v>4.495762034023503</v>
      </c>
      <c r="C137" t="n">
        <v>5.909259139945459</v>
      </c>
      <c r="D137" t="n">
        <v>0.6610100105683691</v>
      </c>
      <c r="E137" t="n">
        <v>2.696204812660747</v>
      </c>
      <c r="F137" t="n">
        <v>0.5476755352093626</v>
      </c>
      <c r="G137" t="n">
        <v>14.1992926518784</v>
      </c>
      <c r="H137" t="n">
        <v>2.271922222222222</v>
      </c>
      <c r="I137" t="n">
        <v>39.43047399670598</v>
      </c>
      <c r="J137" t="n">
        <v>40.59014066337264</v>
      </c>
      <c r="K137" t="n">
        <v>40.59014066337264</v>
      </c>
    </row>
    <row r="138">
      <c r="A138" s="8" t="n">
        <v>48335</v>
      </c>
      <c r="B138" t="n">
        <v>5.792966830004294</v>
      </c>
      <c r="C138" t="n">
        <v>5.776507910798016</v>
      </c>
      <c r="D138" t="n">
        <v>0.5157778634955219</v>
      </c>
      <c r="E138" t="n">
        <v>2.930436815745756</v>
      </c>
      <c r="F138" t="n">
        <v>0.5525441644301362</v>
      </c>
      <c r="G138" t="n">
        <v>14.63710916827362</v>
      </c>
      <c r="H138" t="n">
        <v>2.179247311827957</v>
      </c>
      <c r="I138" t="n">
        <v>39.43395290135895</v>
      </c>
      <c r="J138" t="n">
        <v>40.55698515942347</v>
      </c>
      <c r="K138" t="n">
        <v>40.55698515942347</v>
      </c>
    </row>
    <row r="139">
      <c r="A139" s="8" t="n">
        <v>48366</v>
      </c>
      <c r="B139" t="n">
        <v>6.680486736221694</v>
      </c>
      <c r="C139" t="n">
        <v>5.840573198217045</v>
      </c>
      <c r="D139" t="n">
        <v>0.5089187195430211</v>
      </c>
      <c r="E139" t="n">
        <v>2.873592491132675</v>
      </c>
      <c r="F139" t="n">
        <v>0.5574127936509099</v>
      </c>
      <c r="G139" t="n">
        <v>14.78827058143899</v>
      </c>
      <c r="H139" t="n">
        <v>1.835466666666667</v>
      </c>
      <c r="I139" t="n">
        <v>39.43743275085197</v>
      </c>
      <c r="J139" t="n">
        <v>40.58664386196308</v>
      </c>
      <c r="K139" t="n">
        <v>40.58664386196308</v>
      </c>
    </row>
    <row r="140">
      <c r="A140" s="8" t="n">
        <v>48396</v>
      </c>
      <c r="B140" t="n">
        <v>7.270704077454631</v>
      </c>
      <c r="C140" t="n">
        <v>5.826177249346695</v>
      </c>
      <c r="D140" t="n">
        <v>0.4828055917790257</v>
      </c>
      <c r="E140" t="n">
        <v>2.742261894043959</v>
      </c>
      <c r="F140" t="n">
        <v>0.5622814228716836</v>
      </c>
      <c r="G140" t="n">
        <v>14.38978393145688</v>
      </c>
      <c r="H140" t="n">
        <v>1.445075268817204</v>
      </c>
      <c r="I140" t="n">
        <v>39.44091354544263</v>
      </c>
      <c r="J140" t="n">
        <v>40.96230064221682</v>
      </c>
      <c r="K140" t="n">
        <v>40.96230064221682</v>
      </c>
    </row>
    <row r="141">
      <c r="A141" s="8" t="n">
        <v>48427</v>
      </c>
      <c r="B141" t="n">
        <v>8.161645258862009</v>
      </c>
      <c r="C141" t="n">
        <v>5.894092293582069</v>
      </c>
      <c r="D141" t="n">
        <v>0.453296319325969</v>
      </c>
      <c r="E141" t="n">
        <v>2.806552744003916</v>
      </c>
      <c r="F141" t="n">
        <v>0.5671500520924572</v>
      </c>
      <c r="G141" t="n">
        <v>14.77060529854541</v>
      </c>
      <c r="H141" t="n">
        <v>1.741763440860215</v>
      </c>
      <c r="I141" t="n">
        <v>39.44439528538862</v>
      </c>
      <c r="J141" t="n">
        <v>42.3279436724854</v>
      </c>
      <c r="K141" t="n">
        <v>42.3279436724854</v>
      </c>
    </row>
    <row r="142">
      <c r="A142" s="8" t="n">
        <v>48458</v>
      </c>
      <c r="B142" t="n">
        <v>6.918029331066658</v>
      </c>
      <c r="C142" t="n">
        <v>5.867849265667964</v>
      </c>
      <c r="D142" t="n">
        <v>0.4581981369095182</v>
      </c>
      <c r="E142" t="n">
        <v>2.641954219096749</v>
      </c>
      <c r="F142" t="n">
        <v>0.5720186813132307</v>
      </c>
      <c r="G142" t="n">
        <v>15.4700550280206</v>
      </c>
      <c r="H142" t="n">
        <v>2.412133333333333</v>
      </c>
      <c r="I142" t="n">
        <v>39.44787797094769</v>
      </c>
      <c r="J142" t="n">
        <v>41.55273352650324</v>
      </c>
      <c r="K142" t="n">
        <v>41.55273352650324</v>
      </c>
    </row>
    <row r="143">
      <c r="A143" s="8" t="n">
        <v>48488</v>
      </c>
      <c r="B143" t="n">
        <v>5.436307874895696</v>
      </c>
      <c r="C143" t="n">
        <v>5.713265963011611</v>
      </c>
      <c r="D143" t="n">
        <v>0.5439884983446366</v>
      </c>
      <c r="E143" t="n">
        <v>2.520150869153281</v>
      </c>
      <c r="F143" t="n">
        <v>0.5768873105340044</v>
      </c>
      <c r="G143" t="n">
        <v>15.89548970777218</v>
      </c>
      <c r="H143" t="n">
        <v>2.523494623655914</v>
      </c>
      <c r="I143" t="n">
        <v>39.45136160237763</v>
      </c>
      <c r="J143" t="n">
        <v>40.50814654861419</v>
      </c>
      <c r="K143" t="n">
        <v>40.50814654861419</v>
      </c>
    </row>
    <row r="144">
      <c r="A144" s="8" t="n">
        <v>48519</v>
      </c>
      <c r="B144" t="n">
        <v>4.645007511031529</v>
      </c>
      <c r="C144" t="n">
        <v>6.116490735662972</v>
      </c>
      <c r="D144" t="n">
        <v>0.8162494147034141</v>
      </c>
      <c r="E144" t="n">
        <v>2.463184494725174</v>
      </c>
      <c r="F144" t="n">
        <v>0.5817559397547781</v>
      </c>
      <c r="G144" t="n">
        <v>16.23512052546222</v>
      </c>
      <c r="H144" t="n">
        <v>1.881788888888889</v>
      </c>
      <c r="I144" t="n">
        <v>39.45484617993637</v>
      </c>
      <c r="J144" t="n">
        <v>40.74252395771415</v>
      </c>
      <c r="K144" t="n">
        <v>40.74252395771415</v>
      </c>
    </row>
    <row r="145">
      <c r="A145" s="8" t="n">
        <v>48549</v>
      </c>
      <c r="B145" t="n">
        <v>4.588742658117908</v>
      </c>
      <c r="C145" t="n">
        <v>6.324347035444935</v>
      </c>
      <c r="D145" t="n">
        <v>1.261009314246742</v>
      </c>
      <c r="E145" t="n">
        <v>2.351003546379683</v>
      </c>
      <c r="F145" t="n">
        <v>0.5866245689755517</v>
      </c>
      <c r="G145" t="n">
        <v>16.01719753724603</v>
      </c>
      <c r="H145" t="n">
        <v>1.379204301075269</v>
      </c>
      <c r="I145" t="n">
        <v>39.45833170388183</v>
      </c>
      <c r="J145" t="n">
        <v>41.61710589743022</v>
      </c>
      <c r="K145" t="n">
        <v>41.61710589743022</v>
      </c>
    </row>
    <row r="146">
      <c r="A146" s="8" t="n">
        <v>48580</v>
      </c>
      <c r="B146" t="n">
        <v>5.579445751982315</v>
      </c>
      <c r="C146" t="n">
        <v>6.179493192666809</v>
      </c>
      <c r="D146" t="n">
        <v>2.034973398096033</v>
      </c>
      <c r="E146" t="n">
        <v>2.589985061645746</v>
      </c>
      <c r="F146" t="n">
        <v>0.5914931981963253</v>
      </c>
      <c r="G146" t="n">
        <v>15.40481531001708</v>
      </c>
      <c r="H146" t="n">
        <v>0.9953118279569892</v>
      </c>
      <c r="I146" t="n">
        <v>39.46007624099035</v>
      </c>
      <c r="J146" t="n">
        <v>43.89542032701185</v>
      </c>
      <c r="K146" t="n">
        <v>43.89542032701185</v>
      </c>
    </row>
    <row r="147">
      <c r="A147" s="8" t="n">
        <v>48611</v>
      </c>
      <c r="B147" t="n">
        <v>4.573570037829584</v>
      </c>
      <c r="C147" t="n">
        <v>6.051574025415699</v>
      </c>
      <c r="D147" t="n">
        <v>1.489398635153214</v>
      </c>
      <c r="E147" t="n">
        <v>2.546156833517707</v>
      </c>
      <c r="F147" t="n">
        <v>0.596361827417099</v>
      </c>
      <c r="G147" t="n">
        <v>15.16644253291303</v>
      </c>
      <c r="H147" t="n">
        <v>1.637940886699507</v>
      </c>
      <c r="I147" t="n">
        <v>39.46182101517966</v>
      </c>
      <c r="J147" t="n">
        <v>42.31472454555733</v>
      </c>
      <c r="K147" t="n">
        <v>42.31472454555733</v>
      </c>
    </row>
    <row r="148">
      <c r="A148" s="8" t="n">
        <v>48639</v>
      </c>
      <c r="B148" t="n">
        <v>4.068206450284062</v>
      </c>
      <c r="C148" t="n">
        <v>6.023439923121245</v>
      </c>
      <c r="D148" t="n">
        <v>0.8217074342724785</v>
      </c>
      <c r="E148" t="n">
        <v>2.453577547784403</v>
      </c>
      <c r="F148" t="n">
        <v>0.6012304566378727</v>
      </c>
      <c r="G148" t="n">
        <v>14.70041434656364</v>
      </c>
      <c r="H148" t="n">
        <v>2.392172043010753</v>
      </c>
      <c r="I148" t="n">
        <v>39.4635660264821</v>
      </c>
      <c r="J148" t="n">
        <v>40.6508348436864</v>
      </c>
      <c r="K148" t="n">
        <v>40.6508348436864</v>
      </c>
    </row>
    <row r="149">
      <c r="A149" s="8" t="n">
        <v>48670</v>
      </c>
      <c r="B149" t="n">
        <v>4.495762034023503</v>
      </c>
      <c r="C149" t="n">
        <v>5.956082111680184</v>
      </c>
      <c r="D149" t="n">
        <v>0.641179710251318</v>
      </c>
      <c r="E149" t="n">
        <v>2.641594325648691</v>
      </c>
      <c r="F149" t="n">
        <v>0.6060990858586462</v>
      </c>
      <c r="G149" t="n">
        <v>14.1992926518784</v>
      </c>
      <c r="H149" t="n">
        <v>2.271922222222222</v>
      </c>
      <c r="I149" t="n">
        <v>39.46531127493</v>
      </c>
      <c r="J149" t="n">
        <v>40.62497794159667</v>
      </c>
      <c r="K149" t="n">
        <v>40.62497794159667</v>
      </c>
    </row>
    <row r="150">
      <c r="A150" s="8" t="n">
        <v>48700</v>
      </c>
      <c r="B150" t="n">
        <v>5.792966830004294</v>
      </c>
      <c r="C150" t="n">
        <v>5.822279006670992</v>
      </c>
      <c r="D150" t="n">
        <v>0.5003045275906562</v>
      </c>
      <c r="E150" t="n">
        <v>2.871082058675945</v>
      </c>
      <c r="F150" t="n">
        <v>0.6109677150794198</v>
      </c>
      <c r="G150" t="n">
        <v>14.63710916827362</v>
      </c>
      <c r="H150" t="n">
        <v>2.179247311827957</v>
      </c>
      <c r="I150" t="n">
        <v>39.46705676055574</v>
      </c>
      <c r="J150" t="n">
        <v>40.59008901862026</v>
      </c>
      <c r="K150" t="n">
        <v>40.59008901862026</v>
      </c>
    </row>
    <row r="151">
      <c r="A151" s="8" t="n">
        <v>48731</v>
      </c>
      <c r="B151" t="n">
        <v>6.680486736221694</v>
      </c>
      <c r="C151" t="n">
        <v>5.886851925769554</v>
      </c>
      <c r="D151" t="n">
        <v>0.4936511579567305</v>
      </c>
      <c r="E151" t="n">
        <v>2.815389091792223</v>
      </c>
      <c r="F151" t="n">
        <v>0.6158363443001935</v>
      </c>
      <c r="G151" t="n">
        <v>14.78827058143899</v>
      </c>
      <c r="H151" t="n">
        <v>1.835466666666667</v>
      </c>
      <c r="I151" t="n">
        <v>39.46880248339166</v>
      </c>
      <c r="J151" t="n">
        <v>40.61801359450278</v>
      </c>
      <c r="K151" t="n">
        <v>40.61801359450278</v>
      </c>
    </row>
    <row r="152">
      <c r="A152" s="8" t="n">
        <v>48761</v>
      </c>
      <c r="B152" t="n">
        <v>7.270704077454631</v>
      </c>
      <c r="C152" t="n">
        <v>5.872341908267063</v>
      </c>
      <c r="D152" t="n">
        <v>0.4683214240256549</v>
      </c>
      <c r="E152" t="n">
        <v>2.686718540347266</v>
      </c>
      <c r="F152" t="n">
        <v>0.6207049735209672</v>
      </c>
      <c r="G152" t="n">
        <v>14.38978393145688</v>
      </c>
      <c r="H152" t="n">
        <v>1.445075268817204</v>
      </c>
      <c r="I152" t="n">
        <v>39.47054844347013</v>
      </c>
      <c r="J152" t="n">
        <v>40.99193554024432</v>
      </c>
      <c r="K152" t="n">
        <v>40.99193554024432</v>
      </c>
    </row>
    <row r="153">
      <c r="A153" s="8" t="n">
        <v>48792</v>
      </c>
      <c r="B153" t="n">
        <v>8.161645258862009</v>
      </c>
      <c r="C153" t="n">
        <v>5.940795088353529</v>
      </c>
      <c r="D153" t="n">
        <v>0.43969742974619</v>
      </c>
      <c r="E153" t="n">
        <v>2.749707206359532</v>
      </c>
      <c r="F153" t="n">
        <v>0.6255736027417408</v>
      </c>
      <c r="G153" t="n">
        <v>14.77060529854541</v>
      </c>
      <c r="H153" t="n">
        <v>1.741763440860215</v>
      </c>
      <c r="I153" t="n">
        <v>39.47229464082351</v>
      </c>
      <c r="J153" t="n">
        <v>42.35584302792029</v>
      </c>
      <c r="K153" t="n">
        <v>42.35584302792029</v>
      </c>
    </row>
    <row r="154">
      <c r="A154" s="8" t="n">
        <v>48823</v>
      </c>
      <c r="B154" t="n">
        <v>6.918029331066658</v>
      </c>
      <c r="C154" t="n">
        <v>5.914344119557978</v>
      </c>
      <c r="D154" t="n">
        <v>0.4444521928022327</v>
      </c>
      <c r="E154" t="n">
        <v>2.588442554889738</v>
      </c>
      <c r="F154" t="n">
        <v>0.6304422319625144</v>
      </c>
      <c r="G154" t="n">
        <v>15.4700550280206</v>
      </c>
      <c r="H154" t="n">
        <v>2.412133333333333</v>
      </c>
      <c r="I154" t="n">
        <v>39.47404107548417</v>
      </c>
      <c r="J154" t="n">
        <v>41.57889663103973</v>
      </c>
      <c r="K154" t="n">
        <v>41.57889663103973</v>
      </c>
    </row>
    <row r="155">
      <c r="A155" s="8" t="n">
        <v>48853</v>
      </c>
      <c r="B155" t="n">
        <v>5.436307874895696</v>
      </c>
      <c r="C155" t="n">
        <v>5.758535951069964</v>
      </c>
      <c r="D155" t="n">
        <v>0.5276688433942975</v>
      </c>
      <c r="E155" t="n">
        <v>2.469106280232568</v>
      </c>
      <c r="F155" t="n">
        <v>0.6353108611832881</v>
      </c>
      <c r="G155" t="n">
        <v>15.89548970777218</v>
      </c>
      <c r="H155" t="n">
        <v>2.523494623655914</v>
      </c>
      <c r="I155" t="n">
        <v>39.4757877474845</v>
      </c>
      <c r="J155" t="n">
        <v>40.53257269372106</v>
      </c>
      <c r="K155" t="n">
        <v>40.53257269372106</v>
      </c>
    </row>
    <row r="156">
      <c r="A156" s="8" t="n">
        <v>48884</v>
      </c>
      <c r="B156" t="n">
        <v>4.645007511031529</v>
      </c>
      <c r="C156" t="n">
        <v>6.164955740505237</v>
      </c>
      <c r="D156" t="n">
        <v>0.7917619322623116</v>
      </c>
      <c r="E156" t="n">
        <v>2.413293735601152</v>
      </c>
      <c r="F156" t="n">
        <v>0.6401794904040617</v>
      </c>
      <c r="G156" t="n">
        <v>16.23512052546222</v>
      </c>
      <c r="H156" t="n">
        <v>1.881788888888889</v>
      </c>
      <c r="I156" t="n">
        <v>39.47753465685685</v>
      </c>
      <c r="J156" t="n">
        <v>40.76521243463463</v>
      </c>
      <c r="K156" t="n">
        <v>40.76521243463463</v>
      </c>
    </row>
    <row r="157">
      <c r="A157" s="8" t="n">
        <v>48914</v>
      </c>
      <c r="B157" t="n">
        <v>4.588742658117908</v>
      </c>
      <c r="C157" t="n">
        <v>6.374459023338558</v>
      </c>
      <c r="D157" t="n">
        <v>1.22317903481934</v>
      </c>
      <c r="E157" t="n">
        <v>2.303384964871343</v>
      </c>
      <c r="F157" t="n">
        <v>0.6450481196248353</v>
      </c>
      <c r="G157" t="n">
        <v>16.01719753724603</v>
      </c>
      <c r="H157" t="n">
        <v>1.379204301075269</v>
      </c>
      <c r="I157" t="n">
        <v>39.47928180363363</v>
      </c>
      <c r="J157" t="n">
        <v>41.63805599718202</v>
      </c>
      <c r="K157" t="n">
        <v>41.63805599718202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57"/>
  <sheetViews>
    <sheetView workbookViewId="0">
      <selection activeCell="A1" sqref="A1"/>
    </sheetView>
  </sheetViews>
  <sheetFormatPr baseColWidth="8" defaultRowHeight="15"/>
  <cols>
    <col width="11" customWidth="1" min="1" max="1"/>
  </cols>
  <sheetData>
    <row r="1">
      <c r="A1" t="inlineStr">
        <is>
          <t>Date</t>
        </is>
      </c>
      <c r="B1" t="inlineStr">
        <is>
          <t>Electric power</t>
        </is>
      </c>
      <c r="C1" t="inlineStr">
        <is>
          <t>Industrial</t>
        </is>
      </c>
      <c r="D1" t="inlineStr">
        <is>
          <t>Res., comm., vehicle</t>
        </is>
      </c>
      <c r="E1" t="inlineStr">
        <is>
          <t>LNG feedgas</t>
        </is>
      </c>
      <c r="F1" t="inlineStr">
        <is>
          <t>Storage injection</t>
        </is>
      </c>
      <c r="G1" t="inlineStr">
        <is>
          <t>Dry production</t>
        </is>
      </c>
      <c r="H1" t="inlineStr">
        <is>
          <t>Dry prod. + storage withdrawal</t>
        </is>
      </c>
      <c r="I1" t="inlineStr">
        <is>
          <t>Demand, LNG delayed</t>
        </is>
      </c>
    </row>
    <row r="2">
      <c r="A2" s="8" t="n">
        <v>44197</v>
      </c>
      <c r="B2" t="n">
        <v>0.6518064516129032</v>
      </c>
      <c r="C2" t="n">
        <v>3.256483870967742</v>
      </c>
      <c r="D2" t="n">
        <v>0.3599677419354839</v>
      </c>
      <c r="E2" t="n">
        <v>5.848342258064516</v>
      </c>
      <c r="F2" t="n">
        <v>0.7892903225806451</v>
      </c>
      <c r="G2" t="n">
        <v>8.878838709677419</v>
      </c>
      <c r="H2" t="n">
        <v>11.65887096774193</v>
      </c>
    </row>
    <row r="3">
      <c r="A3" s="8" t="n">
        <v>44228</v>
      </c>
      <c r="B3" t="n">
        <v>0.80575</v>
      </c>
      <c r="C3" t="n">
        <v>2.956464285714286</v>
      </c>
      <c r="D3" t="n">
        <v>0.4241785714285714</v>
      </c>
      <c r="E3" t="n">
        <v>4.682795714285715</v>
      </c>
      <c r="F3" t="n">
        <v>1.078357142857143</v>
      </c>
      <c r="G3" t="n">
        <v>7.909</v>
      </c>
      <c r="H3" t="n">
        <v>12.22717857142857</v>
      </c>
    </row>
    <row r="4">
      <c r="A4" s="8" t="n">
        <v>44256</v>
      </c>
      <c r="B4" t="n">
        <v>0.7858064516129032</v>
      </c>
      <c r="C4" t="n">
        <v>2.772612903225806</v>
      </c>
      <c r="D4" t="n">
        <v>0.2334193548387097</v>
      </c>
      <c r="E4" t="n">
        <v>5.767471290322581</v>
      </c>
      <c r="F4" t="n">
        <v>1.771612903225806</v>
      </c>
      <c r="G4" t="n">
        <v>9.058483870967743</v>
      </c>
      <c r="H4" t="n">
        <v>9.996677419354841</v>
      </c>
    </row>
    <row r="5">
      <c r="A5" s="8" t="n">
        <v>44287</v>
      </c>
      <c r="B5" t="n">
        <v>0.7883333333333333</v>
      </c>
      <c r="C5" t="n">
        <v>2.868366666666667</v>
      </c>
      <c r="D5" t="n">
        <v>0.1853666666666667</v>
      </c>
      <c r="E5" t="n">
        <v>5.803196333333334</v>
      </c>
      <c r="F5" t="n">
        <v>1.734566666666667</v>
      </c>
      <c r="G5" t="n">
        <v>9.050000000000001</v>
      </c>
      <c r="H5" t="n">
        <v>10.24156666666667</v>
      </c>
    </row>
    <row r="6">
      <c r="A6" s="8" t="n">
        <v>44317</v>
      </c>
      <c r="B6" t="n">
        <v>0.8640322580645161</v>
      </c>
      <c r="C6" t="n">
        <v>2.747129032258064</v>
      </c>
      <c r="D6" t="n">
        <v>0.1289032258064516</v>
      </c>
      <c r="E6" t="n">
        <v>5.660651290322581</v>
      </c>
      <c r="F6" t="n">
        <v>1.861903225806452</v>
      </c>
      <c r="G6" t="n">
        <v>9.07609677419355</v>
      </c>
      <c r="H6" t="n">
        <v>9.845161290322583</v>
      </c>
    </row>
    <row r="7">
      <c r="A7" s="8" t="n">
        <v>44348</v>
      </c>
      <c r="B7" t="n">
        <v>1.142566666666667</v>
      </c>
      <c r="C7" t="n">
        <v>2.857366666666667</v>
      </c>
      <c r="D7" t="n">
        <v>0.1136333333333333</v>
      </c>
      <c r="E7" t="n">
        <v>4.53549</v>
      </c>
      <c r="F7" t="n">
        <v>1.2744</v>
      </c>
      <c r="G7" t="n">
        <v>9.133799999999999</v>
      </c>
      <c r="H7" t="n">
        <v>10.29293333333333</v>
      </c>
    </row>
    <row r="8">
      <c r="A8" s="8" t="n">
        <v>44378</v>
      </c>
      <c r="B8" t="n">
        <v>1.109193548387097</v>
      </c>
      <c r="C8" t="n">
        <v>3.151774193548387</v>
      </c>
      <c r="D8" t="n">
        <v>0.1157741935483871</v>
      </c>
      <c r="E8" t="n">
        <v>5.222225161290323</v>
      </c>
      <c r="F8" t="n">
        <v>0.9508709677419355</v>
      </c>
      <c r="G8" t="n">
        <v>9.603806451612904</v>
      </c>
      <c r="H8" t="n">
        <v>11.05141935483871</v>
      </c>
    </row>
    <row r="9">
      <c r="A9" s="8" t="n">
        <v>44409</v>
      </c>
      <c r="B9" t="n">
        <v>1.079451612903226</v>
      </c>
      <c r="C9" t="n">
        <v>2.891709677419354</v>
      </c>
      <c r="D9" t="n">
        <v>0.09583870967741936</v>
      </c>
      <c r="E9" t="n">
        <v>4.959781290322582</v>
      </c>
      <c r="F9" t="n">
        <v>1.001129032258065</v>
      </c>
      <c r="G9" t="n">
        <v>9.372967741935483</v>
      </c>
      <c r="H9" t="n">
        <v>10.72032258064516</v>
      </c>
    </row>
    <row r="10">
      <c r="A10" s="8" t="n">
        <v>44440</v>
      </c>
      <c r="B10" t="n">
        <v>0.7262333333333334</v>
      </c>
      <c r="C10" t="n">
        <v>2.493</v>
      </c>
      <c r="D10" t="n">
        <v>0.1325666666666667</v>
      </c>
      <c r="E10" t="n">
        <v>5.538035666666667</v>
      </c>
      <c r="F10" t="n">
        <v>1.545533333333333</v>
      </c>
      <c r="G10" t="n">
        <v>9.614433333333332</v>
      </c>
      <c r="H10" t="n">
        <v>10.23113333333333</v>
      </c>
    </row>
    <row r="11">
      <c r="A11" s="8" t="n">
        <v>44470</v>
      </c>
      <c r="B11" t="n">
        <v>0.8734516129032258</v>
      </c>
      <c r="C11" t="n">
        <v>2.965516129032258</v>
      </c>
      <c r="D11" t="n">
        <v>0.1306129032258064</v>
      </c>
      <c r="E11" t="n">
        <v>5.413361935483872</v>
      </c>
      <c r="F11" t="n">
        <v>1.905483870967742</v>
      </c>
      <c r="G11" t="n">
        <v>9.853387096774194</v>
      </c>
      <c r="H11" t="n">
        <v>10.38574193548387</v>
      </c>
    </row>
    <row r="12">
      <c r="A12" s="8" t="n">
        <v>44501</v>
      </c>
      <c r="B12" t="n">
        <v>0.8439666666666666</v>
      </c>
      <c r="C12" t="n">
        <v>3.234833333333333</v>
      </c>
      <c r="D12" t="n">
        <v>0.2025333333333333</v>
      </c>
      <c r="E12" t="n">
        <v>6.209294000000002</v>
      </c>
      <c r="F12" t="n">
        <v>0.7987333333333333</v>
      </c>
      <c r="G12" t="n">
        <v>10.27236666666667</v>
      </c>
      <c r="H12" t="n">
        <v>11.48743333333333</v>
      </c>
    </row>
    <row r="13">
      <c r="A13" s="8" t="n">
        <v>44531</v>
      </c>
      <c r="B13" t="n">
        <v>0.7543870967741936</v>
      </c>
      <c r="C13" t="n">
        <v>3.26058064516129</v>
      </c>
      <c r="D13" t="n">
        <v>0.1703548387096774</v>
      </c>
      <c r="E13" t="n">
        <v>6.344503225806452</v>
      </c>
      <c r="F13" t="n">
        <v>1.300709677419355</v>
      </c>
      <c r="G13" t="n">
        <v>10.41529032258065</v>
      </c>
      <c r="H13" t="n">
        <v>11.96483870967742</v>
      </c>
    </row>
    <row r="14">
      <c r="A14" s="8" t="n">
        <v>44562</v>
      </c>
      <c r="B14" t="n">
        <v>0.9272258064516129</v>
      </c>
      <c r="C14" t="n">
        <v>3.47458064516129</v>
      </c>
      <c r="D14" t="n">
        <v>0.3852903225806452</v>
      </c>
      <c r="E14" t="n">
        <v>6.72624935483871</v>
      </c>
      <c r="F14" t="n">
        <v>0.7069354838709677</v>
      </c>
      <c r="G14" t="n">
        <v>10.23783870967742</v>
      </c>
      <c r="H14" t="n">
        <v>14.29858064516129</v>
      </c>
    </row>
    <row r="15">
      <c r="A15" s="8" t="n">
        <v>44593</v>
      </c>
      <c r="B15" t="n">
        <v>0.8483928571428571</v>
      </c>
      <c r="C15" t="n">
        <v>3.324428571428572</v>
      </c>
      <c r="D15" t="n">
        <v>0.2790714285714286</v>
      </c>
      <c r="E15" t="n">
        <v>6.433725000000001</v>
      </c>
      <c r="F15" t="n">
        <v>0.778</v>
      </c>
      <c r="G15" t="n">
        <v>10.3425</v>
      </c>
      <c r="H15" t="n">
        <v>13.58621428571428</v>
      </c>
    </row>
    <row r="16">
      <c r="A16" s="8" t="n">
        <v>44621</v>
      </c>
      <c r="B16" t="n">
        <v>0.6706774193548387</v>
      </c>
      <c r="C16" t="n">
        <v>3.315741935483871</v>
      </c>
      <c r="D16" t="n">
        <v>0.2372903225806451</v>
      </c>
      <c r="E16" t="n">
        <v>7.350573225806453</v>
      </c>
      <c r="F16" t="n">
        <v>1.611612903225806</v>
      </c>
      <c r="G16" t="n">
        <v>10.27567741935484</v>
      </c>
      <c r="H16" t="n">
        <v>11.5768064516129</v>
      </c>
    </row>
    <row r="17">
      <c r="A17" s="8" t="n">
        <v>44652</v>
      </c>
      <c r="B17" t="n">
        <v>0.9061</v>
      </c>
      <c r="C17" t="n">
        <v>3.2959</v>
      </c>
      <c r="D17" t="n">
        <v>0.1542</v>
      </c>
      <c r="E17" t="n">
        <v>7.265031666666667</v>
      </c>
      <c r="F17" t="n">
        <v>2.4075</v>
      </c>
      <c r="G17" t="n">
        <v>10.76263333333333</v>
      </c>
      <c r="H17" t="n">
        <v>11.36893333333333</v>
      </c>
    </row>
    <row r="18">
      <c r="A18" s="8" t="n">
        <v>44682</v>
      </c>
      <c r="B18" t="n">
        <v>1.138193548387097</v>
      </c>
      <c r="C18" t="n">
        <v>3.150225806451613</v>
      </c>
      <c r="D18" t="n">
        <v>0.1056129032258065</v>
      </c>
      <c r="E18" t="n">
        <v>6.90922870967742</v>
      </c>
      <c r="F18" t="n">
        <v>1.907806451612903</v>
      </c>
      <c r="G18" t="n">
        <v>11.18154838709678</v>
      </c>
      <c r="H18" t="n">
        <v>11.85612903225807</v>
      </c>
    </row>
    <row r="19">
      <c r="A19" s="8" t="n">
        <v>44713</v>
      </c>
      <c r="B19" t="n">
        <v>1.394233333333333</v>
      </c>
      <c r="C19" t="n">
        <v>3.071533333333333</v>
      </c>
      <c r="D19" t="n">
        <v>0.1032</v>
      </c>
      <c r="E19" t="n">
        <v>6.867000000000001</v>
      </c>
      <c r="F19" t="n">
        <v>1.3559</v>
      </c>
      <c r="G19" t="n">
        <v>11.21076666666667</v>
      </c>
      <c r="H19" t="n">
        <v>11.9505</v>
      </c>
    </row>
    <row r="20">
      <c r="A20" s="8" t="n">
        <v>44743</v>
      </c>
      <c r="B20" t="n">
        <v>1.494677419354839</v>
      </c>
      <c r="C20" t="n">
        <v>3.050870967741936</v>
      </c>
      <c r="D20" t="n">
        <v>0.09919354838709678</v>
      </c>
      <c r="E20" t="n">
        <v>7.165202903225808</v>
      </c>
      <c r="F20" t="n">
        <v>1.14058064516129</v>
      </c>
      <c r="G20" t="n">
        <v>11.27409677419355</v>
      </c>
      <c r="H20" t="n">
        <v>12.81777419354839</v>
      </c>
    </row>
    <row r="21">
      <c r="A21" s="8" t="n">
        <v>44774</v>
      </c>
      <c r="B21" t="n">
        <v>1.198290322580645</v>
      </c>
      <c r="C21" t="n">
        <v>3.081838709677419</v>
      </c>
      <c r="D21" t="n">
        <v>0.1059677419354839</v>
      </c>
      <c r="E21" t="n">
        <v>7.23963935483871</v>
      </c>
      <c r="F21" t="n">
        <v>1.008129032258064</v>
      </c>
      <c r="G21" t="n">
        <v>11.52206451612903</v>
      </c>
      <c r="H21" t="n">
        <v>12.69667741935484</v>
      </c>
    </row>
    <row r="22">
      <c r="A22" s="8" t="n">
        <v>44805</v>
      </c>
      <c r="B22" t="n">
        <v>0.9475666666666667</v>
      </c>
      <c r="C22" t="n">
        <v>3.1931</v>
      </c>
      <c r="D22" t="n">
        <v>0.1084666666666667</v>
      </c>
      <c r="E22" t="n">
        <v>7.511553333333334</v>
      </c>
      <c r="F22" t="n">
        <v>1.651</v>
      </c>
      <c r="G22" t="n">
        <v>11.7806</v>
      </c>
      <c r="H22" t="n">
        <v>12.73156666666667</v>
      </c>
    </row>
    <row r="23">
      <c r="A23" s="8" t="n">
        <v>44835</v>
      </c>
      <c r="B23" t="n">
        <v>0.8060645161290323</v>
      </c>
      <c r="C23" t="n">
        <v>2.956354838709677</v>
      </c>
      <c r="D23" t="n">
        <v>0.1331935483870967</v>
      </c>
      <c r="E23" t="n">
        <v>8.27267806451613</v>
      </c>
      <c r="F23" t="n">
        <v>2.212612903225806</v>
      </c>
      <c r="G23" t="n">
        <v>12.0358064516129</v>
      </c>
      <c r="H23" t="n">
        <v>12.61409677419355</v>
      </c>
    </row>
    <row r="24">
      <c r="A24" s="8" t="n">
        <v>44866</v>
      </c>
      <c r="B24" t="n">
        <v>0.8003333333333333</v>
      </c>
      <c r="C24" t="n">
        <v>3.336166666666667</v>
      </c>
      <c r="D24" t="n">
        <v>0.2294333333333333</v>
      </c>
      <c r="E24" t="n">
        <v>7.782091333333334</v>
      </c>
      <c r="F24" t="n">
        <v>1.6076</v>
      </c>
      <c r="G24" t="n">
        <v>12.1315</v>
      </c>
      <c r="H24" t="n">
        <v>13.29873333333333</v>
      </c>
    </row>
    <row r="25">
      <c r="A25" s="8" t="n">
        <v>44896</v>
      </c>
      <c r="B25" t="n">
        <v>0.8485806451612904</v>
      </c>
      <c r="C25" t="n">
        <v>3.247967741935484</v>
      </c>
      <c r="D25" t="n">
        <v>0.2797096774193549</v>
      </c>
      <c r="E25" t="n">
        <v>8.308788709677421</v>
      </c>
      <c r="F25" t="n">
        <v>1.216612903225806</v>
      </c>
      <c r="G25" t="n">
        <v>11.88264516129032</v>
      </c>
      <c r="H25" t="n">
        <v>14.50925806451613</v>
      </c>
    </row>
    <row r="26">
      <c r="A26" s="8" t="n">
        <v>44927</v>
      </c>
      <c r="B26" t="n">
        <v>0.6188064516129032</v>
      </c>
      <c r="C26" t="n">
        <v>3.157677419354838</v>
      </c>
      <c r="D26" t="n">
        <v>0.2995483870967742</v>
      </c>
      <c r="E26" t="n">
        <v>8.582202903225808</v>
      </c>
      <c r="F26" t="n">
        <v>1.299064516129032</v>
      </c>
      <c r="G26" t="n">
        <v>12.00441935483871</v>
      </c>
      <c r="H26" t="n">
        <v>13.67864516129032</v>
      </c>
    </row>
    <row r="27">
      <c r="A27" s="8" t="n">
        <v>44958</v>
      </c>
      <c r="B27" t="n">
        <v>0.8890357142857144</v>
      </c>
      <c r="C27" t="n">
        <v>3.293428571428572</v>
      </c>
      <c r="D27" t="n">
        <v>0.2412857142857143</v>
      </c>
      <c r="E27" t="n">
        <v>8.575652857142858</v>
      </c>
      <c r="F27" t="n">
        <v>1.072214285714286</v>
      </c>
      <c r="G27" t="n">
        <v>12.40339285714286</v>
      </c>
      <c r="H27" t="n">
        <v>14.10225</v>
      </c>
    </row>
    <row r="28">
      <c r="A28" s="8" t="n">
        <v>44986</v>
      </c>
      <c r="B28" t="n">
        <v>0.8876774193548387</v>
      </c>
      <c r="C28" t="n">
        <v>3.241032258064516</v>
      </c>
      <c r="D28" t="n">
        <v>0.199258064516129</v>
      </c>
      <c r="E28" t="n">
        <v>8.121519677419355</v>
      </c>
      <c r="F28" t="n">
        <v>1.372548387096774</v>
      </c>
      <c r="G28" t="n">
        <v>12.00077419354839</v>
      </c>
      <c r="H28" t="n">
        <v>13.44606451612903</v>
      </c>
    </row>
    <row r="29">
      <c r="A29" s="8" t="n">
        <v>45017</v>
      </c>
      <c r="B29" t="n">
        <v>0.8963333333333334</v>
      </c>
      <c r="C29" t="n">
        <v>3.2604</v>
      </c>
      <c r="D29" t="n">
        <v>0.1364333333333334</v>
      </c>
      <c r="E29" t="n">
        <v>8.410512666666667</v>
      </c>
      <c r="F29" t="n">
        <v>1.4105</v>
      </c>
      <c r="G29" t="n">
        <v>12.08916666666667</v>
      </c>
      <c r="H29" t="n">
        <v>13.22383333333333</v>
      </c>
    </row>
    <row r="30">
      <c r="A30" s="8" t="n">
        <v>45047</v>
      </c>
      <c r="B30" t="n">
        <v>1.123161290322581</v>
      </c>
      <c r="C30" t="n">
        <v>3.108451612903226</v>
      </c>
      <c r="D30" t="n">
        <v>0.1163870967741935</v>
      </c>
      <c r="E30" t="n">
        <v>7.274554516129033</v>
      </c>
      <c r="F30" t="n">
        <v>1.873677419354839</v>
      </c>
      <c r="G30" t="n">
        <v>12.48722580645161</v>
      </c>
      <c r="H30" t="n">
        <v>13.36612903225807</v>
      </c>
    </row>
    <row r="31">
      <c r="A31" s="8" t="n">
        <v>45078</v>
      </c>
      <c r="B31" t="n">
        <v>1.3448</v>
      </c>
      <c r="C31" t="n">
        <v>3.104533333333333</v>
      </c>
      <c r="D31" t="n">
        <v>0.09913333333333332</v>
      </c>
      <c r="E31" t="n">
        <v>6.023376333333334</v>
      </c>
      <c r="F31" t="n">
        <v>1.526533333333333</v>
      </c>
      <c r="G31" t="n">
        <v>11.70366666666667</v>
      </c>
      <c r="H31" t="n">
        <v>12.76153333333333</v>
      </c>
    </row>
    <row r="32">
      <c r="A32" s="8" t="n">
        <v>45108</v>
      </c>
      <c r="B32" t="n">
        <v>1.322064516129032</v>
      </c>
      <c r="C32" t="n">
        <v>3.118032258064516</v>
      </c>
      <c r="D32" t="n">
        <v>0.09670967741935482</v>
      </c>
      <c r="E32" t="n">
        <v>7.097587741935484</v>
      </c>
      <c r="F32" t="n">
        <v>1.063387096774194</v>
      </c>
      <c r="G32" t="n">
        <v>11.8548064516129</v>
      </c>
      <c r="H32" t="n">
        <v>13.25577419354839</v>
      </c>
    </row>
    <row r="33">
      <c r="A33" s="8" t="n">
        <v>45139</v>
      </c>
      <c r="B33" t="n">
        <v>1.445806451612903</v>
      </c>
      <c r="C33" t="n">
        <v>3.083612903225806</v>
      </c>
      <c r="D33" t="n">
        <v>0.09409677419354839</v>
      </c>
      <c r="E33" t="n">
        <v>7.180568387096775</v>
      </c>
      <c r="F33" t="n">
        <v>0.9764838709677419</v>
      </c>
      <c r="G33" t="n">
        <v>11.90012903225806</v>
      </c>
      <c r="H33" t="n">
        <v>13.58329032258064</v>
      </c>
    </row>
    <row r="34">
      <c r="A34" s="8" t="n">
        <v>45170</v>
      </c>
      <c r="B34" t="n">
        <v>1.1149</v>
      </c>
      <c r="C34" t="n">
        <v>3.1561</v>
      </c>
      <c r="D34" t="n">
        <v>0.09890000000000002</v>
      </c>
      <c r="E34" t="n">
        <v>7.403207333333334</v>
      </c>
      <c r="F34" t="n">
        <v>1.516833333333333</v>
      </c>
      <c r="G34" t="n">
        <v>11.81526666666667</v>
      </c>
      <c r="H34" t="n">
        <v>12.76836666666667</v>
      </c>
    </row>
    <row r="35">
      <c r="A35" s="8" t="n">
        <v>45200</v>
      </c>
      <c r="B35" t="n">
        <v>0.9394193548387096</v>
      </c>
      <c r="C35" t="n">
        <v>3.302193548387097</v>
      </c>
      <c r="D35" t="n">
        <v>0.1144193548387097</v>
      </c>
      <c r="E35" t="n">
        <v>8.432732258064517</v>
      </c>
      <c r="F35" t="n">
        <v>1.867935483870968</v>
      </c>
      <c r="G35" t="n">
        <v>11.65961290322581</v>
      </c>
      <c r="H35" t="n">
        <v>12.31535483870968</v>
      </c>
    </row>
    <row r="36">
      <c r="A36" s="8" t="n">
        <v>45231</v>
      </c>
      <c r="B36" t="n">
        <v>1.023633333333333</v>
      </c>
      <c r="C36" t="n">
        <v>3.324433333333333</v>
      </c>
      <c r="D36" t="n">
        <v>0.1983666666666667</v>
      </c>
      <c r="E36" t="n">
        <v>8.451060666666667</v>
      </c>
      <c r="F36" t="n">
        <v>1.4079</v>
      </c>
      <c r="G36" t="n">
        <v>11.48056666666667</v>
      </c>
      <c r="H36" t="n">
        <v>12.42016666666667</v>
      </c>
    </row>
    <row r="37">
      <c r="A37" s="8" t="n">
        <v>45261</v>
      </c>
      <c r="B37" t="n">
        <v>0.8334516129032259</v>
      </c>
      <c r="C37" t="n">
        <v>3.554806451612903</v>
      </c>
      <c r="D37" t="n">
        <v>0.2781612903225806</v>
      </c>
      <c r="E37" t="n">
        <v>8.897494193548388</v>
      </c>
      <c r="F37" t="n">
        <v>1.131612903225806</v>
      </c>
      <c r="G37" t="n">
        <v>11.03251612903226</v>
      </c>
      <c r="H37" t="n">
        <v>12.4171935483871</v>
      </c>
    </row>
    <row r="38">
      <c r="A38" s="8" t="n">
        <v>45292</v>
      </c>
      <c r="B38" t="n">
        <v>1.05258064516129</v>
      </c>
      <c r="C38" t="n">
        <v>3.157129032258065</v>
      </c>
      <c r="D38" t="n">
        <v>0.3966129032258064</v>
      </c>
      <c r="E38" t="n">
        <v>8.80829</v>
      </c>
      <c r="F38" t="n">
        <v>0.9245806451612903</v>
      </c>
      <c r="G38" t="n">
        <v>10.91803225806452</v>
      </c>
      <c r="H38" t="n">
        <v>14.50535483870968</v>
      </c>
    </row>
    <row r="39">
      <c r="A39" s="8" t="n">
        <v>45323</v>
      </c>
      <c r="B39" t="n">
        <v>0.7520344827586207</v>
      </c>
      <c r="C39" t="n">
        <v>2.913</v>
      </c>
      <c r="D39" t="n">
        <v>0.2557931034482758</v>
      </c>
      <c r="E39" t="n">
        <v>8.718045517241379</v>
      </c>
      <c r="F39" t="n">
        <v>1.579551724137931</v>
      </c>
      <c r="G39" t="n">
        <v>11.32286206896552</v>
      </c>
      <c r="H39" t="n">
        <v>12.39148275862069</v>
      </c>
    </row>
    <row r="40">
      <c r="A40" s="8" t="n">
        <v>45352</v>
      </c>
      <c r="B40" t="n">
        <v>0.9054516129032258</v>
      </c>
      <c r="C40" t="n">
        <v>3.074612903225806</v>
      </c>
      <c r="D40" t="n">
        <v>0.1761935483870968</v>
      </c>
      <c r="E40" t="n">
        <v>8.588250645161292</v>
      </c>
      <c r="F40" t="n">
        <v>1.678677419354839</v>
      </c>
      <c r="G40" t="n">
        <v>10.6818064516129</v>
      </c>
      <c r="H40" t="n">
        <v>11.76354838709677</v>
      </c>
    </row>
    <row r="41">
      <c r="A41" s="8" t="n">
        <v>45383</v>
      </c>
      <c r="B41" t="n">
        <v>0.9818</v>
      </c>
      <c r="C41" t="n">
        <v>3.3455</v>
      </c>
      <c r="D41" t="n">
        <v>0.1243333333333334</v>
      </c>
      <c r="E41" t="n">
        <v>7.679849333333333</v>
      </c>
      <c r="F41" t="n">
        <v>1.6405</v>
      </c>
      <c r="G41" t="n">
        <v>9.994633333333333</v>
      </c>
      <c r="H41" t="n">
        <v>11.00006666666667</v>
      </c>
    </row>
    <row r="42">
      <c r="A42" s="8" t="n">
        <v>45413</v>
      </c>
      <c r="B42" t="n">
        <v>1.229225806451613</v>
      </c>
      <c r="C42" t="n">
        <v>3.260935483870968</v>
      </c>
      <c r="D42" t="n">
        <v>0.1086774193548387</v>
      </c>
      <c r="E42" t="n">
        <v>7.73042064516129</v>
      </c>
      <c r="F42" t="n">
        <v>1.474096774193548</v>
      </c>
      <c r="G42" t="n">
        <v>9.452967741935483</v>
      </c>
      <c r="H42" t="n">
        <v>10.35470967741935</v>
      </c>
    </row>
    <row r="43">
      <c r="A43" s="8" t="n">
        <v>45444</v>
      </c>
      <c r="B43" t="n">
        <v>1.326133333333333</v>
      </c>
      <c r="C43" t="n">
        <v>3.292333333333334</v>
      </c>
      <c r="D43" t="n">
        <v>0.1091333333333333</v>
      </c>
      <c r="E43" t="n">
        <v>7.312083333333334</v>
      </c>
      <c r="F43" t="n">
        <v>1.3514</v>
      </c>
      <c r="G43" t="n">
        <v>9.393666666666666</v>
      </c>
      <c r="H43" t="n">
        <v>10.4649</v>
      </c>
    </row>
    <row r="44">
      <c r="A44" s="8" t="n">
        <v>45474</v>
      </c>
      <c r="B44" t="n">
        <v>1.415096774193548</v>
      </c>
      <c r="C44" t="n">
        <v>3.368064516129032</v>
      </c>
      <c r="D44" t="n">
        <v>0.09948387096774194</v>
      </c>
      <c r="E44" t="n">
        <v>7.408097096774194</v>
      </c>
      <c r="F44" t="n">
        <v>1.037870967741935</v>
      </c>
      <c r="G44" t="n">
        <v>9.856548387096774</v>
      </c>
      <c r="H44" t="n">
        <v>10.93464516129032</v>
      </c>
    </row>
    <row r="45">
      <c r="A45" s="8" t="n">
        <v>45505</v>
      </c>
      <c r="B45" t="n">
        <v>1.483129032258065</v>
      </c>
      <c r="C45" t="n">
        <v>3.363290322580645</v>
      </c>
      <c r="D45" t="n">
        <v>0.09796774193548388</v>
      </c>
      <c r="E45" t="n">
        <v>7.142383225806452</v>
      </c>
      <c r="F45" t="n">
        <v>0.8859677419354839</v>
      </c>
      <c r="G45" t="n">
        <v>9.661516129032258</v>
      </c>
      <c r="H45" t="n">
        <v>11.01016129032258</v>
      </c>
    </row>
    <row r="46">
      <c r="A46" s="8" t="n">
        <v>45536</v>
      </c>
      <c r="B46" t="n">
        <v>1.1057</v>
      </c>
      <c r="C46" t="n">
        <v>3.160933333333333</v>
      </c>
      <c r="D46" t="n">
        <v>0.1148</v>
      </c>
      <c r="E46" t="n">
        <v>7.555189666666667</v>
      </c>
      <c r="F46" t="n">
        <v>1.326166666666667</v>
      </c>
      <c r="G46" t="n">
        <v>9.1631</v>
      </c>
      <c r="H46" t="n">
        <v>10.1367</v>
      </c>
    </row>
    <row r="47">
      <c r="A47" s="8" t="n">
        <v>45566</v>
      </c>
      <c r="B47" t="n">
        <v>1.049838709677419</v>
      </c>
      <c r="C47" t="n">
        <v>3.196322580645162</v>
      </c>
      <c r="D47" t="n">
        <v>0.1233548387096774</v>
      </c>
      <c r="E47" t="n">
        <v>7.775497419354839</v>
      </c>
      <c r="F47" t="n">
        <v>1.740064516129032</v>
      </c>
      <c r="G47" t="n">
        <v>9.240935483870969</v>
      </c>
      <c r="H47" t="n">
        <v>9.752548387096775</v>
      </c>
    </row>
    <row r="48">
      <c r="A48" s="8" t="n">
        <v>45597</v>
      </c>
      <c r="B48" t="n">
        <v>1.029166666666667</v>
      </c>
      <c r="C48" t="n">
        <v>3.270366666666667</v>
      </c>
      <c r="D48" t="n">
        <v>0.1559333333333333</v>
      </c>
      <c r="E48" t="n">
        <v>8.210788333333333</v>
      </c>
      <c r="F48" t="n">
        <v>1.2597</v>
      </c>
      <c r="G48" t="n">
        <v>9.164733333333334</v>
      </c>
      <c r="H48" t="n">
        <v>10.03693333333333</v>
      </c>
    </row>
    <row r="49">
      <c r="A49" s="8" t="n">
        <v>45627</v>
      </c>
      <c r="B49" t="n">
        <v>0.8888709677419355</v>
      </c>
      <c r="C49" t="n">
        <v>3.514935483870968</v>
      </c>
      <c r="D49" t="n">
        <v>0.2454516129032258</v>
      </c>
      <c r="E49" t="n">
        <v>8.471620645161291</v>
      </c>
      <c r="F49" t="n">
        <v>1.070516129032258</v>
      </c>
      <c r="G49" t="n">
        <v>9.163129032258064</v>
      </c>
      <c r="H49" t="n">
        <v>10.8641935483871</v>
      </c>
    </row>
    <row r="50">
      <c r="A50" s="8" t="n">
        <v>45658</v>
      </c>
      <c r="B50" t="n">
        <v>0.9500645161290323</v>
      </c>
      <c r="C50" t="n">
        <v>3.500774193548387</v>
      </c>
      <c r="D50" t="n">
        <v>0.4243870967741935</v>
      </c>
      <c r="E50" t="n">
        <v>9.178081290322581</v>
      </c>
      <c r="F50" t="n">
        <v>0.6349354838709677</v>
      </c>
      <c r="G50" t="n">
        <v>9.155148586604295</v>
      </c>
      <c r="H50" t="n">
        <v>13.31998729628171</v>
      </c>
    </row>
    <row r="51">
      <c r="A51" s="8" t="n">
        <v>45689</v>
      </c>
      <c r="B51" t="n">
        <v>0.8975714285714286</v>
      </c>
      <c r="C51" t="n">
        <v>3.342714285714286</v>
      </c>
      <c r="D51" t="n">
        <v>0.3093214285714286</v>
      </c>
      <c r="E51" t="n">
        <v>9.572107500000001</v>
      </c>
      <c r="F51" t="n">
        <v>0.9550714285714286</v>
      </c>
      <c r="G51" t="n">
        <v>9.39571619840204</v>
      </c>
      <c r="H51" t="n">
        <v>12.75007334125918</v>
      </c>
    </row>
    <row r="52">
      <c r="A52" s="8" t="n">
        <v>45717</v>
      </c>
      <c r="B52" t="n">
        <v>0.7619032258064515</v>
      </c>
      <c r="C52" t="n">
        <v>3.238612903225806</v>
      </c>
      <c r="D52" t="n">
        <v>0.1894838709677419</v>
      </c>
      <c r="E52" t="n">
        <v>10.28608387096774</v>
      </c>
      <c r="F52" t="n">
        <v>2.002258064516129</v>
      </c>
      <c r="G52" t="n">
        <v>10.96518262837849</v>
      </c>
      <c r="H52" t="n">
        <v>11.83711811224946</v>
      </c>
    </row>
    <row r="53">
      <c r="A53" s="8" t="n">
        <v>45748</v>
      </c>
      <c r="B53" t="n">
        <v>0.8827</v>
      </c>
      <c r="C53" t="n">
        <v>3.2655</v>
      </c>
      <c r="D53" t="n">
        <v>0.1224333333333333</v>
      </c>
      <c r="E53" t="n">
        <v>10.44256333333333</v>
      </c>
      <c r="F53" t="n">
        <v>2.1286</v>
      </c>
      <c r="G53" t="n">
        <v>10.54851470163298</v>
      </c>
      <c r="H53" t="n">
        <v>11.42524803496631</v>
      </c>
    </row>
    <row r="54">
      <c r="A54" s="8" t="n">
        <v>45778</v>
      </c>
      <c r="B54" t="n">
        <v>1.067548387096774</v>
      </c>
      <c r="C54" t="n">
        <v>3.368483870967742</v>
      </c>
      <c r="D54" t="n">
        <v>0.1106451612903226</v>
      </c>
      <c r="E54" t="n">
        <v>9.596746774193548</v>
      </c>
      <c r="F54" t="n">
        <v>2.077935483870968</v>
      </c>
      <c r="G54" t="n">
        <v>10.78451320252118</v>
      </c>
      <c r="H54" t="n">
        <v>11.29367449284376</v>
      </c>
    </row>
    <row r="55">
      <c r="A55" s="8" t="n">
        <v>45809</v>
      </c>
      <c r="B55" t="n">
        <v>1.246</v>
      </c>
      <c r="C55" t="n">
        <v>3.271466666666667</v>
      </c>
      <c r="D55" t="n">
        <v>0.1041666666666667</v>
      </c>
      <c r="E55" t="n">
        <v>8.772283666666667</v>
      </c>
      <c r="F55" t="n">
        <v>1.604333333333333</v>
      </c>
      <c r="G55" t="n">
        <v>9.970088871406151</v>
      </c>
      <c r="H55" t="n">
        <v>10.78828887140615</v>
      </c>
    </row>
    <row r="56">
      <c r="A56" s="8" t="n">
        <v>45839</v>
      </c>
      <c r="B56" t="n">
        <v>1.333451612903226</v>
      </c>
      <c r="C56" t="n">
        <v>3.409741935483871</v>
      </c>
      <c r="D56" t="n">
        <v>0.08545161290322581</v>
      </c>
      <c r="E56" t="n">
        <v>9.927087096774194</v>
      </c>
      <c r="F56" t="n">
        <v>1.273677419354839</v>
      </c>
      <c r="G56" t="n">
        <v>10.39141429709647</v>
      </c>
      <c r="H56" t="n">
        <v>11.55809171645131</v>
      </c>
    </row>
    <row r="57">
      <c r="A57" s="8" t="n">
        <v>45870</v>
      </c>
      <c r="B57" t="n">
        <v>1.280516129032258</v>
      </c>
      <c r="C57" t="n">
        <v>3.371741935483871</v>
      </c>
      <c r="D57" t="n">
        <v>0.07648387096774195</v>
      </c>
      <c r="E57" t="n">
        <v>10.35774258064516</v>
      </c>
      <c r="F57" t="n">
        <v>1.090322580645161</v>
      </c>
      <c r="G57" t="n">
        <v>10.77510400561819</v>
      </c>
      <c r="H57" t="n">
        <v>11.79249110239239</v>
      </c>
    </row>
    <row r="58">
      <c r="A58" s="8" t="n">
        <v>45901</v>
      </c>
      <c r="B58" t="n">
        <v>1.230333333333333</v>
      </c>
      <c r="C58" t="n">
        <v>3.390333333333333</v>
      </c>
      <c r="D58" t="n">
        <v>0.08376666666666667</v>
      </c>
      <c r="E58" t="n">
        <v>10.655186</v>
      </c>
      <c r="F58" t="n">
        <v>1.092633333333333</v>
      </c>
      <c r="G58" t="n">
        <v>10.32449125031858</v>
      </c>
      <c r="H58" t="n">
        <v>11.34932458365191</v>
      </c>
    </row>
    <row r="59">
      <c r="A59" s="8" t="n">
        <v>45931</v>
      </c>
      <c r="B59" t="n">
        <v>1.064322580645161</v>
      </c>
      <c r="C59" t="n">
        <v>3.192290322580645</v>
      </c>
      <c r="D59" t="n">
        <v>0.09712903225806452</v>
      </c>
      <c r="E59" t="n">
        <v>11.63072193548387</v>
      </c>
      <c r="F59" t="n">
        <v>1.729741935483871</v>
      </c>
      <c r="G59" t="n">
        <v>10.27782955496044</v>
      </c>
      <c r="H59" t="n">
        <v>10.93160374850883</v>
      </c>
    </row>
    <row r="60">
      <c r="A60" s="8" t="n">
        <v>45962</v>
      </c>
      <c r="B60" t="n">
        <v>1.028533333333333</v>
      </c>
      <c r="C60" t="n">
        <v>3.4494</v>
      </c>
      <c r="D60" t="n">
        <v>0.1279666666666667</v>
      </c>
      <c r="E60" t="n">
        <v>12.56635566666667</v>
      </c>
      <c r="F60" t="n">
        <v>1.2458</v>
      </c>
      <c r="G60" t="n">
        <v>11.03999912429889</v>
      </c>
      <c r="H60" t="n">
        <v>11.79929912429889</v>
      </c>
    </row>
    <row r="61">
      <c r="A61" s="8" t="n">
        <v>45992</v>
      </c>
      <c r="B61" t="n">
        <v>0.8948709677419355</v>
      </c>
      <c r="C61" t="n">
        <v>3.561129032258064</v>
      </c>
      <c r="D61" t="n">
        <v>0.2226774193548387</v>
      </c>
      <c r="E61" t="n">
        <v>12.86555129032258</v>
      </c>
      <c r="F61" t="n">
        <v>1.228096774193548</v>
      </c>
      <c r="G61" t="n">
        <v>11.1121009759251</v>
      </c>
      <c r="H61" t="n">
        <v>13.05106871786058</v>
      </c>
    </row>
    <row r="62">
      <c r="A62" s="8" t="n">
        <v>46023</v>
      </c>
      <c r="B62" t="n">
        <v>1.007290322580645</v>
      </c>
      <c r="C62" t="n">
        <v>3.399193548387097</v>
      </c>
      <c r="D62" t="n">
        <v>0.3189462365591398</v>
      </c>
      <c r="E62" t="n">
        <v>12.63619419354839</v>
      </c>
      <c r="F62" t="n">
        <v>0.6324838709677419</v>
      </c>
      <c r="G62" t="n">
        <v>10.52901978764013</v>
      </c>
      <c r="H62" t="n">
        <v>14.4725681747369</v>
      </c>
    </row>
    <row r="63">
      <c r="A63" s="8" t="n">
        <v>46054</v>
      </c>
      <c r="B63" t="n">
        <v>0.98475</v>
      </c>
      <c r="C63" t="n">
        <v>3.241428571428572</v>
      </c>
      <c r="D63" t="n">
        <v>0.2250122887864823</v>
      </c>
      <c r="E63" t="n">
        <v>12.46882142857143</v>
      </c>
      <c r="F63" t="n">
        <v>0.7897142857142857</v>
      </c>
      <c r="G63" t="n">
        <v>11.06903015919001</v>
      </c>
      <c r="H63" t="n">
        <v>14.21213730204715</v>
      </c>
    </row>
    <row r="64">
      <c r="A64" s="8" t="n">
        <v>46082</v>
      </c>
      <c r="B64" t="n">
        <v>0.8501290322580645</v>
      </c>
      <c r="C64" t="n">
        <v>3.290967741935484</v>
      </c>
      <c r="D64" t="n">
        <v>0.151741935483871</v>
      </c>
      <c r="E64" t="n">
        <v>13.02732838709677</v>
      </c>
      <c r="F64" t="n">
        <v>1.828258064516129</v>
      </c>
      <c r="G64" t="n">
        <v>11.36518589330539</v>
      </c>
      <c r="H64" t="n">
        <v>12.52963750620861</v>
      </c>
    </row>
    <row r="65">
      <c r="A65" s="8" t="n">
        <v>46113</v>
      </c>
      <c r="B65" t="n">
        <v>1.015233333333333</v>
      </c>
      <c r="C65" t="n">
        <v>3.418</v>
      </c>
      <c r="D65" t="n">
        <v>0.1097136200716846</v>
      </c>
      <c r="E65" t="n">
        <v>12.521157</v>
      </c>
      <c r="F65" t="n">
        <v>1.869033333333333</v>
      </c>
      <c r="G65" t="n">
        <v>11.63495045871096</v>
      </c>
      <c r="H65" t="n">
        <v>12.4564837920443</v>
      </c>
    </row>
    <row r="66">
      <c r="A66" s="8" t="n">
        <v>46143</v>
      </c>
      <c r="B66" t="n">
        <v>1.077161290322581</v>
      </c>
      <c r="C66" t="n">
        <v>3.30741935483871</v>
      </c>
      <c r="D66" t="n">
        <v>0.09885359512668605</v>
      </c>
      <c r="E66" t="n">
        <v>11.31602838709678</v>
      </c>
      <c r="F66" t="n">
        <v>2.153838709677419</v>
      </c>
      <c r="G66" t="n">
        <v>11.27302072227615</v>
      </c>
      <c r="H66" t="n">
        <v>11.77108523840518</v>
      </c>
    </row>
    <row r="67">
      <c r="A67" s="8" t="n">
        <v>46174</v>
      </c>
      <c r="B67" t="n">
        <v>1.2666</v>
      </c>
      <c r="C67" t="n">
        <v>3.321133333333333</v>
      </c>
      <c r="D67" t="n">
        <v>0.08844142262996428</v>
      </c>
      <c r="E67" t="n">
        <v>12.02142833333333</v>
      </c>
      <c r="F67" t="n">
        <v>1.878433333333333</v>
      </c>
      <c r="G67" t="n">
        <v>11.69139600613887</v>
      </c>
      <c r="H67" t="n">
        <v>12.34836267280554</v>
      </c>
    </row>
    <row r="68">
      <c r="A68" s="8" t="n">
        <v>46204</v>
      </c>
      <c r="B68" t="n">
        <v>1.366096774193548</v>
      </c>
      <c r="C68" t="n">
        <v>3.303225806451613</v>
      </c>
      <c r="D68" t="n">
        <v>0.08698424528442723</v>
      </c>
      <c r="E68" t="n">
        <v>11.38448741935484</v>
      </c>
      <c r="F68" t="n">
        <v>1.386161290322581</v>
      </c>
      <c r="G68" t="n">
        <v>11.84967925055908</v>
      </c>
      <c r="H68" t="n">
        <v>12.90564699249457</v>
      </c>
      <c r="I68" t="n">
        <v>17.52695553560701</v>
      </c>
    </row>
    <row r="69">
      <c r="A69" s="8" t="n">
        <v>46235</v>
      </c>
      <c r="B69" t="n">
        <v>1.439794577594319</v>
      </c>
      <c r="C69" t="n">
        <v>3.334180411444069</v>
      </c>
      <c r="D69" t="n">
        <v>0.0893131039212353</v>
      </c>
      <c r="E69" t="n">
        <v>11.05856866678018</v>
      </c>
      <c r="F69" t="n">
        <v>0.9842580645161288</v>
      </c>
      <c r="G69" t="n">
        <v>11.97421381513221</v>
      </c>
      <c r="H69" t="n">
        <v>13.32394499792791</v>
      </c>
      <c r="I69" t="n">
        <v>16.90611482425594</v>
      </c>
    </row>
    <row r="70">
      <c r="A70" s="8" t="n">
        <v>46266</v>
      </c>
      <c r="B70" t="n">
        <v>1.182007386837179</v>
      </c>
      <c r="C70" t="n">
        <v>3.299582680542325</v>
      </c>
      <c r="D70" t="n">
        <v>0.09788065964267169</v>
      </c>
      <c r="E70" t="n">
        <v>11.28059060797097</v>
      </c>
      <c r="F70" t="n">
        <v>1.311877777777778</v>
      </c>
      <c r="G70" t="n">
        <v>12.05177274292108</v>
      </c>
      <c r="H70" t="n">
        <v>13.03561718736552</v>
      </c>
      <c r="I70" t="n">
        <v>17.17193911277092</v>
      </c>
    </row>
    <row r="71">
      <c r="A71" s="8" t="n">
        <v>46296</v>
      </c>
      <c r="B71" t="n">
        <v>1.049063335825056</v>
      </c>
      <c r="C71" t="n">
        <v>3.298270927653171</v>
      </c>
      <c r="D71" t="n">
        <v>0.1093278908808509</v>
      </c>
      <c r="E71" t="n">
        <v>11.82639372882546</v>
      </c>
      <c r="F71" t="n">
        <v>1.779247311827957</v>
      </c>
      <c r="G71" t="n">
        <v>12.09905331043615</v>
      </c>
      <c r="H71" t="n">
        <v>12.70609632118884</v>
      </c>
      <c r="I71" t="n">
        <v>18.0623031950125</v>
      </c>
    </row>
    <row r="72">
      <c r="A72" s="8" t="n">
        <v>46327</v>
      </c>
      <c r="B72" t="n">
        <v>1.060926146753596</v>
      </c>
      <c r="C72" t="n">
        <v>3.419667020612491</v>
      </c>
      <c r="D72" t="n">
        <v>0.1567642245088026</v>
      </c>
      <c r="E72" t="n">
        <v>12.4606806560368</v>
      </c>
      <c r="F72" t="n">
        <v>1.304466666666667</v>
      </c>
      <c r="G72" t="n">
        <v>12.10575222619338</v>
      </c>
      <c r="H72" t="n">
        <v>12.96278555952671</v>
      </c>
      <c r="I72" t="n">
        <v>18.40250471457836</v>
      </c>
    </row>
    <row r="73">
      <c r="A73" s="8" t="n">
        <v>46357</v>
      </c>
      <c r="B73" t="n">
        <v>0.9033812662733699</v>
      </c>
      <c r="C73" t="n">
        <v>3.622586429771473</v>
      </c>
      <c r="D73" t="n">
        <v>0.2307314291739805</v>
      </c>
      <c r="E73" t="n">
        <v>12.81178383756908</v>
      </c>
      <c r="F73" t="n">
        <v>1.143408602150538</v>
      </c>
      <c r="G73" t="n">
        <v>12.2635660535194</v>
      </c>
      <c r="H73" t="n">
        <v>13.93846927932586</v>
      </c>
      <c r="I73" t="n">
        <v>18.71189156493844</v>
      </c>
    </row>
    <row r="74">
      <c r="A74" s="8" t="n">
        <v>46388</v>
      </c>
      <c r="B74" t="n">
        <v>1.040828739687615</v>
      </c>
      <c r="C74" t="n">
        <v>3.427502831142794</v>
      </c>
      <c r="D74" t="n">
        <v>0.3574902121777911</v>
      </c>
      <c r="E74" t="n">
        <v>12.80304511027049</v>
      </c>
      <c r="F74" t="n">
        <v>0.7306666666666666</v>
      </c>
      <c r="G74" t="n">
        <v>12.10511641239741</v>
      </c>
      <c r="H74" t="n">
        <v>16.00368630487053</v>
      </c>
      <c r="I74" t="n">
        <v>18.35953355994536</v>
      </c>
    </row>
    <row r="75">
      <c r="A75" s="8" t="n">
        <v>46419</v>
      </c>
      <c r="B75" t="n">
        <v>0.913590654323012</v>
      </c>
      <c r="C75" t="n">
        <v>3.238248386266844</v>
      </c>
      <c r="D75" t="n">
        <v>0.2474535538976389</v>
      </c>
      <c r="E75" t="n">
        <v>12.77374570662752</v>
      </c>
      <c r="F75" t="n">
        <v>1.108112479474548</v>
      </c>
      <c r="G75" t="n">
        <v>12.26843729032526</v>
      </c>
      <c r="H75" t="n">
        <v>14.79046561544841</v>
      </c>
      <c r="I75" t="n">
        <v>18.28115078058956</v>
      </c>
    </row>
    <row r="76">
      <c r="A76" s="8" t="n">
        <v>46447</v>
      </c>
      <c r="B76" t="n">
        <v>0.8744196890709012</v>
      </c>
      <c r="C76" t="n">
        <v>3.278253866959976</v>
      </c>
      <c r="D76" t="n">
        <v>0.1604506418599795</v>
      </c>
      <c r="E76" t="n">
        <v>12.67293913912476</v>
      </c>
      <c r="F76" t="n">
        <v>1.836397849462366</v>
      </c>
      <c r="G76" t="n">
        <v>12.2736140508516</v>
      </c>
      <c r="H76" t="n">
        <v>13.31299039493762</v>
      </c>
      <c r="I76" t="n">
        <v>18.82246118647798</v>
      </c>
    </row>
    <row r="77">
      <c r="A77" s="8" t="n">
        <v>46478</v>
      </c>
      <c r="B77" t="n">
        <v>1.002685595463145</v>
      </c>
      <c r="C77" t="n">
        <v>3.427015144571087</v>
      </c>
      <c r="D77" t="n">
        <v>0.1123849664723819</v>
      </c>
      <c r="E77" t="n">
        <v>12.12736448915697</v>
      </c>
      <c r="F77" t="n">
        <v>1.879377777777778</v>
      </c>
      <c r="G77" t="n">
        <v>12.28133840799094</v>
      </c>
      <c r="H77" t="n">
        <v>13.18257174132427</v>
      </c>
      <c r="I77" t="n">
        <v>18.54882797344137</v>
      </c>
    </row>
    <row r="78">
      <c r="A78" s="8" t="n">
        <v>46508</v>
      </c>
      <c r="B78" t="n">
        <v>1.178008004123352</v>
      </c>
      <c r="C78" t="n">
        <v>3.397671475717175</v>
      </c>
      <c r="D78" t="n">
        <v>0.1029068496456755</v>
      </c>
      <c r="E78" t="n">
        <v>11.34875595893553</v>
      </c>
      <c r="F78" t="n">
        <v>1.901956989247312</v>
      </c>
      <c r="G78" t="n">
        <v>12.2912458210671</v>
      </c>
      <c r="H78" t="n">
        <v>12.92756840171226</v>
      </c>
      <c r="I78" t="n">
        <v>17.92929927766905</v>
      </c>
    </row>
    <row r="79">
      <c r="A79" s="8" t="n">
        <v>46539</v>
      </c>
      <c r="B79" t="n">
        <v>1.343730852156348</v>
      </c>
      <c r="C79" t="n">
        <v>3.382700230851289</v>
      </c>
      <c r="D79" t="n">
        <v>0.0984533994464693</v>
      </c>
      <c r="E79" t="n">
        <v>11.00307681727622</v>
      </c>
      <c r="F79" t="n">
        <v>1.611388888888889</v>
      </c>
      <c r="G79" t="n">
        <v>12.30297308040386</v>
      </c>
      <c r="H79" t="n">
        <v>13.15177308040386</v>
      </c>
      <c r="I79" t="n">
        <v>17.43935018861922</v>
      </c>
    </row>
    <row r="80">
      <c r="A80" s="8" t="n">
        <v>46569</v>
      </c>
      <c r="B80" t="n">
        <v>1.443734447749194</v>
      </c>
      <c r="C80" t="n">
        <v>3.452609953313982</v>
      </c>
      <c r="D80" t="n">
        <v>0.08645964836568591</v>
      </c>
      <c r="E80" t="n">
        <v>11.03492177389689</v>
      </c>
      <c r="F80" t="n">
        <v>1.232569892473118</v>
      </c>
      <c r="G80" t="n">
        <v>12.32464058879449</v>
      </c>
      <c r="H80" t="n">
        <v>13.42488790062245</v>
      </c>
      <c r="I80" t="n">
        <v>17.25029571579887</v>
      </c>
    </row>
    <row r="81">
      <c r="A81" s="8" t="n">
        <v>46600</v>
      </c>
      <c r="B81" t="n">
        <v>1.481742562299722</v>
      </c>
      <c r="C81" t="n">
        <v>3.362850495474</v>
      </c>
      <c r="D81" t="n">
        <v>0.08803801286364475</v>
      </c>
      <c r="E81" t="n">
        <v>11.05856866678018</v>
      </c>
      <c r="F81" t="n">
        <v>0.9842580645161288</v>
      </c>
      <c r="G81" t="n">
        <v>12.35597985358508</v>
      </c>
      <c r="H81" t="n">
        <v>13.70571103638078</v>
      </c>
      <c r="I81" t="n">
        <v>16.97545780193368</v>
      </c>
    </row>
    <row r="82">
      <c r="A82" s="8" t="n">
        <v>46631</v>
      </c>
      <c r="B82" t="n">
        <v>1.216444818784982</v>
      </c>
      <c r="C82" t="n">
        <v>3.327955264218407</v>
      </c>
      <c r="D82" t="n">
        <v>0.09647908650464355</v>
      </c>
      <c r="E82" t="n">
        <v>11.28059060797097</v>
      </c>
      <c r="F82" t="n">
        <v>1.311877777777778</v>
      </c>
      <c r="G82" t="n">
        <v>12.38678648843411</v>
      </c>
      <c r="H82" t="n">
        <v>13.37063093287856</v>
      </c>
      <c r="I82" t="n">
        <v>17.23334755525678</v>
      </c>
    </row>
    <row r="83">
      <c r="A83" s="8" t="n">
        <v>46661</v>
      </c>
      <c r="B83" t="n">
        <v>1.079627482579739</v>
      </c>
      <c r="C83" t="n">
        <v>3.326632231775984</v>
      </c>
      <c r="D83" t="n">
        <v>0.1077371990159862</v>
      </c>
      <c r="E83" t="n">
        <v>12.28980723930454</v>
      </c>
      <c r="F83" t="n">
        <v>1.779247311827957</v>
      </c>
      <c r="G83" t="n">
        <v>12.42216859935765</v>
      </c>
      <c r="H83" t="n">
        <v>13.02921161011034</v>
      </c>
      <c r="I83" t="n">
        <v>18.11963795402513</v>
      </c>
    </row>
    <row r="84">
      <c r="A84" s="8" t="n">
        <v>46692</v>
      </c>
      <c r="B84" t="n">
        <v>1.091835912959232</v>
      </c>
      <c r="C84" t="n">
        <v>3.449072190320412</v>
      </c>
      <c r="D84" t="n">
        <v>0.1541681159275737</v>
      </c>
      <c r="E84" t="n">
        <v>13.16595643039863</v>
      </c>
      <c r="F84" t="n">
        <v>1.304466666666667</v>
      </c>
      <c r="G84" t="n">
        <v>12.46210172661848</v>
      </c>
      <c r="H84" t="n">
        <v>13.31913505995181</v>
      </c>
      <c r="I84" t="n">
        <v>18.46022354191069</v>
      </c>
    </row>
    <row r="85">
      <c r="A85" s="8" t="n">
        <v>46722</v>
      </c>
      <c r="B85" t="n">
        <v>0.9297010094718058</v>
      </c>
      <c r="C85" t="n">
        <v>3.653736471020215</v>
      </c>
      <c r="D85" t="n">
        <v>0.2263013710888921</v>
      </c>
      <c r="E85" t="n">
        <v>13.76005462555457</v>
      </c>
      <c r="F85" t="n">
        <v>1.143408602150538</v>
      </c>
      <c r="G85" t="n">
        <v>12.50058336011149</v>
      </c>
      <c r="H85" t="n">
        <v>14.17548658591794</v>
      </c>
      <c r="I85" t="n">
        <v>18.76493129130053</v>
      </c>
    </row>
    <row r="86">
      <c r="A86" s="8" t="n">
        <v>46753</v>
      </c>
      <c r="B86" t="n">
        <v>1.071152973944915</v>
      </c>
      <c r="C86" t="n">
        <v>3.456975379732067</v>
      </c>
      <c r="D86" t="n">
        <v>0.3499812791789654</v>
      </c>
      <c r="E86" t="n">
        <v>13.97363944663128</v>
      </c>
      <c r="F86" t="n">
        <v>0.7306666666666666</v>
      </c>
      <c r="G86" t="n">
        <v>12.78658683740744</v>
      </c>
      <c r="H86" t="n">
        <v>16.68515672988056</v>
      </c>
      <c r="I86" t="n">
        <v>18.4118214097931</v>
      </c>
    </row>
    <row r="87">
      <c r="A87" s="8" t="n">
        <v>46784</v>
      </c>
      <c r="B87" t="n">
        <v>0.9402078449909848</v>
      </c>
      <c r="C87" t="n">
        <v>3.266093566157348</v>
      </c>
      <c r="D87" t="n">
        <v>0.2425907389123474</v>
      </c>
      <c r="E87" t="n">
        <v>14.16412125972599</v>
      </c>
      <c r="F87" t="n">
        <v>1.108112479474548</v>
      </c>
      <c r="G87" t="n">
        <v>12.95906141177073</v>
      </c>
      <c r="H87" t="n">
        <v>15.48108973689388</v>
      </c>
      <c r="I87" t="n">
        <v>18.33075033616275</v>
      </c>
    </row>
    <row r="88">
      <c r="A88" s="8" t="n">
        <v>46813</v>
      </c>
      <c r="B88" t="n">
        <v>0.899895645373318</v>
      </c>
      <c r="C88" t="n">
        <v>3.306443047579773</v>
      </c>
      <c r="D88" t="n">
        <v>0.1575676527674713</v>
      </c>
      <c r="E88" t="n">
        <v>14.27304676587438</v>
      </c>
      <c r="F88" t="n">
        <v>1.836397849462366</v>
      </c>
      <c r="G88" t="n">
        <v>12.96452831581685</v>
      </c>
      <c r="H88" t="n">
        <v>14.00390465990287</v>
      </c>
      <c r="I88" t="n">
        <v>18.87324333430768</v>
      </c>
    </row>
    <row r="89">
      <c r="A89" s="8" t="n">
        <v>46844</v>
      </c>
      <c r="B89" t="n">
        <v>1.031898540613343</v>
      </c>
      <c r="C89" t="n">
        <v>3.456483499621539</v>
      </c>
      <c r="D89" t="n">
        <v>0.1106900864468078</v>
      </c>
      <c r="E89" t="n">
        <v>13.86978999028831</v>
      </c>
      <c r="F89" t="n">
        <v>1.879377777777778</v>
      </c>
      <c r="G89" t="n">
        <v>12.97268560242184</v>
      </c>
      <c r="H89" t="n">
        <v>13.87391893575518</v>
      </c>
      <c r="I89" t="n">
        <v>19.08102134847044</v>
      </c>
    </row>
    <row r="90">
      <c r="A90" s="8" t="n">
        <v>46874</v>
      </c>
      <c r="B90" t="n">
        <v>1.212328915251087</v>
      </c>
      <c r="C90" t="n">
        <v>3.4268875092529</v>
      </c>
      <c r="D90" t="n">
        <v>0.1013503534339003</v>
      </c>
      <c r="E90" t="n">
        <v>13.17695648402449</v>
      </c>
      <c r="F90" t="n">
        <v>1.901956989247312</v>
      </c>
      <c r="G90" t="n">
        <v>12.98314829938401</v>
      </c>
      <c r="H90" t="n">
        <v>13.61947088002917</v>
      </c>
      <c r="I90" t="n">
        <v>18.63362045115198</v>
      </c>
    </row>
    <row r="91">
      <c r="A91" s="8" t="n">
        <v>46905</v>
      </c>
      <c r="B91" t="n">
        <v>1.382880048931775</v>
      </c>
      <c r="C91" t="n">
        <v>3.411787529047179</v>
      </c>
      <c r="D91" t="n">
        <v>0.09700640395592987</v>
      </c>
      <c r="E91" t="n">
        <v>12.96721414721974</v>
      </c>
      <c r="F91" t="n">
        <v>1.611388888888889</v>
      </c>
      <c r="G91" t="n">
        <v>12.99553284010053</v>
      </c>
      <c r="H91" t="n">
        <v>13.84433284010053</v>
      </c>
      <c r="I91" t="n">
        <v>18.32053809319853</v>
      </c>
    </row>
    <row r="92">
      <c r="A92" s="8" t="n">
        <v>46935</v>
      </c>
      <c r="B92" t="n">
        <v>1.485797219394047</v>
      </c>
      <c r="C92" t="n">
        <v>3.482298394030725</v>
      </c>
      <c r="D92" t="n">
        <v>0.08517704175335962</v>
      </c>
      <c r="E92" t="n">
        <v>13.19692143091807</v>
      </c>
      <c r="F92" t="n">
        <v>1.232569892473118</v>
      </c>
      <c r="G92" t="n">
        <v>13.01841475412525</v>
      </c>
      <c r="H92" t="n">
        <v>14.11866206595321</v>
      </c>
      <c r="I92" t="n">
        <v>18.32969749482469</v>
      </c>
    </row>
    <row r="93">
      <c r="A93" s="8" t="n">
        <v>46966</v>
      </c>
      <c r="B93" t="n">
        <v>1.524912689002482</v>
      </c>
      <c r="C93" t="n">
        <v>3.3917671089705</v>
      </c>
      <c r="D93" t="n">
        <v>0.08679216971169088</v>
      </c>
      <c r="E93" t="n">
        <v>13.4177908717757</v>
      </c>
      <c r="F93" t="n">
        <v>0.9842580645161288</v>
      </c>
      <c r="G93" t="n">
        <v>13.05151050051233</v>
      </c>
      <c r="H93" t="n">
        <v>14.40124168330803</v>
      </c>
      <c r="I93" t="n">
        <v>18.24998349744809</v>
      </c>
    </row>
    <row r="94">
      <c r="A94" s="8" t="n">
        <v>46997</v>
      </c>
      <c r="B94" t="n">
        <v>1.251885575020235</v>
      </c>
      <c r="C94" t="n">
        <v>3.356571819203105</v>
      </c>
      <c r="D94" t="n">
        <v>0.09510971864172464</v>
      </c>
      <c r="E94" t="n">
        <v>13.88363488832788</v>
      </c>
      <c r="F94" t="n">
        <v>1.311877777777778</v>
      </c>
      <c r="G94" t="n">
        <v>13.08404376448057</v>
      </c>
      <c r="H94" t="n">
        <v>14.06788820892502</v>
      </c>
      <c r="I94" t="n">
        <v>18.72034274635627</v>
      </c>
    </row>
    <row r="95">
      <c r="A95" s="8" t="n">
        <v>47027</v>
      </c>
      <c r="B95" t="n">
        <v>1.111082106615383</v>
      </c>
      <c r="C95" t="n">
        <v>3.355237410216338</v>
      </c>
      <c r="D95" t="n">
        <v>0.1061833965794254</v>
      </c>
      <c r="E95" t="n">
        <v>14.76134596185965</v>
      </c>
      <c r="F95" t="n">
        <v>1.779247311827957</v>
      </c>
      <c r="G95" t="n">
        <v>13.12140894766497</v>
      </c>
      <c r="H95" t="n">
        <v>13.72845195841766</v>
      </c>
      <c r="I95" t="n">
        <v>19.8773268258212</v>
      </c>
    </row>
    <row r="96">
      <c r="A96" s="8" t="n">
        <v>47058</v>
      </c>
      <c r="B96" t="n">
        <v>1.123646225965237</v>
      </c>
      <c r="C96" t="n">
        <v>3.478730210379066</v>
      </c>
      <c r="D96" t="n">
        <v>0.1516363810237404</v>
      </c>
      <c r="E96" t="n">
        <v>15.55304366670018</v>
      </c>
      <c r="F96" t="n">
        <v>1.304466666666667</v>
      </c>
      <c r="G96" t="n">
        <v>13.16358021942577</v>
      </c>
      <c r="H96" t="n">
        <v>14.0206135527591</v>
      </c>
      <c r="I96" t="n">
        <v>20.52648349787055</v>
      </c>
    </row>
    <row r="97">
      <c r="A97" s="8" t="n">
        <v>47088</v>
      </c>
      <c r="B97" t="n">
        <v>0.956787570522121</v>
      </c>
      <c r="C97" t="n">
        <v>3.685154366490965</v>
      </c>
      <c r="D97" t="n">
        <v>0.2219882359980425</v>
      </c>
      <c r="E97" t="n">
        <v>15.99128000904985</v>
      </c>
      <c r="F97" t="n">
        <v>1.143408602150538</v>
      </c>
      <c r="G97" t="n">
        <v>13.20421864509259</v>
      </c>
      <c r="H97" t="n">
        <v>14.87912187089904</v>
      </c>
      <c r="I97" t="n">
        <v>21.1061286308134</v>
      </c>
    </row>
    <row r="98">
      <c r="A98" s="8" t="n">
        <v>47119</v>
      </c>
      <c r="B98" t="n">
        <v>1.102360695704268</v>
      </c>
      <c r="C98" t="n">
        <v>3.486701358052295</v>
      </c>
      <c r="D98" t="n">
        <v>0.3426769936207672</v>
      </c>
      <c r="E98" t="n">
        <v>15.98037259467834</v>
      </c>
      <c r="F98" t="n">
        <v>0.7306666666666666</v>
      </c>
      <c r="G98" t="n">
        <v>13.23478928944815</v>
      </c>
      <c r="H98" t="n">
        <v>17.13335918192127</v>
      </c>
      <c r="I98" t="n">
        <v>20.97386725937332</v>
      </c>
    </row>
    <row r="99">
      <c r="A99" s="8" t="n">
        <v>47150</v>
      </c>
      <c r="B99" t="n">
        <v>0.9676005195539629</v>
      </c>
      <c r="C99" t="n">
        <v>3.294178182295677</v>
      </c>
      <c r="D99" t="n">
        <v>0.2378573877759801</v>
      </c>
      <c r="E99" t="n">
        <v>15.94380196769204</v>
      </c>
      <c r="F99" t="n">
        <v>1.108112479474548</v>
      </c>
      <c r="G99" t="n">
        <v>13.26543042469464</v>
      </c>
      <c r="H99" t="n">
        <v>15.78745874981779</v>
      </c>
      <c r="I99" t="n">
        <v>21.1066303598007</v>
      </c>
    </row>
    <row r="100">
      <c r="A100" s="8" t="n">
        <v>47178</v>
      </c>
      <c r="B100" t="n">
        <v>0.9261138360485822</v>
      </c>
      <c r="C100" t="n">
        <v>3.334874622454641</v>
      </c>
      <c r="D100" t="n">
        <v>0.1547587741816897</v>
      </c>
      <c r="E100" t="n">
        <v>15.81797826756367</v>
      </c>
      <c r="F100" t="n">
        <v>1.836397849462366</v>
      </c>
      <c r="G100" t="n">
        <v>13.29614221337248</v>
      </c>
      <c r="H100" t="n">
        <v>14.3355185574585</v>
      </c>
      <c r="I100" t="n">
        <v>21.84941884946963</v>
      </c>
    </row>
    <row r="101">
      <c r="A101" s="8" t="n">
        <v>47209</v>
      </c>
      <c r="B101" t="n">
        <v>1.061962596189592</v>
      </c>
      <c r="C101" t="n">
        <v>3.486205248343377</v>
      </c>
      <c r="D101" t="n">
        <v>0.1090353014937049</v>
      </c>
      <c r="E101" t="n">
        <v>15.31978044227872</v>
      </c>
      <c r="F101" t="n">
        <v>1.879377777777778</v>
      </c>
      <c r="G101" t="n">
        <v>13.3269248183969</v>
      </c>
      <c r="H101" t="n">
        <v>14.22815815173023</v>
      </c>
      <c r="I101" t="n">
        <v>21.6735894603701</v>
      </c>
    </row>
    <row r="102">
      <c r="A102" s="8" t="n">
        <v>47239</v>
      </c>
      <c r="B102" t="n">
        <v>1.247649755867004</v>
      </c>
      <c r="C102" t="n">
        <v>3.456354766787667</v>
      </c>
      <c r="D102" t="n">
        <v>0.09983073671958685</v>
      </c>
      <c r="E102" t="n">
        <v>14.45023543600952</v>
      </c>
      <c r="F102" t="n">
        <v>1.901956989247312</v>
      </c>
      <c r="G102" t="n">
        <v>13.35777840305877</v>
      </c>
      <c r="H102" t="n">
        <v>13.99410098370393</v>
      </c>
      <c r="I102" t="n">
        <v>20.87096523269414</v>
      </c>
    </row>
    <row r="103">
      <c r="A103" s="8" t="n">
        <v>47270</v>
      </c>
      <c r="B103" t="n">
        <v>1.423169845854696</v>
      </c>
      <c r="C103" t="n">
        <v>3.441124944267516</v>
      </c>
      <c r="D103" t="n">
        <v>0.09559315749584468</v>
      </c>
      <c r="E103" t="n">
        <v>14.12063813272129</v>
      </c>
      <c r="F103" t="n">
        <v>1.611388888888889</v>
      </c>
      <c r="G103" t="n">
        <v>13.3887031310255</v>
      </c>
      <c r="H103" t="n">
        <v>14.2375031310255</v>
      </c>
      <c r="I103" t="n">
        <v>20.30498360029002</v>
      </c>
    </row>
    <row r="104">
      <c r="A104" s="8" t="n">
        <v>47300</v>
      </c>
      <c r="B104" t="n">
        <v>1.52908547731943</v>
      </c>
      <c r="C104" t="n">
        <v>3.512242120900295</v>
      </c>
      <c r="D104" t="n">
        <v>0.0839245056230211</v>
      </c>
      <c r="E104" t="n">
        <v>14.50687355059762</v>
      </c>
      <c r="F104" t="n">
        <v>1.232569892473118</v>
      </c>
      <c r="G104" t="n">
        <v>13.41969916634187</v>
      </c>
      <c r="H104" t="n">
        <v>14.51994647816982</v>
      </c>
      <c r="I104" t="n">
        <v>20.13127666910625</v>
      </c>
    </row>
    <row r="105">
      <c r="A105" s="8" t="n">
        <v>47331</v>
      </c>
      <c r="B105" t="n">
        <v>1.56934056444443</v>
      </c>
      <c r="C105" t="n">
        <v>3.420932371801019</v>
      </c>
      <c r="D105" t="n">
        <v>0.08557475476997908</v>
      </c>
      <c r="E105" t="n">
        <v>14.76004136439691</v>
      </c>
      <c r="F105" t="n">
        <v>0.9842580645161288</v>
      </c>
      <c r="G105" t="n">
        <v>13.45076667343094</v>
      </c>
      <c r="H105" t="n">
        <v>14.80049785622664</v>
      </c>
      <c r="I105" t="n">
        <v>19.86307576281674</v>
      </c>
    </row>
    <row r="106">
      <c r="A106" s="8" t="n">
        <v>47362</v>
      </c>
      <c r="B106" t="n">
        <v>1.288358887096189</v>
      </c>
      <c r="C106" t="n">
        <v>3.385434443366675</v>
      </c>
      <c r="D106" t="n">
        <v>0.09377165300513914</v>
      </c>
      <c r="E106" t="n">
        <v>15.28291698089712</v>
      </c>
      <c r="F106" t="n">
        <v>1.311877777777778</v>
      </c>
      <c r="G106" t="n">
        <v>13.48190581709489</v>
      </c>
      <c r="H106" t="n">
        <v>14.46575026153933</v>
      </c>
      <c r="I106" t="n">
        <v>20.15953382167607</v>
      </c>
    </row>
    <row r="107">
      <c r="A107" s="8" t="n">
        <v>47392</v>
      </c>
      <c r="B107" t="n">
        <v>1.143453151721431</v>
      </c>
      <c r="C107" t="n">
        <v>3.384088560010479</v>
      </c>
      <c r="D107" t="n">
        <v>0.1046654463421956</v>
      </c>
      <c r="E107" t="n">
        <v>16.25987020647609</v>
      </c>
      <c r="F107" t="n">
        <v>1.779247311827957</v>
      </c>
      <c r="G107" t="n">
        <v>13.5131167625159</v>
      </c>
      <c r="H107" t="n">
        <v>14.12015977326859</v>
      </c>
      <c r="I107" t="n">
        <v>21.3510363973306</v>
      </c>
    </row>
    <row r="108">
      <c r="A108" s="8" t="n">
        <v>47423</v>
      </c>
      <c r="B108" t="n">
        <v>1.156383322933493</v>
      </c>
      <c r="C108" t="n">
        <v>3.508643255008174</v>
      </c>
      <c r="D108" t="n">
        <v>0.1491671752146529</v>
      </c>
      <c r="E108" t="n">
        <v>17.38217688382564</v>
      </c>
      <c r="F108" t="n">
        <v>1.304466666666667</v>
      </c>
      <c r="G108" t="n">
        <v>13.54439967525706</v>
      </c>
      <c r="H108" t="n">
        <v>14.4014330085904</v>
      </c>
      <c r="I108" t="n">
        <v>21.98469629408019</v>
      </c>
    </row>
    <row r="109">
      <c r="A109" s="8" t="n">
        <v>47453</v>
      </c>
      <c r="B109" t="n">
        <v>0.9846632904332503</v>
      </c>
      <c r="C109" t="n">
        <v>3.716842419419329</v>
      </c>
      <c r="D109" t="n">
        <v>0.2177886186723599</v>
      </c>
      <c r="E109" t="n">
        <v>18.12924181730824</v>
      </c>
      <c r="F109" t="n">
        <v>1.143408602150538</v>
      </c>
      <c r="G109" t="n">
        <v>13.5757547212632</v>
      </c>
      <c r="H109" t="n">
        <v>15.25065794706966</v>
      </c>
      <c r="I109" t="n">
        <v>22.50451883446957</v>
      </c>
    </row>
    <row r="110">
      <c r="A110" s="8" t="n">
        <v>47484</v>
      </c>
      <c r="B110" t="n">
        <v>1.134477645109997</v>
      </c>
      <c r="C110" t="n">
        <v>3.516682945305198</v>
      </c>
      <c r="D110" t="n">
        <v>0.3355713483054198</v>
      </c>
      <c r="E110" t="n">
        <v>18.24535321001983</v>
      </c>
      <c r="F110" t="n">
        <v>0.7306666666666666</v>
      </c>
      <c r="G110" t="n">
        <v>13.59156791748137</v>
      </c>
      <c r="H110" t="n">
        <v>17.49013780995448</v>
      </c>
      <c r="I110" t="n">
        <v>22.54870563980965</v>
      </c>
    </row>
    <row r="111">
      <c r="A111" s="8" t="n">
        <v>47515</v>
      </c>
      <c r="B111" t="n">
        <v>0.9957912715034584</v>
      </c>
      <c r="C111" t="n">
        <v>3.322504293555828</v>
      </c>
      <c r="D111" t="n">
        <v>0.2332497218671205</v>
      </c>
      <c r="E111" t="n">
        <v>18.33178230240186</v>
      </c>
      <c r="F111" t="n">
        <v>1.108112479474548</v>
      </c>
      <c r="G111" t="n">
        <v>13.6073994604868</v>
      </c>
      <c r="H111" t="n">
        <v>16.12942778560995</v>
      </c>
      <c r="I111" t="n">
        <v>22.70897225630277</v>
      </c>
    </row>
    <row r="112">
      <c r="A112" s="8" t="n">
        <v>47543</v>
      </c>
      <c r="B112" t="n">
        <v>0.9530958858733136</v>
      </c>
      <c r="C112" t="n">
        <v>3.363550675894006</v>
      </c>
      <c r="D112" t="n">
        <v>0.1520218621665353</v>
      </c>
      <c r="E112" t="n">
        <v>18.31428485880027</v>
      </c>
      <c r="F112" t="n">
        <v>1.836397849462366</v>
      </c>
      <c r="G112" t="n">
        <v>13.6232493715658</v>
      </c>
      <c r="H112" t="n">
        <v>14.66262571565182</v>
      </c>
      <c r="I112" t="n">
        <v>23.47433369015274</v>
      </c>
    </row>
    <row r="113">
      <c r="A113" s="8" t="n">
        <v>47574</v>
      </c>
      <c r="B113" t="n">
        <v>1.092902559039781</v>
      </c>
      <c r="C113" t="n">
        <v>3.516182569628249</v>
      </c>
      <c r="D113" t="n">
        <v>0.1074194777017944</v>
      </c>
      <c r="E113" t="n">
        <v>17.64754492105152</v>
      </c>
      <c r="F113" t="n">
        <v>1.879377777777778</v>
      </c>
      <c r="G113" t="n">
        <v>13.6391176720294</v>
      </c>
      <c r="H113" t="n">
        <v>14.54035100536273</v>
      </c>
      <c r="I113" t="n">
        <v>23.26955121860332</v>
      </c>
    </row>
    <row r="114">
      <c r="A114" s="8" t="n">
        <v>47604</v>
      </c>
      <c r="B114" t="n">
        <v>1.283999658617892</v>
      </c>
      <c r="C114" t="n">
        <v>3.486075408556458</v>
      </c>
      <c r="D114" t="n">
        <v>0.098346956057169</v>
      </c>
      <c r="E114" t="n">
        <v>16.62840981948412</v>
      </c>
      <c r="F114" t="n">
        <v>1.901956989247312</v>
      </c>
      <c r="G114" t="n">
        <v>13.65500438321331</v>
      </c>
      <c r="H114" t="n">
        <v>14.29132696385847</v>
      </c>
      <c r="I114" t="n">
        <v>22.60146311894925</v>
      </c>
    </row>
    <row r="115">
      <c r="A115" s="8" t="n">
        <v>47635</v>
      </c>
      <c r="B115" t="n">
        <v>1.464633473969515</v>
      </c>
      <c r="C115" t="n">
        <v>3.470714627228585</v>
      </c>
      <c r="D115" t="n">
        <v>0.09421270954360519</v>
      </c>
      <c r="E115" t="n">
        <v>16.23232887086422</v>
      </c>
      <c r="F115" t="n">
        <v>1.611388888888889</v>
      </c>
      <c r="G115" t="n">
        <v>13.67090952647803</v>
      </c>
      <c r="H115" t="n">
        <v>14.51970952647803</v>
      </c>
      <c r="I115" t="n">
        <v>22.21079093983903</v>
      </c>
    </row>
    <row r="116">
      <c r="A116" s="8" t="n">
        <v>47665</v>
      </c>
      <c r="B116" t="n">
        <v>1.573634925701867</v>
      </c>
      <c r="C116" t="n">
        <v>3.542443329087484</v>
      </c>
      <c r="D116" t="n">
        <v>0.08270119177313015</v>
      </c>
      <c r="E116" t="n">
        <v>16.69086036657659</v>
      </c>
      <c r="F116" t="n">
        <v>1.232569892473118</v>
      </c>
      <c r="G116" t="n">
        <v>13.68683312320882</v>
      </c>
      <c r="H116" t="n">
        <v>14.78708043503677</v>
      </c>
      <c r="I116" t="n">
        <v>22.15698676947606</v>
      </c>
    </row>
    <row r="117">
      <c r="A117" s="8" t="n">
        <v>47696</v>
      </c>
      <c r="B117" t="n">
        <v>1.615062832759176</v>
      </c>
      <c r="C117" t="n">
        <v>3.450348422061408</v>
      </c>
      <c r="D117" t="n">
        <v>0.08438497256371828</v>
      </c>
      <c r="E117" t="n">
        <v>17.02083234376693</v>
      </c>
      <c r="F117" t="n">
        <v>0.9842580645161288</v>
      </c>
      <c r="G117" t="n">
        <v>13.70277519481576</v>
      </c>
      <c r="H117" t="n">
        <v>15.05250637761146</v>
      </c>
      <c r="I117" t="n">
        <v>22.00436187680843</v>
      </c>
    </row>
    <row r="118">
      <c r="A118" s="8" t="n">
        <v>47727</v>
      </c>
      <c r="B118" t="n">
        <v>1.325894838218662</v>
      </c>
      <c r="C118" t="n">
        <v>3.414545252618626</v>
      </c>
      <c r="D118" t="n">
        <v>0.0924640132328968</v>
      </c>
      <c r="E118" t="n">
        <v>17.66266976350623</v>
      </c>
      <c r="F118" t="n">
        <v>1.311877777777778</v>
      </c>
      <c r="G118" t="n">
        <v>13.71873576273379</v>
      </c>
      <c r="H118" t="n">
        <v>14.70258020717823</v>
      </c>
      <c r="I118" t="n">
        <v>22.44691570430673</v>
      </c>
    </row>
    <row r="119">
      <c r="A119" s="8" t="n">
        <v>47757</v>
      </c>
      <c r="B119" t="n">
        <v>1.176767317551878</v>
      </c>
      <c r="C119" t="n">
        <v>3.413187796226735</v>
      </c>
      <c r="D119" t="n">
        <v>0.1031823417468333</v>
      </c>
      <c r="E119" t="n">
        <v>18.831897413148</v>
      </c>
      <c r="F119" t="n">
        <v>1.779247311827957</v>
      </c>
      <c r="G119" t="n">
        <v>13.73471484842268</v>
      </c>
      <c r="H119" t="n">
        <v>14.34175785917537</v>
      </c>
      <c r="I119" t="n">
        <v>23.68196189930926</v>
      </c>
    </row>
    <row r="120">
      <c r="A120" s="8" t="n">
        <v>47788</v>
      </c>
      <c r="B120" t="n">
        <v>1.19007420543775</v>
      </c>
      <c r="C120" t="n">
        <v>3.538813517123223</v>
      </c>
      <c r="D120" t="n">
        <v>0.1467587086996577</v>
      </c>
      <c r="E120" t="n">
        <v>20.1734187016023</v>
      </c>
      <c r="F120" t="n">
        <v>1.304466666666667</v>
      </c>
      <c r="G120" t="n">
        <v>13.75071247336713</v>
      </c>
      <c r="H120" t="n">
        <v>14.60774580670047</v>
      </c>
      <c r="I120" t="n">
        <v>24.43773581252595</v>
      </c>
    </row>
    <row r="121">
      <c r="A121" s="8" t="n">
        <v>47818</v>
      </c>
      <c r="B121" t="n">
        <v>1.013351161112747</v>
      </c>
      <c r="C121" t="n">
        <v>3.748802952846074</v>
      </c>
      <c r="D121" t="n">
        <v>0.213699215382634</v>
      </c>
      <c r="E121" t="n">
        <v>20.96859393460808</v>
      </c>
      <c r="F121" t="n">
        <v>1.143408602150538</v>
      </c>
      <c r="G121" t="n">
        <v>13.76672865907676</v>
      </c>
      <c r="H121" t="n">
        <v>15.44163188488321</v>
      </c>
      <c r="I121" t="n">
        <v>25.01989237581578</v>
      </c>
    </row>
    <row r="122">
      <c r="A122" s="8" t="n">
        <v>47849</v>
      </c>
      <c r="B122" t="n">
        <v>1.167530312237838</v>
      </c>
      <c r="C122" t="n">
        <v>3.5469223394311</v>
      </c>
      <c r="D122" t="n">
        <v>0.3286585154032086</v>
      </c>
      <c r="E122" t="n">
        <v>21.18088801367117</v>
      </c>
      <c r="F122" t="n">
        <v>0.7306666666666666</v>
      </c>
      <c r="G122" t="n">
        <v>13.77477160836169</v>
      </c>
      <c r="H122" t="n">
        <v>17.67334150083481</v>
      </c>
      <c r="I122" t="n">
        <v>25.13901146031502</v>
      </c>
    </row>
    <row r="123">
      <c r="A123" s="8" t="n">
        <v>47880</v>
      </c>
      <c r="B123" t="n">
        <v>1.024803352585605</v>
      </c>
      <c r="C123" t="n">
        <v>3.351073976515722</v>
      </c>
      <c r="D123" t="n">
        <v>0.228764075247816</v>
      </c>
      <c r="E123" t="n">
        <v>21.23031097829645</v>
      </c>
      <c r="F123" t="n">
        <v>1.108112479474548</v>
      </c>
      <c r="G123" t="n">
        <v>13.7828192383201</v>
      </c>
      <c r="H123" t="n">
        <v>16.30484756344325</v>
      </c>
      <c r="I123" t="n">
        <v>25.37350661103207</v>
      </c>
    </row>
    <row r="124">
      <c r="A124" s="8" t="n">
        <v>47908</v>
      </c>
      <c r="B124" t="n">
        <v>0.9808640496555374</v>
      </c>
      <c r="C124" t="n">
        <v>3.392473310129938</v>
      </c>
      <c r="D124" t="n">
        <v>0.1493548365949885</v>
      </c>
      <c r="E124" t="n">
        <v>21.15989000191371</v>
      </c>
      <c r="F124" t="n">
        <v>1.836397849462366</v>
      </c>
      <c r="G124" t="n">
        <v>13.79087155167593</v>
      </c>
      <c r="H124" t="n">
        <v>14.83024789576195</v>
      </c>
      <c r="I124" t="n">
        <v>26.20184001579631</v>
      </c>
    </row>
    <row r="125">
      <c r="A125" s="8" t="n">
        <v>47939</v>
      </c>
      <c r="B125" t="n">
        <v>1.124743948460553</v>
      </c>
      <c r="C125" t="n">
        <v>3.546417661103745</v>
      </c>
      <c r="D125" t="n">
        <v>0.1058415147350653</v>
      </c>
      <c r="E125" t="n">
        <v>20.34189014062969</v>
      </c>
      <c r="F125" t="n">
        <v>1.879377777777778</v>
      </c>
      <c r="G125" t="n">
        <v>13.79892855115475</v>
      </c>
      <c r="H125" t="n">
        <v>14.70016188448808</v>
      </c>
      <c r="I125" t="n">
        <v>25.96753265199776</v>
      </c>
    </row>
    <row r="126">
      <c r="A126" s="8" t="n">
        <v>47969</v>
      </c>
      <c r="B126" t="n">
        <v>1.321408604921496</v>
      </c>
      <c r="C126" t="n">
        <v>3.516051613369771</v>
      </c>
      <c r="D126" t="n">
        <v>0.09689799890086098</v>
      </c>
      <c r="E126" t="n">
        <v>19.12286162552623</v>
      </c>
      <c r="F126" t="n">
        <v>1.901956989247312</v>
      </c>
      <c r="G126" t="n">
        <v>13.80699023948368</v>
      </c>
      <c r="H126" t="n">
        <v>14.44331282012884</v>
      </c>
      <c r="I126" t="n">
        <v>25.20956559473142</v>
      </c>
    </row>
    <row r="127">
      <c r="A127" s="8" t="n">
        <v>48000</v>
      </c>
      <c r="B127" t="n">
        <v>1.507305132497184</v>
      </c>
      <c r="C127" t="n">
        <v>3.500558747140337</v>
      </c>
      <c r="D127" t="n">
        <v>0.09286413769504909</v>
      </c>
      <c r="E127" t="n">
        <v>18.62471079636015</v>
      </c>
      <c r="F127" t="n">
        <v>1.611388888888889</v>
      </c>
      <c r="G127" t="n">
        <v>13.81505661939145</v>
      </c>
      <c r="H127" t="n">
        <v>14.66385661939145</v>
      </c>
      <c r="I127" t="n">
        <v>24.72046396685543</v>
      </c>
    </row>
    <row r="128">
      <c r="A128" s="8" t="n">
        <v>48030</v>
      </c>
      <c r="B128" t="n">
        <v>1.619482308948388</v>
      </c>
      <c r="C128" t="n">
        <v>3.572904232632956</v>
      </c>
      <c r="D128" t="n">
        <v>0.08150627710248623</v>
      </c>
      <c r="E128" t="n">
        <v>18.76318309027753</v>
      </c>
      <c r="F128" t="n">
        <v>1.232569892473118</v>
      </c>
      <c r="G128" t="n">
        <v>13.82312769360836</v>
      </c>
      <c r="H128" t="n">
        <v>14.92337500543632</v>
      </c>
      <c r="I128" t="n">
        <v>24.76223235966315</v>
      </c>
    </row>
    <row r="129">
      <c r="A129" s="8" t="n">
        <v>48061</v>
      </c>
      <c r="B129" t="n">
        <v>1.662117205696213</v>
      </c>
      <c r="C129" t="n">
        <v>3.48001741623266</v>
      </c>
      <c r="D129" t="n">
        <v>0.08322205111447688</v>
      </c>
      <c r="E129" t="n">
        <v>18.80339098570049</v>
      </c>
      <c r="F129" t="n">
        <v>0.9842580645161288</v>
      </c>
      <c r="G129" t="n">
        <v>13.83120346486633</v>
      </c>
      <c r="H129" t="n">
        <v>15.18093464766203</v>
      </c>
      <c r="I129" t="n">
        <v>24.58925506880367</v>
      </c>
    </row>
    <row r="130">
      <c r="A130" s="8" t="n">
        <v>48092</v>
      </c>
      <c r="B130" t="n">
        <v>1.364524388058681</v>
      </c>
      <c r="C130" t="n">
        <v>3.443906381062834</v>
      </c>
      <c r="D130" t="n">
        <v>0.09118594885178412</v>
      </c>
      <c r="E130" t="n">
        <v>19.18090506490999</v>
      </c>
      <c r="F130" t="n">
        <v>1.311877777777778</v>
      </c>
      <c r="G130" t="n">
        <v>13.83928393589883</v>
      </c>
      <c r="H130" t="n">
        <v>14.82312838034328</v>
      </c>
      <c r="I130" t="n">
        <v>25.04659295245934</v>
      </c>
    </row>
    <row r="131">
      <c r="A131" s="8" t="n">
        <v>48122</v>
      </c>
      <c r="B131" t="n">
        <v>1.211052081647158</v>
      </c>
      <c r="C131" t="n">
        <v>3.442537252120565</v>
      </c>
      <c r="D131" t="n">
        <v>0.1017331059900946</v>
      </c>
      <c r="E131" t="n">
        <v>20.10895911890998</v>
      </c>
      <c r="F131" t="n">
        <v>1.779247311827957</v>
      </c>
      <c r="G131" t="n">
        <v>13.84736910944095</v>
      </c>
      <c r="H131" t="n">
        <v>14.45441212019364</v>
      </c>
      <c r="I131" t="n">
        <v>26.37162521460029</v>
      </c>
    </row>
    <row r="132">
      <c r="A132" s="8" t="n">
        <v>48153</v>
      </c>
      <c r="B132" t="n">
        <v>1.224746661734543</v>
      </c>
      <c r="C132" t="n">
        <v>3.569243208496232</v>
      </c>
      <c r="D132" t="n">
        <v>0.1444092448201986</v>
      </c>
      <c r="E132" t="n">
        <v>21.18746624301015</v>
      </c>
      <c r="F132" t="n">
        <v>1.304466666666667</v>
      </c>
      <c r="G132" t="n">
        <v>13.85545898822936</v>
      </c>
      <c r="H132" t="n">
        <v>14.7124923215627</v>
      </c>
      <c r="I132" t="n">
        <v>27.23934088502168</v>
      </c>
    </row>
    <row r="133">
      <c r="A133" s="8" t="n">
        <v>48183</v>
      </c>
      <c r="B133" t="n">
        <v>1.042874844330518</v>
      </c>
      <c r="C133" t="n">
        <v>3.781038309787421</v>
      </c>
      <c r="D133" t="n">
        <v>0.2097168208587332</v>
      </c>
      <c r="E133" t="n">
        <v>21.78446306941743</v>
      </c>
      <c r="F133" t="n">
        <v>1.143408602150538</v>
      </c>
      <c r="G133" t="n">
        <v>13.86355357500233</v>
      </c>
      <c r="H133" t="n">
        <v>15.53845680080878</v>
      </c>
      <c r="I133" t="n">
        <v>27.86331530888177</v>
      </c>
    </row>
    <row r="134">
      <c r="A134" s="8" t="n">
        <v>48214</v>
      </c>
      <c r="B134" t="n">
        <v>1.201545958943967</v>
      </c>
      <c r="C134" t="n">
        <v>3.577421757270065</v>
      </c>
      <c r="D134" t="n">
        <v>0.3219328410768761</v>
      </c>
      <c r="E134" t="n">
        <v>21.76960421100057</v>
      </c>
      <c r="F134" t="n">
        <v>0.7306666666666666</v>
      </c>
      <c r="G134" t="n">
        <v>13.86760970286881</v>
      </c>
      <c r="H134" t="n">
        <v>17.76617959534193</v>
      </c>
      <c r="I134" t="n">
        <v>27.60117143495815</v>
      </c>
    </row>
    <row r="135">
      <c r="A135" s="8" t="n">
        <v>48245</v>
      </c>
      <c r="B135" t="n">
        <v>1.054660691979211</v>
      </c>
      <c r="C135" t="n">
        <v>3.379889325609446</v>
      </c>
      <c r="D135" t="n">
        <v>0.2243968912874035</v>
      </c>
      <c r="E135" t="n">
        <v>21.71978509254615</v>
      </c>
      <c r="F135" t="n">
        <v>1.108112479474548</v>
      </c>
      <c r="G135" t="n">
        <v>13.87166701287536</v>
      </c>
      <c r="H135" t="n">
        <v>16.39369533799851</v>
      </c>
      <c r="I135" t="n">
        <v>27.48684448089676</v>
      </c>
    </row>
    <row r="136">
      <c r="A136" s="8" t="n">
        <v>48274</v>
      </c>
      <c r="B136" t="n">
        <v>1.009441230590458</v>
      </c>
      <c r="C136" t="n">
        <v>3.421644645471265</v>
      </c>
      <c r="D136" t="n">
        <v>0.1467556792381</v>
      </c>
      <c r="E136" t="n">
        <v>21.54837906706522</v>
      </c>
      <c r="F136" t="n">
        <v>1.836397849462366</v>
      </c>
      <c r="G136" t="n">
        <v>13.8757255053665</v>
      </c>
      <c r="H136" t="n">
        <v>14.91510184945252</v>
      </c>
      <c r="I136" t="n">
        <v>27.9626184718274</v>
      </c>
    </row>
    <row r="137">
      <c r="A137" s="8" t="n">
        <v>48305</v>
      </c>
      <c r="B137" t="n">
        <v>1.157513027245632</v>
      </c>
      <c r="C137" t="n">
        <v>3.576912739294499</v>
      </c>
      <c r="D137" t="n">
        <v>0.1043003448283512</v>
      </c>
      <c r="E137" t="n">
        <v>20.62071349258198</v>
      </c>
      <c r="F137" t="n">
        <v>1.879377777777778</v>
      </c>
      <c r="G137" t="n">
        <v>13.87978518068688</v>
      </c>
      <c r="H137" t="n">
        <v>14.78101851402021</v>
      </c>
      <c r="I137" t="n">
        <v>27.33881738172825</v>
      </c>
    </row>
    <row r="138">
      <c r="A138" s="8" t="n">
        <v>48335</v>
      </c>
      <c r="B138" t="n">
        <v>1.359907449695208</v>
      </c>
      <c r="C138" t="n">
        <v>3.546285578773348</v>
      </c>
      <c r="D138" t="n">
        <v>0.0954828826802514</v>
      </c>
      <c r="E138" t="n">
        <v>19.29680973435555</v>
      </c>
      <c r="F138" t="n">
        <v>1.901956989247312</v>
      </c>
      <c r="G138" t="n">
        <v>13.88384603918121</v>
      </c>
      <c r="H138" t="n">
        <v>14.52016861982637</v>
      </c>
      <c r="I138" t="n">
        <v>26.20044263475167</v>
      </c>
    </row>
    <row r="139">
      <c r="A139" s="8" t="n">
        <v>48366</v>
      </c>
      <c r="B139" t="n">
        <v>1.551220017042737</v>
      </c>
      <c r="C139" t="n">
        <v>3.53065949186541</v>
      </c>
      <c r="D139" t="n">
        <v>0.09154654682345413</v>
      </c>
      <c r="E139" t="n">
        <v>18.70903565146297</v>
      </c>
      <c r="F139" t="n">
        <v>1.611388888888889</v>
      </c>
      <c r="G139" t="n">
        <v>13.88790808119433</v>
      </c>
      <c r="H139" t="n">
        <v>14.73670808119433</v>
      </c>
      <c r="I139" t="n">
        <v>25.49385059608346</v>
      </c>
    </row>
    <row r="140">
      <c r="A140" s="8" t="n">
        <v>48396</v>
      </c>
      <c r="B140" t="n">
        <v>1.666665442003345</v>
      </c>
      <c r="C140" t="n">
        <v>3.603627064615558</v>
      </c>
      <c r="D140" t="n">
        <v>0.08033896285943498</v>
      </c>
      <c r="E140" t="n">
        <v>18.76318309027753</v>
      </c>
      <c r="F140" t="n">
        <v>1.232569892473118</v>
      </c>
      <c r="G140" t="n">
        <v>13.89197130707117</v>
      </c>
      <c r="H140" t="n">
        <v>14.99221861889913</v>
      </c>
      <c r="I140" t="n">
        <v>25.34638445222898</v>
      </c>
    </row>
    <row r="141">
      <c r="A141" s="8" t="n">
        <v>48427</v>
      </c>
      <c r="B141" t="n">
        <v>1.710542493725584</v>
      </c>
      <c r="C141" t="n">
        <v>3.509941529339004</v>
      </c>
      <c r="D141" t="n">
        <v>0.08208524123765101</v>
      </c>
      <c r="E141" t="n">
        <v>18.80339098570049</v>
      </c>
      <c r="F141" t="n">
        <v>0.9842580645161288</v>
      </c>
      <c r="G141" t="n">
        <v>13.89603571715676</v>
      </c>
      <c r="H141" t="n">
        <v>15.24576689995246</v>
      </c>
      <c r="I141" t="n">
        <v>25.09021831451886</v>
      </c>
    </row>
    <row r="142">
      <c r="A142" s="8" t="n">
        <v>48458</v>
      </c>
      <c r="B142" t="n">
        <v>1.404279398288038</v>
      </c>
      <c r="C142" t="n">
        <v>3.473519981153994</v>
      </c>
      <c r="D142" t="n">
        <v>0.08993663450327952</v>
      </c>
      <c r="E142" t="n">
        <v>19.18090506490999</v>
      </c>
      <c r="F142" t="n">
        <v>1.311877777777778</v>
      </c>
      <c r="G142" t="n">
        <v>13.90010131179624</v>
      </c>
      <c r="H142" t="n">
        <v>14.88394575624068</v>
      </c>
      <c r="I142" t="n">
        <v>25.46051885663308</v>
      </c>
    </row>
    <row r="143">
      <c r="A143" s="8" t="n">
        <v>48488</v>
      </c>
      <c r="B143" t="n">
        <v>1.246335722097633</v>
      </c>
      <c r="C143" t="n">
        <v>3.472139079290954</v>
      </c>
      <c r="D143" t="n">
        <v>0.1003167911331659</v>
      </c>
      <c r="E143" t="n">
        <v>20.10895911890998</v>
      </c>
      <c r="F143" t="n">
        <v>1.779247311827957</v>
      </c>
      <c r="G143" t="n">
        <v>13.90416809133483</v>
      </c>
      <c r="H143" t="n">
        <v>14.51121110208752</v>
      </c>
      <c r="I143" t="n">
        <v>26.70699802325969</v>
      </c>
    </row>
    <row r="144">
      <c r="A144" s="8" t="n">
        <v>48519</v>
      </c>
      <c r="B144" t="n">
        <v>1.260429289682951</v>
      </c>
      <c r="C144" t="n">
        <v>3.599934559917892</v>
      </c>
      <c r="D144" t="n">
        <v>0.1421170984690932</v>
      </c>
      <c r="E144" t="n">
        <v>21.18746624301015</v>
      </c>
      <c r="F144" t="n">
        <v>1.304466666666667</v>
      </c>
      <c r="G144" t="n">
        <v>13.90823605611788</v>
      </c>
      <c r="H144" t="n">
        <v>14.76526938945121</v>
      </c>
      <c r="I144" t="n">
        <v>27.49441385774675</v>
      </c>
    </row>
    <row r="145">
      <c r="A145" s="8" t="n">
        <v>48549</v>
      </c>
      <c r="B145" t="n">
        <v>1.073258691235068</v>
      </c>
      <c r="C145" t="n">
        <v>3.813550853406811</v>
      </c>
      <c r="D145" t="n">
        <v>0.2058383253400181</v>
      </c>
      <c r="E145" t="n">
        <v>21.78446306941743</v>
      </c>
      <c r="F145" t="n">
        <v>1.143408602150538</v>
      </c>
      <c r="G145" t="n">
        <v>13.9123052064908</v>
      </c>
      <c r="H145" t="n">
        <v>15.58720843229725</v>
      </c>
      <c r="I145" t="n">
        <v>28.02051954154986</v>
      </c>
    </row>
    <row r="146">
      <c r="A146" s="8" t="n">
        <v>48580</v>
      </c>
      <c r="B146" t="n">
        <v>1.236552641350589</v>
      </c>
      <c r="C146" t="n">
        <v>3.608183434724408</v>
      </c>
      <c r="D146" t="n">
        <v>0.3153888402672506</v>
      </c>
      <c r="E146" t="n">
        <v>21.76960421100057</v>
      </c>
      <c r="F146" t="n">
        <v>0.7306666666666666</v>
      </c>
      <c r="G146" t="n">
        <v>13.91434200554298</v>
      </c>
      <c r="H146" t="n">
        <v>17.8129118980161</v>
      </c>
      <c r="I146" t="n">
        <v>27.66039579400949</v>
      </c>
    </row>
    <row r="147">
      <c r="A147" s="8" t="n">
        <v>48611</v>
      </c>
      <c r="B147" t="n">
        <v>1.085387916032557</v>
      </c>
      <c r="C147" t="n">
        <v>3.408952453280788</v>
      </c>
      <c r="D147" t="n">
        <v>0.2201447193875925</v>
      </c>
      <c r="E147" t="n">
        <v>21.71978509254615</v>
      </c>
      <c r="F147" t="n">
        <v>1.108112479474548</v>
      </c>
      <c r="G147" t="n">
        <v>13.91637910164093</v>
      </c>
      <c r="H147" t="n">
        <v>16.43840742676408</v>
      </c>
      <c r="I147" t="n">
        <v>27.54238266072164</v>
      </c>
    </row>
    <row r="148">
      <c r="A148" s="8" t="n">
        <v>48639</v>
      </c>
      <c r="B148" t="n">
        <v>1.038850999151028</v>
      </c>
      <c r="C148" t="n">
        <v>3.45106682045901</v>
      </c>
      <c r="D148" t="n">
        <v>0.1442224319112922</v>
      </c>
      <c r="E148" t="n">
        <v>21.54837906706522</v>
      </c>
      <c r="F148" t="n">
        <v>1.836397849462366</v>
      </c>
      <c r="G148" t="n">
        <v>13.91841649482797</v>
      </c>
      <c r="H148" t="n">
        <v>14.95779283891399</v>
      </c>
      <c r="I148" t="n">
        <v>28.01891716804892</v>
      </c>
    </row>
    <row r="149">
      <c r="A149" s="8" t="n">
        <v>48670</v>
      </c>
      <c r="B149" t="n">
        <v>1.191236823347388</v>
      </c>
      <c r="C149" t="n">
        <v>3.607670039784693</v>
      </c>
      <c r="D149" t="n">
        <v>0.1027949318130208</v>
      </c>
      <c r="E149" t="n">
        <v>20.62071349258198</v>
      </c>
      <c r="F149" t="n">
        <v>1.879377777777778</v>
      </c>
      <c r="G149" t="n">
        <v>13.92045418514743</v>
      </c>
      <c r="H149" t="n">
        <v>14.82168751848077</v>
      </c>
      <c r="I149" t="n">
        <v>27.40179306530487</v>
      </c>
    </row>
    <row r="150">
      <c r="A150" s="8" t="n">
        <v>48700</v>
      </c>
      <c r="B150" t="n">
        <v>1.399527946805214</v>
      </c>
      <c r="C150" t="n">
        <v>3.576779521209271</v>
      </c>
      <c r="D150" t="n">
        <v>0.09410065390361362</v>
      </c>
      <c r="E150" t="n">
        <v>19.29680973435555</v>
      </c>
      <c r="F150" t="n">
        <v>1.901956989247312</v>
      </c>
      <c r="G150" t="n">
        <v>13.92249217264265</v>
      </c>
      <c r="H150" t="n">
        <v>14.55881475328781</v>
      </c>
      <c r="I150" t="n">
        <v>26.26917484552096</v>
      </c>
    </row>
    <row r="151">
      <c r="A151" s="8" t="n">
        <v>48731</v>
      </c>
      <c r="B151" t="n">
        <v>1.59641434862464</v>
      </c>
      <c r="C151" t="n">
        <v>3.561019068079526</v>
      </c>
      <c r="D151" t="n">
        <v>0.09025906826374572</v>
      </c>
      <c r="E151" t="n">
        <v>18.70903565146297</v>
      </c>
      <c r="F151" t="n">
        <v>1.611388888888889</v>
      </c>
      <c r="G151" t="n">
        <v>13.92453045735696</v>
      </c>
      <c r="H151" t="n">
        <v>14.77333045735696</v>
      </c>
      <c r="I151" t="n">
        <v>25.56811702531977</v>
      </c>
    </row>
    <row r="152">
      <c r="A152" s="8" t="n">
        <v>48761</v>
      </c>
      <c r="B152" t="n">
        <v>1.715223241538189</v>
      </c>
      <c r="C152" t="n">
        <v>3.634614077316023</v>
      </c>
      <c r="D152" t="n">
        <v>0.07919847391358446</v>
      </c>
      <c r="E152" t="n">
        <v>18.76318309027753</v>
      </c>
      <c r="F152" t="n">
        <v>1.232569892473118</v>
      </c>
      <c r="G152" t="n">
        <v>13.92656903933371</v>
      </c>
      <c r="H152" t="n">
        <v>15.02681635116167</v>
      </c>
      <c r="I152" t="n">
        <v>25.42478877551844</v>
      </c>
    </row>
    <row r="153">
      <c r="A153" s="8" t="n">
        <v>48792</v>
      </c>
      <c r="B153" t="n">
        <v>1.760378638048779</v>
      </c>
      <c r="C153" t="n">
        <v>3.540122955107355</v>
      </c>
      <c r="D153" t="n">
        <v>0.08097381586099361</v>
      </c>
      <c r="E153" t="n">
        <v>18.80339098570049</v>
      </c>
      <c r="F153" t="n">
        <v>0.9842580645161288</v>
      </c>
      <c r="G153" t="n">
        <v>13.92860791861625</v>
      </c>
      <c r="H153" t="n">
        <v>15.27833910141195</v>
      </c>
      <c r="I153" t="n">
        <v>25.16912445923375</v>
      </c>
    </row>
    <row r="154">
      <c r="A154" s="8" t="n">
        <v>48823</v>
      </c>
      <c r="B154" t="n">
        <v>1.445192658858809</v>
      </c>
      <c r="C154" t="n">
        <v>3.503388223855411</v>
      </c>
      <c r="D154" t="n">
        <v>0.08871526919267407</v>
      </c>
      <c r="E154" t="n">
        <v>19.18090506490999</v>
      </c>
      <c r="F154" t="n">
        <v>1.311877777777778</v>
      </c>
      <c r="G154" t="n">
        <v>13.93064709524795</v>
      </c>
      <c r="H154" t="n">
        <v>14.91449153969239</v>
      </c>
      <c r="I154" t="n">
        <v>25.53007899459466</v>
      </c>
    </row>
    <row r="155">
      <c r="A155" s="8" t="n">
        <v>48853</v>
      </c>
      <c r="B155" t="n">
        <v>1.282647340867377</v>
      </c>
      <c r="C155" t="n">
        <v>3.501995447838137</v>
      </c>
      <c r="D155" t="n">
        <v>0.09893247723855075</v>
      </c>
      <c r="E155" t="n">
        <v>20.10895911890998</v>
      </c>
      <c r="F155" t="n">
        <v>1.779247311827957</v>
      </c>
      <c r="G155" t="n">
        <v>13.93268656927216</v>
      </c>
      <c r="H155" t="n">
        <v>14.53972958002485</v>
      </c>
      <c r="I155" t="n">
        <v>26.771781696682</v>
      </c>
    </row>
    <row r="156">
      <c r="A156" s="8" t="n">
        <v>48884</v>
      </c>
      <c r="B156" t="n">
        <v>1.297151520332135</v>
      </c>
      <c r="C156" t="n">
        <v>3.630889821361106</v>
      </c>
      <c r="D156" t="n">
        <v>0.1398806345475084</v>
      </c>
      <c r="E156" t="n">
        <v>21.18746624301015</v>
      </c>
      <c r="F156" t="n">
        <v>1.304466666666667</v>
      </c>
      <c r="G156" t="n">
        <v>13.93472634073226</v>
      </c>
      <c r="H156" t="n">
        <v>14.79175967406559</v>
      </c>
      <c r="I156" t="n">
        <v>27.55985488591757</v>
      </c>
    </row>
    <row r="157">
      <c r="A157" s="8" t="n">
        <v>48914</v>
      </c>
      <c r="B157" t="n">
        <v>1.104527762438332</v>
      </c>
      <c r="C157" t="n">
        <v>3.846342967188149</v>
      </c>
      <c r="D157" t="n">
        <v>0.2020607117142162</v>
      </c>
      <c r="E157" t="n">
        <v>21.78446306941743</v>
      </c>
      <c r="F157" t="n">
        <v>1.143408602150538</v>
      </c>
      <c r="G157" t="n">
        <v>13.93676640967163</v>
      </c>
      <c r="H157" t="n">
        <v>15.61166963547808</v>
      </c>
      <c r="I157" t="n">
        <v>28.08080311290866</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1" customWidth="1" min="1" max="1"/>
  </cols>
  <sheetData>
    <row r="1">
      <c r="A1" t="inlineStr">
        <is>
          <t>Date</t>
        </is>
      </c>
      <c r="B1" t="inlineStr">
        <is>
          <t>Permian (Texas, capped)</t>
        </is>
      </c>
      <c r="C1" t="inlineStr">
        <is>
          <t>Eagle Ford</t>
        </is>
      </c>
      <c r="D1" t="inlineStr">
        <is>
          <t>Haynesville (STEO)</t>
        </is>
      </c>
      <c r="E1" t="inlineStr">
        <is>
          <t>Extra supply required</t>
        </is>
      </c>
      <c r="F1" t="inlineStr">
        <is>
          <t>Incremental Gulf LNG</t>
        </is>
      </c>
      <c r="G1" t="inlineStr">
        <is>
          <t>Incremental Gulf demand</t>
        </is>
      </c>
    </row>
    <row r="2">
      <c r="A2" s="11" t="n">
        <v>46023</v>
      </c>
      <c r="B2" t="n">
        <v>1.153755849252462</v>
      </c>
      <c r="C2" t="n">
        <v>0.2849390364015738</v>
      </c>
      <c r="D2" t="n">
        <v>1.685639589343904</v>
      </c>
      <c r="E2" t="n">
        <v>0</v>
      </c>
      <c r="F2" t="n">
        <v>0.9636895853476393</v>
      </c>
      <c r="G2" t="n">
        <v>0.6909471056845842</v>
      </c>
    </row>
    <row r="3">
      <c r="A3" s="11" t="n">
        <v>46388</v>
      </c>
      <c r="B3" t="n">
        <v>3.222213939286526</v>
      </c>
      <c r="C3" t="n">
        <v>0.6226576601928544</v>
      </c>
      <c r="D3" t="n">
        <v>2.007993557685527</v>
      </c>
      <c r="E3" t="n">
        <v>0</v>
      </c>
      <c r="F3" t="n">
        <v>5.45053238558123</v>
      </c>
      <c r="G3" t="n">
        <v>5.267505978845985</v>
      </c>
    </row>
    <row r="4">
      <c r="A4" s="11" t="n">
        <v>46753</v>
      </c>
      <c r="B4" t="n">
        <v>5.235645825115757</v>
      </c>
      <c r="C4" t="n">
        <v>0.9762904489374629</v>
      </c>
      <c r="D4" t="n">
        <v>2.964968512975208</v>
      </c>
      <c r="E4" t="n">
        <v>1.280013304358292</v>
      </c>
      <c r="F4" t="n">
        <v>10.54617332264941</v>
      </c>
      <c r="G4" t="n">
        <v>10.45691809138672</v>
      </c>
    </row>
    <row r="5">
      <c r="A5" s="11" t="n">
        <v>47119</v>
      </c>
      <c r="B5" t="n">
        <v>6.327496634890874</v>
      </c>
      <c r="C5" t="n">
        <v>1.161850754309783</v>
      </c>
      <c r="D5" t="n">
        <v>3.470273928253558</v>
      </c>
      <c r="E5" t="n">
        <v>2.057862175705138</v>
      </c>
      <c r="F5" t="n">
        <v>12.99086723869125</v>
      </c>
      <c r="G5" t="n">
        <v>13.01748349315935</v>
      </c>
    </row>
    <row r="6">
      <c r="A6" s="11" t="n">
        <v>47484</v>
      </c>
      <c r="B6" t="n">
        <v>6.896505654867621</v>
      </c>
      <c r="C6" t="n">
        <v>1.256924985552784</v>
      </c>
      <c r="D6" t="n">
        <v>3.730006888640176</v>
      </c>
      <c r="E6" t="n">
        <v>5.132369419793777</v>
      </c>
      <c r="F6" t="n">
        <v>16.86941091542985</v>
      </c>
      <c r="G6" t="n">
        <v>17.01580694885436</v>
      </c>
    </row>
    <row r="7">
      <c r="A7" s="11" t="n">
        <v>47849</v>
      </c>
      <c r="B7" t="n">
        <v>7.152115268137187</v>
      </c>
      <c r="C7" t="n">
        <v>1.305049801638474</v>
      </c>
      <c r="D7" t="n">
        <v>3.861693035663471</v>
      </c>
      <c r="E7" t="n">
        <v>7.212780345083999</v>
      </c>
      <c r="F7" t="n">
        <v>19.30952931634087</v>
      </c>
      <c r="G7" t="n">
        <v>19.53163845052313</v>
      </c>
    </row>
    <row r="8">
      <c r="A8" s="11" t="n">
        <v>48214</v>
      </c>
      <c r="B8" t="n">
        <v>7.152115268137187</v>
      </c>
      <c r="C8" t="n">
        <v>1.329260951229807</v>
      </c>
      <c r="D8" t="n">
        <v>3.927997400097436</v>
      </c>
      <c r="E8" t="n">
        <v>7.201821012603807</v>
      </c>
      <c r="F8" t="n">
        <v>19.30952931634087</v>
      </c>
      <c r="G8" t="n">
        <v>19.61119463206824</v>
      </c>
    </row>
    <row r="9">
      <c r="A9" s="11" t="n">
        <v>48580</v>
      </c>
      <c r="B9" t="n">
        <v>7.152115268137187</v>
      </c>
      <c r="C9" t="n">
        <v>1.341403941273708</v>
      </c>
      <c r="D9" t="n">
        <v>3.961265712986162</v>
      </c>
      <c r="E9" t="n">
        <v>7.239779958637143</v>
      </c>
      <c r="F9" t="n">
        <v>19.30952931634087</v>
      </c>
      <c r="G9" t="n">
        <v>19.6945648810342</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70" customWidth="1" min="1" max="1"/>
    <col width="22" customWidth="1" min="2" max="2"/>
    <col width="9" customWidth="1" min="3" max="3"/>
    <col width="13" customWidth="1" min="4" max="4"/>
    <col width="9" customWidth="1" min="5" max="5"/>
    <col width="140" customWidth="1" min="6" max="6"/>
    <col width="60" customWidth="1" min="8" max="8"/>
  </cols>
  <sheetData>
    <row r="1">
      <c r="A1" s="3" t="inlineStr">
        <is>
          <t>Item</t>
        </is>
      </c>
      <c r="B1" s="3" t="inlineStr">
        <is>
          <t>Value</t>
        </is>
      </c>
      <c r="C1" s="3" t="inlineStr">
        <is>
          <t>Unit</t>
        </is>
      </c>
      <c r="D1" s="3" t="inlineStr">
        <is>
          <t>Status</t>
        </is>
      </c>
      <c r="E1" s="3" t="inlineStr">
        <is>
          <t>Editable</t>
        </is>
      </c>
      <c r="F1" s="3" t="inlineStr">
        <is>
          <t>Source / note</t>
        </is>
      </c>
      <c r="H1" s="4" t="inlineStr">
        <is>
          <t>Status counts</t>
        </is>
      </c>
    </row>
    <row r="2">
      <c r="A2" t="inlineStr">
        <is>
          <t>Delayed scenario: months of delay (LNG trains not yet started; Permian takeaway pipelines)</t>
        </is>
      </c>
      <c r="B2" t="n">
        <v>6</v>
      </c>
      <c r="C2" t="inlineStr">
        <is>
          <t>months</t>
        </is>
      </c>
      <c r="D2" t="inlineStr">
        <is>
          <t>ASSUMPTION</t>
        </is>
      </c>
      <c r="F2" t="inlineStr">
        <is>
          <t>Same 6-month case as the Texas workbooks (value read from texas_production_forecast.xlsx 'Assumptions'; edit it there).</t>
        </is>
      </c>
      <c r="H2" t="inlineStr">
        <is>
          <t>6 SOURCED, 6 DERIVED, 14 ASSUMPTION, 1 UNVERIFIED</t>
        </is>
      </c>
    </row>
    <row r="3">
      <c r="A3" t="inlineStr">
        <is>
          <t>Feedgas / LNG export ratio</t>
        </is>
      </c>
      <c r="B3" t="n">
        <v>1.09</v>
      </c>
      <c r="C3" t="inlineStr">
        <is>
          <t>x</t>
        </is>
      </c>
      <c r="D3" t="inlineStr">
        <is>
          <t>ASSUMPTION</t>
        </is>
      </c>
      <c r="F3" t="inlineStr">
        <is>
          <t>Liquefaction fuel and shrink; the ratio TEXAS_GAS_FORECAST.py and lng_feedgas_daily.xlsx use (kept so Texas and Louisiana are like for like).</t>
        </is>
      </c>
    </row>
    <row r="4">
      <c r="A4" t="inlineStr">
        <is>
          <t>Louisiana share of STEO Haynesville</t>
        </is>
      </c>
      <c r="B4" s="5" t="n">
        <v>0.7</v>
      </c>
      <c r="C4" t="inlineStr">
        <is>
          <t>share</t>
        </is>
      </c>
      <c r="D4" t="inlineStr">
        <is>
          <t>ASSUMPTION</t>
        </is>
      </c>
      <c r="E4" t="inlineStr">
        <is>
          <t>yes</t>
        </is>
      </c>
      <c r="F4">
        <f> 1 - Texas share (30%, the Texas workbook's assumption) so the two states add up to STEO Haynesville. Check from EIA state data: Louisiana marketed production / STEO Haynesville = 70% (mean of the last 12 actual months; an upper bound for Louisiana, which also holds non-Haynesville onshore gas).</f>
        <v/>
      </c>
    </row>
    <row r="5">
      <c r="A5" t="inlineStr">
        <is>
          <t>Implied Louisiana share of STEO Haynesville (EIA state marketed production / STEO)</t>
        </is>
      </c>
      <c r="B5" t="n">
        <v>0.697</v>
      </c>
      <c r="C5" t="inlineStr">
        <is>
          <t>share</t>
        </is>
      </c>
      <c r="D5" t="inlineStr">
        <is>
          <t>DERIVED</t>
        </is>
      </c>
      <c r="F5" t="inlineStr">
        <is>
          <t>EIA Natural Gas Monthly Louisiana marketed production (SOURCED) over STEO Haynesville (SOURCED). Monthly series on 'Haynesville split'.</t>
        </is>
      </c>
    </row>
    <row r="6">
      <c r="A6" t="inlineStr">
        <is>
          <t>Louisiana marketed production remainder (not Haynesville-driven), held flat</t>
        </is>
      </c>
      <c r="B6" t="n">
        <v>-0.054</v>
      </c>
      <c r="C6" t="inlineStr">
        <is>
          <t>Bcf/d</t>
        </is>
      </c>
      <c r="D6" t="inlineStr">
        <is>
          <t>DERIVED</t>
        </is>
      </c>
      <c r="F6" t="inlineStr">
        <is>
          <t>Mean gap between Louisiana marketed production and share x STEO Haynesville over the last 6 actual months.</t>
        </is>
      </c>
    </row>
    <row r="7">
      <c r="A7" t="inlineStr">
        <is>
          <t>Louisiana extraction loss (1 - dry / marketed)</t>
        </is>
      </c>
      <c r="B7" t="n">
        <v>0.0045</v>
      </c>
      <c r="C7" t="inlineStr">
        <is>
          <t>share</t>
        </is>
      </c>
      <c r="D7" t="inlineStr">
        <is>
          <t>DERIVED</t>
        </is>
      </c>
      <c r="F7" t="inlineStr">
        <is>
          <t>EIA dry / marketed production, last 12 published months (EIA dry production stops after Dec 2024); later dry = marketed x (1 - this).</t>
        </is>
      </c>
    </row>
    <row r="8">
      <c r="A8" t="inlineStr">
        <is>
          <t>Texas extraction loss</t>
        </is>
      </c>
      <c r="B8" t="n">
        <v>0.1637</v>
      </c>
      <c r="C8" t="inlineStr">
        <is>
          <t>share</t>
        </is>
      </c>
      <c r="D8" t="inlineStr">
        <is>
          <t>DERIVED</t>
        </is>
      </c>
      <c r="F8" t="inlineStr">
        <is>
          <t>As TEXAS_PRODUCTION_FORECAST.py (EIA, last 12 published months).</t>
        </is>
      </c>
    </row>
    <row r="9">
      <c r="A9" t="inlineStr">
        <is>
          <t>Permian Texas share of STEO Permian</t>
        </is>
      </c>
      <c r="B9" t="n">
        <v>0.85</v>
      </c>
      <c r="C9" t="inlineStr">
        <is>
          <t>share</t>
        </is>
      </c>
      <c r="D9" t="inlineStr">
        <is>
          <t>ASSUMPTION</t>
        </is>
      </c>
      <c r="F9" t="inlineStr">
        <is>
          <t>Texas workbook. STEO Permian = Texas + southeast New Mexico; the New Mexico part is not counted in the Gulf supply (memo column on 'Key question').</t>
        </is>
      </c>
    </row>
    <row r="10">
      <c r="A10" t="inlineStr">
        <is>
          <t>Eagle Ford Texas share</t>
        </is>
      </c>
      <c r="B10" t="n">
        <v>1</v>
      </c>
      <c r="C10" t="inlineStr">
        <is>
          <t>share</t>
        </is>
      </c>
      <c r="D10" t="inlineStr">
        <is>
          <t>ASSUMPTION</t>
        </is>
      </c>
      <c r="F10" t="inlineStr">
        <is>
          <t>Texas workbook.</t>
        </is>
      </c>
    </row>
    <row r="11">
      <c r="A11" t="inlineStr">
        <is>
          <t>Local Permian demand added to takeaway in the cap</t>
        </is>
      </c>
      <c r="B11" t="n">
        <v>3</v>
      </c>
      <c r="C11" t="inlineStr">
        <is>
          <t>Bcf/d</t>
        </is>
      </c>
      <c r="D11" t="inlineStr">
        <is>
          <t>UNVERIFIED</t>
        </is>
      </c>
      <c r="F11" t="inlineStr">
        <is>
          <t>Texas workbook (unverified).</t>
        </is>
      </c>
    </row>
    <row r="12">
      <c r="A12" t="inlineStr">
        <is>
          <t>Production extension after Dec 2028: growth multiplier per year</t>
        </is>
      </c>
      <c r="B12" t="n">
        <v>0.5</v>
      </c>
      <c r="C12" t="inlineStr">
        <is>
          <t>x</t>
        </is>
      </c>
      <c r="D12" t="inlineStr">
        <is>
          <t>ASSUMPTION</t>
        </is>
      </c>
      <c r="F12" t="inlineStr">
        <is>
          <t>Texas workbook ('Assump - Data centres'): STEO 2027/2026 growth damped x0.5 a year from 2029. Extension, not STEO.</t>
        </is>
      </c>
    </row>
    <row r="13">
      <c r="A13" t="inlineStr">
        <is>
          <t>Outflow change allowed vs Dec 2025 (Bcf/d; 0 = hold)</t>
        </is>
      </c>
      <c r="B13" s="5" t="n">
        <v>0</v>
      </c>
      <c r="C13" t="inlineStr">
        <is>
          <t>Bcf/d</t>
        </is>
      </c>
      <c r="D13" t="inlineStr">
        <is>
          <t>ASSUMPTION</t>
        </is>
      </c>
      <c r="E13" t="inlineStr">
        <is>
          <t>yes</t>
        </is>
      </c>
      <c r="F13" t="inlineStr">
        <is>
          <t>Key question, 'outflow held' case: the combined outflow to other states must end each year at its Dec 2025 level plus this number (negative lets it fall).</t>
        </is>
      </c>
    </row>
    <row r="14">
      <c r="A14" t="inlineStr">
        <is>
          <t>Outflow floor for the 'outflow declines' case (Bcf/d)</t>
        </is>
      </c>
      <c r="B14" s="5" t="n">
        <v>0</v>
      </c>
      <c r="C14" t="inlineStr">
        <is>
          <t>Bcf/d</t>
        </is>
      </c>
      <c r="D14" t="inlineStr">
        <is>
          <t>ASSUMPTION</t>
        </is>
      </c>
      <c r="E14" t="inlineStr">
        <is>
          <t>yes</t>
        </is>
      </c>
      <c r="F14" t="inlineStr">
        <is>
          <t>Key question, 'outflow declines' case: extra supply is needed only if the implied outflow would fall below this.</t>
        </is>
      </c>
    </row>
    <row r="15">
      <c r="A15" t="inlineStr">
        <is>
          <t>Sabine Pass: EIA peak nameplate (LNG output)</t>
        </is>
      </c>
      <c r="B15" t="n">
        <v>4.553</v>
      </c>
      <c r="C15" t="inlineStr">
        <is>
          <t>Bcf/d</t>
        </is>
      </c>
      <c r="D15" t="inlineStr">
        <is>
          <t>SOURCED</t>
        </is>
      </c>
      <c r="F15" t="inlineStr">
        <is>
          <t>6 trains x 0.759 Bcf/d peak (EIA 2026 Q2); EIA Today in Energy 15 Sep 2026: 3.6 nominal / 4.6 peak. Feedgas nameplate = x 1.09; forecast = nameplate x 3-year seasonal utilisation of EIA exports x 1.09 (Plaquemines: mean of Jan-Jul 2026, once at full output).</t>
        </is>
      </c>
    </row>
    <row r="16">
      <c r="A16" t="inlineStr">
        <is>
          <t>Cameron: EIA peak nameplate (LNG output)</t>
        </is>
      </c>
      <c r="B16" t="n">
        <v>1.98</v>
      </c>
      <c r="C16" t="inlineStr">
        <is>
          <t>Bcf/d</t>
        </is>
      </c>
      <c r="D16" t="inlineStr">
        <is>
          <t>SOURCED</t>
        </is>
      </c>
      <c r="F16" t="inlineStr">
        <is>
          <t>3 trains x 0.66 Bcf/d peak (EIA 2026 Q2). Feedgas nameplate = x 1.09; forecast = nameplate x 3-year seasonal utilisation of EIA exports x 1.09 (Plaquemines: mean of Jan-Jul 2026, once at full output).</t>
        </is>
      </c>
    </row>
    <row r="17">
      <c r="A17" t="inlineStr">
        <is>
          <t>Calcasieu Pass: EIA peak nameplate (LNG output)</t>
        </is>
      </c>
      <c r="B17" t="n">
        <v>1.581</v>
      </c>
      <c r="C17" t="inlineStr">
        <is>
          <t>Bcf/d</t>
        </is>
      </c>
      <c r="D17" t="inlineStr">
        <is>
          <t>SOURCED</t>
        </is>
      </c>
      <c r="F17" t="inlineStr">
        <is>
          <t>2 train groups x 0.790 Bcf/d peak (EIA 2026 Q2). Feedgas nameplate = x 1.09; forecast = nameplate x 3-year seasonal utilisation of EIA exports x 1.09 (Plaquemines: mean of Jan-Jul 2026, once at full output).</t>
        </is>
      </c>
    </row>
    <row r="18">
      <c r="A18" t="inlineStr">
        <is>
          <t>Plaquemines: EIA peak nameplate (LNG output)</t>
        </is>
      </c>
      <c r="B18" t="n">
        <v>3.85</v>
      </c>
      <c r="C18" t="inlineStr">
        <is>
          <t>Bcf/d</t>
        </is>
      </c>
      <c r="D18" t="inlineStr">
        <is>
          <t>SOURCED</t>
        </is>
      </c>
      <c r="F18" t="inlineStr">
        <is>
          <t>Phase 1 1.89 + Phase 2 1.96 Bcf/d peak (EIA 2026 Q2; Venture Global: peak &gt; 28 MTPA once complete). Feedgas nameplate = x 1.09; forecast = nameplate x 3-year seasonal utilisation of EIA exports x 1.09 (Plaquemines: mean of Jan-Jul 2026, once at full output).</t>
        </is>
      </c>
    </row>
    <row r="19">
      <c r="A19" t="inlineStr">
        <is>
          <t>Louisiana new-train start dates: sourced / forecast trains</t>
        </is>
      </c>
      <c r="B19" t="inlineStr">
        <is>
          <t>5 of 5</t>
        </is>
      </c>
      <c r="C19" t="inlineStr">
        <is>
          <t>trains</t>
        </is>
      </c>
      <c r="D19" t="inlineStr">
        <is>
          <t>SOURCED</t>
        </is>
      </c>
      <c r="F19" t="inlineStr">
        <is>
          <t>EIA U.S. liquefaction capacity file 2026 Q2 (opened 5 Oct 2026): year or half-year per project; the month inside it is ASSUMED. Pre-FID projects have no date and are not forecast. Detail on 'Assump - LA LNG'.</t>
        </is>
      </c>
    </row>
    <row r="20">
      <c r="A20" t="inlineStr">
        <is>
          <t>Louisiana consumption forecast</t>
        </is>
      </c>
      <c r="B20" t="inlineStr">
        <is>
          <t>seasonal trend</t>
        </is>
      </c>
      <c r="D20" t="inlineStr">
        <is>
          <t>DERIVED</t>
        </is>
      </c>
      <c r="F20" t="inlineStr">
        <is>
          <t>Each sector: last 3 years' monthly profile x last-12-month level x damped trend (TEXAS_GAS_FORECAST.seasonal_trend). Not weather-adjusted.</t>
        </is>
      </c>
    </row>
    <row r="21">
      <c r="A21" t="inlineStr">
        <is>
          <t>Texas consumption, Mexico pipeline, LNG model, data centres, dry production (base / delayed)</t>
        </is>
      </c>
      <c r="B21" t="inlineStr">
        <is>
          <t>see Texas workbooks</t>
        </is>
      </c>
      <c r="D21" t="inlineStr">
        <is>
          <t>ASSUMPTION</t>
        </is>
      </c>
      <c r="F21" t="inlineStr">
        <is>
          <t>Read from texas_gas_monthly.xlsx / texas_production_forecast.xlsx unchanged; their own status labels apply (data centres: 10 of 17 sourced, 3 derived, 1 proxy, 3 assumption; the Permian takeaway table is UNVERIFIED except Matterhorn).</t>
        </is>
      </c>
    </row>
    <row r="22">
      <c r="A22" t="inlineStr">
        <is>
          <t>STEO regional marketed production to Dec 2027 (Permian, Eagle Ford, Haynesville)</t>
        </is>
      </c>
      <c r="B22" t="inlineStr">
        <is>
          <t>EIA STEO</t>
        </is>
      </c>
      <c r="C22" t="inlineStr">
        <is>
          <t>Bcf/d</t>
        </is>
      </c>
      <c r="D22" t="inlineStr">
        <is>
          <t>SOURCED</t>
        </is>
      </c>
      <c r="F22" t="inlineStr">
        <is>
          <t>EIA Short-Term Energy Outlook via API v2 (NGMPPM / NGMPEF / NGMPHA), as saved in texas_production_forecast.xlsx 'STEO raw'.</t>
        </is>
      </c>
    </row>
    <row r="23">
      <c r="A23" t="inlineStr">
        <is>
          <t>Basin supply Jan 2028 - Dec 2028</t>
        </is>
      </c>
      <c r="B23" t="inlineStr">
        <is>
          <t>STEO 2027 x STEO growth</t>
        </is>
      </c>
      <c r="C23" t="inlineStr">
        <is>
          <t>Bcf/d</t>
        </is>
      </c>
      <c r="D23" t="inlineStr">
        <is>
          <t>DERIVED</t>
        </is>
      </c>
      <c r="F23" t="inlineStr">
        <is>
          <t>Same month of 2027 x STEO 2027/2026 annual growth (Texas workbook).</t>
        </is>
      </c>
    </row>
    <row r="24">
      <c r="A24" t="inlineStr">
        <is>
          <t>Basin supply 2029-2030</t>
        </is>
      </c>
      <c r="B24" t="inlineStr">
        <is>
          <t>damped extension</t>
        </is>
      </c>
      <c r="C24" t="inlineStr">
        <is>
          <t>Bcf/d</t>
        </is>
      </c>
      <c r="D24" t="inlineStr">
        <is>
          <t>ASSUMPTION</t>
        </is>
      </c>
      <c r="F24" t="inlineStr">
        <is>
          <t>Month-on-month growth damped x0.5 a year; Permian capped by the takeaway table.</t>
        </is>
      </c>
    </row>
    <row r="25">
      <c r="A25" t="inlineStr">
        <is>
          <t>Texas net storage change in the forecast (Bcf/d average, + = net injection)</t>
        </is>
      </c>
      <c r="B25" t="n">
        <v>-0.0187</v>
      </c>
      <c r="C25" t="inlineStr">
        <is>
          <t>Bcf/d</t>
        </is>
      </c>
      <c r="D25" t="inlineStr">
        <is>
          <t>ASSUMPTION</t>
        </is>
      </c>
      <c r="F25" t="inlineStr">
        <is>
          <t>Last-3-year mean of EIA Texas storage (Aug/23-Jul/26) unless the production workbook's override is filled (edit it in texas_production_forecast.xlsx 'Assumptions'). Gross injections / withdrawals follow the same 36-month calendar-month pattern. No storage capacity additions assumed.</t>
        </is>
      </c>
    </row>
    <row r="26">
      <c r="A26" t="inlineStr">
        <is>
          <t>Louisiana net storage change override (Bcf/d average, + = net injection; blank = last-3-year mean)</t>
        </is>
      </c>
      <c r="B26" s="5" t="inlineStr"/>
      <c r="C26" t="inlineStr">
        <is>
          <t>Bcf/d</t>
        </is>
      </c>
      <c r="D26" t="inlineStr">
        <is>
          <t>ASSUMPTION</t>
        </is>
      </c>
      <c r="E26" t="inlineStr">
        <is>
          <t>yes</t>
        </is>
      </c>
      <c r="F26" t="inlineStr">
        <is>
          <t>Blank = Louisiana net storage change held at the last-3-year mean of EIA data. Louisiana storage capacity additions are NOT assumed.</t>
        </is>
      </c>
    </row>
    <row r="27">
      <c r="A27" t="inlineStr">
        <is>
          <t>Louisiana net storage change in the forecast (Bcf/d average, + = net injection)</t>
        </is>
      </c>
      <c r="B27" t="n">
        <v>0.0337</v>
      </c>
      <c r="C27" t="inlineStr">
        <is>
          <t>Bcf/d</t>
        </is>
      </c>
      <c r="D27" t="inlineStr">
        <is>
          <t>ASSUMPTION</t>
        </is>
      </c>
      <c r="F27" t="inlineStr">
        <is>
          <t>Mean of EIA months Aug/23-Jul/26; gross flows follow the 36-month calendar-month pattern (Aug/23-Jul/26).</t>
        </is>
      </c>
    </row>
    <row r="28">
      <c r="A28" t="inlineStr">
        <is>
          <t>Louisiana not-forecast projects as illustrative sensitivity layers</t>
        </is>
      </c>
      <c r="B28" t="inlineStr">
        <is>
          <t>4 of 6 stacked</t>
        </is>
      </c>
      <c r="C28" t="inlineStr">
        <is>
          <t>projects</t>
        </is>
      </c>
      <c r="D28" t="inlineStr">
        <is>
          <t>ASSUMPTION</t>
        </is>
      </c>
      <c r="F28" t="inlineStr">
        <is>
          <t>Nameplate from the train table (EIA 2026 Q2 'Approved' tab); first-LNG month = ILLUSTRATIVE ASSUMPTION (default 2031-01, editable on 'Assump - LA sensitivity'); not a forecast. Projects without a sourced nameplate are listed but not stacked.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14" customWidth="1" min="3" max="3"/>
    <col width="14" customWidth="1" min="4" max="4"/>
    <col width="13" customWidth="1" min="5" max="5"/>
    <col width="9" customWidth="1" min="6" max="6"/>
    <col width="12" customWidth="1" min="7" max="7"/>
    <col width="11" customWidth="1" min="8" max="8"/>
    <col width="14" customWidth="1" min="9" max="9"/>
    <col width="30" customWidth="1" min="10" max="10"/>
    <col width="150" customWidth="1" min="11" max="11"/>
  </cols>
  <sheetData>
    <row r="1">
      <c r="A1" s="3" t="inlineStr">
        <is>
          <t>Plant</t>
        </is>
      </c>
      <c r="B1" s="3" t="inlineStr">
        <is>
          <t>Train</t>
        </is>
      </c>
      <c r="C1" s="3" t="inlineStr">
        <is>
          <t>EIA peak nameplate, Bcf/d LNG</t>
        </is>
      </c>
      <c r="D1" s="3" t="inlineStr">
        <is>
          <t>Feedgas nameplate, Bcf/d (peak x 1.09)</t>
        </is>
      </c>
      <c r="E1" s="3" t="inlineStr">
        <is>
          <t>First-LNG month</t>
        </is>
      </c>
      <c r="F1" s="3" t="inlineStr">
        <is>
          <t>Ramp months</t>
        </is>
      </c>
      <c r="G1" s="3" t="inlineStr">
        <is>
          <t>Ramp-start utilisation</t>
        </is>
      </c>
      <c r="H1" s="3" t="inlineStr">
        <is>
          <t>Steady utilisation</t>
        </is>
      </c>
      <c r="I1" s="3" t="inlineStr">
        <is>
          <t>Date status</t>
        </is>
      </c>
      <c r="J1" s="3" t="inlineStr">
        <is>
          <t>In forecast</t>
        </is>
      </c>
      <c r="K1" s="3" t="inlineStr">
        <is>
          <t>Source / note</t>
        </is>
      </c>
    </row>
    <row r="2">
      <c r="A2" t="inlineStr">
        <is>
          <t>CP2 (Venture Global)</t>
        </is>
      </c>
      <c r="B2" t="inlineStr">
        <is>
          <t>Phase 1, Trains 1-26</t>
        </is>
      </c>
      <c r="C2" s="5" t="n">
        <v>2.86</v>
      </c>
      <c r="D2" t="n">
        <v>3.1174</v>
      </c>
      <c r="E2" s="6" t="n">
        <v>46661</v>
      </c>
      <c r="F2" s="5" t="n">
        <v>12</v>
      </c>
      <c r="G2" s="5" t="n">
        <v>0.15</v>
      </c>
      <c r="H2" s="5" t="n">
        <v>0.95</v>
      </c>
      <c r="I2" s="5" t="inlineStr">
        <is>
          <t>SOURCED</t>
        </is>
      </c>
      <c r="J2" t="inlineStr">
        <is>
          <t>yes</t>
        </is>
      </c>
      <c r="K2" t="inlineStr">
        <is>
          <t>EIA 2026 Q2 file: under construction, in service 2H2027 (month = mid-half, ASSUMED); ramp 12 months ASSUMED (Plaquemines took ~1 year from first LNG to full output; EIA 1 Sep 2026: exporting at full capacity)</t>
        </is>
      </c>
    </row>
    <row r="3">
      <c r="A3" t="inlineStr">
        <is>
          <t>CP2 (Venture Global)</t>
        </is>
      </c>
      <c r="B3" t="inlineStr">
        <is>
          <t>Phase 2, Trains 27-36</t>
        </is>
      </c>
      <c r="C3" s="5" t="n">
        <v>1.1</v>
      </c>
      <c r="D3" t="n">
        <v>1.199</v>
      </c>
      <c r="E3" s="6" t="n">
        <v>47209</v>
      </c>
      <c r="F3" s="5" t="n">
        <v>8</v>
      </c>
      <c r="G3" s="5" t="n">
        <v>0.15</v>
      </c>
      <c r="H3" s="5" t="n">
        <v>0.95</v>
      </c>
      <c r="I3" s="5" t="inlineStr">
        <is>
          <t>SOURCED</t>
        </is>
      </c>
      <c r="J3" t="inlineStr">
        <is>
          <t>yes</t>
        </is>
      </c>
      <c r="K3" t="inlineStr">
        <is>
          <t>EIA 2026 Q2 file: under construction, 1H2029 (month = mid-half, ASSUMED); ramp ASSUMED</t>
        </is>
      </c>
    </row>
    <row r="4">
      <c r="A4" t="inlineStr">
        <is>
          <t>Woodside Louisiana LNG</t>
        </is>
      </c>
      <c r="B4" t="inlineStr">
        <is>
          <t>Phase 1, Trains 1-3</t>
        </is>
      </c>
      <c r="C4" s="5" t="n">
        <v>2.326520547945205</v>
      </c>
      <c r="D4" t="n">
        <v>2.535907397260274</v>
      </c>
      <c r="E4" s="6" t="n">
        <v>47300</v>
      </c>
      <c r="F4" s="5" t="n">
        <v>18</v>
      </c>
      <c r="G4" s="5" t="n">
        <v>0.1</v>
      </c>
      <c r="H4" s="5" t="n">
        <v>0.95</v>
      </c>
      <c r="I4" s="5" t="inlineStr">
        <is>
          <t>SOURCED</t>
        </is>
      </c>
      <c r="J4" t="inlineStr">
        <is>
          <t>yes</t>
        </is>
      </c>
      <c r="K4" t="inlineStr">
        <is>
          <t>EIA 2026 Q2 file: under construction, 2029 (month = mid-year, ASSUMED); three trains staggered, ramp 18 months ASSUMED (a search snippet of Woodside's Q2 2026 report says first LNG 2029, 28% complete - not opened)</t>
        </is>
      </c>
    </row>
    <row r="5">
      <c r="A5" t="inlineStr">
        <is>
          <t>Commonwealth LNG</t>
        </is>
      </c>
      <c r="B5" t="inlineStr">
        <is>
          <t>Trains 1-6</t>
        </is>
      </c>
      <c r="C5" s="5" t="n">
        <v>1.184526315789474</v>
      </c>
      <c r="D5" t="n">
        <v>1.291133684210527</v>
      </c>
      <c r="E5" s="6" t="n">
        <v>47665</v>
      </c>
      <c r="F5" s="5" t="n">
        <v>12</v>
      </c>
      <c r="G5" s="5" t="n">
        <v>0.1</v>
      </c>
      <c r="H5" s="5" t="n">
        <v>0.95</v>
      </c>
      <c r="I5" s="5" t="inlineStr">
        <is>
          <t>SOURCED</t>
        </is>
      </c>
      <c r="J5" t="inlineStr">
        <is>
          <t>yes</t>
        </is>
      </c>
      <c r="K5" t="inlineStr">
        <is>
          <t>EIA 2026 Q2 file: under construction, 2030 (month = mid-year, ASSUMED); six trains, ramp 12 months ASSUMED</t>
        </is>
      </c>
    </row>
    <row r="6">
      <c r="A6" t="inlineStr">
        <is>
          <t>Delfin FLNG</t>
        </is>
      </c>
      <c r="B6" t="inlineStr">
        <is>
          <t>Vessel 1</t>
        </is>
      </c>
      <c r="C6" s="5" t="n">
        <v>0.6</v>
      </c>
      <c r="D6" t="n">
        <v>0.654</v>
      </c>
      <c r="E6" s="6" t="n">
        <v>47665</v>
      </c>
      <c r="F6" s="5" t="n">
        <v>4</v>
      </c>
      <c r="G6" s="5" t="n">
        <v>0.3</v>
      </c>
      <c r="H6" s="5" t="n">
        <v>0.95</v>
      </c>
      <c r="I6" s="5" t="inlineStr">
        <is>
          <t>SOURCED</t>
        </is>
      </c>
      <c r="J6" t="inlineStr">
        <is>
          <t>yes</t>
        </is>
      </c>
      <c r="K6" t="inlineStr">
        <is>
          <t>EIA 2026 Q2 file: under construction, 2030 (month = mid-year, ASSUMED); floating vessel; DOE extended its start deadline to 1 Jun 2031</t>
        </is>
      </c>
    </row>
    <row r="7">
      <c r="A7" t="inlineStr">
        <is>
          <t>Cameron LNG</t>
        </is>
      </c>
      <c r="B7" t="inlineStr">
        <is>
          <t>Train 4</t>
        </is>
      </c>
      <c r="C7" s="5" t="n">
        <v>0.96</v>
      </c>
      <c r="D7" t="n">
        <v>1.0464</v>
      </c>
      <c r="E7" s="6" t="inlineStr"/>
      <c r="F7" s="5" t="n">
        <v>8</v>
      </c>
      <c r="G7" s="5" t="n">
        <v>0.15</v>
      </c>
      <c r="H7" s="5" t="n">
        <v>0.95</v>
      </c>
      <c r="I7" s="5" t="inlineStr">
        <is>
          <t>UNVERIFIED</t>
        </is>
      </c>
      <c r="J7" t="inlineStr">
        <is>
          <t>no (no sourced date / pre-FID)</t>
        </is>
      </c>
      <c r="K7" t="inlineStr">
        <is>
          <t>EIA 2026 Q2 'Approved' tab: new single larger train, EPC awarded to Bechtel, FID TBA; DOE start deadline Mar 2033. No date -&gt; not in the forecast</t>
        </is>
      </c>
    </row>
    <row r="8">
      <c r="A8" t="inlineStr">
        <is>
          <t>Woodside Louisiana LNG</t>
        </is>
      </c>
      <c r="B8" t="inlineStr">
        <is>
          <t>Phase 2, Trains 4-5</t>
        </is>
      </c>
      <c r="C8" s="5" t="n">
        <v>1.4542250958</v>
      </c>
      <c r="D8" t="n">
        <v>1.585105354422</v>
      </c>
      <c r="E8" s="6" t="inlineStr"/>
      <c r="F8" s="5" t="n">
        <v>12</v>
      </c>
      <c r="G8" s="5" t="n">
        <v>0.1</v>
      </c>
      <c r="H8" s="5" t="n">
        <v>0.95</v>
      </c>
      <c r="I8" s="5" t="inlineStr">
        <is>
          <t>UNVERIFIED</t>
        </is>
      </c>
      <c r="J8" t="inlineStr">
        <is>
          <t>no (no sourced date / pre-FID)</t>
        </is>
      </c>
      <c r="K8" t="inlineStr">
        <is>
          <t>EIA 2026 Q2 'Approved' tab: limited notice to proceed, FID TBA. No date -&gt; not in the forecast</t>
        </is>
      </c>
    </row>
    <row r="9">
      <c r="A9" t="inlineStr">
        <is>
          <t>Lake Charles LNG (Energy Transfer)</t>
        </is>
      </c>
      <c r="B9" t="inlineStr">
        <is>
          <t>Trains 1-3</t>
        </is>
      </c>
      <c r="C9" s="5" t="n">
        <v>2.173434246575343</v>
      </c>
      <c r="D9" t="n">
        <v>2.369043328767124</v>
      </c>
      <c r="E9" s="6" t="inlineStr"/>
      <c r="F9" s="5" t="n">
        <v>12</v>
      </c>
      <c r="G9" s="5" t="n">
        <v>0.1</v>
      </c>
      <c r="H9" s="5" t="n">
        <v>0.95</v>
      </c>
      <c r="I9" s="5" t="inlineStr">
        <is>
          <t>UNVERIFIED</t>
        </is>
      </c>
      <c r="J9" t="inlineStr">
        <is>
          <t>no (no sourced date / pre-FID)</t>
        </is>
      </c>
      <c r="K9" t="inlineStr">
        <is>
          <t>EIA 2026 Q2 'Approved' tab: Energy Transfer announced on 18 Dec 2025 it suspended development (open to third parties). No date -&gt; not in the forecast</t>
        </is>
      </c>
    </row>
    <row r="10">
      <c r="A10" t="inlineStr">
        <is>
          <t>Delfin FLNG</t>
        </is>
      </c>
      <c r="B10" t="inlineStr">
        <is>
          <t>Vessels 2-3</t>
        </is>
      </c>
      <c r="C10" s="5" t="n">
        <v>1.0533333333</v>
      </c>
      <c r="D10" t="n">
        <v>1.148133333297</v>
      </c>
      <c r="E10" s="6" t="inlineStr"/>
      <c r="F10" s="5" t="n">
        <v>4</v>
      </c>
      <c r="G10" s="5" t="n">
        <v>0.3</v>
      </c>
      <c r="H10" s="5" t="n">
        <v>0.95</v>
      </c>
      <c r="I10" s="5" t="inlineStr">
        <is>
          <t>UNVERIFIED</t>
        </is>
      </c>
      <c r="J10" t="inlineStr">
        <is>
          <t>no (no sourced date / pre-FID)</t>
        </is>
      </c>
      <c r="K10" t="inlineStr">
        <is>
          <t>EIA 2026 Q2 'Approved' tab: EPC awarded to Samsung Heavy / Black &amp; Veatch, FID TBA. No date -&gt; not in the forecast</t>
        </is>
      </c>
    </row>
    <row r="11">
      <c r="A11" t="inlineStr">
        <is>
          <t>Sabine Pass Stage 5 (Cheniere)</t>
        </is>
      </c>
      <c r="B11" t="inlineStr">
        <is>
          <t>Expansion</t>
        </is>
      </c>
      <c r="C11" s="5" t="inlineStr"/>
      <c r="E11" s="6" t="inlineStr"/>
      <c r="F11" s="5" t="n">
        <v>12</v>
      </c>
      <c r="G11" s="5" t="n">
        <v>0.1</v>
      </c>
      <c r="H11" s="5" t="n">
        <v>0.95</v>
      </c>
      <c r="I11" s="5" t="inlineStr">
        <is>
          <t>UNVERIFIED</t>
        </is>
      </c>
      <c r="J11" t="inlineStr">
        <is>
          <t>no (no sourced date / pre-FID)</t>
        </is>
      </c>
      <c r="K11" t="inlineStr">
        <is>
          <t>FERC page (opened 5 Oct 2026): FERC staff issued the final EIS on 25 Sep 2026. Not in EIA's 2026 Q2 file; capacity, FID and dates not found -&gt; not in the forecast</t>
        </is>
      </c>
    </row>
    <row r="12">
      <c r="A12" t="inlineStr">
        <is>
          <t>Plaquemines expansion (Venture Global)</t>
        </is>
      </c>
      <c r="B12" t="inlineStr">
        <is>
          <t>Expansion</t>
        </is>
      </c>
      <c r="C12" s="5" t="inlineStr"/>
      <c r="E12" s="6" t="inlineStr"/>
      <c r="F12" s="5" t="n">
        <v>12</v>
      </c>
      <c r="G12" s="5" t="n">
        <v>0.1</v>
      </c>
      <c r="H12" s="5" t="n">
        <v>0.95</v>
      </c>
      <c r="I12" s="5" t="inlineStr">
        <is>
          <t>UNVERIFIED</t>
        </is>
      </c>
      <c r="J12" t="inlineStr">
        <is>
          <t>no (no sourced date / pre-FID)</t>
        </is>
      </c>
      <c r="K12" t="inlineStr">
        <is>
          <t>Venture Global site (opened 5 Oct 2026): 'additional plans for expansion'. Not in EIA's file; no capacity or dates -&gt; not in the forecast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4" customWidth="1" min="3" max="3"/>
    <col width="14" customWidth="1" min="4" max="4"/>
    <col width="9" customWidth="1" min="5" max="5"/>
    <col width="12" customWidth="1" min="6" max="6"/>
    <col width="11" customWidth="1" min="7" max="7"/>
    <col width="40" customWidth="1" min="8" max="8"/>
    <col width="36" customWidth="1" min="9" max="9"/>
    <col width="60" customWidth="1" min="10" max="10"/>
    <col width="150" customWidth="1" min="11" max="11"/>
  </cols>
  <sheetData>
    <row r="1">
      <c r="A1" s="3" t="inlineStr">
        <is>
          <t>Project</t>
        </is>
      </c>
      <c r="B1" s="3" t="inlineStr">
        <is>
          <t>EIA peak nameplate, Bcf/d LNG</t>
        </is>
      </c>
      <c r="C1" s="3" t="inlineStr">
        <is>
          <t>Feedgas nameplate, Bcf/d (peak x 1.09)</t>
        </is>
      </c>
      <c r="D1" s="3" t="inlineStr">
        <is>
          <t>Illustrative first-LNG month</t>
        </is>
      </c>
      <c r="E1" s="3" t="inlineStr">
        <is>
          <t>Ramp months</t>
        </is>
      </c>
      <c r="F1" s="3" t="inlineStr">
        <is>
          <t>Ramp-start utilisation</t>
        </is>
      </c>
      <c r="G1" s="3" t="inlineStr">
        <is>
          <t>Steady utilisation</t>
        </is>
      </c>
      <c r="H1" s="3" t="inlineStr">
        <is>
          <t>Status of the date</t>
        </is>
      </c>
      <c r="I1" s="3" t="inlineStr">
        <is>
          <t>Stacked on the charts</t>
        </is>
      </c>
      <c r="J1" s="3" t="inlineStr">
        <is>
          <t>Flag</t>
        </is>
      </c>
      <c r="K1" s="3" t="inlineStr">
        <is>
          <t>Source of the nameplate / note</t>
        </is>
      </c>
    </row>
    <row r="2">
      <c r="A2" t="inlineStr">
        <is>
          <t>Cameron LNG Train 4</t>
        </is>
      </c>
      <c r="B2" t="n">
        <v>0.96</v>
      </c>
      <c r="C2" t="n">
        <v>1.0464</v>
      </c>
      <c r="D2" s="6" t="n">
        <v>47849</v>
      </c>
      <c r="E2" t="n">
        <v>8</v>
      </c>
      <c r="F2" t="n">
        <v>0.15</v>
      </c>
      <c r="G2" t="n">
        <v>0.95</v>
      </c>
      <c r="H2" t="inlineStr">
        <is>
          <t>ASSUMPTION - illustrative scenario date, NOT a forecast</t>
        </is>
      </c>
      <c r="I2" t="inlineStr">
        <is>
          <t>yes</t>
        </is>
      </c>
      <c r="K2" t="inlineStr">
        <is>
          <t>EIA 2026 Q2 'Approved' tab: new single larger train, EPC awarded to Bechtel, FID TBA; DOE start deadline Mar 2033. No date -&gt; not in the forecast</t>
        </is>
      </c>
    </row>
    <row r="3">
      <c r="A3" t="inlineStr">
        <is>
          <t>Woodside Louisiana LNG Phase 2</t>
        </is>
      </c>
      <c r="B3" t="n">
        <v>1.4542250958</v>
      </c>
      <c r="C3" t="n">
        <v>1.585105354422</v>
      </c>
      <c r="D3" s="6" t="n">
        <v>47849</v>
      </c>
      <c r="E3" t="n">
        <v>12</v>
      </c>
      <c r="F3" t="n">
        <v>0.1</v>
      </c>
      <c r="G3" t="n">
        <v>0.95</v>
      </c>
      <c r="H3" t="inlineStr">
        <is>
          <t>ASSUMPTION - illustrative scenario date, NOT a forecast</t>
        </is>
      </c>
      <c r="I3" t="inlineStr">
        <is>
          <t>yes</t>
        </is>
      </c>
      <c r="K3" t="inlineStr">
        <is>
          <t>EIA 2026 Q2 'Approved' tab: limited notice to proceed, FID TBA. No date -&gt; not in the forecast</t>
        </is>
      </c>
    </row>
    <row r="4">
      <c r="A4" t="inlineStr">
        <is>
          <t>Lake Charles LNG (SUSPENDED)</t>
        </is>
      </c>
      <c r="B4" t="n">
        <v>2.173434246575343</v>
      </c>
      <c r="C4" t="n">
        <v>2.369043328767124</v>
      </c>
      <c r="D4" s="6" t="n">
        <v>47849</v>
      </c>
      <c r="E4" t="n">
        <v>12</v>
      </c>
      <c r="F4" t="n">
        <v>0.1</v>
      </c>
      <c r="G4" t="n">
        <v>0.95</v>
      </c>
      <c r="H4" t="inlineStr">
        <is>
          <t>ASSUMPTION - illustrative scenario date, NOT a forecast</t>
        </is>
      </c>
      <c r="I4" t="inlineStr">
        <is>
          <t>yes</t>
        </is>
      </c>
      <c r="J4" t="inlineStr">
        <is>
          <t>Energy Transfer announced on 18 Dec 2025 that it suspended development; included only as an illustration</t>
        </is>
      </c>
      <c r="K4" t="inlineStr">
        <is>
          <t>EIA 2026 Q2 'Approved' tab: Energy Transfer announced on 18 Dec 2025 it suspended development (open to third parties). No date -&gt; not in the forecast</t>
        </is>
      </c>
    </row>
    <row r="5">
      <c r="A5" t="inlineStr">
        <is>
          <t>Delfin FLNG vessels 2-3</t>
        </is>
      </c>
      <c r="B5" t="n">
        <v>1.0533333333</v>
      </c>
      <c r="C5" t="n">
        <v>1.148133333297</v>
      </c>
      <c r="D5" s="6" t="n">
        <v>47849</v>
      </c>
      <c r="E5" t="n">
        <v>4</v>
      </c>
      <c r="F5" t="n">
        <v>0.3</v>
      </c>
      <c r="G5" t="n">
        <v>0.95</v>
      </c>
      <c r="H5" t="inlineStr">
        <is>
          <t>ASSUMPTION - illustrative scenario date, NOT a forecast</t>
        </is>
      </c>
      <c r="I5" t="inlineStr">
        <is>
          <t>yes</t>
        </is>
      </c>
      <c r="K5" t="inlineStr">
        <is>
          <t>EIA 2026 Q2 'Approved' tab: EPC awarded to Samsung Heavy / Black &amp; Veatch, FID TBA. No date -&gt; not in the forecast</t>
        </is>
      </c>
    </row>
    <row r="6">
      <c r="A6" t="inlineStr">
        <is>
          <t>Sabine Pass Stage 5 (Cheniere)</t>
        </is>
      </c>
      <c r="D6" s="6" t="n">
        <v>47849</v>
      </c>
      <c r="E6" t="n">
        <v>12</v>
      </c>
      <c r="F6" t="n">
        <v>0.1</v>
      </c>
      <c r="G6" t="n">
        <v>0.95</v>
      </c>
      <c r="H6" t="inlineStr">
        <is>
          <t>ASSUMPTION - illustrative scenario date, NOT a forecast</t>
        </is>
      </c>
      <c r="I6" t="inlineStr">
        <is>
          <t>no - no sourced nameplate</t>
        </is>
      </c>
      <c r="K6" t="inlineStr">
        <is>
          <t>FERC page (opened 5 Oct 2026): FERC staff issued the final EIS on 25 Sep 2026. Not in EIA's 2026 Q2 file; capacity, FID and dates not found -&gt; not in the forecast</t>
        </is>
      </c>
    </row>
    <row r="7">
      <c r="A7" t="inlineStr">
        <is>
          <t>Plaquemines expansion (Venture Global)</t>
        </is>
      </c>
      <c r="D7" s="6" t="n">
        <v>47849</v>
      </c>
      <c r="E7" t="n">
        <v>12</v>
      </c>
      <c r="F7" t="n">
        <v>0.1</v>
      </c>
      <c r="G7" t="n">
        <v>0.95</v>
      </c>
      <c r="H7" t="inlineStr">
        <is>
          <t>ASSUMPTION - illustrative scenario date, NOT a forecast</t>
        </is>
      </c>
      <c r="I7" t="inlineStr">
        <is>
          <t>no - no sourced nameplate</t>
        </is>
      </c>
      <c r="K7" t="inlineStr">
        <is>
          <t>Venture Global site (opened 5 Oct 2026): 'additional plans for expansion'. Not in EIA's file; no capacity or dates -&gt; not in the forecast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Plant</t>
        </is>
      </c>
      <c r="B1" t="inlineStr">
        <is>
          <t>Peak nameplate, Bcf/d LNG (EIA)</t>
        </is>
      </c>
      <c r="C1" t="inlineStr">
        <is>
          <t>Feedgas nameplate, Bcf/d</t>
        </is>
      </c>
      <c r="D1" t="inlineStr">
        <is>
          <t>Source</t>
        </is>
      </c>
      <c r="E1" t="inlineStr">
        <is>
          <t>Utilisation Jan</t>
        </is>
      </c>
      <c r="F1" t="inlineStr">
        <is>
          <t>Utilisation Feb</t>
        </is>
      </c>
      <c r="G1" t="inlineStr">
        <is>
          <t>Utilisation Mar</t>
        </is>
      </c>
      <c r="H1" t="inlineStr">
        <is>
          <t>Utilisation Apr</t>
        </is>
      </c>
      <c r="I1" t="inlineStr">
        <is>
          <t>Utilisation May</t>
        </is>
      </c>
      <c r="J1" t="inlineStr">
        <is>
          <t>Utilisation Jun</t>
        </is>
      </c>
      <c r="K1" t="inlineStr">
        <is>
          <t>Utilisation Jul</t>
        </is>
      </c>
      <c r="L1" t="inlineStr">
        <is>
          <t>Utilisation Aug</t>
        </is>
      </c>
      <c r="M1" t="inlineStr">
        <is>
          <t>Utilisation Sep</t>
        </is>
      </c>
      <c r="N1" t="inlineStr">
        <is>
          <t>Utilisation Oct</t>
        </is>
      </c>
      <c r="O1" t="inlineStr">
        <is>
          <t>Utilisation Nov</t>
        </is>
      </c>
      <c r="P1" t="inlineStr">
        <is>
          <t>Utilisation Dec</t>
        </is>
      </c>
    </row>
    <row r="2">
      <c r="A2" t="inlineStr">
        <is>
          <t>Sabine Pass</t>
        </is>
      </c>
      <c r="B2" t="n">
        <v>4.553260273972603</v>
      </c>
      <c r="C2" t="n">
        <v>4.963053698630137</v>
      </c>
      <c r="D2" t="inlineStr">
        <is>
          <t>6 trains x 0.759 Bcf/d peak (EIA 2026 Q2); EIA Today in Energy 15 Sep 2026: 3.6 nominal / 4.6 peak</t>
        </is>
      </c>
      <c r="E2" t="n">
        <v>0.9607832942044232</v>
      </c>
      <c r="F2" t="n">
        <v>0.9612095885378574</v>
      </c>
      <c r="G2" t="n">
        <v>0.9582740637796267</v>
      </c>
      <c r="H2" t="n">
        <v>0.9297825865336892</v>
      </c>
      <c r="I2" t="n">
        <v>0.8704840233353403</v>
      </c>
      <c r="J2" t="n">
        <v>0.8183426854473265</v>
      </c>
      <c r="K2" t="n">
        <v>0.8213210743625913</v>
      </c>
      <c r="L2" t="n">
        <v>0.8440546370690074</v>
      </c>
      <c r="M2" t="n">
        <v>0.869674685580349</v>
      </c>
      <c r="N2" t="n">
        <v>0.9142039859989167</v>
      </c>
      <c r="O2" t="n">
        <v>0.9504472468867947</v>
      </c>
      <c r="P2" t="n">
        <v>0.9633909045623281</v>
      </c>
    </row>
    <row r="3">
      <c r="A3" t="inlineStr">
        <is>
          <t>Cameron</t>
        </is>
      </c>
      <c r="B3" t="n">
        <v>1.98</v>
      </c>
      <c r="C3" t="n">
        <v>2.1582</v>
      </c>
      <c r="D3" t="inlineStr">
        <is>
          <t>3 trains x 0.66 Bcf/d peak (EIA 2026 Q2)</t>
        </is>
      </c>
      <c r="E3" t="n">
        <v>1.049295973333098</v>
      </c>
      <c r="F3" t="n">
        <v>1.033540898550631</v>
      </c>
      <c r="G3" t="n">
        <v>1.004663628378172</v>
      </c>
      <c r="H3" t="n">
        <v>0.9068632562180947</v>
      </c>
      <c r="I3" t="n">
        <v>0.8108397143477788</v>
      </c>
      <c r="J3" t="n">
        <v>0.8343936678614098</v>
      </c>
      <c r="K3" t="n">
        <v>0.8715820842836972</v>
      </c>
      <c r="L3" t="n">
        <v>0.8652670069874371</v>
      </c>
      <c r="M3" t="n">
        <v>0.8836444191014083</v>
      </c>
      <c r="N3" t="n">
        <v>0.9263625049780964</v>
      </c>
      <c r="O3" t="n">
        <v>0.9945014662756597</v>
      </c>
      <c r="P3" t="n">
        <v>1.048099951124145</v>
      </c>
    </row>
    <row r="4">
      <c r="A4" t="inlineStr">
        <is>
          <t>Calcasieu Pass</t>
        </is>
      </c>
      <c r="B4" t="n">
        <v>1.580679452054794</v>
      </c>
      <c r="C4" t="n">
        <v>1.722940602739726</v>
      </c>
      <c r="D4" t="inlineStr">
        <is>
          <t>2 train groups x 0.790 Bcf/d peak (EIA 2026 Q2)</t>
        </is>
      </c>
      <c r="E4" t="n">
        <v>0.9279286939728547</v>
      </c>
      <c r="F4" t="n">
        <v>0.9349709032167601</v>
      </c>
      <c r="G4" t="n">
        <v>0.9401530886388617</v>
      </c>
      <c r="H4" t="n">
        <v>0.9312454436735358</v>
      </c>
      <c r="I4" t="n">
        <v>0.9176665432449973</v>
      </c>
      <c r="J4" t="n">
        <v>0.9030927664402796</v>
      </c>
      <c r="K4" t="n">
        <v>0.8603912551718507</v>
      </c>
      <c r="L4" t="n">
        <v>0.8120692025710224</v>
      </c>
      <c r="M4" t="n">
        <v>0.8021273264149111</v>
      </c>
      <c r="N4" t="n">
        <v>0.8339237738059944</v>
      </c>
      <c r="O4" t="n">
        <v>0.8923701532533461</v>
      </c>
      <c r="P4" t="n">
        <v>0.9253349709892295</v>
      </c>
    </row>
    <row r="5">
      <c r="A5" t="inlineStr">
        <is>
          <t>Plaquemines</t>
        </is>
      </c>
      <c r="B5" t="n">
        <v>3.85</v>
      </c>
      <c r="C5" t="n">
        <v>4.1965</v>
      </c>
      <c r="D5" t="inlineStr">
        <is>
          <t>Phase 1 1.89 + Phase 2 1.96 Bcf/d peak (EIA 2026 Q2; Venture Global: peak &gt; 28 MTPA once complete)</t>
        </is>
      </c>
      <c r="E5" t="n">
        <v>0.9939877124857875</v>
      </c>
      <c r="F5" t="n">
        <v>0.9917129999503369</v>
      </c>
      <c r="G5" t="n">
        <v>0.9838866985843258</v>
      </c>
      <c r="H5" t="n">
        <v>0.9415300175259508</v>
      </c>
      <c r="I5" t="n">
        <v>0.881081326983113</v>
      </c>
      <c r="J5" t="n">
        <v>0.854243897581544</v>
      </c>
      <c r="K5" t="n">
        <v>0.8567162387560818</v>
      </c>
      <c r="L5" t="n">
        <v>0.8585521083294545</v>
      </c>
      <c r="M5" t="n">
        <v>0.8757891858797668</v>
      </c>
      <c r="N5" t="n">
        <v>0.9181636046913165</v>
      </c>
      <c r="O5" t="n">
        <v>0.9674076248762238</v>
      </c>
      <c r="P5" t="n">
        <v>0.9946661594866962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15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ht="75" customHeight="1">
      <c r="A1" s="7" t="inlineStr">
        <is>
          <t>Month</t>
        </is>
      </c>
      <c r="B1" s="7" t="inlineStr">
        <is>
          <t>Type</t>
        </is>
      </c>
      <c r="C1" s="7" t="inlineStr">
        <is>
          <t>Electric power</t>
        </is>
      </c>
      <c r="D1" s="7" t="inlineStr">
        <is>
          <t>Industrial</t>
        </is>
      </c>
      <c r="E1" s="7" t="inlineStr">
        <is>
          <t>Residential</t>
        </is>
      </c>
      <c r="F1" s="7" t="inlineStr">
        <is>
          <t>Commercial</t>
        </is>
      </c>
      <c r="G1" s="7" t="inlineStr">
        <is>
          <t>Vehicle fuel</t>
        </is>
      </c>
      <c r="H1" s="7" t="inlineStr">
        <is>
          <t>Pipeline exports to Mexico</t>
        </is>
      </c>
      <c r="I1" s="7" t="inlineStr">
        <is>
          <t>Data centres (BASE added gas burn)</t>
        </is>
      </c>
      <c r="J1" s="7" t="inlineStr">
        <is>
          <t>LNG feedgas (base)</t>
        </is>
      </c>
      <c r="K1" s="7" t="inlineStr">
        <is>
          <t>LNG feedgas (delayed)</t>
        </is>
      </c>
      <c r="L1" s="7" t="inlineStr">
        <is>
          <t>Dry production, base</t>
        </is>
      </c>
      <c r="M1" s="7" t="inlineStr">
        <is>
          <t>Dry production, takeaway delayed</t>
        </is>
      </c>
      <c r="N1" s="7" t="inlineStr">
        <is>
          <t>Storage injection (demand)</t>
        </is>
      </c>
      <c r="O1" s="7" t="inlineStr">
        <is>
          <t>Storage withdrawal (supply)</t>
        </is>
      </c>
      <c r="P1" s="7" t="inlineStr">
        <is>
          <t>Storage basis</t>
        </is>
      </c>
      <c r="Q1" s="7" t="inlineStr">
        <is>
          <t>Residential, commercial, vehicle fuel</t>
        </is>
      </c>
      <c r="R1" s="7" t="inlineStr">
        <is>
          <t>Demand excl. LNG</t>
        </is>
      </c>
      <c r="S1" s="7" t="inlineStr">
        <is>
          <t>Demand incl. LNG, base</t>
        </is>
      </c>
      <c r="T1" s="7" t="inlineStr">
        <is>
          <t>Demand incl. LNG, LNG delayed</t>
        </is>
      </c>
      <c r="U1" s="7" t="inlineStr">
        <is>
          <t>Implied net outflow before storage, base</t>
        </is>
      </c>
      <c r="V1" s="7" t="inlineStr">
        <is>
          <t>Implied net outflow before storage, delayed</t>
        </is>
      </c>
      <c r="W1" s="7" t="inlineStr">
        <is>
          <t>Dry production + storage withdrawal, base</t>
        </is>
      </c>
      <c r="X1" s="7" t="inlineStr">
        <is>
          <t>Dry production + storage withdrawal, takeaway delayed</t>
        </is>
      </c>
      <c r="Y1" s="7" t="inlineStr">
        <is>
          <t>Implied net outflow, base</t>
        </is>
      </c>
      <c r="Z1" s="7" t="inlineStr">
        <is>
          <t>Implied net outflow, delayed</t>
        </is>
      </c>
    </row>
    <row r="2">
      <c r="A2" s="8" t="n">
        <v>44197</v>
      </c>
      <c r="B2" t="inlineStr">
        <is>
          <t>Actual</t>
        </is>
      </c>
      <c r="C2" t="n">
        <v>3.671612903225806</v>
      </c>
      <c r="D2" t="n">
        <v>5.748096774193549</v>
      </c>
      <c r="E2" t="n">
        <v>1.457193548387097</v>
      </c>
      <c r="F2" t="n">
        <v>0.7947741935483871</v>
      </c>
      <c r="G2" t="n">
        <v>0.002580645161290323</v>
      </c>
      <c r="H2" t="n">
        <v>2.552483870967742</v>
      </c>
      <c r="I2" t="n">
        <v>0</v>
      </c>
      <c r="J2" t="n">
        <v>4.16024870967742</v>
      </c>
      <c r="K2" t="n">
        <v>4.16024870967742</v>
      </c>
      <c r="L2" t="n">
        <v>22.10383870967742</v>
      </c>
      <c r="M2" t="n">
        <v>22.10383870967742</v>
      </c>
      <c r="N2" t="n">
        <v>0.5196451612903226</v>
      </c>
      <c r="O2" t="n">
        <v>2.56</v>
      </c>
      <c r="P2" t="inlineStr">
        <is>
          <t>EIA</t>
        </is>
      </c>
      <c r="Q2" t="n">
        <v>2.254548387096774</v>
      </c>
      <c r="R2" t="n">
        <v>14.22674193548387</v>
      </c>
      <c r="S2" t="n">
        <v>18.38699064516129</v>
      </c>
      <c r="T2" t="n">
        <v>18.38699064516129</v>
      </c>
      <c r="U2" t="n">
        <v>3.716848064516128</v>
      </c>
      <c r="V2" t="n">
        <v>3.716848064516128</v>
      </c>
      <c r="W2" t="n">
        <v>24.66383870967742</v>
      </c>
      <c r="X2" t="n">
        <v>24.66383870967742</v>
      </c>
      <c r="Y2" t="n">
        <v>5.757202903225805</v>
      </c>
      <c r="Z2" t="n">
        <v>5.757202903225805</v>
      </c>
    </row>
    <row r="3">
      <c r="A3" s="8" t="n">
        <v>44228</v>
      </c>
      <c r="B3" t="inlineStr">
        <is>
          <t>Actual</t>
        </is>
      </c>
      <c r="C3" t="n">
        <v>4.4955</v>
      </c>
      <c r="D3" t="n">
        <v>4.749571428571429</v>
      </c>
      <c r="E3" t="n">
        <v>1.7995</v>
      </c>
      <c r="F3" t="n">
        <v>0.9247857142857143</v>
      </c>
      <c r="G3" t="n">
        <v>0.002571428571428572</v>
      </c>
      <c r="H3" t="n">
        <v>2.252428571428571</v>
      </c>
      <c r="I3" t="n">
        <v>0</v>
      </c>
      <c r="J3" t="n">
        <v>2.483681785714286</v>
      </c>
      <c r="K3" t="n">
        <v>2.483681785714286</v>
      </c>
      <c r="L3" t="n">
        <v>18.401</v>
      </c>
      <c r="M3" t="n">
        <v>18.401</v>
      </c>
      <c r="N3" t="n">
        <v>1.272107142857143</v>
      </c>
      <c r="O3" t="n">
        <v>4.41275</v>
      </c>
      <c r="P3" t="inlineStr">
        <is>
          <t>EIA</t>
        </is>
      </c>
      <c r="Q3" t="n">
        <v>2.726857142857143</v>
      </c>
      <c r="R3" t="n">
        <v>14.22435714285714</v>
      </c>
      <c r="S3" t="n">
        <v>16.70803892857143</v>
      </c>
      <c r="T3" t="n">
        <v>16.70803892857143</v>
      </c>
      <c r="U3" t="n">
        <v>1.69296107142857</v>
      </c>
      <c r="V3" t="n">
        <v>1.69296107142857</v>
      </c>
      <c r="W3" t="n">
        <v>22.81375</v>
      </c>
      <c r="X3" t="n">
        <v>22.81375</v>
      </c>
      <c r="Y3" t="n">
        <v>4.833603928571426</v>
      </c>
      <c r="Z3" t="n">
        <v>4.833603928571426</v>
      </c>
    </row>
    <row r="4">
      <c r="A4" s="8" t="n">
        <v>44256</v>
      </c>
      <c r="B4" t="inlineStr">
        <is>
          <t>Actual</t>
        </is>
      </c>
      <c r="C4" t="n">
        <v>2.87358064516129</v>
      </c>
      <c r="D4" t="n">
        <v>4.849387096774193</v>
      </c>
      <c r="E4" t="n">
        <v>0.8512580645161291</v>
      </c>
      <c r="F4" t="n">
        <v>0.547741935483871</v>
      </c>
      <c r="G4" t="n">
        <v>0.002580645161290323</v>
      </c>
      <c r="H4" t="n">
        <v>2.643935483870968</v>
      </c>
      <c r="I4" t="n">
        <v>0</v>
      </c>
      <c r="J4" t="n">
        <v>4.437917419354839</v>
      </c>
      <c r="K4" t="n">
        <v>4.437917419354839</v>
      </c>
      <c r="L4" t="n">
        <v>22.99258064516129</v>
      </c>
      <c r="M4" t="n">
        <v>22.99258064516129</v>
      </c>
      <c r="N4" t="n">
        <v>1.762354838709677</v>
      </c>
      <c r="O4" t="n">
        <v>1.144354838709677</v>
      </c>
      <c r="P4" t="inlineStr">
        <is>
          <t>EIA</t>
        </is>
      </c>
      <c r="Q4" t="n">
        <v>1.40158064516129</v>
      </c>
      <c r="R4" t="n">
        <v>11.76848387096774</v>
      </c>
      <c r="S4" t="n">
        <v>16.20640129032258</v>
      </c>
      <c r="T4" t="n">
        <v>16.20640129032258</v>
      </c>
      <c r="U4" t="n">
        <v>6.786179354838708</v>
      </c>
      <c r="V4" t="n">
        <v>6.786179354838708</v>
      </c>
      <c r="W4" t="n">
        <v>24.13693548387097</v>
      </c>
      <c r="X4" t="n">
        <v>24.13693548387097</v>
      </c>
      <c r="Y4" t="n">
        <v>6.168179354838709</v>
      </c>
      <c r="Z4" t="n">
        <v>6.168179354838709</v>
      </c>
    </row>
    <row r="5">
      <c r="A5" s="8" t="n">
        <v>44287</v>
      </c>
      <c r="B5" t="inlineStr">
        <is>
          <t>Actual</t>
        </is>
      </c>
      <c r="C5" t="n">
        <v>3.746233333333333</v>
      </c>
      <c r="D5" t="n">
        <v>5.287166666666667</v>
      </c>
      <c r="E5" t="n">
        <v>0.4110333333333334</v>
      </c>
      <c r="F5" t="n">
        <v>0.4744333333333333</v>
      </c>
      <c r="G5" t="n">
        <v>0.002566666666666667</v>
      </c>
      <c r="H5" t="n">
        <v>2.670233333333333</v>
      </c>
      <c r="I5" t="n">
        <v>0</v>
      </c>
      <c r="J5" t="n">
        <v>4.377658</v>
      </c>
      <c r="K5" t="n">
        <v>4.377658</v>
      </c>
      <c r="L5" t="n">
        <v>23.71223333333333</v>
      </c>
      <c r="M5" t="n">
        <v>23.71223333333333</v>
      </c>
      <c r="N5" t="n">
        <v>1.559</v>
      </c>
      <c r="O5" t="n">
        <v>0.7668666666666667</v>
      </c>
      <c r="P5" t="inlineStr">
        <is>
          <t>EIA</t>
        </is>
      </c>
      <c r="Q5" t="n">
        <v>0.8880333333333335</v>
      </c>
      <c r="R5" t="n">
        <v>12.59166666666667</v>
      </c>
      <c r="S5" t="n">
        <v>16.96932466666667</v>
      </c>
      <c r="T5" t="n">
        <v>16.96932466666667</v>
      </c>
      <c r="U5" t="n">
        <v>6.742908666666661</v>
      </c>
      <c r="V5" t="n">
        <v>6.742908666666661</v>
      </c>
      <c r="W5" t="n">
        <v>24.4791</v>
      </c>
      <c r="X5" t="n">
        <v>24.4791</v>
      </c>
      <c r="Y5" t="n">
        <v>5.950775333333326</v>
      </c>
      <c r="Z5" t="n">
        <v>5.950775333333326</v>
      </c>
    </row>
    <row r="6">
      <c r="A6" s="8" t="n">
        <v>44317</v>
      </c>
      <c r="B6" t="inlineStr">
        <is>
          <t>Actual</t>
        </is>
      </c>
      <c r="C6" t="n">
        <v>3.843774193548387</v>
      </c>
      <c r="D6" t="n">
        <v>5.234774193548387</v>
      </c>
      <c r="E6" t="n">
        <v>0.2831612903225807</v>
      </c>
      <c r="F6" t="n">
        <v>0.3512903225806452</v>
      </c>
      <c r="G6" t="n">
        <v>0.002580645161290323</v>
      </c>
      <c r="H6" t="n">
        <v>2.766322580645161</v>
      </c>
      <c r="I6" t="n">
        <v>0</v>
      </c>
      <c r="J6" t="n">
        <v>4.289044516129033</v>
      </c>
      <c r="K6" t="n">
        <v>4.289044516129033</v>
      </c>
      <c r="L6" t="n">
        <v>23.58770967741935</v>
      </c>
      <c r="M6" t="n">
        <v>23.58770967741935</v>
      </c>
      <c r="N6" t="n">
        <v>2.060290322580645</v>
      </c>
      <c r="O6" t="n">
        <v>0.3708387096774193</v>
      </c>
      <c r="P6" t="inlineStr">
        <is>
          <t>EIA</t>
        </is>
      </c>
      <c r="Q6" t="n">
        <v>0.6370322580645161</v>
      </c>
      <c r="R6" t="n">
        <v>12.48190322580645</v>
      </c>
      <c r="S6" t="n">
        <v>16.77094774193548</v>
      </c>
      <c r="T6" t="n">
        <v>16.77094774193548</v>
      </c>
      <c r="U6" t="n">
        <v>6.816761935483868</v>
      </c>
      <c r="V6" t="n">
        <v>6.816761935483868</v>
      </c>
      <c r="W6" t="n">
        <v>23.95854838709677</v>
      </c>
      <c r="X6" t="n">
        <v>23.95854838709677</v>
      </c>
      <c r="Y6" t="n">
        <v>5.127310322580641</v>
      </c>
      <c r="Z6" t="n">
        <v>5.127310322580641</v>
      </c>
    </row>
    <row r="7">
      <c r="A7" s="8" t="n">
        <v>44348</v>
      </c>
      <c r="B7" t="inlineStr">
        <is>
          <t>Actual</t>
        </is>
      </c>
      <c r="C7" t="n">
        <v>5.751166666666667</v>
      </c>
      <c r="D7" t="n">
        <v>5.296266666666666</v>
      </c>
      <c r="E7" t="n">
        <v>0.2299</v>
      </c>
      <c r="F7" t="n">
        <v>0.3627</v>
      </c>
      <c r="G7" t="n">
        <v>0.002566666666666667</v>
      </c>
      <c r="H7" t="n">
        <v>2.929933333333334</v>
      </c>
      <c r="I7" t="n">
        <v>0</v>
      </c>
      <c r="J7" t="n">
        <v>4.362725000000001</v>
      </c>
      <c r="K7" t="n">
        <v>4.362725000000001</v>
      </c>
      <c r="L7" t="n">
        <v>23.52116666666667</v>
      </c>
      <c r="M7" t="n">
        <v>23.52116666666667</v>
      </c>
      <c r="N7" t="n">
        <v>1.1406</v>
      </c>
      <c r="O7" t="n">
        <v>1.339333333333333</v>
      </c>
      <c r="P7" t="inlineStr">
        <is>
          <t>EIA</t>
        </is>
      </c>
      <c r="Q7" t="n">
        <v>0.5951666666666667</v>
      </c>
      <c r="R7" t="n">
        <v>14.57253333333334</v>
      </c>
      <c r="S7" t="n">
        <v>18.93525833333334</v>
      </c>
      <c r="T7" t="n">
        <v>18.93525833333334</v>
      </c>
      <c r="U7" t="n">
        <v>4.585908333333332</v>
      </c>
      <c r="V7" t="n">
        <v>4.585908333333332</v>
      </c>
      <c r="W7" t="n">
        <v>24.8605</v>
      </c>
      <c r="X7" t="n">
        <v>24.8605</v>
      </c>
      <c r="Y7" t="n">
        <v>4.784641666666665</v>
      </c>
      <c r="Z7" t="n">
        <v>4.784641666666665</v>
      </c>
    </row>
    <row r="8">
      <c r="A8" s="8" t="n">
        <v>44378</v>
      </c>
      <c r="B8" t="inlineStr">
        <is>
          <t>Actual</t>
        </is>
      </c>
      <c r="C8" t="n">
        <v>6.234870967741935</v>
      </c>
      <c r="D8" t="n">
        <v>5.42283870967742</v>
      </c>
      <c r="E8" t="n">
        <v>0.215258064516129</v>
      </c>
      <c r="F8" t="n">
        <v>0.3711612903225807</v>
      </c>
      <c r="G8" t="n">
        <v>0.002580645161290323</v>
      </c>
      <c r="H8" t="n">
        <v>2.876193548387096</v>
      </c>
      <c r="I8" t="n">
        <v>0</v>
      </c>
      <c r="J8" t="n">
        <v>4.267807096774193</v>
      </c>
      <c r="K8" t="n">
        <v>4.267807096774193</v>
      </c>
      <c r="L8" t="n">
        <v>23.99703225806451</v>
      </c>
      <c r="M8" t="n">
        <v>23.99703225806451</v>
      </c>
      <c r="N8" t="n">
        <v>0.9387096774193548</v>
      </c>
      <c r="O8" t="n">
        <v>1.255870967741935</v>
      </c>
      <c r="P8" t="inlineStr">
        <is>
          <t>EIA</t>
        </is>
      </c>
      <c r="Q8" t="n">
        <v>0.5890000000000001</v>
      </c>
      <c r="R8" t="n">
        <v>15.12290322580645</v>
      </c>
      <c r="S8" t="n">
        <v>19.39071032258065</v>
      </c>
      <c r="T8" t="n">
        <v>19.39071032258065</v>
      </c>
      <c r="U8" t="n">
        <v>4.606321935483866</v>
      </c>
      <c r="V8" t="n">
        <v>4.606321935483866</v>
      </c>
      <c r="W8" t="n">
        <v>25.25290322580645</v>
      </c>
      <c r="X8" t="n">
        <v>25.25290322580645</v>
      </c>
      <c r="Y8" t="n">
        <v>4.923483225806446</v>
      </c>
      <c r="Z8" t="n">
        <v>4.923483225806446</v>
      </c>
    </row>
    <row r="9">
      <c r="A9" s="8" t="n">
        <v>44409</v>
      </c>
      <c r="B9" t="inlineStr">
        <is>
          <t>Actual</t>
        </is>
      </c>
      <c r="C9" t="n">
        <v>6.327096774193548</v>
      </c>
      <c r="D9" t="n">
        <v>5.458516129032258</v>
      </c>
      <c r="E9" t="n">
        <v>0.1994193548387097</v>
      </c>
      <c r="F9" t="n">
        <v>0.3660322580645162</v>
      </c>
      <c r="G9" t="n">
        <v>0.002580645161290323</v>
      </c>
      <c r="H9" t="n">
        <v>2.802806451612903</v>
      </c>
      <c r="I9" t="n">
        <v>0</v>
      </c>
      <c r="J9" t="n">
        <v>4.478669354838711</v>
      </c>
      <c r="K9" t="n">
        <v>4.478669354838711</v>
      </c>
      <c r="L9" t="n">
        <v>24.04129032258064</v>
      </c>
      <c r="M9" t="n">
        <v>24.04129032258064</v>
      </c>
      <c r="N9" t="n">
        <v>1.041451612903226</v>
      </c>
      <c r="O9" t="n">
        <v>1.687774193548387</v>
      </c>
      <c r="P9" t="inlineStr">
        <is>
          <t>EIA</t>
        </is>
      </c>
      <c r="Q9" t="n">
        <v>0.5680322580645162</v>
      </c>
      <c r="R9" t="n">
        <v>15.15645161290323</v>
      </c>
      <c r="S9" t="n">
        <v>19.63512096774194</v>
      </c>
      <c r="T9" t="n">
        <v>19.63512096774194</v>
      </c>
      <c r="U9" t="n">
        <v>4.406169354838703</v>
      </c>
      <c r="V9" t="n">
        <v>4.406169354838703</v>
      </c>
      <c r="W9" t="n">
        <v>25.72906451612903</v>
      </c>
      <c r="X9" t="n">
        <v>25.72906451612903</v>
      </c>
      <c r="Y9" t="n">
        <v>5.052491935483863</v>
      </c>
      <c r="Z9" t="n">
        <v>5.052491935483863</v>
      </c>
    </row>
    <row r="10">
      <c r="A10" s="8" t="n">
        <v>44440</v>
      </c>
      <c r="B10" t="inlineStr">
        <is>
          <t>Actual</t>
        </is>
      </c>
      <c r="C10" t="n">
        <v>5.298666666666667</v>
      </c>
      <c r="D10" t="n">
        <v>5.518066666666667</v>
      </c>
      <c r="E10" t="n">
        <v>0.2002666666666667</v>
      </c>
      <c r="F10" t="n">
        <v>0.3705666666666667</v>
      </c>
      <c r="G10" t="n">
        <v>0.002566666666666667</v>
      </c>
      <c r="H10" t="n">
        <v>2.6138</v>
      </c>
      <c r="I10" t="n">
        <v>0</v>
      </c>
      <c r="J10" t="n">
        <v>4.103632</v>
      </c>
      <c r="K10" t="n">
        <v>4.103632</v>
      </c>
      <c r="L10" t="n">
        <v>24.82143333333334</v>
      </c>
      <c r="M10" t="n">
        <v>24.82143333333334</v>
      </c>
      <c r="N10" t="n">
        <v>2.160866666666667</v>
      </c>
      <c r="O10" t="n">
        <v>0.6753333333333333</v>
      </c>
      <c r="P10" t="inlineStr">
        <is>
          <t>EIA</t>
        </is>
      </c>
      <c r="Q10" t="n">
        <v>0.5734000000000001</v>
      </c>
      <c r="R10" t="n">
        <v>14.00393333333333</v>
      </c>
      <c r="S10" t="n">
        <v>18.10756533333333</v>
      </c>
      <c r="T10" t="n">
        <v>18.10756533333333</v>
      </c>
      <c r="U10" t="n">
        <v>6.713868000000005</v>
      </c>
      <c r="V10" t="n">
        <v>6.713868000000005</v>
      </c>
      <c r="W10" t="n">
        <v>25.49676666666667</v>
      </c>
      <c r="X10" t="n">
        <v>25.49676666666667</v>
      </c>
      <c r="Y10" t="n">
        <v>5.228334666666672</v>
      </c>
      <c r="Z10" t="n">
        <v>5.228334666666672</v>
      </c>
    </row>
    <row r="11">
      <c r="A11" s="8" t="n">
        <v>44470</v>
      </c>
      <c r="B11" t="inlineStr">
        <is>
          <t>Actual</t>
        </is>
      </c>
      <c r="C11" t="n">
        <v>4.412612903225807</v>
      </c>
      <c r="D11" t="n">
        <v>5.262677419354839</v>
      </c>
      <c r="E11" t="n">
        <v>0.2569354838709678</v>
      </c>
      <c r="F11" t="n">
        <v>0.3873548387096775</v>
      </c>
      <c r="G11" t="n">
        <v>0.002580645161290323</v>
      </c>
      <c r="H11" t="n">
        <v>2.767870967741935</v>
      </c>
      <c r="I11" t="n">
        <v>0</v>
      </c>
      <c r="J11" t="n">
        <v>4.390695806451614</v>
      </c>
      <c r="K11" t="n">
        <v>4.390695806451614</v>
      </c>
      <c r="L11" t="n">
        <v>24.74848387096774</v>
      </c>
      <c r="M11" t="n">
        <v>24.74848387096774</v>
      </c>
      <c r="N11" t="n">
        <v>2.154032258064516</v>
      </c>
      <c r="O11" t="n">
        <v>0.5892903225806452</v>
      </c>
      <c r="P11" t="inlineStr">
        <is>
          <t>EIA</t>
        </is>
      </c>
      <c r="Q11" t="n">
        <v>0.6468709677419356</v>
      </c>
      <c r="R11" t="n">
        <v>13.09003225806452</v>
      </c>
      <c r="S11" t="n">
        <v>17.48072806451613</v>
      </c>
      <c r="T11" t="n">
        <v>17.48072806451613</v>
      </c>
      <c r="U11" t="n">
        <v>7.267755806451607</v>
      </c>
      <c r="V11" t="n">
        <v>7.267755806451607</v>
      </c>
      <c r="W11" t="n">
        <v>25.33777419354838</v>
      </c>
      <c r="X11" t="n">
        <v>25.33777419354838</v>
      </c>
      <c r="Y11" t="n">
        <v>5.703013870967736</v>
      </c>
      <c r="Z11" t="n">
        <v>5.703013870967736</v>
      </c>
    </row>
    <row r="12">
      <c r="A12" s="8" t="n">
        <v>44501</v>
      </c>
      <c r="B12" t="inlineStr">
        <is>
          <t>Actual</t>
        </is>
      </c>
      <c r="C12" t="n">
        <v>3.4576</v>
      </c>
      <c r="D12" t="n">
        <v>5.6497</v>
      </c>
      <c r="E12" t="n">
        <v>0.5384333333333333</v>
      </c>
      <c r="F12" t="n">
        <v>0.5129333333333332</v>
      </c>
      <c r="G12" t="n">
        <v>0.002566666666666667</v>
      </c>
      <c r="H12" t="n">
        <v>2.557566666666667</v>
      </c>
      <c r="I12" t="n">
        <v>0</v>
      </c>
      <c r="J12" t="n">
        <v>3.903508</v>
      </c>
      <c r="K12" t="n">
        <v>3.903508</v>
      </c>
      <c r="L12" t="n">
        <v>24.64196666666667</v>
      </c>
      <c r="M12" t="n">
        <v>24.64196666666667</v>
      </c>
      <c r="N12" t="n">
        <v>1.294366666666667</v>
      </c>
      <c r="O12" t="n">
        <v>1.114866666666666</v>
      </c>
      <c r="P12" t="inlineStr">
        <is>
          <t>EIA</t>
        </is>
      </c>
      <c r="Q12" t="n">
        <v>1.053933333333333</v>
      </c>
      <c r="R12" t="n">
        <v>12.7188</v>
      </c>
      <c r="S12" t="n">
        <v>16.622308</v>
      </c>
      <c r="T12" t="n">
        <v>16.622308</v>
      </c>
      <c r="U12" t="n">
        <v>8.019658666666668</v>
      </c>
      <c r="V12" t="n">
        <v>8.019658666666668</v>
      </c>
      <c r="W12" t="n">
        <v>25.75683333333334</v>
      </c>
      <c r="X12" t="n">
        <v>25.75683333333334</v>
      </c>
      <c r="Y12" t="n">
        <v>7.840158666666669</v>
      </c>
      <c r="Z12" t="n">
        <v>7.840158666666669</v>
      </c>
    </row>
    <row r="13">
      <c r="A13" s="8" t="n">
        <v>44531</v>
      </c>
      <c r="B13" t="inlineStr">
        <is>
          <t>Actual</t>
        </is>
      </c>
      <c r="C13" t="n">
        <v>3.378290322580646</v>
      </c>
      <c r="D13" t="n">
        <v>5.783322580645161</v>
      </c>
      <c r="E13" t="n">
        <v>0.5891612903225806</v>
      </c>
      <c r="F13" t="n">
        <v>0.5320967741935484</v>
      </c>
      <c r="G13" t="n">
        <v>0.002580645161290323</v>
      </c>
      <c r="H13" t="n">
        <v>2.405741935483871</v>
      </c>
      <c r="I13" t="n">
        <v>0</v>
      </c>
      <c r="J13" t="n">
        <v>4.614497419354839</v>
      </c>
      <c r="K13" t="n">
        <v>4.614497419354839</v>
      </c>
      <c r="L13" t="n">
        <v>24.995</v>
      </c>
      <c r="M13" t="n">
        <v>24.995</v>
      </c>
      <c r="N13" t="n">
        <v>1.387967741935484</v>
      </c>
      <c r="O13" t="n">
        <v>1.367516129032258</v>
      </c>
      <c r="P13" t="inlineStr">
        <is>
          <t>EIA</t>
        </is>
      </c>
      <c r="Q13" t="n">
        <v>1.123838709677419</v>
      </c>
      <c r="R13" t="n">
        <v>12.6911935483871</v>
      </c>
      <c r="S13" t="n">
        <v>17.30569096774193</v>
      </c>
      <c r="T13" t="n">
        <v>17.30569096774193</v>
      </c>
      <c r="U13" t="n">
        <v>7.689309032258066</v>
      </c>
      <c r="V13" t="n">
        <v>7.689309032258066</v>
      </c>
      <c r="W13" t="n">
        <v>26.36251612903226</v>
      </c>
      <c r="X13" t="n">
        <v>26.36251612903226</v>
      </c>
      <c r="Y13" t="n">
        <v>7.66885741935484</v>
      </c>
      <c r="Z13" t="n">
        <v>7.66885741935484</v>
      </c>
    </row>
    <row r="14">
      <c r="A14" s="8" t="n">
        <v>44562</v>
      </c>
      <c r="B14" t="inlineStr">
        <is>
          <t>Actual</t>
        </is>
      </c>
      <c r="C14" t="n">
        <v>4.094129032258064</v>
      </c>
      <c r="D14" t="n">
        <v>5.599161290322581</v>
      </c>
      <c r="E14" t="n">
        <v>1.307903225806452</v>
      </c>
      <c r="F14" t="n">
        <v>0.7509677419354839</v>
      </c>
      <c r="G14" t="n">
        <v>0.003483870967741936</v>
      </c>
      <c r="H14" t="n">
        <v>2.562612903225807</v>
      </c>
      <c r="I14" t="n">
        <v>0</v>
      </c>
      <c r="J14" t="n">
        <v>4.595369677419354</v>
      </c>
      <c r="K14" t="n">
        <v>4.595369677419354</v>
      </c>
      <c r="L14" t="n">
        <v>23.17987096774193</v>
      </c>
      <c r="M14" t="n">
        <v>23.17987096774193</v>
      </c>
      <c r="N14" t="n">
        <v>0.5149677419354839</v>
      </c>
      <c r="O14" t="n">
        <v>4.000612903225806</v>
      </c>
      <c r="P14" t="inlineStr">
        <is>
          <t>EIA</t>
        </is>
      </c>
      <c r="Q14" t="n">
        <v>2.062354838709678</v>
      </c>
      <c r="R14" t="n">
        <v>14.31825806451613</v>
      </c>
      <c r="S14" t="n">
        <v>18.91362774193548</v>
      </c>
      <c r="T14" t="n">
        <v>18.91362774193548</v>
      </c>
      <c r="U14" t="n">
        <v>4.266243225806448</v>
      </c>
      <c r="V14" t="n">
        <v>4.266243225806448</v>
      </c>
      <c r="W14" t="n">
        <v>27.18048387096774</v>
      </c>
      <c r="X14" t="n">
        <v>27.18048387096774</v>
      </c>
      <c r="Y14" t="n">
        <v>7.751888387096772</v>
      </c>
      <c r="Z14" t="n">
        <v>7.751888387096772</v>
      </c>
    </row>
    <row r="15">
      <c r="A15" s="8" t="n">
        <v>44593</v>
      </c>
      <c r="B15" t="inlineStr">
        <is>
          <t>Actual</t>
        </is>
      </c>
      <c r="C15" t="n">
        <v>4.156392857142857</v>
      </c>
      <c r="D15" t="n">
        <v>5.527285714285715</v>
      </c>
      <c r="E15" t="n">
        <v>1.646</v>
      </c>
      <c r="F15" t="n">
        <v>0.8936785714285714</v>
      </c>
      <c r="G15" t="n">
        <v>0.0035</v>
      </c>
      <c r="H15" t="n">
        <v>2.727035714285714</v>
      </c>
      <c r="I15" t="n">
        <v>0</v>
      </c>
      <c r="J15" t="n">
        <v>4.697160357142858</v>
      </c>
      <c r="K15" t="n">
        <v>4.697160357142858</v>
      </c>
      <c r="L15" t="n">
        <v>24.34007142857143</v>
      </c>
      <c r="M15" t="n">
        <v>24.34007142857143</v>
      </c>
      <c r="N15" t="n">
        <v>0.7398571428571429</v>
      </c>
      <c r="O15" t="n">
        <v>3.681178571428572</v>
      </c>
      <c r="P15" t="inlineStr">
        <is>
          <t>EIA</t>
        </is>
      </c>
      <c r="Q15" t="n">
        <v>2.543178571428571</v>
      </c>
      <c r="R15" t="n">
        <v>14.95389285714286</v>
      </c>
      <c r="S15" t="n">
        <v>19.65105321428572</v>
      </c>
      <c r="T15" t="n">
        <v>19.65105321428572</v>
      </c>
      <c r="U15" t="n">
        <v>4.689018214285714</v>
      </c>
      <c r="V15" t="n">
        <v>4.689018214285714</v>
      </c>
      <c r="W15" t="n">
        <v>28.02125</v>
      </c>
      <c r="X15" t="n">
        <v>28.02125</v>
      </c>
      <c r="Y15" t="n">
        <v>7.630339642857142</v>
      </c>
      <c r="Z15" t="n">
        <v>7.630339642857142</v>
      </c>
    </row>
    <row r="16">
      <c r="A16" s="8" t="n">
        <v>44621</v>
      </c>
      <c r="B16" t="inlineStr">
        <is>
          <t>Actual</t>
        </is>
      </c>
      <c r="C16" t="n">
        <v>2.959516129032258</v>
      </c>
      <c r="D16" t="n">
        <v>5.511225806451613</v>
      </c>
      <c r="E16" t="n">
        <v>0.9952903225806451</v>
      </c>
      <c r="F16" t="n">
        <v>0.6364838709677419</v>
      </c>
      <c r="G16" t="n">
        <v>0.003483870967741936</v>
      </c>
      <c r="H16" t="n">
        <v>2.667935483870968</v>
      </c>
      <c r="I16" t="n">
        <v>0</v>
      </c>
      <c r="J16" t="n">
        <v>4.382503225806452</v>
      </c>
      <c r="K16" t="n">
        <v>4.382503225806452</v>
      </c>
      <c r="L16" t="n">
        <v>24.87987096774194</v>
      </c>
      <c r="M16" t="n">
        <v>24.87987096774194</v>
      </c>
      <c r="N16" t="n">
        <v>1.433064516129032</v>
      </c>
      <c r="O16" t="n">
        <v>1.425935483870968</v>
      </c>
      <c r="P16" t="inlineStr">
        <is>
          <t>EIA</t>
        </is>
      </c>
      <c r="Q16" t="n">
        <v>1.635258064516129</v>
      </c>
      <c r="R16" t="n">
        <v>12.77393548387097</v>
      </c>
      <c r="S16" t="n">
        <v>17.15643870967742</v>
      </c>
      <c r="T16" t="n">
        <v>17.15643870967742</v>
      </c>
      <c r="U16" t="n">
        <v>7.72343225806452</v>
      </c>
      <c r="V16" t="n">
        <v>7.72343225806452</v>
      </c>
      <c r="W16" t="n">
        <v>26.30580645161291</v>
      </c>
      <c r="X16" t="n">
        <v>26.30580645161291</v>
      </c>
      <c r="Y16" t="n">
        <v>7.716303225806456</v>
      </c>
      <c r="Z16" t="n">
        <v>7.716303225806456</v>
      </c>
    </row>
    <row r="17">
      <c r="A17" s="8" t="n">
        <v>44652</v>
      </c>
      <c r="B17" t="inlineStr">
        <is>
          <t>Actual</t>
        </is>
      </c>
      <c r="C17" t="n">
        <v>3.282933333333333</v>
      </c>
      <c r="D17" t="n">
        <v>5.453966666666666</v>
      </c>
      <c r="E17" t="n">
        <v>0.4558</v>
      </c>
      <c r="F17" t="n">
        <v>0.4546666666666667</v>
      </c>
      <c r="G17" t="n">
        <v>0.0035</v>
      </c>
      <c r="H17" t="n">
        <v>2.7244</v>
      </c>
      <c r="I17" t="n">
        <v>0</v>
      </c>
      <c r="J17" t="n">
        <v>3.544462</v>
      </c>
      <c r="K17" t="n">
        <v>3.544462</v>
      </c>
      <c r="L17" t="n">
        <v>25.36933333333333</v>
      </c>
      <c r="M17" t="n">
        <v>25.36933333333333</v>
      </c>
      <c r="N17" t="n">
        <v>2.011033333333333</v>
      </c>
      <c r="O17" t="n">
        <v>0.5206000000000001</v>
      </c>
      <c r="P17" t="inlineStr">
        <is>
          <t>EIA</t>
        </is>
      </c>
      <c r="Q17" t="n">
        <v>0.9139666666666667</v>
      </c>
      <c r="R17" t="n">
        <v>12.37526666666666</v>
      </c>
      <c r="S17" t="n">
        <v>15.91972866666666</v>
      </c>
      <c r="T17" t="n">
        <v>15.91972866666666</v>
      </c>
      <c r="U17" t="n">
        <v>9.449604666666666</v>
      </c>
      <c r="V17" t="n">
        <v>9.449604666666666</v>
      </c>
      <c r="W17" t="n">
        <v>25.88993333333333</v>
      </c>
      <c r="X17" t="n">
        <v>25.88993333333333</v>
      </c>
      <c r="Y17" t="n">
        <v>7.959171333333334</v>
      </c>
      <c r="Z17" t="n">
        <v>7.959171333333334</v>
      </c>
    </row>
    <row r="18">
      <c r="A18" s="8" t="n">
        <v>44682</v>
      </c>
      <c r="B18" t="inlineStr">
        <is>
          <t>Actual</t>
        </is>
      </c>
      <c r="C18" t="n">
        <v>4.855322580645161</v>
      </c>
      <c r="D18" t="n">
        <v>5.277774193548387</v>
      </c>
      <c r="E18" t="n">
        <v>0.2358387096774194</v>
      </c>
      <c r="F18" t="n">
        <v>0.3918387096774194</v>
      </c>
      <c r="G18" t="n">
        <v>0.003483870967741936</v>
      </c>
      <c r="H18" t="n">
        <v>2.805161290322581</v>
      </c>
      <c r="I18" t="n">
        <v>0</v>
      </c>
      <c r="J18" t="n">
        <v>4.411511290322581</v>
      </c>
      <c r="K18" t="n">
        <v>4.411511290322581</v>
      </c>
      <c r="L18" t="n">
        <v>24.7518064516129</v>
      </c>
      <c r="M18" t="n">
        <v>24.7518064516129</v>
      </c>
      <c r="N18" t="n">
        <v>1.664612903225806</v>
      </c>
      <c r="O18" t="n">
        <v>0.6686129032258065</v>
      </c>
      <c r="P18" t="inlineStr">
        <is>
          <t>EIA</t>
        </is>
      </c>
      <c r="Q18" t="n">
        <v>0.6311612903225807</v>
      </c>
      <c r="R18" t="n">
        <v>13.56941935483871</v>
      </c>
      <c r="S18" t="n">
        <v>17.98093064516129</v>
      </c>
      <c r="T18" t="n">
        <v>17.98093064516129</v>
      </c>
      <c r="U18" t="n">
        <v>6.770875806451606</v>
      </c>
      <c r="V18" t="n">
        <v>6.770875806451606</v>
      </c>
      <c r="W18" t="n">
        <v>25.42041935483871</v>
      </c>
      <c r="X18" t="n">
        <v>25.42041935483871</v>
      </c>
      <c r="Y18" t="n">
        <v>5.774875806451607</v>
      </c>
      <c r="Z18" t="n">
        <v>5.774875806451607</v>
      </c>
    </row>
    <row r="19">
      <c r="A19" s="8" t="n">
        <v>44713</v>
      </c>
      <c r="B19" t="inlineStr">
        <is>
          <t>Actual</t>
        </is>
      </c>
      <c r="C19" t="n">
        <v>6.1464</v>
      </c>
      <c r="D19" t="n">
        <v>5.399933333333333</v>
      </c>
      <c r="E19" t="n">
        <v>0.2081</v>
      </c>
      <c r="F19" t="n">
        <v>0.3769333333333333</v>
      </c>
      <c r="G19" t="n">
        <v>0.0035</v>
      </c>
      <c r="H19" t="n">
        <v>2.674066666666667</v>
      </c>
      <c r="I19" t="n">
        <v>0</v>
      </c>
      <c r="J19" t="n">
        <v>2.944598666666666</v>
      </c>
      <c r="K19" t="n">
        <v>2.944598666666666</v>
      </c>
      <c r="L19" t="n">
        <v>24.54246666666667</v>
      </c>
      <c r="M19" t="n">
        <v>24.54246666666667</v>
      </c>
      <c r="N19" t="n">
        <v>1.453166666666667</v>
      </c>
      <c r="O19" t="n">
        <v>0.7817999999999999</v>
      </c>
      <c r="P19" t="inlineStr">
        <is>
          <t>EIA</t>
        </is>
      </c>
      <c r="Q19" t="n">
        <v>0.5885333333333332</v>
      </c>
      <c r="R19" t="n">
        <v>14.80893333333333</v>
      </c>
      <c r="S19" t="n">
        <v>17.753532</v>
      </c>
      <c r="T19" t="n">
        <v>17.753532</v>
      </c>
      <c r="U19" t="n">
        <v>6.78893466666667</v>
      </c>
      <c r="V19" t="n">
        <v>6.78893466666667</v>
      </c>
      <c r="W19" t="n">
        <v>25.32426666666667</v>
      </c>
      <c r="X19" t="n">
        <v>25.32426666666667</v>
      </c>
      <c r="Y19" t="n">
        <v>6.117568000000004</v>
      </c>
      <c r="Z19" t="n">
        <v>6.117568000000004</v>
      </c>
    </row>
    <row r="20">
      <c r="A20" s="8" t="n">
        <v>44743</v>
      </c>
      <c r="B20" t="inlineStr">
        <is>
          <t>Actual</t>
        </is>
      </c>
      <c r="C20" t="n">
        <v>7.247</v>
      </c>
      <c r="D20" t="n">
        <v>5.349774193548387</v>
      </c>
      <c r="E20" t="n">
        <v>0.198</v>
      </c>
      <c r="F20" t="n">
        <v>0.3811935483870968</v>
      </c>
      <c r="G20" t="n">
        <v>0.003483870967741936</v>
      </c>
      <c r="H20" t="n">
        <v>2.817677419354839</v>
      </c>
      <c r="I20" t="n">
        <v>0</v>
      </c>
      <c r="J20" t="n">
        <v>2.218009354838709</v>
      </c>
      <c r="K20" t="n">
        <v>2.218009354838709</v>
      </c>
      <c r="L20" t="n">
        <v>24.48077419354838</v>
      </c>
      <c r="M20" t="n">
        <v>24.48077419354838</v>
      </c>
      <c r="N20" t="n">
        <v>1.202129032258065</v>
      </c>
      <c r="O20" t="n">
        <v>1.388</v>
      </c>
      <c r="P20" t="inlineStr">
        <is>
          <t>EIA</t>
        </is>
      </c>
      <c r="Q20" t="n">
        <v>0.5826774193548387</v>
      </c>
      <c r="R20" t="n">
        <v>15.99712903225807</v>
      </c>
      <c r="S20" t="n">
        <v>18.21513838709678</v>
      </c>
      <c r="T20" t="n">
        <v>18.21513838709678</v>
      </c>
      <c r="U20" t="n">
        <v>6.265635806451606</v>
      </c>
      <c r="V20" t="n">
        <v>6.265635806451606</v>
      </c>
      <c r="W20" t="n">
        <v>25.86877419354838</v>
      </c>
      <c r="X20" t="n">
        <v>25.86877419354838</v>
      </c>
      <c r="Y20" t="n">
        <v>6.451506774193542</v>
      </c>
      <c r="Z20" t="n">
        <v>6.451506774193542</v>
      </c>
    </row>
    <row r="21">
      <c r="A21" s="8" t="n">
        <v>44774</v>
      </c>
      <c r="B21" t="inlineStr">
        <is>
          <t>Actual</t>
        </is>
      </c>
      <c r="C21" t="n">
        <v>7.078322580645161</v>
      </c>
      <c r="D21" t="n">
        <v>5.306225806451613</v>
      </c>
      <c r="E21" t="n">
        <v>0.1731290322580645</v>
      </c>
      <c r="F21" t="n">
        <v>0.3629354838709677</v>
      </c>
      <c r="G21" t="n">
        <v>0.003483870967741936</v>
      </c>
      <c r="H21" t="n">
        <v>2.790903225806451</v>
      </c>
      <c r="I21" t="n">
        <v>0</v>
      </c>
      <c r="J21" t="n">
        <v>2.229507096774194</v>
      </c>
      <c r="K21" t="n">
        <v>2.229507096774194</v>
      </c>
      <c r="L21" t="n">
        <v>25.02229032258064</v>
      </c>
      <c r="M21" t="n">
        <v>25.02229032258064</v>
      </c>
      <c r="N21" t="n">
        <v>1.73141935483871</v>
      </c>
      <c r="O21" t="n">
        <v>1.743612903225806</v>
      </c>
      <c r="P21" t="inlineStr">
        <is>
          <t>EIA</t>
        </is>
      </c>
      <c r="Q21" t="n">
        <v>0.5395483870967741</v>
      </c>
      <c r="R21" t="n">
        <v>15.715</v>
      </c>
      <c r="S21" t="n">
        <v>17.9445070967742</v>
      </c>
      <c r="T21" t="n">
        <v>17.9445070967742</v>
      </c>
      <c r="U21" t="n">
        <v>7.077783225806446</v>
      </c>
      <c r="V21" t="n">
        <v>7.077783225806446</v>
      </c>
      <c r="W21" t="n">
        <v>26.76590322580645</v>
      </c>
      <c r="X21" t="n">
        <v>26.76590322580645</v>
      </c>
      <c r="Y21" t="n">
        <v>7.089976774193541</v>
      </c>
      <c r="Z21" t="n">
        <v>7.089976774193541</v>
      </c>
    </row>
    <row r="22">
      <c r="A22" s="8" t="n">
        <v>44805</v>
      </c>
      <c r="B22" t="inlineStr">
        <is>
          <t>Actual</t>
        </is>
      </c>
      <c r="C22" t="n">
        <v>6.03</v>
      </c>
      <c r="D22" t="n">
        <v>5.1567</v>
      </c>
      <c r="E22" t="n">
        <v>0.1889666666666667</v>
      </c>
      <c r="F22" t="n">
        <v>0.3755333333333334</v>
      </c>
      <c r="G22" t="n">
        <v>0.0035</v>
      </c>
      <c r="H22" t="n">
        <v>2.759933333333333</v>
      </c>
      <c r="I22" t="n">
        <v>0</v>
      </c>
      <c r="J22" t="n">
        <v>2.173133</v>
      </c>
      <c r="K22" t="n">
        <v>2.173133</v>
      </c>
      <c r="L22" t="n">
        <v>25.65153333333333</v>
      </c>
      <c r="M22" t="n">
        <v>25.65153333333333</v>
      </c>
      <c r="N22" t="n">
        <v>2.6006</v>
      </c>
      <c r="O22" t="n">
        <v>1.136133333333333</v>
      </c>
      <c r="P22" t="inlineStr">
        <is>
          <t>EIA</t>
        </is>
      </c>
      <c r="Q22" t="n">
        <v>0.5680000000000001</v>
      </c>
      <c r="R22" t="n">
        <v>14.51463333333333</v>
      </c>
      <c r="S22" t="n">
        <v>16.68776633333334</v>
      </c>
      <c r="T22" t="n">
        <v>16.68776633333334</v>
      </c>
      <c r="U22" t="n">
        <v>8.963766999999994</v>
      </c>
      <c r="V22" t="n">
        <v>8.963766999999994</v>
      </c>
      <c r="W22" t="n">
        <v>26.78766666666666</v>
      </c>
      <c r="X22" t="n">
        <v>26.78766666666666</v>
      </c>
      <c r="Y22" t="n">
        <v>7.499300333333327</v>
      </c>
      <c r="Z22" t="n">
        <v>7.499300333333327</v>
      </c>
    </row>
    <row r="23">
      <c r="A23" s="8" t="n">
        <v>44835</v>
      </c>
      <c r="B23" t="inlineStr">
        <is>
          <t>Actual</t>
        </is>
      </c>
      <c r="C23" t="n">
        <v>4.475677419354839</v>
      </c>
      <c r="D23" t="n">
        <v>5.268645161290323</v>
      </c>
      <c r="E23" t="n">
        <v>0.2959032258064516</v>
      </c>
      <c r="F23" t="n">
        <v>0.4337741935483871</v>
      </c>
      <c r="G23" t="n">
        <v>0.003483870967741936</v>
      </c>
      <c r="H23" t="n">
        <v>2.740677419354839</v>
      </c>
      <c r="I23" t="n">
        <v>0</v>
      </c>
      <c r="J23" t="n">
        <v>2.348281935483871</v>
      </c>
      <c r="K23" t="n">
        <v>2.348281935483871</v>
      </c>
      <c r="L23" t="n">
        <v>25.33190322580645</v>
      </c>
      <c r="M23" t="n">
        <v>25.33190322580645</v>
      </c>
      <c r="N23" t="n">
        <v>2.467064516129032</v>
      </c>
      <c r="O23" t="n">
        <v>0.4530645161290323</v>
      </c>
      <c r="P23" t="inlineStr">
        <is>
          <t>EIA</t>
        </is>
      </c>
      <c r="Q23" t="n">
        <v>0.7331612903225807</v>
      </c>
      <c r="R23" t="n">
        <v>13.21816129032258</v>
      </c>
      <c r="S23" t="n">
        <v>15.56644322580645</v>
      </c>
      <c r="T23" t="n">
        <v>15.56644322580645</v>
      </c>
      <c r="U23" t="n">
        <v>9.765459999999997</v>
      </c>
      <c r="V23" t="n">
        <v>9.765459999999997</v>
      </c>
      <c r="W23" t="n">
        <v>25.78496774193548</v>
      </c>
      <c r="X23" t="n">
        <v>25.78496774193548</v>
      </c>
      <c r="Y23" t="n">
        <v>7.751459999999998</v>
      </c>
      <c r="Z23" t="n">
        <v>7.751459999999998</v>
      </c>
    </row>
    <row r="24">
      <c r="A24" s="8" t="n">
        <v>44866</v>
      </c>
      <c r="B24" t="inlineStr">
        <is>
          <t>Actual</t>
        </is>
      </c>
      <c r="C24" t="n">
        <v>4.325966666666666</v>
      </c>
      <c r="D24" t="n">
        <v>5.461066666666667</v>
      </c>
      <c r="E24" t="n">
        <v>0.8497333333333333</v>
      </c>
      <c r="F24" t="n">
        <v>0.7006</v>
      </c>
      <c r="G24" t="n">
        <v>0.0035</v>
      </c>
      <c r="H24" t="n">
        <v>2.750966666666667</v>
      </c>
      <c r="I24" t="n">
        <v>0</v>
      </c>
      <c r="J24" t="n">
        <v>2.072017333333333</v>
      </c>
      <c r="K24" t="n">
        <v>2.072017333333333</v>
      </c>
      <c r="L24" t="n">
        <v>25.37643333333333</v>
      </c>
      <c r="M24" t="n">
        <v>25.37643333333333</v>
      </c>
      <c r="N24" t="n">
        <v>1.554566666666667</v>
      </c>
      <c r="O24" t="n">
        <v>1.4176</v>
      </c>
      <c r="P24" t="inlineStr">
        <is>
          <t>EIA</t>
        </is>
      </c>
      <c r="Q24" t="n">
        <v>1.553833333333333</v>
      </c>
      <c r="R24" t="n">
        <v>14.09183333333333</v>
      </c>
      <c r="S24" t="n">
        <v>16.16385066666667</v>
      </c>
      <c r="T24" t="n">
        <v>16.16385066666667</v>
      </c>
      <c r="U24" t="n">
        <v>9.212582666666663</v>
      </c>
      <c r="V24" t="n">
        <v>9.212582666666663</v>
      </c>
      <c r="W24" t="n">
        <v>26.79403333333333</v>
      </c>
      <c r="X24" t="n">
        <v>26.79403333333333</v>
      </c>
      <c r="Y24" t="n">
        <v>9.075615999999997</v>
      </c>
      <c r="Z24" t="n">
        <v>9.075615999999997</v>
      </c>
    </row>
    <row r="25">
      <c r="A25" s="8" t="n">
        <v>44896</v>
      </c>
      <c r="B25" t="inlineStr">
        <is>
          <t>Actual</t>
        </is>
      </c>
      <c r="C25" t="n">
        <v>4.625387096774193</v>
      </c>
      <c r="D25" t="n">
        <v>5.226</v>
      </c>
      <c r="E25" t="n">
        <v>1.168129032258065</v>
      </c>
      <c r="F25" t="n">
        <v>0.7404838709677419</v>
      </c>
      <c r="G25" t="n">
        <v>0.003483870967741936</v>
      </c>
      <c r="H25" t="n">
        <v>2.523516129032258</v>
      </c>
      <c r="I25" t="n">
        <v>0</v>
      </c>
      <c r="J25" t="n">
        <v>2.254506774193549</v>
      </c>
      <c r="K25" t="n">
        <v>2.254506774193549</v>
      </c>
      <c r="L25" t="n">
        <v>25.55032258064516</v>
      </c>
      <c r="M25" t="n">
        <v>25.55032258064516</v>
      </c>
      <c r="N25" t="n">
        <v>1.395903225806452</v>
      </c>
      <c r="O25" t="n">
        <v>2.284096774193548</v>
      </c>
      <c r="P25" t="inlineStr">
        <is>
          <t>EIA</t>
        </is>
      </c>
      <c r="Q25" t="n">
        <v>1.912096774193549</v>
      </c>
      <c r="R25" t="n">
        <v>14.287</v>
      </c>
      <c r="S25" t="n">
        <v>16.54150677419355</v>
      </c>
      <c r="T25" t="n">
        <v>16.54150677419355</v>
      </c>
      <c r="U25" t="n">
        <v>9.008815806451615</v>
      </c>
      <c r="V25" t="n">
        <v>9.008815806451615</v>
      </c>
      <c r="W25" t="n">
        <v>27.83441935483871</v>
      </c>
      <c r="X25" t="n">
        <v>27.83441935483871</v>
      </c>
      <c r="Y25" t="n">
        <v>9.89700935483871</v>
      </c>
      <c r="Z25" t="n">
        <v>9.89700935483871</v>
      </c>
    </row>
    <row r="26">
      <c r="A26" s="8" t="n">
        <v>44927</v>
      </c>
      <c r="B26" t="inlineStr">
        <is>
          <t>Actual</t>
        </is>
      </c>
      <c r="C26" t="n">
        <v>4.131806451612904</v>
      </c>
      <c r="D26" t="n">
        <v>5.51583870967742</v>
      </c>
      <c r="E26" t="n">
        <v>1.208774193548387</v>
      </c>
      <c r="F26" t="n">
        <v>0.7606774193548387</v>
      </c>
      <c r="G26" t="n">
        <v>0.002548387096774193</v>
      </c>
      <c r="H26" t="n">
        <v>2.707741935483871</v>
      </c>
      <c r="I26" t="n">
        <v>0</v>
      </c>
      <c r="J26" t="n">
        <v>2.199971612903226</v>
      </c>
      <c r="K26" t="n">
        <v>2.199971612903226</v>
      </c>
      <c r="L26" t="n">
        <v>25.18170967741936</v>
      </c>
      <c r="M26" t="n">
        <v>25.18170967741936</v>
      </c>
      <c r="N26" t="n">
        <v>1.189967741935484</v>
      </c>
      <c r="O26" t="n">
        <v>1.932354838709677</v>
      </c>
      <c r="P26" t="inlineStr">
        <is>
          <t>EIA</t>
        </is>
      </c>
      <c r="Q26" t="n">
        <v>1.972</v>
      </c>
      <c r="R26" t="n">
        <v>14.3273870967742</v>
      </c>
      <c r="S26" t="n">
        <v>16.52735870967742</v>
      </c>
      <c r="T26" t="n">
        <v>16.52735870967742</v>
      </c>
      <c r="U26" t="n">
        <v>8.654350967741937</v>
      </c>
      <c r="V26" t="n">
        <v>8.654350967741937</v>
      </c>
      <c r="W26" t="n">
        <v>27.11406451612904</v>
      </c>
      <c r="X26" t="n">
        <v>27.11406451612904</v>
      </c>
      <c r="Y26" t="n">
        <v>9.396738064516132</v>
      </c>
      <c r="Z26" t="n">
        <v>9.396738064516132</v>
      </c>
    </row>
    <row r="27">
      <c r="A27" s="8" t="n">
        <v>44958</v>
      </c>
      <c r="B27" t="inlineStr">
        <is>
          <t>Actual</t>
        </is>
      </c>
      <c r="C27" t="n">
        <v>4.249357142857143</v>
      </c>
      <c r="D27" t="n">
        <v>5.526035714285714</v>
      </c>
      <c r="E27" t="n">
        <v>1.250571428571429</v>
      </c>
      <c r="F27" t="n">
        <v>0.8006071428571429</v>
      </c>
      <c r="G27" t="n">
        <v>0.002535714285714286</v>
      </c>
      <c r="H27" t="n">
        <v>2.707571428571429</v>
      </c>
      <c r="I27" t="n">
        <v>0</v>
      </c>
      <c r="J27" t="n">
        <v>2.945725</v>
      </c>
      <c r="K27" t="n">
        <v>2.945725</v>
      </c>
      <c r="L27" t="n">
        <v>25.22707142857143</v>
      </c>
      <c r="M27" t="n">
        <v>25.22707142857143</v>
      </c>
      <c r="N27" t="n">
        <v>1.318821428571429</v>
      </c>
      <c r="O27" t="n">
        <v>1.893642857142857</v>
      </c>
      <c r="P27" t="inlineStr">
        <is>
          <t>EIA</t>
        </is>
      </c>
      <c r="Q27" t="n">
        <v>2.053714285714286</v>
      </c>
      <c r="R27" t="n">
        <v>14.53667857142857</v>
      </c>
      <c r="S27" t="n">
        <v>17.48240357142857</v>
      </c>
      <c r="T27" t="n">
        <v>17.48240357142857</v>
      </c>
      <c r="U27" t="n">
        <v>7.744667857142858</v>
      </c>
      <c r="V27" t="n">
        <v>7.744667857142858</v>
      </c>
      <c r="W27" t="n">
        <v>27.12071428571429</v>
      </c>
      <c r="X27" t="n">
        <v>27.12071428571429</v>
      </c>
      <c r="Y27" t="n">
        <v>8.319489285714287</v>
      </c>
      <c r="Z27" t="n">
        <v>8.319489285714287</v>
      </c>
    </row>
    <row r="28">
      <c r="A28" s="8" t="n">
        <v>44986</v>
      </c>
      <c r="B28" t="inlineStr">
        <is>
          <t>Actual</t>
        </is>
      </c>
      <c r="C28" t="n">
        <v>3.893903225806452</v>
      </c>
      <c r="D28" t="n">
        <v>5.402161290322581</v>
      </c>
      <c r="E28" t="n">
        <v>0.694516129032258</v>
      </c>
      <c r="F28" t="n">
        <v>0.615225806451613</v>
      </c>
      <c r="G28" t="n">
        <v>0.002548387096774193</v>
      </c>
      <c r="H28" t="n">
        <v>2.856064516129032</v>
      </c>
      <c r="I28" t="n">
        <v>0</v>
      </c>
      <c r="J28" t="n">
        <v>3.379808709677419</v>
      </c>
      <c r="K28" t="n">
        <v>3.379808709677419</v>
      </c>
      <c r="L28" t="n">
        <v>26.69438709677419</v>
      </c>
      <c r="M28" t="n">
        <v>26.69438709677419</v>
      </c>
      <c r="N28" t="n">
        <v>1.539709677419355</v>
      </c>
      <c r="O28" t="n">
        <v>1.019161290322581</v>
      </c>
      <c r="P28" t="inlineStr">
        <is>
          <t>EIA</t>
        </is>
      </c>
      <c r="Q28" t="n">
        <v>1.312290322580645</v>
      </c>
      <c r="R28" t="n">
        <v>13.46441935483871</v>
      </c>
      <c r="S28" t="n">
        <v>16.84422806451613</v>
      </c>
      <c r="T28" t="n">
        <v>16.84422806451613</v>
      </c>
      <c r="U28" t="n">
        <v>9.850159032258059</v>
      </c>
      <c r="V28" t="n">
        <v>9.850159032258059</v>
      </c>
      <c r="W28" t="n">
        <v>27.71354838709677</v>
      </c>
      <c r="X28" t="n">
        <v>27.71354838709677</v>
      </c>
      <c r="Y28" t="n">
        <v>9.329610645161287</v>
      </c>
      <c r="Z28" t="n">
        <v>9.329610645161287</v>
      </c>
    </row>
    <row r="29">
      <c r="A29" s="8" t="n">
        <v>45017</v>
      </c>
      <c r="B29" t="inlineStr">
        <is>
          <t>Actual</t>
        </is>
      </c>
      <c r="C29" t="n">
        <v>3.9954</v>
      </c>
      <c r="D29" t="n">
        <v>5.470466666666666</v>
      </c>
      <c r="E29" t="n">
        <v>0.4013333333333333</v>
      </c>
      <c r="F29" t="n">
        <v>0.4463666666666667</v>
      </c>
      <c r="G29" t="n">
        <v>0.002533333333333333</v>
      </c>
      <c r="H29" t="n">
        <v>2.752766666666667</v>
      </c>
      <c r="I29" t="n">
        <v>0</v>
      </c>
      <c r="J29" t="n">
        <v>4.289840333333332</v>
      </c>
      <c r="K29" t="n">
        <v>4.289840333333332</v>
      </c>
      <c r="L29" t="n">
        <v>26.09276666666667</v>
      </c>
      <c r="M29" t="n">
        <v>26.09276666666667</v>
      </c>
      <c r="N29" t="n">
        <v>1.441633333333334</v>
      </c>
      <c r="O29" t="n">
        <v>0.6953333333333334</v>
      </c>
      <c r="P29" t="inlineStr">
        <is>
          <t>EIA</t>
        </is>
      </c>
      <c r="Q29" t="n">
        <v>0.8502333333333334</v>
      </c>
      <c r="R29" t="n">
        <v>13.06886666666667</v>
      </c>
      <c r="S29" t="n">
        <v>17.358707</v>
      </c>
      <c r="T29" t="n">
        <v>17.358707</v>
      </c>
      <c r="U29" t="n">
        <v>8.734059666666667</v>
      </c>
      <c r="V29" t="n">
        <v>8.734059666666667</v>
      </c>
      <c r="W29" t="n">
        <v>26.7881</v>
      </c>
      <c r="X29" t="n">
        <v>26.7881</v>
      </c>
      <c r="Y29" t="n">
        <v>7.987759666666667</v>
      </c>
      <c r="Z29" t="n">
        <v>7.987759666666667</v>
      </c>
    </row>
    <row r="30">
      <c r="A30" s="8" t="n">
        <v>45047</v>
      </c>
      <c r="B30" t="inlineStr">
        <is>
          <t>Actual</t>
        </is>
      </c>
      <c r="C30" t="n">
        <v>5.581419354838709</v>
      </c>
      <c r="D30" t="n">
        <v>5.328387096774193</v>
      </c>
      <c r="E30" t="n">
        <v>0.2346774193548387</v>
      </c>
      <c r="F30" t="n">
        <v>0.4124516129032258</v>
      </c>
      <c r="G30" t="n">
        <v>0.002548387096774193</v>
      </c>
      <c r="H30" t="n">
        <v>2.939967741935484</v>
      </c>
      <c r="I30" t="n">
        <v>0</v>
      </c>
      <c r="J30" t="n">
        <v>4.435456129032257</v>
      </c>
      <c r="K30" t="n">
        <v>4.435456129032257</v>
      </c>
      <c r="L30" t="n">
        <v>26.302</v>
      </c>
      <c r="M30" t="n">
        <v>26.302</v>
      </c>
      <c r="N30" t="n">
        <v>1.817225806451613</v>
      </c>
      <c r="O30" t="n">
        <v>0.7054838709677419</v>
      </c>
      <c r="P30" t="inlineStr">
        <is>
          <t>EIA</t>
        </is>
      </c>
      <c r="Q30" t="n">
        <v>0.6496774193548387</v>
      </c>
      <c r="R30" t="n">
        <v>14.49945161290323</v>
      </c>
      <c r="S30" t="n">
        <v>18.93490774193548</v>
      </c>
      <c r="T30" t="n">
        <v>18.93490774193548</v>
      </c>
      <c r="U30" t="n">
        <v>7.367092258064517</v>
      </c>
      <c r="V30" t="n">
        <v>7.367092258064517</v>
      </c>
      <c r="W30" t="n">
        <v>27.00748387096774</v>
      </c>
      <c r="X30" t="n">
        <v>27.00748387096774</v>
      </c>
      <c r="Y30" t="n">
        <v>6.255350322580647</v>
      </c>
      <c r="Z30" t="n">
        <v>6.255350322580647</v>
      </c>
    </row>
    <row r="31">
      <c r="A31" s="8" t="n">
        <v>45078</v>
      </c>
      <c r="B31" t="inlineStr">
        <is>
          <t>Actual</t>
        </is>
      </c>
      <c r="C31" t="n">
        <v>7.014966666666666</v>
      </c>
      <c r="D31" t="n">
        <v>5.343</v>
      </c>
      <c r="E31" t="n">
        <v>0.2256666666666667</v>
      </c>
      <c r="F31" t="n">
        <v>0.4073333333333333</v>
      </c>
      <c r="G31" t="n">
        <v>0.002533333333333333</v>
      </c>
      <c r="H31" t="n">
        <v>3.368</v>
      </c>
      <c r="I31" t="n">
        <v>0</v>
      </c>
      <c r="J31" t="n">
        <v>4.568444333333334</v>
      </c>
      <c r="K31" t="n">
        <v>4.568444333333334</v>
      </c>
      <c r="L31" t="n">
        <v>25.9884</v>
      </c>
      <c r="M31" t="n">
        <v>25.9884</v>
      </c>
      <c r="N31" t="n">
        <v>1.372766666666667</v>
      </c>
      <c r="O31" t="n">
        <v>1.0153</v>
      </c>
      <c r="P31" t="inlineStr">
        <is>
          <t>EIA</t>
        </is>
      </c>
      <c r="Q31" t="n">
        <v>0.6355333333333334</v>
      </c>
      <c r="R31" t="n">
        <v>16.3615</v>
      </c>
      <c r="S31" t="n">
        <v>20.92994433333333</v>
      </c>
      <c r="T31" t="n">
        <v>20.92994433333333</v>
      </c>
      <c r="U31" t="n">
        <v>5.058455666666667</v>
      </c>
      <c r="V31" t="n">
        <v>5.058455666666667</v>
      </c>
      <c r="W31" t="n">
        <v>27.0037</v>
      </c>
      <c r="X31" t="n">
        <v>27.0037</v>
      </c>
      <c r="Y31" t="n">
        <v>4.700989</v>
      </c>
      <c r="Z31" t="n">
        <v>4.700989</v>
      </c>
    </row>
    <row r="32">
      <c r="A32" s="8" t="n">
        <v>45108</v>
      </c>
      <c r="B32" t="inlineStr">
        <is>
          <t>Actual</t>
        </is>
      </c>
      <c r="C32" t="n">
        <v>7.577548387096774</v>
      </c>
      <c r="D32" t="n">
        <v>5.342064516129033</v>
      </c>
      <c r="E32" t="n">
        <v>0.2085161290322581</v>
      </c>
      <c r="F32" t="n">
        <v>0.4069354838709677</v>
      </c>
      <c r="G32" t="n">
        <v>0.002548387096774193</v>
      </c>
      <c r="H32" t="n">
        <v>3.123096774193549</v>
      </c>
      <c r="I32" t="n">
        <v>0</v>
      </c>
      <c r="J32" t="n">
        <v>4.154693225806451</v>
      </c>
      <c r="K32" t="n">
        <v>4.154693225806451</v>
      </c>
      <c r="L32" t="n">
        <v>26.24264516129032</v>
      </c>
      <c r="M32" t="n">
        <v>26.24264516129032</v>
      </c>
      <c r="N32" t="n">
        <v>0.9224516129032259</v>
      </c>
      <c r="O32" t="n">
        <v>1.486451612903226</v>
      </c>
      <c r="P32" t="inlineStr">
        <is>
          <t>EIA</t>
        </is>
      </c>
      <c r="Q32" t="n">
        <v>0.618</v>
      </c>
      <c r="R32" t="n">
        <v>16.66070967741936</v>
      </c>
      <c r="S32" t="n">
        <v>20.81540290322581</v>
      </c>
      <c r="T32" t="n">
        <v>20.81540290322581</v>
      </c>
      <c r="U32" t="n">
        <v>5.42724225806451</v>
      </c>
      <c r="V32" t="n">
        <v>5.42724225806451</v>
      </c>
      <c r="W32" t="n">
        <v>27.72909677419355</v>
      </c>
      <c r="X32" t="n">
        <v>27.72909677419355</v>
      </c>
      <c r="Y32" t="n">
        <v>5.991242258064512</v>
      </c>
      <c r="Z32" t="n">
        <v>5.991242258064512</v>
      </c>
    </row>
    <row r="33">
      <c r="A33" s="8" t="n">
        <v>45139</v>
      </c>
      <c r="B33" t="inlineStr">
        <is>
          <t>Actual</t>
        </is>
      </c>
      <c r="C33" t="n">
        <v>8.656483870967742</v>
      </c>
      <c r="D33" t="n">
        <v>5.447580645161291</v>
      </c>
      <c r="E33" t="n">
        <v>0.1878064516129032</v>
      </c>
      <c r="F33" t="n">
        <v>0.3826774193548387</v>
      </c>
      <c r="G33" t="n">
        <v>0.002548387096774193</v>
      </c>
      <c r="H33" t="n">
        <v>3.173225806451613</v>
      </c>
      <c r="I33" t="n">
        <v>0</v>
      </c>
      <c r="J33" t="n">
        <v>4.355429032258064</v>
      </c>
      <c r="K33" t="n">
        <v>4.355429032258064</v>
      </c>
      <c r="L33" t="n">
        <v>26.59361290322581</v>
      </c>
      <c r="M33" t="n">
        <v>26.59361290322581</v>
      </c>
      <c r="N33" t="n">
        <v>1.958129032258065</v>
      </c>
      <c r="O33" t="n">
        <v>3.372032258064516</v>
      </c>
      <c r="P33" t="inlineStr">
        <is>
          <t>EIA</t>
        </is>
      </c>
      <c r="Q33" t="n">
        <v>0.5730322580645161</v>
      </c>
      <c r="R33" t="n">
        <v>17.85032258064516</v>
      </c>
      <c r="S33" t="n">
        <v>22.20575161290323</v>
      </c>
      <c r="T33" t="n">
        <v>22.20575161290323</v>
      </c>
      <c r="U33" t="n">
        <v>4.387861290322583</v>
      </c>
      <c r="V33" t="n">
        <v>4.387861290322583</v>
      </c>
      <c r="W33" t="n">
        <v>29.96564516129033</v>
      </c>
      <c r="X33" t="n">
        <v>29.96564516129033</v>
      </c>
      <c r="Y33" t="n">
        <v>5.801764516129033</v>
      </c>
      <c r="Z33" t="n">
        <v>5.801764516129033</v>
      </c>
    </row>
    <row r="34">
      <c r="A34" s="8" t="n">
        <v>45170</v>
      </c>
      <c r="B34" t="inlineStr">
        <is>
          <t>Actual</t>
        </is>
      </c>
      <c r="C34" t="n">
        <v>7.155399999999999</v>
      </c>
      <c r="D34" t="n">
        <v>5.445399999999999</v>
      </c>
      <c r="E34" t="n">
        <v>0.1764</v>
      </c>
      <c r="F34" t="n">
        <v>0.3765</v>
      </c>
      <c r="G34" t="n">
        <v>0.002533333333333333</v>
      </c>
      <c r="H34" t="n">
        <v>3.124733333333333</v>
      </c>
      <c r="I34" t="n">
        <v>0</v>
      </c>
      <c r="J34" t="n">
        <v>4.119473333333334</v>
      </c>
      <c r="K34" t="n">
        <v>4.119473333333334</v>
      </c>
      <c r="L34" t="n">
        <v>26.9492</v>
      </c>
      <c r="M34" t="n">
        <v>26.9492</v>
      </c>
      <c r="N34" t="n">
        <v>3.023566666666667</v>
      </c>
      <c r="O34" t="n">
        <v>2.7875</v>
      </c>
      <c r="P34" t="inlineStr">
        <is>
          <t>EIA</t>
        </is>
      </c>
      <c r="Q34" t="n">
        <v>0.5554333333333333</v>
      </c>
      <c r="R34" t="n">
        <v>16.28096666666666</v>
      </c>
      <c r="S34" t="n">
        <v>20.40044</v>
      </c>
      <c r="T34" t="n">
        <v>20.40044</v>
      </c>
      <c r="U34" t="n">
        <v>6.548760000000005</v>
      </c>
      <c r="V34" t="n">
        <v>6.548760000000005</v>
      </c>
      <c r="W34" t="n">
        <v>29.7367</v>
      </c>
      <c r="X34" t="n">
        <v>29.7367</v>
      </c>
      <c r="Y34" t="n">
        <v>6.31269333333334</v>
      </c>
      <c r="Z34" t="n">
        <v>6.31269333333334</v>
      </c>
    </row>
    <row r="35">
      <c r="A35" s="8" t="n">
        <v>45200</v>
      </c>
      <c r="B35" t="inlineStr">
        <is>
          <t>Actual</t>
        </is>
      </c>
      <c r="C35" t="n">
        <v>4.932032258064516</v>
      </c>
      <c r="D35" t="n">
        <v>5.434838709677419</v>
      </c>
      <c r="E35" t="n">
        <v>0.3194516129032258</v>
      </c>
      <c r="F35" t="n">
        <v>0.4662903225806452</v>
      </c>
      <c r="G35" t="n">
        <v>0.002548387096774193</v>
      </c>
      <c r="H35" t="n">
        <v>3.054387096774194</v>
      </c>
      <c r="I35" t="n">
        <v>0</v>
      </c>
      <c r="J35" t="n">
        <v>4.477333225806452</v>
      </c>
      <c r="K35" t="n">
        <v>4.477333225806452</v>
      </c>
      <c r="L35" t="n">
        <v>26.96512903225807</v>
      </c>
      <c r="M35" t="n">
        <v>26.96512903225807</v>
      </c>
      <c r="N35" t="n">
        <v>2.598548387096774</v>
      </c>
      <c r="O35" t="n">
        <v>1.050774193548387</v>
      </c>
      <c r="P35" t="inlineStr">
        <is>
          <t>EIA</t>
        </is>
      </c>
      <c r="Q35" t="n">
        <v>0.7882903225806452</v>
      </c>
      <c r="R35" t="n">
        <v>14.20954838709678</v>
      </c>
      <c r="S35" t="n">
        <v>18.68688161290323</v>
      </c>
      <c r="T35" t="n">
        <v>18.68688161290323</v>
      </c>
      <c r="U35" t="n">
        <v>8.278247419354841</v>
      </c>
      <c r="V35" t="n">
        <v>8.278247419354841</v>
      </c>
      <c r="W35" t="n">
        <v>28.01590322580646</v>
      </c>
      <c r="X35" t="n">
        <v>28.01590322580646</v>
      </c>
      <c r="Y35" t="n">
        <v>6.730473225806455</v>
      </c>
      <c r="Z35" t="n">
        <v>6.730473225806455</v>
      </c>
    </row>
    <row r="36">
      <c r="A36" s="8" t="n">
        <v>45231</v>
      </c>
      <c r="B36" t="inlineStr">
        <is>
          <t>Actual</t>
        </is>
      </c>
      <c r="C36" t="n">
        <v>4.633666666666667</v>
      </c>
      <c r="D36" t="n">
        <v>5.712766666666666</v>
      </c>
      <c r="E36" t="n">
        <v>0.6995</v>
      </c>
      <c r="F36" t="n">
        <v>0.6163</v>
      </c>
      <c r="G36" t="n">
        <v>0.002533333333333333</v>
      </c>
      <c r="H36" t="n">
        <v>2.908766666666667</v>
      </c>
      <c r="I36" t="n">
        <v>0</v>
      </c>
      <c r="J36" t="n">
        <v>4.525462000000001</v>
      </c>
      <c r="K36" t="n">
        <v>4.525462000000001</v>
      </c>
      <c r="L36" t="n">
        <v>27.1668</v>
      </c>
      <c r="M36" t="n">
        <v>27.1668</v>
      </c>
      <c r="N36" t="n">
        <v>1.747533333333333</v>
      </c>
      <c r="O36" t="n">
        <v>1.378966666666667</v>
      </c>
      <c r="P36" t="inlineStr">
        <is>
          <t>EIA</t>
        </is>
      </c>
      <c r="Q36" t="n">
        <v>1.318333333333333</v>
      </c>
      <c r="R36" t="n">
        <v>14.57353333333334</v>
      </c>
      <c r="S36" t="n">
        <v>19.09899533333333</v>
      </c>
      <c r="T36" t="n">
        <v>19.09899533333333</v>
      </c>
      <c r="U36" t="n">
        <v>8.067804666666664</v>
      </c>
      <c r="V36" t="n">
        <v>8.067804666666664</v>
      </c>
      <c r="W36" t="n">
        <v>28.54576666666667</v>
      </c>
      <c r="X36" t="n">
        <v>28.54576666666667</v>
      </c>
      <c r="Y36" t="n">
        <v>7.699237999999998</v>
      </c>
      <c r="Z36" t="n">
        <v>7.699237999999998</v>
      </c>
    </row>
    <row r="37">
      <c r="A37" s="8" t="n">
        <v>45261</v>
      </c>
      <c r="B37" t="inlineStr">
        <is>
          <t>Actual</t>
        </is>
      </c>
      <c r="C37" t="n">
        <v>4.421</v>
      </c>
      <c r="D37" t="n">
        <v>5.817548387096775</v>
      </c>
      <c r="E37" t="n">
        <v>1.020774193548387</v>
      </c>
      <c r="F37" t="n">
        <v>0.7173548387096774</v>
      </c>
      <c r="G37" t="n">
        <v>0.002548387096774193</v>
      </c>
      <c r="H37" t="n">
        <v>2.73416129032258</v>
      </c>
      <c r="I37" t="n">
        <v>0</v>
      </c>
      <c r="J37" t="n">
        <v>4.761295806451613</v>
      </c>
      <c r="K37" t="n">
        <v>4.761295806451613</v>
      </c>
      <c r="L37" t="n">
        <v>27.04570967741936</v>
      </c>
      <c r="M37" t="n">
        <v>27.04570967741936</v>
      </c>
      <c r="N37" t="n">
        <v>1.347290322580645</v>
      </c>
      <c r="O37" t="n">
        <v>1.436451612903226</v>
      </c>
      <c r="P37" t="inlineStr">
        <is>
          <t>EIA</t>
        </is>
      </c>
      <c r="Q37" t="n">
        <v>1.740677419354839</v>
      </c>
      <c r="R37" t="n">
        <v>14.71338709677419</v>
      </c>
      <c r="S37" t="n">
        <v>19.47468290322581</v>
      </c>
      <c r="T37" t="n">
        <v>19.47468290322581</v>
      </c>
      <c r="U37" t="n">
        <v>7.571026774193552</v>
      </c>
      <c r="V37" t="n">
        <v>7.571026774193552</v>
      </c>
      <c r="W37" t="n">
        <v>28.48216129032259</v>
      </c>
      <c r="X37" t="n">
        <v>28.48216129032259</v>
      </c>
      <c r="Y37" t="n">
        <v>7.660188064516134</v>
      </c>
      <c r="Z37" t="n">
        <v>7.660188064516134</v>
      </c>
    </row>
    <row r="38">
      <c r="A38" s="8" t="n">
        <v>45292</v>
      </c>
      <c r="B38" t="inlineStr">
        <is>
          <t>Actual</t>
        </is>
      </c>
      <c r="C38" t="n">
        <v>5.561419354838709</v>
      </c>
      <c r="D38" t="n">
        <v>5.737903225806452</v>
      </c>
      <c r="E38" t="n">
        <v>1.718290322580645</v>
      </c>
      <c r="F38" t="n">
        <v>0.9129677419354839</v>
      </c>
      <c r="G38" t="n">
        <v>0.007419354838709677</v>
      </c>
      <c r="H38" t="n">
        <v>3.045290322580645</v>
      </c>
      <c r="I38" t="n">
        <v>0</v>
      </c>
      <c r="J38" t="n">
        <v>4.002901935483871</v>
      </c>
      <c r="K38" t="n">
        <v>4.002901935483871</v>
      </c>
      <c r="L38" t="n">
        <v>25.127</v>
      </c>
      <c r="M38" t="n">
        <v>25.127</v>
      </c>
      <c r="N38" t="n">
        <v>0.917741935483871</v>
      </c>
      <c r="O38" t="n">
        <v>3.95441935483871</v>
      </c>
      <c r="P38" t="inlineStr">
        <is>
          <t>EIA</t>
        </is>
      </c>
      <c r="Q38" t="n">
        <v>2.638677419354838</v>
      </c>
      <c r="R38" t="n">
        <v>16.98329032258064</v>
      </c>
      <c r="S38" t="n">
        <v>20.98619225806451</v>
      </c>
      <c r="T38" t="n">
        <v>20.98619225806451</v>
      </c>
      <c r="U38" t="n">
        <v>4.140807741935486</v>
      </c>
      <c r="V38" t="n">
        <v>4.140807741935486</v>
      </c>
      <c r="W38" t="n">
        <v>29.08141935483871</v>
      </c>
      <c r="X38" t="n">
        <v>29.08141935483871</v>
      </c>
      <c r="Y38" t="n">
        <v>7.177485161290324</v>
      </c>
      <c r="Z38" t="n">
        <v>7.177485161290324</v>
      </c>
    </row>
    <row r="39">
      <c r="A39" s="8" t="n">
        <v>45323</v>
      </c>
      <c r="B39" t="inlineStr">
        <is>
          <t>Actual</t>
        </is>
      </c>
      <c r="C39" t="n">
        <v>4.008068965517241</v>
      </c>
      <c r="D39" t="n">
        <v>5.536586206896551</v>
      </c>
      <c r="E39" t="n">
        <v>1.097586206896552</v>
      </c>
      <c r="F39" t="n">
        <v>0.764551724137931</v>
      </c>
      <c r="G39" t="n">
        <v>0.007413793103448276</v>
      </c>
      <c r="H39" t="n">
        <v>2.881137931034483</v>
      </c>
      <c r="I39" t="n">
        <v>0</v>
      </c>
      <c r="J39" t="n">
        <v>3.654431724137932</v>
      </c>
      <c r="K39" t="n">
        <v>3.654431724137932</v>
      </c>
      <c r="L39" t="n">
        <v>26.47165517241379</v>
      </c>
      <c r="M39" t="n">
        <v>26.47165517241379</v>
      </c>
      <c r="N39" t="n">
        <v>2.00796551724138</v>
      </c>
      <c r="O39" t="n">
        <v>1.601103448275862</v>
      </c>
      <c r="P39" t="inlineStr">
        <is>
          <t>EIA</t>
        </is>
      </c>
      <c r="Q39" t="n">
        <v>1.869551724137931</v>
      </c>
      <c r="R39" t="n">
        <v>14.29534482758621</v>
      </c>
      <c r="S39" t="n">
        <v>17.94977655172414</v>
      </c>
      <c r="T39" t="n">
        <v>17.94977655172414</v>
      </c>
      <c r="U39" t="n">
        <v>8.521878620689652</v>
      </c>
      <c r="V39" t="n">
        <v>8.521878620689652</v>
      </c>
      <c r="W39" t="n">
        <v>28.07275862068965</v>
      </c>
      <c r="X39" t="n">
        <v>28.07275862068965</v>
      </c>
      <c r="Y39" t="n">
        <v>8.115016551724134</v>
      </c>
      <c r="Z39" t="n">
        <v>8.115016551724134</v>
      </c>
    </row>
    <row r="40">
      <c r="A40" s="8" t="n">
        <v>45352</v>
      </c>
      <c r="B40" t="inlineStr">
        <is>
          <t>Actual</t>
        </is>
      </c>
      <c r="C40" t="n">
        <v>4.475806451612903</v>
      </c>
      <c r="D40" t="n">
        <v>5.56</v>
      </c>
      <c r="E40" t="n">
        <v>0.5969677419354839</v>
      </c>
      <c r="F40" t="n">
        <v>0.5730645161290323</v>
      </c>
      <c r="G40" t="n">
        <v>0.007419354838709677</v>
      </c>
      <c r="H40" t="n">
        <v>2.966548387096774</v>
      </c>
      <c r="I40" t="n">
        <v>0</v>
      </c>
      <c r="J40" t="n">
        <v>3.077456774193548</v>
      </c>
      <c r="K40" t="n">
        <v>3.077456774193548</v>
      </c>
      <c r="L40" t="n">
        <v>26.71183870967742</v>
      </c>
      <c r="M40" t="n">
        <v>26.71183870967742</v>
      </c>
      <c r="N40" t="n">
        <v>2.315548387096774</v>
      </c>
      <c r="O40" t="n">
        <v>1.130161290322581</v>
      </c>
      <c r="P40" t="inlineStr">
        <is>
          <t>EIA</t>
        </is>
      </c>
      <c r="Q40" t="n">
        <v>1.177451612903226</v>
      </c>
      <c r="R40" t="n">
        <v>14.1798064516129</v>
      </c>
      <c r="S40" t="n">
        <v>17.25726322580645</v>
      </c>
      <c r="T40" t="n">
        <v>17.25726322580645</v>
      </c>
      <c r="U40" t="n">
        <v>9.454575483870972</v>
      </c>
      <c r="V40" t="n">
        <v>9.454575483870972</v>
      </c>
      <c r="W40" t="n">
        <v>27.842</v>
      </c>
      <c r="X40" t="n">
        <v>27.842</v>
      </c>
      <c r="Y40" t="n">
        <v>8.269188387096778</v>
      </c>
      <c r="Z40" t="n">
        <v>8.269188387096778</v>
      </c>
    </row>
    <row r="41">
      <c r="A41" s="8" t="n">
        <v>45383</v>
      </c>
      <c r="B41" t="inlineStr">
        <is>
          <t>Actual</t>
        </is>
      </c>
      <c r="C41" t="n">
        <v>4.507533333333334</v>
      </c>
      <c r="D41" t="n">
        <v>5.455</v>
      </c>
      <c r="E41" t="n">
        <v>0.3352</v>
      </c>
      <c r="F41" t="n">
        <v>0.4414666666666666</v>
      </c>
      <c r="G41" t="n">
        <v>0.0074</v>
      </c>
      <c r="H41" t="n">
        <v>3.1878</v>
      </c>
      <c r="I41" t="n">
        <v>0</v>
      </c>
      <c r="J41" t="n">
        <v>2.211428333333334</v>
      </c>
      <c r="K41" t="n">
        <v>2.211428333333334</v>
      </c>
      <c r="L41" t="n">
        <v>26.68763333333333</v>
      </c>
      <c r="M41" t="n">
        <v>26.68763333333333</v>
      </c>
      <c r="N41" t="n">
        <v>2.3053</v>
      </c>
      <c r="O41" t="n">
        <v>1.326766666666667</v>
      </c>
      <c r="P41" t="inlineStr">
        <is>
          <t>EIA</t>
        </is>
      </c>
      <c r="Q41" t="n">
        <v>0.7840666666666666</v>
      </c>
      <c r="R41" t="n">
        <v>13.9344</v>
      </c>
      <c r="S41" t="n">
        <v>16.14582833333333</v>
      </c>
      <c r="T41" t="n">
        <v>16.14582833333333</v>
      </c>
      <c r="U41" t="n">
        <v>10.541805</v>
      </c>
      <c r="V41" t="n">
        <v>10.541805</v>
      </c>
      <c r="W41" t="n">
        <v>28.0144</v>
      </c>
      <c r="X41" t="n">
        <v>28.0144</v>
      </c>
      <c r="Y41" t="n">
        <v>9.563271666666664</v>
      </c>
      <c r="Z41" t="n">
        <v>9.563271666666664</v>
      </c>
    </row>
    <row r="42">
      <c r="A42" s="8" t="n">
        <v>45413</v>
      </c>
      <c r="B42" t="inlineStr">
        <is>
          <t>Actual</t>
        </is>
      </c>
      <c r="C42" t="n">
        <v>6.010064516129032</v>
      </c>
      <c r="D42" t="n">
        <v>5.232161290322581</v>
      </c>
      <c r="E42" t="n">
        <v>0.2444516129032258</v>
      </c>
      <c r="F42" t="n">
        <v>0.4193225806451613</v>
      </c>
      <c r="G42" t="n">
        <v>0.007419354838709677</v>
      </c>
      <c r="H42" t="n">
        <v>3.257677419354839</v>
      </c>
      <c r="I42" t="n">
        <v>0</v>
      </c>
      <c r="J42" t="n">
        <v>4.104940000000001</v>
      </c>
      <c r="K42" t="n">
        <v>4.104940000000001</v>
      </c>
      <c r="L42" t="n">
        <v>27.57170967741936</v>
      </c>
      <c r="M42" t="n">
        <v>27.57170967741936</v>
      </c>
      <c r="N42" t="n">
        <v>1.905258064516129</v>
      </c>
      <c r="O42" t="n">
        <v>1.243225806451613</v>
      </c>
      <c r="P42" t="inlineStr">
        <is>
          <t>EIA</t>
        </is>
      </c>
      <c r="Q42" t="n">
        <v>0.6711935483870969</v>
      </c>
      <c r="R42" t="n">
        <v>15.17109677419355</v>
      </c>
      <c r="S42" t="n">
        <v>19.27603677419355</v>
      </c>
      <c r="T42" t="n">
        <v>19.27603677419355</v>
      </c>
      <c r="U42" t="n">
        <v>8.29567290322581</v>
      </c>
      <c r="V42" t="n">
        <v>8.29567290322581</v>
      </c>
      <c r="W42" t="n">
        <v>28.81493548387097</v>
      </c>
      <c r="X42" t="n">
        <v>28.81493548387097</v>
      </c>
      <c r="Y42" t="n">
        <v>7.633640645161293</v>
      </c>
      <c r="Z42" t="n">
        <v>7.633640645161293</v>
      </c>
    </row>
    <row r="43">
      <c r="A43" s="8" t="n">
        <v>45444</v>
      </c>
      <c r="B43" t="inlineStr">
        <is>
          <t>Actual</t>
        </is>
      </c>
      <c r="C43" t="n">
        <v>6.976733333333334</v>
      </c>
      <c r="D43" t="n">
        <v>5.412633333333333</v>
      </c>
      <c r="E43" t="n">
        <v>0.2411666666666667</v>
      </c>
      <c r="F43" t="n">
        <v>0.4122</v>
      </c>
      <c r="G43" t="n">
        <v>0.0074</v>
      </c>
      <c r="H43" t="n">
        <v>3.117133333333333</v>
      </c>
      <c r="I43" t="n">
        <v>0</v>
      </c>
      <c r="J43" t="n">
        <v>4.706075</v>
      </c>
      <c r="K43" t="n">
        <v>4.706075</v>
      </c>
      <c r="L43" t="n">
        <v>27.7913</v>
      </c>
      <c r="M43" t="n">
        <v>27.7913</v>
      </c>
      <c r="N43" t="n">
        <v>1.550366666666667</v>
      </c>
      <c r="O43" t="n">
        <v>1.3302</v>
      </c>
      <c r="P43" t="inlineStr">
        <is>
          <t>EIA</t>
        </is>
      </c>
      <c r="Q43" t="n">
        <v>0.6607666666666666</v>
      </c>
      <c r="R43" t="n">
        <v>16.16726666666667</v>
      </c>
      <c r="S43" t="n">
        <v>20.87334166666667</v>
      </c>
      <c r="T43" t="n">
        <v>20.87334166666667</v>
      </c>
      <c r="U43" t="n">
        <v>6.917958333333331</v>
      </c>
      <c r="V43" t="n">
        <v>6.917958333333331</v>
      </c>
      <c r="W43" t="n">
        <v>29.1215</v>
      </c>
      <c r="X43" t="n">
        <v>29.1215</v>
      </c>
      <c r="Y43" t="n">
        <v>6.697791666666665</v>
      </c>
      <c r="Z43" t="n">
        <v>6.697791666666665</v>
      </c>
    </row>
    <row r="44">
      <c r="A44" s="8" t="n">
        <v>45474</v>
      </c>
      <c r="B44" t="inlineStr">
        <is>
          <t>Actual</t>
        </is>
      </c>
      <c r="C44" t="n">
        <v>7.261322580645161</v>
      </c>
      <c r="D44" t="n">
        <v>5.511741935483871</v>
      </c>
      <c r="E44" t="n">
        <v>0.2387096774193548</v>
      </c>
      <c r="F44" t="n">
        <v>0.4077096774193548</v>
      </c>
      <c r="G44" t="n">
        <v>0.007419354838709677</v>
      </c>
      <c r="H44" t="n">
        <v>3.147096774193549</v>
      </c>
      <c r="I44" t="n">
        <v>0</v>
      </c>
      <c r="J44" t="n">
        <v>2.888535161290323</v>
      </c>
      <c r="K44" t="n">
        <v>2.888535161290323</v>
      </c>
      <c r="L44" t="n">
        <v>27.72906451612904</v>
      </c>
      <c r="M44" t="n">
        <v>27.72906451612904</v>
      </c>
      <c r="N44" t="n">
        <v>1.135903225806452</v>
      </c>
      <c r="O44" t="n">
        <v>1.670774193548387</v>
      </c>
      <c r="P44" t="inlineStr">
        <is>
          <t>EIA</t>
        </is>
      </c>
      <c r="Q44" t="n">
        <v>0.6538387096774193</v>
      </c>
      <c r="R44" t="n">
        <v>16.574</v>
      </c>
      <c r="S44" t="n">
        <v>19.46253516129033</v>
      </c>
      <c r="T44" t="n">
        <v>19.46253516129033</v>
      </c>
      <c r="U44" t="n">
        <v>8.266529354838713</v>
      </c>
      <c r="V44" t="n">
        <v>8.266529354838713</v>
      </c>
      <c r="W44" t="n">
        <v>29.39983870967743</v>
      </c>
      <c r="X44" t="n">
        <v>29.39983870967743</v>
      </c>
      <c r="Y44" t="n">
        <v>8.801400322580648</v>
      </c>
      <c r="Z44" t="n">
        <v>8.801400322580648</v>
      </c>
    </row>
    <row r="45">
      <c r="A45" s="8" t="n">
        <v>45505</v>
      </c>
      <c r="B45" t="inlineStr">
        <is>
          <t>Actual</t>
        </is>
      </c>
      <c r="C45" t="n">
        <v>8.358483870967742</v>
      </c>
      <c r="D45" t="n">
        <v>5.637741935483871</v>
      </c>
      <c r="E45" t="n">
        <v>0.2118709677419355</v>
      </c>
      <c r="F45" t="n">
        <v>0.3919677419354838</v>
      </c>
      <c r="G45" t="n">
        <v>0.007419354838709677</v>
      </c>
      <c r="H45" t="n">
        <v>3.193548387096774</v>
      </c>
      <c r="I45" t="n">
        <v>0</v>
      </c>
      <c r="J45" t="n">
        <v>4.445793548387096</v>
      </c>
      <c r="K45" t="n">
        <v>4.445793548387096</v>
      </c>
      <c r="L45" t="n">
        <v>27.9198064516129</v>
      </c>
      <c r="M45" t="n">
        <v>27.9198064516129</v>
      </c>
      <c r="N45" t="n">
        <v>1.875322580645161</v>
      </c>
      <c r="O45" t="n">
        <v>3.474741935483871</v>
      </c>
      <c r="P45" t="inlineStr">
        <is>
          <t>EIA</t>
        </is>
      </c>
      <c r="Q45" t="n">
        <v>0.611258064516129</v>
      </c>
      <c r="R45" t="n">
        <v>17.80103225806452</v>
      </c>
      <c r="S45" t="n">
        <v>22.24682580645161</v>
      </c>
      <c r="T45" t="n">
        <v>22.24682580645161</v>
      </c>
      <c r="U45" t="n">
        <v>5.672980645161289</v>
      </c>
      <c r="V45" t="n">
        <v>5.672980645161289</v>
      </c>
      <c r="W45" t="n">
        <v>31.39454838709677</v>
      </c>
      <c r="X45" t="n">
        <v>31.39454838709677</v>
      </c>
      <c r="Y45" t="n">
        <v>7.272399999999998</v>
      </c>
      <c r="Z45" t="n">
        <v>7.272399999999998</v>
      </c>
    </row>
    <row r="46">
      <c r="A46" s="8" t="n">
        <v>45536</v>
      </c>
      <c r="B46" t="inlineStr">
        <is>
          <t>Actual</t>
        </is>
      </c>
      <c r="C46" t="n">
        <v>6.897866666666666</v>
      </c>
      <c r="D46" t="n">
        <v>5.5316</v>
      </c>
      <c r="E46" t="n">
        <v>0.2098333333333333</v>
      </c>
      <c r="F46" t="n">
        <v>0.4142666666666667</v>
      </c>
      <c r="G46" t="n">
        <v>0.0074</v>
      </c>
      <c r="H46" t="n">
        <v>3.0912</v>
      </c>
      <c r="I46" t="n">
        <v>0</v>
      </c>
      <c r="J46" t="n">
        <v>4.636932666666667</v>
      </c>
      <c r="K46" t="n">
        <v>4.636932666666667</v>
      </c>
      <c r="L46" t="n">
        <v>28.2645</v>
      </c>
      <c r="M46" t="n">
        <v>28.2645</v>
      </c>
      <c r="N46" t="n">
        <v>2.5233</v>
      </c>
      <c r="O46" t="n">
        <v>2.227366666666667</v>
      </c>
      <c r="P46" t="inlineStr">
        <is>
          <t>EIA</t>
        </is>
      </c>
      <c r="Q46" t="n">
        <v>0.6315</v>
      </c>
      <c r="R46" t="n">
        <v>16.15216666666667</v>
      </c>
      <c r="S46" t="n">
        <v>20.78909933333333</v>
      </c>
      <c r="T46" t="n">
        <v>20.78909933333333</v>
      </c>
      <c r="U46" t="n">
        <v>7.475400666666669</v>
      </c>
      <c r="V46" t="n">
        <v>7.475400666666669</v>
      </c>
      <c r="W46" t="n">
        <v>30.49186666666667</v>
      </c>
      <c r="X46" t="n">
        <v>30.49186666666667</v>
      </c>
      <c r="Y46" t="n">
        <v>7.179467333333333</v>
      </c>
      <c r="Z46" t="n">
        <v>7.179467333333333</v>
      </c>
    </row>
    <row r="47">
      <c r="A47" s="8" t="n">
        <v>45566</v>
      </c>
      <c r="B47" t="inlineStr">
        <is>
          <t>Actual</t>
        </is>
      </c>
      <c r="C47" t="n">
        <v>5.92516129032258</v>
      </c>
      <c r="D47" t="n">
        <v>5.303709677419355</v>
      </c>
      <c r="E47" t="n">
        <v>0.2420322580645161</v>
      </c>
      <c r="F47" t="n">
        <v>0.4293548387096774</v>
      </c>
      <c r="G47" t="n">
        <v>0.007419354838709677</v>
      </c>
      <c r="H47" t="n">
        <v>2.869387096774194</v>
      </c>
      <c r="I47" t="n">
        <v>0</v>
      </c>
      <c r="J47" t="n">
        <v>4.775289999999999</v>
      </c>
      <c r="K47" t="n">
        <v>4.775289999999999</v>
      </c>
      <c r="L47" t="n">
        <v>28.559</v>
      </c>
      <c r="M47" t="n">
        <v>28.559</v>
      </c>
      <c r="N47" t="n">
        <v>2.784935483870968</v>
      </c>
      <c r="O47" t="n">
        <v>0.9893548387096774</v>
      </c>
      <c r="P47" t="inlineStr">
        <is>
          <t>EIA</t>
        </is>
      </c>
      <c r="Q47" t="n">
        <v>0.6788064516129032</v>
      </c>
      <c r="R47" t="n">
        <v>14.77706451612903</v>
      </c>
      <c r="S47" t="n">
        <v>19.55235451612903</v>
      </c>
      <c r="T47" t="n">
        <v>19.55235451612903</v>
      </c>
      <c r="U47" t="n">
        <v>9.006645483870969</v>
      </c>
      <c r="V47" t="n">
        <v>9.006645483870969</v>
      </c>
      <c r="W47" t="n">
        <v>29.54835483870968</v>
      </c>
      <c r="X47" t="n">
        <v>29.54835483870968</v>
      </c>
      <c r="Y47" t="n">
        <v>7.211064838709678</v>
      </c>
      <c r="Z47" t="n">
        <v>7.211064838709678</v>
      </c>
    </row>
    <row r="48">
      <c r="A48" s="8" t="n">
        <v>45597</v>
      </c>
      <c r="B48" t="inlineStr">
        <is>
          <t>Actual</t>
        </is>
      </c>
      <c r="C48" t="n">
        <v>4.806333333333333</v>
      </c>
      <c r="D48" t="n">
        <v>5.701866666666667</v>
      </c>
      <c r="E48" t="n">
        <v>0.4328666666666667</v>
      </c>
      <c r="F48" t="n">
        <v>0.5004</v>
      </c>
      <c r="G48" t="n">
        <v>0.0074</v>
      </c>
      <c r="H48" t="n">
        <v>2.7428</v>
      </c>
      <c r="I48" t="n">
        <v>0</v>
      </c>
      <c r="J48" t="n">
        <v>4.40033</v>
      </c>
      <c r="K48" t="n">
        <v>4.40033</v>
      </c>
      <c r="L48" t="n">
        <v>28.28536666666666</v>
      </c>
      <c r="M48" t="n">
        <v>28.28536666666666</v>
      </c>
      <c r="N48" t="n">
        <v>1.816766666666667</v>
      </c>
      <c r="O48" t="n">
        <v>1.256833333333333</v>
      </c>
      <c r="P48" t="inlineStr">
        <is>
          <t>EIA</t>
        </is>
      </c>
      <c r="Q48" t="n">
        <v>0.9406666666666667</v>
      </c>
      <c r="R48" t="n">
        <v>14.19166666666667</v>
      </c>
      <c r="S48" t="n">
        <v>18.59199666666667</v>
      </c>
      <c r="T48" t="n">
        <v>18.59199666666667</v>
      </c>
      <c r="U48" t="n">
        <v>9.693369999999994</v>
      </c>
      <c r="V48" t="n">
        <v>9.693369999999994</v>
      </c>
      <c r="W48" t="n">
        <v>29.54219999999999</v>
      </c>
      <c r="X48" t="n">
        <v>29.54219999999999</v>
      </c>
      <c r="Y48" t="n">
        <v>9.133436666666661</v>
      </c>
      <c r="Z48" t="n">
        <v>9.133436666666661</v>
      </c>
    </row>
    <row r="49">
      <c r="A49" s="8" t="n">
        <v>45627</v>
      </c>
      <c r="B49" t="inlineStr">
        <is>
          <t>Actual</t>
        </is>
      </c>
      <c r="C49" t="n">
        <v>4.653419354838709</v>
      </c>
      <c r="D49" t="n">
        <v>6.043483870967742</v>
      </c>
      <c r="E49" t="n">
        <v>0.8987419354838709</v>
      </c>
      <c r="F49" t="n">
        <v>0.681483870967742</v>
      </c>
      <c r="G49" t="n">
        <v>0.007419354838709677</v>
      </c>
      <c r="H49" t="n">
        <v>2.697645161290323</v>
      </c>
      <c r="I49" t="n">
        <v>0</v>
      </c>
      <c r="J49" t="n">
        <v>4.759608064516129</v>
      </c>
      <c r="K49" t="n">
        <v>4.759608064516129</v>
      </c>
      <c r="L49" t="n">
        <v>28.49945161290323</v>
      </c>
      <c r="M49" t="n">
        <v>28.49945161290323</v>
      </c>
      <c r="N49" t="n">
        <v>1.449032258064516</v>
      </c>
      <c r="O49" t="n">
        <v>1.874064516129032</v>
      </c>
      <c r="P49" t="inlineStr">
        <is>
          <t>EIA</t>
        </is>
      </c>
      <c r="Q49" t="n">
        <v>1.587645161290323</v>
      </c>
      <c r="R49" t="n">
        <v>14.9821935483871</v>
      </c>
      <c r="S49" t="n">
        <v>19.74180161290323</v>
      </c>
      <c r="T49" t="n">
        <v>19.74180161290323</v>
      </c>
      <c r="U49" t="n">
        <v>8.757650000000002</v>
      </c>
      <c r="V49" t="n">
        <v>8.757650000000002</v>
      </c>
      <c r="W49" t="n">
        <v>30.37351612903226</v>
      </c>
      <c r="X49" t="n">
        <v>30.37351612903226</v>
      </c>
      <c r="Y49" t="n">
        <v>9.182682258064517</v>
      </c>
      <c r="Z49" t="n">
        <v>9.182682258064517</v>
      </c>
    </row>
    <row r="50">
      <c r="A50" s="8" t="n">
        <v>45658</v>
      </c>
      <c r="B50" t="inlineStr">
        <is>
          <t>Actual</t>
        </is>
      </c>
      <c r="C50" t="n">
        <v>5.869</v>
      </c>
      <c r="D50" t="n">
        <v>5.845741935483871</v>
      </c>
      <c r="E50" t="n">
        <v>2.010354838709677</v>
      </c>
      <c r="F50" t="n">
        <v>1.101387096774194</v>
      </c>
      <c r="G50" t="n">
        <v>0.006193548387096774</v>
      </c>
      <c r="H50" t="n">
        <v>3.12958064516129</v>
      </c>
      <c r="I50" t="n">
        <v>0</v>
      </c>
      <c r="J50" t="n">
        <v>4.154271290322582</v>
      </c>
      <c r="K50" t="n">
        <v>4.154271290322582</v>
      </c>
      <c r="L50" t="n">
        <v>28.24405679752158</v>
      </c>
      <c r="M50" t="n">
        <v>28.24405679752158</v>
      </c>
      <c r="N50" t="n">
        <v>1.033096774193548</v>
      </c>
      <c r="O50" t="n">
        <v>4.680032258064516</v>
      </c>
      <c r="P50" t="inlineStr">
        <is>
          <t>EIA</t>
        </is>
      </c>
      <c r="Q50" t="n">
        <v>3.117935483870968</v>
      </c>
      <c r="R50" t="n">
        <v>17.96225806451613</v>
      </c>
      <c r="S50" t="n">
        <v>22.11652935483871</v>
      </c>
      <c r="T50" t="n">
        <v>22.11652935483871</v>
      </c>
      <c r="U50" t="n">
        <v>6.127527442682869</v>
      </c>
      <c r="V50" t="n">
        <v>6.127527442682869</v>
      </c>
      <c r="W50" t="n">
        <v>32.92408905558609</v>
      </c>
      <c r="X50" t="n">
        <v>32.92408905558609</v>
      </c>
      <c r="Y50" t="n">
        <v>9.774462926553834</v>
      </c>
      <c r="Z50" t="n">
        <v>9.774462926553834</v>
      </c>
    </row>
    <row r="51">
      <c r="A51" s="8" t="n">
        <v>45689</v>
      </c>
      <c r="B51" t="inlineStr">
        <is>
          <t>Actual</t>
        </is>
      </c>
      <c r="C51" t="n">
        <v>5.272785714285715</v>
      </c>
      <c r="D51" t="n">
        <v>5.759535714285715</v>
      </c>
      <c r="E51" t="n">
        <v>1.569142857142857</v>
      </c>
      <c r="F51" t="n">
        <v>0.9613214285714285</v>
      </c>
      <c r="G51" t="n">
        <v>0.006214285714285715</v>
      </c>
      <c r="H51" t="n">
        <v>3.037857142857143</v>
      </c>
      <c r="I51" t="n">
        <v>0</v>
      </c>
      <c r="J51" t="n">
        <v>4.985854642857143</v>
      </c>
      <c r="K51" t="n">
        <v>4.985854642857143</v>
      </c>
      <c r="L51" t="n">
        <v>28.33351354931359</v>
      </c>
      <c r="M51" t="n">
        <v>28.33351354931359</v>
      </c>
      <c r="N51" t="n">
        <v>1.292535714285714</v>
      </c>
      <c r="O51" t="n">
        <v>4.061928571428572</v>
      </c>
      <c r="P51" t="inlineStr">
        <is>
          <t>EIA</t>
        </is>
      </c>
      <c r="Q51" t="n">
        <v>2.536678571428571</v>
      </c>
      <c r="R51" t="n">
        <v>16.60685714285714</v>
      </c>
      <c r="S51" t="n">
        <v>21.59271178571429</v>
      </c>
      <c r="T51" t="n">
        <v>21.59271178571429</v>
      </c>
      <c r="U51" t="n">
        <v>6.740801763599304</v>
      </c>
      <c r="V51" t="n">
        <v>6.740801763599304</v>
      </c>
      <c r="W51" t="n">
        <v>32.39544212074216</v>
      </c>
      <c r="X51" t="n">
        <v>32.39544212074216</v>
      </c>
      <c r="Y51" t="n">
        <v>9.51019462074216</v>
      </c>
      <c r="Z51" t="n">
        <v>9.51019462074216</v>
      </c>
    </row>
    <row r="52">
      <c r="A52" s="8" t="n">
        <v>45717</v>
      </c>
      <c r="B52" t="inlineStr">
        <is>
          <t>Actual</t>
        </is>
      </c>
      <c r="C52" t="n">
        <v>3.69841935483871</v>
      </c>
      <c r="D52" t="n">
        <v>5.697580645161291</v>
      </c>
      <c r="E52" t="n">
        <v>0.5337741935483871</v>
      </c>
      <c r="F52" t="n">
        <v>0.4649354838709677</v>
      </c>
      <c r="G52" t="n">
        <v>0.006193548387096774</v>
      </c>
      <c r="H52" t="n">
        <v>2.864387096774194</v>
      </c>
      <c r="I52" t="n">
        <v>0</v>
      </c>
      <c r="J52" t="n">
        <v>4.598463870967743</v>
      </c>
      <c r="K52" t="n">
        <v>4.598463870967743</v>
      </c>
      <c r="L52" t="n">
        <v>28.42087368859537</v>
      </c>
      <c r="M52" t="n">
        <v>28.42087368859537</v>
      </c>
      <c r="N52" t="n">
        <v>2.661516129032258</v>
      </c>
      <c r="O52" t="n">
        <v>1.247129032258065</v>
      </c>
      <c r="P52" t="inlineStr">
        <is>
          <t>EIA</t>
        </is>
      </c>
      <c r="Q52" t="n">
        <v>1.004903225806452</v>
      </c>
      <c r="R52" t="n">
        <v>13.26529032258065</v>
      </c>
      <c r="S52" t="n">
        <v>17.86375419354839</v>
      </c>
      <c r="T52" t="n">
        <v>17.86375419354839</v>
      </c>
      <c r="U52" t="n">
        <v>10.55711949504698</v>
      </c>
      <c r="V52" t="n">
        <v>10.55711949504698</v>
      </c>
      <c r="W52" t="n">
        <v>29.66800272085344</v>
      </c>
      <c r="X52" t="n">
        <v>29.66800272085344</v>
      </c>
      <c r="Y52" t="n">
        <v>9.142732398272791</v>
      </c>
      <c r="Z52" t="n">
        <v>9.142732398272791</v>
      </c>
    </row>
    <row r="53">
      <c r="A53" s="8" t="n">
        <v>45748</v>
      </c>
      <c r="B53" t="inlineStr">
        <is>
          <t>Actual</t>
        </is>
      </c>
      <c r="C53" t="n">
        <v>4.2876</v>
      </c>
      <c r="D53" t="n">
        <v>5.537833333333333</v>
      </c>
      <c r="E53" t="n">
        <v>0.4167</v>
      </c>
      <c r="F53" t="n">
        <v>0.5441666666666666</v>
      </c>
      <c r="G53" t="n">
        <v>0.0062</v>
      </c>
      <c r="H53" t="n">
        <v>3.252</v>
      </c>
      <c r="I53" t="n">
        <v>0</v>
      </c>
      <c r="J53" t="n">
        <v>4.818890000000001</v>
      </c>
      <c r="K53" t="n">
        <v>4.818890000000001</v>
      </c>
      <c r="L53" t="n">
        <v>28.66872758850139</v>
      </c>
      <c r="M53" t="n">
        <v>28.66872758850139</v>
      </c>
      <c r="N53" t="n">
        <v>2.422766666666667</v>
      </c>
      <c r="O53" t="n">
        <v>1.021366666666667</v>
      </c>
      <c r="P53" t="inlineStr">
        <is>
          <t>EIA</t>
        </is>
      </c>
      <c r="Q53" t="n">
        <v>0.9670666666666665</v>
      </c>
      <c r="R53" t="n">
        <v>14.0445</v>
      </c>
      <c r="S53" t="n">
        <v>18.86339</v>
      </c>
      <c r="T53" t="n">
        <v>18.86339</v>
      </c>
      <c r="U53" t="n">
        <v>9.805337588501391</v>
      </c>
      <c r="V53" t="n">
        <v>9.805337588501391</v>
      </c>
      <c r="W53" t="n">
        <v>29.69009425516806</v>
      </c>
      <c r="X53" t="n">
        <v>29.69009425516806</v>
      </c>
      <c r="Y53" t="n">
        <v>8.403937588501389</v>
      </c>
      <c r="Z53" t="n">
        <v>8.403937588501389</v>
      </c>
    </row>
    <row r="54">
      <c r="A54" s="8" t="n">
        <v>45778</v>
      </c>
      <c r="B54" t="inlineStr">
        <is>
          <t>Actual</t>
        </is>
      </c>
      <c r="C54" t="n">
        <v>5.777741935483871</v>
      </c>
      <c r="D54" t="n">
        <v>5.462096774193548</v>
      </c>
      <c r="E54" t="n">
        <v>0.2829032258064516</v>
      </c>
      <c r="F54" t="n">
        <v>0.4228387096774193</v>
      </c>
      <c r="G54" t="n">
        <v>0.006193548387096774</v>
      </c>
      <c r="H54" t="n">
        <v>3.523838709677419</v>
      </c>
      <c r="I54" t="n">
        <v>0</v>
      </c>
      <c r="J54" t="n">
        <v>4.495722580645161</v>
      </c>
      <c r="K54" t="n">
        <v>4.495722580645161</v>
      </c>
      <c r="L54" t="n">
        <v>28.39991141756023</v>
      </c>
      <c r="M54" t="n">
        <v>28.39991141756023</v>
      </c>
      <c r="N54" t="n">
        <v>2.441677419354839</v>
      </c>
      <c r="O54" t="n">
        <v>0.8430322580645161</v>
      </c>
      <c r="P54" t="inlineStr">
        <is>
          <t>EIA</t>
        </is>
      </c>
      <c r="Q54" t="n">
        <v>0.7119354838709677</v>
      </c>
      <c r="R54" t="n">
        <v>15.47561290322581</v>
      </c>
      <c r="S54" t="n">
        <v>19.97133548387097</v>
      </c>
      <c r="T54" t="n">
        <v>19.97133548387097</v>
      </c>
      <c r="U54" t="n">
        <v>8.428575933689263</v>
      </c>
      <c r="V54" t="n">
        <v>8.428575933689263</v>
      </c>
      <c r="W54" t="n">
        <v>29.24294367562474</v>
      </c>
      <c r="X54" t="n">
        <v>29.24294367562474</v>
      </c>
      <c r="Y54" t="n">
        <v>6.829930772398939</v>
      </c>
      <c r="Z54" t="n">
        <v>6.829930772398939</v>
      </c>
    </row>
    <row r="55">
      <c r="A55" s="8" t="n">
        <v>45809</v>
      </c>
      <c r="B55" t="inlineStr">
        <is>
          <t>Actual</t>
        </is>
      </c>
      <c r="C55" t="n">
        <v>6.4434</v>
      </c>
      <c r="D55" t="n">
        <v>5.411233333333334</v>
      </c>
      <c r="E55" t="n">
        <v>0.2359</v>
      </c>
      <c r="F55" t="n">
        <v>0.419</v>
      </c>
      <c r="G55" t="n">
        <v>0.0062</v>
      </c>
      <c r="H55" t="n">
        <v>3.446133333333333</v>
      </c>
      <c r="I55" t="n">
        <v>0</v>
      </c>
      <c r="J55" t="n">
        <v>4.700261666666668</v>
      </c>
      <c r="K55" t="n">
        <v>4.700261666666668</v>
      </c>
      <c r="L55" t="n">
        <v>28.79030246552894</v>
      </c>
      <c r="M55" t="n">
        <v>28.79030246552894</v>
      </c>
      <c r="N55" t="n">
        <v>2.011666666666667</v>
      </c>
      <c r="O55" t="n">
        <v>0.7972</v>
      </c>
      <c r="P55" t="inlineStr">
        <is>
          <t>EIA</t>
        </is>
      </c>
      <c r="Q55" t="n">
        <v>0.6611</v>
      </c>
      <c r="R55" t="n">
        <v>15.96186666666667</v>
      </c>
      <c r="S55" t="n">
        <v>20.66212833333334</v>
      </c>
      <c r="T55" t="n">
        <v>20.66212833333334</v>
      </c>
      <c r="U55" t="n">
        <v>8.128174132195603</v>
      </c>
      <c r="V55" t="n">
        <v>8.128174132195603</v>
      </c>
      <c r="W55" t="n">
        <v>29.58750246552894</v>
      </c>
      <c r="X55" t="n">
        <v>29.58750246552894</v>
      </c>
      <c r="Y55" t="n">
        <v>6.913707465528937</v>
      </c>
      <c r="Z55" t="n">
        <v>6.913707465528937</v>
      </c>
    </row>
    <row r="56">
      <c r="A56" s="8" t="n">
        <v>45839</v>
      </c>
      <c r="B56" t="inlineStr">
        <is>
          <t>Actual</t>
        </is>
      </c>
      <c r="C56" t="n">
        <v>7.139032258064516</v>
      </c>
      <c r="D56" t="n">
        <v>5.410709677419355</v>
      </c>
      <c r="E56" t="n">
        <v>0.2180645161290322</v>
      </c>
      <c r="F56" t="n">
        <v>0.4039032258064516</v>
      </c>
      <c r="G56" t="n">
        <v>0.006193548387096774</v>
      </c>
      <c r="H56" t="n">
        <v>3.09458064516129</v>
      </c>
      <c r="I56" t="n">
        <v>0</v>
      </c>
      <c r="J56" t="n">
        <v>4.49719935483871</v>
      </c>
      <c r="K56" t="n">
        <v>4.49719935483871</v>
      </c>
      <c r="L56" t="n">
        <v>29.17521868269277</v>
      </c>
      <c r="M56" t="n">
        <v>29.17521868269277</v>
      </c>
      <c r="N56" t="n">
        <v>1.676290322580645</v>
      </c>
      <c r="O56" t="n">
        <v>1.450903225806452</v>
      </c>
      <c r="P56" t="inlineStr">
        <is>
          <t>EIA</t>
        </is>
      </c>
      <c r="Q56" t="n">
        <v>0.6281612903225805</v>
      </c>
      <c r="R56" t="n">
        <v>16.27248387096774</v>
      </c>
      <c r="S56" t="n">
        <v>20.76968322580645</v>
      </c>
      <c r="T56" t="n">
        <v>20.76968322580645</v>
      </c>
      <c r="U56" t="n">
        <v>8.405535456886316</v>
      </c>
      <c r="V56" t="n">
        <v>8.405535456886316</v>
      </c>
      <c r="W56" t="n">
        <v>30.62612190849922</v>
      </c>
      <c r="X56" t="n">
        <v>30.62612190849922</v>
      </c>
      <c r="Y56" t="n">
        <v>8.180148360112124</v>
      </c>
      <c r="Z56" t="n">
        <v>8.180148360112124</v>
      </c>
    </row>
    <row r="57">
      <c r="A57" s="8" t="n">
        <v>45870</v>
      </c>
      <c r="B57" t="inlineStr">
        <is>
          <t>Actual</t>
        </is>
      </c>
      <c r="C57" t="n">
        <v>7.713354838709678</v>
      </c>
      <c r="D57" t="n">
        <v>5.538838709677419</v>
      </c>
      <c r="E57" t="n">
        <v>0.1949677419354839</v>
      </c>
      <c r="F57" t="n">
        <v>0.383</v>
      </c>
      <c r="G57" t="n">
        <v>0.006193548387096774</v>
      </c>
      <c r="H57" t="n">
        <v>3.350290322580645</v>
      </c>
      <c r="I57" t="n">
        <v>0</v>
      </c>
      <c r="J57" t="n">
        <v>4.468156129032257</v>
      </c>
      <c r="K57" t="n">
        <v>4.468156129032257</v>
      </c>
      <c r="L57" t="n">
        <v>29.48895130800512</v>
      </c>
      <c r="M57" t="n">
        <v>29.48895130800512</v>
      </c>
      <c r="N57" t="n">
        <v>1.391838709677419</v>
      </c>
      <c r="O57" t="n">
        <v>1.803870967741935</v>
      </c>
      <c r="P57" t="inlineStr">
        <is>
          <t>EIA</t>
        </is>
      </c>
      <c r="Q57" t="n">
        <v>0.5841612903225807</v>
      </c>
      <c r="R57" t="n">
        <v>17.18664516129033</v>
      </c>
      <c r="S57" t="n">
        <v>21.65480129032258</v>
      </c>
      <c r="T57" t="n">
        <v>21.65480129032258</v>
      </c>
      <c r="U57" t="n">
        <v>7.834150017682539</v>
      </c>
      <c r="V57" t="n">
        <v>7.834150017682539</v>
      </c>
      <c r="W57" t="n">
        <v>31.29282227574706</v>
      </c>
      <c r="X57" t="n">
        <v>31.29282227574706</v>
      </c>
      <c r="Y57" t="n">
        <v>8.246182275747056</v>
      </c>
      <c r="Z57" t="n">
        <v>8.246182275747056</v>
      </c>
    </row>
    <row r="58">
      <c r="A58" s="8" t="n">
        <v>45901</v>
      </c>
      <c r="B58" t="inlineStr">
        <is>
          <t>Actual</t>
        </is>
      </c>
      <c r="C58" t="n">
        <v>6.913966666666666</v>
      </c>
      <c r="D58" t="n">
        <v>5.562266666666666</v>
      </c>
      <c r="E58" t="n">
        <v>0.1994</v>
      </c>
      <c r="F58" t="n">
        <v>0.3982666666666667</v>
      </c>
      <c r="G58" t="n">
        <v>0.0062</v>
      </c>
      <c r="H58" t="n">
        <v>2.949933333333334</v>
      </c>
      <c r="I58" t="n">
        <v>0</v>
      </c>
      <c r="J58" t="n">
        <v>4.724750333333333</v>
      </c>
      <c r="K58" t="n">
        <v>4.724750333333333</v>
      </c>
      <c r="L58" t="n">
        <v>29.45501958725445</v>
      </c>
      <c r="M58" t="n">
        <v>29.45501958725445</v>
      </c>
      <c r="N58" t="n">
        <v>1.689533333333333</v>
      </c>
      <c r="O58" t="n">
        <v>1.2997</v>
      </c>
      <c r="P58" t="inlineStr">
        <is>
          <t>EIA</t>
        </is>
      </c>
      <c r="Q58" t="n">
        <v>0.6038666666666667</v>
      </c>
      <c r="R58" t="n">
        <v>16.03003333333334</v>
      </c>
      <c r="S58" t="n">
        <v>20.75478366666667</v>
      </c>
      <c r="T58" t="n">
        <v>20.75478366666667</v>
      </c>
      <c r="U58" t="n">
        <v>8.700235920587783</v>
      </c>
      <c r="V58" t="n">
        <v>8.700235920587783</v>
      </c>
      <c r="W58" t="n">
        <v>30.75471958725445</v>
      </c>
      <c r="X58" t="n">
        <v>30.75471958725445</v>
      </c>
      <c r="Y58" t="n">
        <v>8.310402587254451</v>
      </c>
      <c r="Z58" t="n">
        <v>8.310402587254451</v>
      </c>
    </row>
    <row r="59">
      <c r="A59" s="8" t="n">
        <v>45931</v>
      </c>
      <c r="B59" t="inlineStr">
        <is>
          <t>Actual</t>
        </is>
      </c>
      <c r="C59" t="n">
        <v>5.629225806451613</v>
      </c>
      <c r="D59" t="n">
        <v>5.351806451612903</v>
      </c>
      <c r="E59" t="n">
        <v>0.2535806451612903</v>
      </c>
      <c r="F59" t="n">
        <v>0.410258064516129</v>
      </c>
      <c r="G59" t="n">
        <v>0.006193548387096774</v>
      </c>
      <c r="H59" t="n">
        <v>2.833483870967742</v>
      </c>
      <c r="I59" t="n">
        <v>0</v>
      </c>
      <c r="J59" t="n">
        <v>5.143850645161292</v>
      </c>
      <c r="K59" t="n">
        <v>5.143850645161292</v>
      </c>
      <c r="L59" t="n">
        <v>29.14146861697209</v>
      </c>
      <c r="M59" t="n">
        <v>29.14146861697209</v>
      </c>
      <c r="N59" t="n">
        <v>2.187</v>
      </c>
      <c r="O59" t="n">
        <v>1.130225806451613</v>
      </c>
      <c r="P59" t="inlineStr">
        <is>
          <t>EIA</t>
        </is>
      </c>
      <c r="Q59" t="n">
        <v>0.6700322580645161</v>
      </c>
      <c r="R59" t="n">
        <v>14.48454838709677</v>
      </c>
      <c r="S59" t="n">
        <v>19.62839903225807</v>
      </c>
      <c r="T59" t="n">
        <v>19.62839903225807</v>
      </c>
      <c r="U59" t="n">
        <v>9.513069584714025</v>
      </c>
      <c r="V59" t="n">
        <v>9.513069584714025</v>
      </c>
      <c r="W59" t="n">
        <v>30.2716944234237</v>
      </c>
      <c r="X59" t="n">
        <v>30.2716944234237</v>
      </c>
      <c r="Y59" t="n">
        <v>8.456295391165638</v>
      </c>
      <c r="Z59" t="n">
        <v>8.456295391165638</v>
      </c>
    </row>
    <row r="60">
      <c r="A60" s="8" t="n">
        <v>45962</v>
      </c>
      <c r="B60" t="inlineStr">
        <is>
          <t>Actual</t>
        </is>
      </c>
      <c r="C60" t="n">
        <v>4.648733333333333</v>
      </c>
      <c r="D60" t="n">
        <v>5.8022</v>
      </c>
      <c r="E60" t="n">
        <v>0.4432</v>
      </c>
      <c r="F60" t="n">
        <v>0.5220333333333333</v>
      </c>
      <c r="G60" t="n">
        <v>0.0062</v>
      </c>
      <c r="H60" t="n">
        <v>2.9201</v>
      </c>
      <c r="I60" t="n">
        <v>0</v>
      </c>
      <c r="J60" t="n">
        <v>5.420533666666667</v>
      </c>
      <c r="K60" t="n">
        <v>5.420533666666667</v>
      </c>
      <c r="L60" t="n">
        <v>29.76337540353552</v>
      </c>
      <c r="M60" t="n">
        <v>29.76337540353552</v>
      </c>
      <c r="N60" t="n">
        <v>2.081066666666667</v>
      </c>
      <c r="O60" t="n">
        <v>1.227233333333333</v>
      </c>
      <c r="P60" t="inlineStr">
        <is>
          <t>EIA</t>
        </is>
      </c>
      <c r="Q60" t="n">
        <v>0.9714333333333334</v>
      </c>
      <c r="R60" t="n">
        <v>14.34246666666666</v>
      </c>
      <c r="S60" t="n">
        <v>19.76300033333333</v>
      </c>
      <c r="T60" t="n">
        <v>19.76300033333333</v>
      </c>
      <c r="U60" t="n">
        <v>10.00037507020219</v>
      </c>
      <c r="V60" t="n">
        <v>10.00037507020219</v>
      </c>
      <c r="W60" t="n">
        <v>30.99060873686885</v>
      </c>
      <c r="X60" t="n">
        <v>30.99060873686885</v>
      </c>
      <c r="Y60" t="n">
        <v>9.146541736868857</v>
      </c>
      <c r="Z60" t="n">
        <v>9.146541736868857</v>
      </c>
    </row>
    <row r="61">
      <c r="A61" s="8" t="n">
        <v>45992</v>
      </c>
      <c r="B61" t="inlineStr">
        <is>
          <t>Actual</t>
        </is>
      </c>
      <c r="C61" t="n">
        <v>4.848451612903226</v>
      </c>
      <c r="D61" t="n">
        <v>5.93</v>
      </c>
      <c r="E61" t="n">
        <v>0.9796451612903225</v>
      </c>
      <c r="F61" t="n">
        <v>0.6952903225806452</v>
      </c>
      <c r="G61" t="n">
        <v>0.006193548387096774</v>
      </c>
      <c r="H61" t="n">
        <v>2.764451612903226</v>
      </c>
      <c r="I61" t="n">
        <v>0</v>
      </c>
      <c r="J61" t="n">
        <v>5.626580000000001</v>
      </c>
      <c r="K61" t="n">
        <v>5.626580000000001</v>
      </c>
      <c r="L61" t="n">
        <v>30.07883555019745</v>
      </c>
      <c r="M61" t="n">
        <v>30.07883555019745</v>
      </c>
      <c r="N61" t="n">
        <v>1.341290322580645</v>
      </c>
      <c r="O61" t="n">
        <v>3.165806451612903</v>
      </c>
      <c r="P61" t="inlineStr">
        <is>
          <t>EIA</t>
        </is>
      </c>
      <c r="Q61" t="n">
        <v>1.681129032258065</v>
      </c>
      <c r="R61" t="n">
        <v>15.22403225806452</v>
      </c>
      <c r="S61" t="n">
        <v>20.85061225806452</v>
      </c>
      <c r="T61" t="n">
        <v>20.85061225806452</v>
      </c>
      <c r="U61" t="n">
        <v>9.228223292132935</v>
      </c>
      <c r="V61" t="n">
        <v>9.228223292132935</v>
      </c>
      <c r="W61" t="n">
        <v>33.24464200181036</v>
      </c>
      <c r="X61" t="n">
        <v>33.24464200181036</v>
      </c>
      <c r="Y61" t="n">
        <v>11.05273942116519</v>
      </c>
      <c r="Z61" t="n">
        <v>11.05273942116519</v>
      </c>
    </row>
    <row r="62">
      <c r="A62" s="8" t="n">
        <v>46023</v>
      </c>
      <c r="B62" t="inlineStr">
        <is>
          <t>Actual</t>
        </is>
      </c>
      <c r="C62" t="n">
        <v>5.437354838709677</v>
      </c>
      <c r="D62" t="n">
        <v>5.787548387096774</v>
      </c>
      <c r="E62" t="n">
        <v>1.498</v>
      </c>
      <c r="F62" t="n">
        <v>0.921258064516129</v>
      </c>
      <c r="G62" t="n">
        <v>0.006193548387096774</v>
      </c>
      <c r="H62" t="n">
        <v>2.873354838709677</v>
      </c>
      <c r="I62" t="n">
        <v>0</v>
      </c>
      <c r="J62" t="n">
        <v>5.1775</v>
      </c>
      <c r="K62" t="n">
        <v>5.1775</v>
      </c>
      <c r="L62" t="n">
        <v>29.03649539097756</v>
      </c>
      <c r="M62" t="n">
        <v>29.03649539097756</v>
      </c>
      <c r="N62" t="n">
        <v>1.035096774193548</v>
      </c>
      <c r="O62" t="n">
        <v>4.671580645161291</v>
      </c>
      <c r="P62" t="inlineStr">
        <is>
          <t>EIA</t>
        </is>
      </c>
      <c r="Q62" t="n">
        <v>2.425451612903226</v>
      </c>
      <c r="R62" t="n">
        <v>16.52370967741935</v>
      </c>
      <c r="S62" t="n">
        <v>21.70120967741936</v>
      </c>
      <c r="T62" t="n">
        <v>21.70120967741936</v>
      </c>
      <c r="U62" t="n">
        <v>7.335285713558203</v>
      </c>
      <c r="V62" t="n">
        <v>7.335285713558203</v>
      </c>
      <c r="W62" t="n">
        <v>33.70807603613885</v>
      </c>
      <c r="X62" t="n">
        <v>33.70807603613885</v>
      </c>
      <c r="Y62" t="n">
        <v>10.97176958452594</v>
      </c>
      <c r="Z62" t="n">
        <v>10.97176958452594</v>
      </c>
    </row>
    <row r="63">
      <c r="A63" s="8" t="n">
        <v>46054</v>
      </c>
      <c r="B63" t="inlineStr">
        <is>
          <t>Actual</t>
        </is>
      </c>
      <c r="C63" t="n">
        <v>4.554392857142857</v>
      </c>
      <c r="D63" t="n">
        <v>5.705857142857143</v>
      </c>
      <c r="E63" t="n">
        <v>1.006357142857143</v>
      </c>
      <c r="F63" t="n">
        <v>0.6013214285714286</v>
      </c>
      <c r="G63" t="n">
        <v>0.006214285714285715</v>
      </c>
      <c r="H63" t="n">
        <v>2.989107142857143</v>
      </c>
      <c r="I63" t="n">
        <v>0</v>
      </c>
      <c r="J63" t="n">
        <v>5.757808214285714</v>
      </c>
      <c r="K63" t="n">
        <v>5.757808214285714</v>
      </c>
      <c r="L63" t="n">
        <v>29.89721649149912</v>
      </c>
      <c r="M63" t="n">
        <v>29.89721649149912</v>
      </c>
      <c r="N63" t="n">
        <v>1.613321428571429</v>
      </c>
      <c r="O63" t="n">
        <v>2.895678571428572</v>
      </c>
      <c r="P63" t="inlineStr">
        <is>
          <t>EIA</t>
        </is>
      </c>
      <c r="Q63" t="n">
        <v>1.613892857142857</v>
      </c>
      <c r="R63" t="n">
        <v>14.86325</v>
      </c>
      <c r="S63" t="n">
        <v>20.62105821428571</v>
      </c>
      <c r="T63" t="n">
        <v>20.62105821428571</v>
      </c>
      <c r="U63" t="n">
        <v>9.276158277213405</v>
      </c>
      <c r="V63" t="n">
        <v>9.276158277213405</v>
      </c>
      <c r="W63" t="n">
        <v>32.79289506292769</v>
      </c>
      <c r="X63" t="n">
        <v>32.79289506292769</v>
      </c>
      <c r="Y63" t="n">
        <v>10.55851542007055</v>
      </c>
      <c r="Z63" t="n">
        <v>10.55851542007055</v>
      </c>
    </row>
    <row r="64">
      <c r="A64" s="8" t="n">
        <v>46082</v>
      </c>
      <c r="B64" t="inlineStr">
        <is>
          <t>Actual</t>
        </is>
      </c>
      <c r="C64" t="n">
        <v>4.129</v>
      </c>
      <c r="D64" t="n">
        <v>5.653225806451613</v>
      </c>
      <c r="E64" t="n">
        <v>0.5390967741935484</v>
      </c>
      <c r="F64" t="n">
        <v>0.5518387096774194</v>
      </c>
      <c r="G64" t="n">
        <v>0.006193548387096774</v>
      </c>
      <c r="H64" t="n">
        <v>2.768580645161291</v>
      </c>
      <c r="I64" t="n">
        <v>0</v>
      </c>
      <c r="J64" t="n">
        <v>5.815642258064516</v>
      </c>
      <c r="K64" t="n">
        <v>5.815642258064516</v>
      </c>
      <c r="L64" t="n">
        <v>30.04411425956394</v>
      </c>
      <c r="M64" t="n">
        <v>30.04411425956394</v>
      </c>
      <c r="N64" t="n">
        <v>2.199451612903226</v>
      </c>
      <c r="O64" t="n">
        <v>1.184516129032258</v>
      </c>
      <c r="P64" t="inlineStr">
        <is>
          <t>EIA</t>
        </is>
      </c>
      <c r="Q64" t="n">
        <v>1.097129032258064</v>
      </c>
      <c r="R64" t="n">
        <v>13.64793548387097</v>
      </c>
      <c r="S64" t="n">
        <v>19.46357774193549</v>
      </c>
      <c r="T64" t="n">
        <v>19.46357774193549</v>
      </c>
      <c r="U64" t="n">
        <v>10.58053651762845</v>
      </c>
      <c r="V64" t="n">
        <v>10.58053651762845</v>
      </c>
      <c r="W64" t="n">
        <v>31.2286303885962</v>
      </c>
      <c r="X64" t="n">
        <v>31.2286303885962</v>
      </c>
      <c r="Y64" t="n">
        <v>9.565601033757485</v>
      </c>
      <c r="Z64" t="n">
        <v>9.565601033757485</v>
      </c>
    </row>
    <row r="65">
      <c r="A65" s="8" t="n">
        <v>46113</v>
      </c>
      <c r="B65" t="inlineStr">
        <is>
          <t>Actual</t>
        </is>
      </c>
      <c r="C65" t="n">
        <v>4.808033333333333</v>
      </c>
      <c r="D65" t="n">
        <v>5.719533333333334</v>
      </c>
      <c r="E65" t="n">
        <v>0.3398</v>
      </c>
      <c r="F65" t="n">
        <v>0.4702333333333333</v>
      </c>
      <c r="G65" t="n">
        <v>0.0062</v>
      </c>
      <c r="H65" t="n">
        <v>2.837666666666667</v>
      </c>
      <c r="I65" t="n">
        <v>0</v>
      </c>
      <c r="J65" t="n">
        <v>5.796038666666668</v>
      </c>
      <c r="K65" t="n">
        <v>5.796038666666668</v>
      </c>
      <c r="L65" t="n">
        <v>30.27805446331141</v>
      </c>
      <c r="M65" t="n">
        <v>30.27805446331141</v>
      </c>
      <c r="N65" t="n">
        <v>2.0877</v>
      </c>
      <c r="O65" t="n">
        <v>1.130866666666666</v>
      </c>
      <c r="P65" t="inlineStr">
        <is>
          <t>EIA</t>
        </is>
      </c>
      <c r="Q65" t="n">
        <v>0.8162333333333333</v>
      </c>
      <c r="R65" t="n">
        <v>14.18146666666667</v>
      </c>
      <c r="S65" t="n">
        <v>19.97750533333333</v>
      </c>
      <c r="T65" t="n">
        <v>19.97750533333333</v>
      </c>
      <c r="U65" t="n">
        <v>10.30054912997808</v>
      </c>
      <c r="V65" t="n">
        <v>10.30054912997808</v>
      </c>
      <c r="W65" t="n">
        <v>31.40892112997808</v>
      </c>
      <c r="X65" t="n">
        <v>31.40892112997808</v>
      </c>
      <c r="Y65" t="n">
        <v>9.343715796644743</v>
      </c>
      <c r="Z65" t="n">
        <v>9.343715796644743</v>
      </c>
    </row>
    <row r="66">
      <c r="A66" s="8" t="n">
        <v>46143</v>
      </c>
      <c r="B66" t="inlineStr">
        <is>
          <t>Actual</t>
        </is>
      </c>
      <c r="C66" t="n">
        <v>5.746419354838709</v>
      </c>
      <c r="D66" t="n">
        <v>5.633806451612903</v>
      </c>
      <c r="E66" t="n">
        <v>0.2309032258064516</v>
      </c>
      <c r="F66" t="n">
        <v>0.3834838709677419</v>
      </c>
      <c r="G66" t="n">
        <v>0.006193548387096774</v>
      </c>
      <c r="H66" t="n">
        <v>3.316451612903226</v>
      </c>
      <c r="I66" t="n">
        <v>0</v>
      </c>
      <c r="J66" t="n">
        <v>5.236957741935484</v>
      </c>
      <c r="K66" t="n">
        <v>5.236957741935484</v>
      </c>
      <c r="L66" t="n">
        <v>30.03561604157672</v>
      </c>
      <c r="M66" t="n">
        <v>30.03561604157672</v>
      </c>
      <c r="N66" t="n">
        <v>2.190806451612903</v>
      </c>
      <c r="O66" t="n">
        <v>1.282838709677419</v>
      </c>
      <c r="P66" t="inlineStr">
        <is>
          <t>EIA</t>
        </is>
      </c>
      <c r="Q66" t="n">
        <v>0.6205806451612902</v>
      </c>
      <c r="R66" t="n">
        <v>15.31725806451613</v>
      </c>
      <c r="S66" t="n">
        <v>20.55421580645162</v>
      </c>
      <c r="T66" t="n">
        <v>20.55421580645162</v>
      </c>
      <c r="U66" t="n">
        <v>9.481400235125104</v>
      </c>
      <c r="V66" t="n">
        <v>9.481400235125104</v>
      </c>
      <c r="W66" t="n">
        <v>31.31845475125414</v>
      </c>
      <c r="X66" t="n">
        <v>31.31845475125414</v>
      </c>
      <c r="Y66" t="n">
        <v>8.573432493189621</v>
      </c>
      <c r="Z66" t="n">
        <v>8.573432493189621</v>
      </c>
    </row>
    <row r="67">
      <c r="A67" s="8" t="n">
        <v>46174</v>
      </c>
      <c r="B67" t="inlineStr">
        <is>
          <t>Actual</t>
        </is>
      </c>
      <c r="C67" t="n">
        <v>6.806066666666666</v>
      </c>
      <c r="D67" t="n">
        <v>5.6723</v>
      </c>
      <c r="E67" t="n">
        <v>0.2417</v>
      </c>
      <c r="F67" t="n">
        <v>0.4054</v>
      </c>
      <c r="G67" t="n">
        <v>0.0062</v>
      </c>
      <c r="H67" t="n">
        <v>3.3545</v>
      </c>
      <c r="I67" t="n">
        <v>0</v>
      </c>
      <c r="J67" t="n">
        <v>5.555875333333335</v>
      </c>
      <c r="K67" t="n">
        <v>5.555875333333335</v>
      </c>
      <c r="L67" t="n">
        <v>30.44816450679276</v>
      </c>
      <c r="M67" t="n">
        <v>30.44816450679276</v>
      </c>
      <c r="N67" t="n">
        <v>1.944366666666667</v>
      </c>
      <c r="O67" t="n">
        <v>1.320233333333333</v>
      </c>
      <c r="P67" t="inlineStr">
        <is>
          <t>EIA</t>
        </is>
      </c>
      <c r="Q67" t="n">
        <v>0.6533</v>
      </c>
      <c r="R67" t="n">
        <v>16.48616666666667</v>
      </c>
      <c r="S67" t="n">
        <v>22.042042</v>
      </c>
      <c r="T67" t="n">
        <v>22.042042</v>
      </c>
      <c r="U67" t="n">
        <v>8.406122506792759</v>
      </c>
      <c r="V67" t="n">
        <v>8.406122506792759</v>
      </c>
      <c r="W67" t="n">
        <v>31.7683978401261</v>
      </c>
      <c r="X67" t="n">
        <v>31.7683978401261</v>
      </c>
      <c r="Y67" t="n">
        <v>7.781989173459427</v>
      </c>
      <c r="Z67" t="n">
        <v>7.781989173459427</v>
      </c>
    </row>
    <row r="68">
      <c r="A68" s="8" t="n">
        <v>46204</v>
      </c>
      <c r="B68" t="inlineStr">
        <is>
          <t>Actual</t>
        </is>
      </c>
      <c r="C68" t="n">
        <v>7.621806451612904</v>
      </c>
      <c r="D68" t="n">
        <v>5.519354838709677</v>
      </c>
      <c r="E68" t="n">
        <v>0.2176451612903226</v>
      </c>
      <c r="F68" t="n">
        <v>0.3741290322580645</v>
      </c>
      <c r="G68" t="n">
        <v>0.006193548387096774</v>
      </c>
      <c r="H68" t="n">
        <v>3.236774193548387</v>
      </c>
      <c r="I68" t="n">
        <v>0</v>
      </c>
      <c r="J68" t="n">
        <v>5.482489032258066</v>
      </c>
      <c r="K68" t="n">
        <v>5.482489032258066</v>
      </c>
      <c r="L68" t="n">
        <v>31.2355644213723</v>
      </c>
      <c r="M68" t="n">
        <v>31.2355644213723</v>
      </c>
      <c r="N68" t="n">
        <v>1.523032258064516</v>
      </c>
      <c r="O68" t="n">
        <v>1.442483870967742</v>
      </c>
      <c r="P68" t="inlineStr">
        <is>
          <t>EIA</t>
        </is>
      </c>
      <c r="Q68" t="n">
        <v>0.5979677419354839</v>
      </c>
      <c r="R68" t="n">
        <v>16.97590322580645</v>
      </c>
      <c r="S68" t="n">
        <v>22.45839225806452</v>
      </c>
      <c r="T68" t="n">
        <v>22.45839225806452</v>
      </c>
      <c r="U68" t="n">
        <v>8.777172163307782</v>
      </c>
      <c r="V68" t="n">
        <v>8.777172163307782</v>
      </c>
      <c r="W68" t="n">
        <v>32.67804829234004</v>
      </c>
      <c r="X68" t="n">
        <v>32.67804829234004</v>
      </c>
      <c r="Y68" t="n">
        <v>8.696623776211011</v>
      </c>
      <c r="Z68" t="n">
        <v>8.696623776211011</v>
      </c>
    </row>
    <row r="69">
      <c r="A69" s="8" t="n">
        <v>46235</v>
      </c>
      <c r="B69" t="inlineStr">
        <is>
          <t>Forecast</t>
        </is>
      </c>
      <c r="C69" t="n">
        <v>8.226357563120109</v>
      </c>
      <c r="D69" t="n">
        <v>5.621485403354847</v>
      </c>
      <c r="E69" t="n">
        <v>0.1779486860462227</v>
      </c>
      <c r="F69" t="n">
        <v>0.3609947179446857</v>
      </c>
      <c r="G69" t="n">
        <v>0.005248137433832125</v>
      </c>
      <c r="H69" t="n">
        <v>3.173172980830327</v>
      </c>
      <c r="I69" t="n">
        <v>0.008863725805226097</v>
      </c>
      <c r="J69" t="n">
        <v>5.887831766063428</v>
      </c>
      <c r="K69" t="n">
        <v>5.887831766063428</v>
      </c>
      <c r="L69" t="n">
        <v>31.28109757745621</v>
      </c>
      <c r="M69" t="n">
        <v>30.87589445028458</v>
      </c>
      <c r="N69" t="n">
        <v>1.741763440860215</v>
      </c>
      <c r="O69" t="n">
        <v>2.883548387096774</v>
      </c>
      <c r="P69" t="inlineStr">
        <is>
          <t>seasonal pattern of Aug/23-Jul/26</t>
        </is>
      </c>
      <c r="Q69" t="n">
        <v>0.5441915414247405</v>
      </c>
      <c r="R69" t="n">
        <v>17.57407121453525</v>
      </c>
      <c r="S69" t="n">
        <v>23.46190298059868</v>
      </c>
      <c r="T69" t="n">
        <v>23.46190298059868</v>
      </c>
      <c r="U69" t="n">
        <v>7.819194596857532</v>
      </c>
      <c r="V69" t="n">
        <v>7.4139914696859</v>
      </c>
      <c r="W69" t="n">
        <v>34.16464596455299</v>
      </c>
      <c r="X69" t="n">
        <v>33.75944283738136</v>
      </c>
      <c r="Y69" t="n">
        <v>8.960979543094094</v>
      </c>
      <c r="Z69" t="n">
        <v>8.555776415922463</v>
      </c>
    </row>
    <row r="70">
      <c r="A70" s="8" t="n">
        <v>46266</v>
      </c>
      <c r="B70" t="inlineStr">
        <is>
          <t>Forecast</t>
        </is>
      </c>
      <c r="C70" t="n">
        <v>6.972881215060556</v>
      </c>
      <c r="D70" t="n">
        <v>5.596456138285548</v>
      </c>
      <c r="E70" t="n">
        <v>0.175046874031219</v>
      </c>
      <c r="F70" t="n">
        <v>0.3698039882017338</v>
      </c>
      <c r="G70" t="n">
        <v>0.005225411877332316</v>
      </c>
      <c r="H70" t="n">
        <v>2.987072935842461</v>
      </c>
      <c r="I70" t="n">
        <v>0.01772745161045225</v>
      </c>
      <c r="J70" t="n">
        <v>6.196107924570369</v>
      </c>
      <c r="K70" t="n">
        <v>6.196107924570369</v>
      </c>
      <c r="L70" t="n">
        <v>31.31724698954871</v>
      </c>
      <c r="M70" t="n">
        <v>30.91204386237709</v>
      </c>
      <c r="N70" t="n">
        <v>2.412133333333333</v>
      </c>
      <c r="O70" t="n">
        <v>2.104855555555555</v>
      </c>
      <c r="P70" t="inlineStr">
        <is>
          <t>seasonal pattern of Aug/23-Jul/26</t>
        </is>
      </c>
      <c r="Q70" t="n">
        <v>0.5500762741102851</v>
      </c>
      <c r="R70" t="n">
        <v>16.1242140149093</v>
      </c>
      <c r="S70" t="n">
        <v>22.32032193947967</v>
      </c>
      <c r="T70" t="n">
        <v>22.32032193947967</v>
      </c>
      <c r="U70" t="n">
        <v>8.996925050069041</v>
      </c>
      <c r="V70" t="n">
        <v>8.59172192289742</v>
      </c>
      <c r="W70" t="n">
        <v>33.42210254510427</v>
      </c>
      <c r="X70" t="n">
        <v>33.01689941793264</v>
      </c>
      <c r="Y70" t="n">
        <v>8.689647272291264</v>
      </c>
      <c r="Z70" t="n">
        <v>8.28444414511964</v>
      </c>
    </row>
    <row r="71">
      <c r="A71" s="8" t="n">
        <v>46296</v>
      </c>
      <c r="B71" t="inlineStr">
        <is>
          <t>Forecast</t>
        </is>
      </c>
      <c r="C71" t="n">
        <v>5.479411440179787</v>
      </c>
      <c r="D71" t="n">
        <v>5.449022447701622</v>
      </c>
      <c r="E71" t="n">
        <v>0.2429498514645628</v>
      </c>
      <c r="F71" t="n">
        <v>0.4048979509691186</v>
      </c>
      <c r="G71" t="n">
        <v>0.005221562593783915</v>
      </c>
      <c r="H71" t="n">
        <v>2.849358403364501</v>
      </c>
      <c r="I71" t="n">
        <v>0.02659117741567835</v>
      </c>
      <c r="J71" t="n">
        <v>6.396777187440785</v>
      </c>
      <c r="K71" t="n">
        <v>6.396777187440785</v>
      </c>
      <c r="L71" t="n">
        <v>31.53641690756494</v>
      </c>
      <c r="M71" t="n">
        <v>30.94471932546564</v>
      </c>
      <c r="N71" t="n">
        <v>2.523494623655914</v>
      </c>
      <c r="O71" t="n">
        <v>1.056784946236559</v>
      </c>
      <c r="P71" t="inlineStr">
        <is>
          <t>seasonal pattern of Aug/23-Jul/26</t>
        </is>
      </c>
      <c r="Q71" t="n">
        <v>0.6530693650274654</v>
      </c>
      <c r="R71" t="n">
        <v>14.45745283368905</v>
      </c>
      <c r="S71" t="n">
        <v>20.85423002112984</v>
      </c>
      <c r="T71" t="n">
        <v>20.85423002112984</v>
      </c>
      <c r="U71" t="n">
        <v>10.6821868864351</v>
      </c>
      <c r="V71" t="n">
        <v>10.0904893043358</v>
      </c>
      <c r="W71" t="n">
        <v>32.5932018538015</v>
      </c>
      <c r="X71" t="n">
        <v>32.0015042717022</v>
      </c>
      <c r="Y71" t="n">
        <v>9.215477209015752</v>
      </c>
      <c r="Z71" t="n">
        <v>8.623779626916452</v>
      </c>
    </row>
    <row r="72">
      <c r="A72" s="8" t="n">
        <v>46327</v>
      </c>
      <c r="B72" t="inlineStr">
        <is>
          <t>Forecast</t>
        </is>
      </c>
      <c r="C72" t="n">
        <v>4.681836989623317</v>
      </c>
      <c r="D72" t="n">
        <v>5.833597724237229</v>
      </c>
      <c r="E72" t="n">
        <v>0.4673572310198874</v>
      </c>
      <c r="F72" t="n">
        <v>0.5073680038436067</v>
      </c>
      <c r="G72" t="n">
        <v>0.005198952112019974</v>
      </c>
      <c r="H72" t="n">
        <v>2.784950506332339</v>
      </c>
      <c r="I72" t="n">
        <v>0.0354549032209045</v>
      </c>
      <c r="J72" t="n">
        <v>6.56437371390203</v>
      </c>
      <c r="K72" t="n">
        <v>6.56437371390203</v>
      </c>
      <c r="L72" t="n">
        <v>31.64860220599815</v>
      </c>
      <c r="M72" t="n">
        <v>30.97073569792525</v>
      </c>
      <c r="N72" t="n">
        <v>1.881788888888889</v>
      </c>
      <c r="O72" t="n">
        <v>1.287677777777778</v>
      </c>
      <c r="P72" t="inlineStr">
        <is>
          <t>seasonal pattern of Aug/23-Jul/26</t>
        </is>
      </c>
      <c r="Q72" t="n">
        <v>0.979924186975514</v>
      </c>
      <c r="R72" t="n">
        <v>14.3157643103893</v>
      </c>
      <c r="S72" t="n">
        <v>20.88013802429133</v>
      </c>
      <c r="T72" t="n">
        <v>20.88013802429133</v>
      </c>
      <c r="U72" t="n">
        <v>10.76846418170681</v>
      </c>
      <c r="V72" t="n">
        <v>10.09059767363392</v>
      </c>
      <c r="W72" t="n">
        <v>32.93627998377593</v>
      </c>
      <c r="X72" t="n">
        <v>32.25841347570303</v>
      </c>
      <c r="Y72" t="n">
        <v>10.1743530705957</v>
      </c>
      <c r="Z72" t="n">
        <v>9.496486562522808</v>
      </c>
    </row>
    <row r="73">
      <c r="A73" s="8" t="n">
        <v>46357</v>
      </c>
      <c r="B73" t="inlineStr">
        <is>
          <t>Forecast</t>
        </is>
      </c>
      <c r="C73" t="n">
        <v>4.625126022211296</v>
      </c>
      <c r="D73" t="n">
        <v>6.031840489538337</v>
      </c>
      <c r="E73" t="n">
        <v>0.8618928708285389</v>
      </c>
      <c r="F73" t="n">
        <v>0.6467795879765276</v>
      </c>
      <c r="G73" t="n">
        <v>0.00519512231997611</v>
      </c>
      <c r="H73" t="n">
        <v>2.658115350636674</v>
      </c>
      <c r="I73" t="n">
        <v>0.0443186290261306</v>
      </c>
      <c r="J73" t="n">
        <v>6.644037038101144</v>
      </c>
      <c r="K73" t="n">
        <v>6.506765360995336</v>
      </c>
      <c r="L73" t="n">
        <v>31.82203171238674</v>
      </c>
      <c r="M73" t="n">
        <v>31.05278802482604</v>
      </c>
      <c r="N73" t="n">
        <v>1.379204301075269</v>
      </c>
      <c r="O73" t="n">
        <v>2.158774193548387</v>
      </c>
      <c r="P73" t="inlineStr">
        <is>
          <t>seasonal pattern of Aug/23-Jul/26</t>
        </is>
      </c>
      <c r="Q73" t="n">
        <v>1.513867581125043</v>
      </c>
      <c r="R73" t="n">
        <v>14.87326807253748</v>
      </c>
      <c r="S73" t="n">
        <v>21.51730511063863</v>
      </c>
      <c r="T73" t="n">
        <v>21.38003343353282</v>
      </c>
      <c r="U73" t="n">
        <v>10.30472660174811</v>
      </c>
      <c r="V73" t="n">
        <v>9.67275459129322</v>
      </c>
      <c r="W73" t="n">
        <v>33.98080590593513</v>
      </c>
      <c r="X73" t="n">
        <v>33.21156221837443</v>
      </c>
      <c r="Y73" t="n">
        <v>11.08429649422123</v>
      </c>
      <c r="Z73" t="n">
        <v>10.45232448376634</v>
      </c>
    </row>
    <row r="74">
      <c r="A74" s="8" t="n">
        <v>46388</v>
      </c>
      <c r="B74" t="inlineStr">
        <is>
          <t>Forecast</t>
        </is>
      </c>
      <c r="C74" t="n">
        <v>5.60152132066198</v>
      </c>
      <c r="D74" t="n">
        <v>5.893686262858893</v>
      </c>
      <c r="E74" t="n">
        <v>1.534636697680467</v>
      </c>
      <c r="F74" t="n">
        <v>0.9017584031775657</v>
      </c>
      <c r="G74" t="n">
        <v>0.006632259070454595</v>
      </c>
      <c r="H74" t="n">
        <v>2.928315042689603</v>
      </c>
      <c r="I74" t="n">
        <v>0.05318235483135669</v>
      </c>
      <c r="J74" t="n">
        <v>6.474365214734835</v>
      </c>
      <c r="K74" t="n">
        <v>6.287332068646613</v>
      </c>
      <c r="L74" t="n">
        <v>31.34480261369272</v>
      </c>
      <c r="M74" t="n">
        <v>31.28670919583861</v>
      </c>
      <c r="N74" t="n">
        <v>0.9953118279569892</v>
      </c>
      <c r="O74" t="n">
        <v>4.435344086021505</v>
      </c>
      <c r="P74" t="inlineStr">
        <is>
          <t>seasonal pattern of Aug/23-Jul/26</t>
        </is>
      </c>
      <c r="Q74" t="n">
        <v>2.443027359928487</v>
      </c>
      <c r="R74" t="n">
        <v>16.91973234097032</v>
      </c>
      <c r="S74" t="n">
        <v>23.39409755570516</v>
      </c>
      <c r="T74" t="n">
        <v>23.20706440961693</v>
      </c>
      <c r="U74" t="n">
        <v>7.950705057987566</v>
      </c>
      <c r="V74" t="n">
        <v>8.079644786221678</v>
      </c>
      <c r="W74" t="n">
        <v>35.78014669971422</v>
      </c>
      <c r="X74" t="n">
        <v>35.72205328186011</v>
      </c>
      <c r="Y74" t="n">
        <v>11.39073731605208</v>
      </c>
      <c r="Z74" t="n">
        <v>11.51967704428619</v>
      </c>
    </row>
    <row r="75">
      <c r="A75" s="8" t="n">
        <v>46419</v>
      </c>
      <c r="B75" t="inlineStr">
        <is>
          <t>Forecast</t>
        </is>
      </c>
      <c r="C75" t="n">
        <v>4.591665770626252</v>
      </c>
      <c r="D75" t="n">
        <v>5.771683468248021</v>
      </c>
      <c r="E75" t="n">
        <v>1.071753433222376</v>
      </c>
      <c r="F75" t="n">
        <v>0.7096739390246209</v>
      </c>
      <c r="G75" t="n">
        <v>0.006626279424245835</v>
      </c>
      <c r="H75" t="n">
        <v>2.878761529187785</v>
      </c>
      <c r="I75" t="n">
        <v>0.06204608063658285</v>
      </c>
      <c r="J75" t="n">
        <v>6.457224532049643</v>
      </c>
      <c r="K75" t="n">
        <v>6.218926987892429</v>
      </c>
      <c r="L75" t="n">
        <v>32.14974562843171</v>
      </c>
      <c r="M75" t="n">
        <v>31.50848350029321</v>
      </c>
      <c r="N75" t="n">
        <v>1.637940886699507</v>
      </c>
      <c r="O75" t="n">
        <v>2.852903530377668</v>
      </c>
      <c r="P75" t="inlineStr">
        <is>
          <t>seasonal pattern of Aug/23-Jul/26</t>
        </is>
      </c>
      <c r="Q75" t="n">
        <v>1.788053651671243</v>
      </c>
      <c r="R75" t="n">
        <v>15.09221050036988</v>
      </c>
      <c r="S75" t="n">
        <v>21.54943503241952</v>
      </c>
      <c r="T75" t="n">
        <v>21.31113748826231</v>
      </c>
      <c r="U75" t="n">
        <v>10.60031059601219</v>
      </c>
      <c r="V75" t="n">
        <v>10.1973460120309</v>
      </c>
      <c r="W75" t="n">
        <v>35.00264915880938</v>
      </c>
      <c r="X75" t="n">
        <v>34.36138703067088</v>
      </c>
      <c r="Y75" t="n">
        <v>11.81527323969035</v>
      </c>
      <c r="Z75" t="n">
        <v>11.41230865570906</v>
      </c>
    </row>
    <row r="76">
      <c r="A76" s="8" t="n">
        <v>46447</v>
      </c>
      <c r="B76" t="inlineStr">
        <is>
          <t>Forecast</t>
        </is>
      </c>
      <c r="C76" t="n">
        <v>4.084302667522916</v>
      </c>
      <c r="D76" t="n">
        <v>5.744850592631705</v>
      </c>
      <c r="E76" t="n">
        <v>0.4915507700236296</v>
      </c>
      <c r="F76" t="n">
        <v>0.4883272060505006</v>
      </c>
      <c r="G76" t="n">
        <v>0.006598675494152</v>
      </c>
      <c r="H76" t="n">
        <v>2.774088603050509</v>
      </c>
      <c r="I76" t="n">
        <v>0.07090980644180894</v>
      </c>
      <c r="J76" t="n">
        <v>6.475045955188901</v>
      </c>
      <c r="K76" t="n">
        <v>6.055831364461786</v>
      </c>
      <c r="L76" t="n">
        <v>32.3263064166282</v>
      </c>
      <c r="M76" t="n">
        <v>31.53777286358666</v>
      </c>
      <c r="N76" t="n">
        <v>2.392172043010753</v>
      </c>
      <c r="O76" t="n">
        <v>1.187268817204301</v>
      </c>
      <c r="P76" t="inlineStr">
        <is>
          <t>seasonal pattern of Aug/23-Jul/26</t>
        </is>
      </c>
      <c r="Q76" t="n">
        <v>0.9864766515682823</v>
      </c>
      <c r="R76" t="n">
        <v>13.66062832121522</v>
      </c>
      <c r="S76" t="n">
        <v>20.13567427640412</v>
      </c>
      <c r="T76" t="n">
        <v>19.71645968567701</v>
      </c>
      <c r="U76" t="n">
        <v>12.19063214022407</v>
      </c>
      <c r="V76" t="n">
        <v>11.82131317790965</v>
      </c>
      <c r="W76" t="n">
        <v>33.5135752338325</v>
      </c>
      <c r="X76" t="n">
        <v>32.72504168079096</v>
      </c>
      <c r="Y76" t="n">
        <v>10.98572891441762</v>
      </c>
      <c r="Z76" t="n">
        <v>10.6164099521032</v>
      </c>
    </row>
    <row r="77">
      <c r="A77" s="8" t="n">
        <v>46478</v>
      </c>
      <c r="B77" t="inlineStr">
        <is>
          <t>Forecast</t>
        </is>
      </c>
      <c r="C77" t="n">
        <v>4.513549912598049</v>
      </c>
      <c r="D77" t="n">
        <v>5.680608138500108</v>
      </c>
      <c r="E77" t="n">
        <v>0.3190816123310472</v>
      </c>
      <c r="F77" t="n">
        <v>0.4440890247278849</v>
      </c>
      <c r="G77" t="n">
        <v>0.006578774034385803</v>
      </c>
      <c r="H77" t="n">
        <v>2.986666029480983</v>
      </c>
      <c r="I77" t="n">
        <v>0.07977353224703504</v>
      </c>
      <c r="J77" t="n">
        <v>6.537792984935101</v>
      </c>
      <c r="K77" t="n">
        <v>5.876437039759936</v>
      </c>
      <c r="L77" t="n">
        <v>32.51242239218128</v>
      </c>
      <c r="M77" t="n">
        <v>32.51242239218128</v>
      </c>
      <c r="N77" t="n">
        <v>2.271922222222222</v>
      </c>
      <c r="O77" t="n">
        <v>1.159666666666667</v>
      </c>
      <c r="P77" t="inlineStr">
        <is>
          <t>seasonal pattern of Aug/23-Jul/26</t>
        </is>
      </c>
      <c r="Q77" t="n">
        <v>0.769749411093318</v>
      </c>
      <c r="R77" t="n">
        <v>14.03034702391949</v>
      </c>
      <c r="S77" t="n">
        <v>20.56814000885459</v>
      </c>
      <c r="T77" t="n">
        <v>19.90678406367943</v>
      </c>
      <c r="U77" t="n">
        <v>11.94428238332668</v>
      </c>
      <c r="V77" t="n">
        <v>12.60563832850185</v>
      </c>
      <c r="W77" t="n">
        <v>33.67208905884794</v>
      </c>
      <c r="X77" t="n">
        <v>33.67208905884794</v>
      </c>
      <c r="Y77" t="n">
        <v>10.83202682777113</v>
      </c>
      <c r="Z77" t="n">
        <v>11.49338277294629</v>
      </c>
    </row>
    <row r="78">
      <c r="A78" s="8" t="n">
        <v>46508</v>
      </c>
      <c r="B78" t="inlineStr">
        <is>
          <t>Forecast</t>
        </is>
      </c>
      <c r="C78" t="n">
        <v>5.815887213640851</v>
      </c>
      <c r="D78" t="n">
        <v>5.552993543365289</v>
      </c>
      <c r="E78" t="n">
        <v>0.2209863247505367</v>
      </c>
      <c r="F78" t="n">
        <v>0.3730742742049455</v>
      </c>
      <c r="G78" t="n">
        <v>0.006565261974022615</v>
      </c>
      <c r="H78" t="n">
        <v>3.246131765669218</v>
      </c>
      <c r="I78" t="n">
        <v>0.08863725805226119</v>
      </c>
      <c r="J78" t="n">
        <v>6.990937874296153</v>
      </c>
      <c r="K78" t="n">
        <v>6.085505681462548</v>
      </c>
      <c r="L78" t="n">
        <v>32.71624278042914</v>
      </c>
      <c r="M78" t="n">
        <v>32.71624278042914</v>
      </c>
      <c r="N78" t="n">
        <v>2.179247311827957</v>
      </c>
      <c r="O78" t="n">
        <v>1.123032258064516</v>
      </c>
      <c r="P78" t="inlineStr">
        <is>
          <t>seasonal pattern of Aug/23-Jul/26</t>
        </is>
      </c>
      <c r="Q78" t="n">
        <v>0.6006258609295048</v>
      </c>
      <c r="R78" t="n">
        <v>15.30427564165712</v>
      </c>
      <c r="S78" t="n">
        <v>22.29521351595328</v>
      </c>
      <c r="T78" t="n">
        <v>21.38978132311967</v>
      </c>
      <c r="U78" t="n">
        <v>10.42102926447587</v>
      </c>
      <c r="V78" t="n">
        <v>11.32646145730947</v>
      </c>
      <c r="W78" t="n">
        <v>33.83927503849366</v>
      </c>
      <c r="X78" t="n">
        <v>33.83927503849366</v>
      </c>
      <c r="Y78" t="n">
        <v>9.364814210712428</v>
      </c>
      <c r="Z78" t="n">
        <v>10.27024640354603</v>
      </c>
    </row>
    <row r="79">
      <c r="A79" s="8" t="n">
        <v>46539</v>
      </c>
      <c r="B79" t="inlineStr">
        <is>
          <t>Forecast</t>
        </is>
      </c>
      <c r="C79" t="n">
        <v>6.706918670559735</v>
      </c>
      <c r="D79" t="n">
        <v>5.614579908845148</v>
      </c>
      <c r="E79" t="n">
        <v>0.2102139365451466</v>
      </c>
      <c r="F79" t="n">
        <v>0.3758789561992053</v>
      </c>
      <c r="G79" t="n">
        <v>0.006545461288696243</v>
      </c>
      <c r="H79" t="n">
        <v>3.183163621523248</v>
      </c>
      <c r="I79" t="n">
        <v>0.09750098385748729</v>
      </c>
      <c r="J79" t="n">
        <v>7.317293769208743</v>
      </c>
      <c r="K79" t="n">
        <v>6.30325612059886</v>
      </c>
      <c r="L79" t="n">
        <v>32.93451173619186</v>
      </c>
      <c r="M79" t="n">
        <v>32.93451173619186</v>
      </c>
      <c r="N79" t="n">
        <v>1.835466666666667</v>
      </c>
      <c r="O79" t="n">
        <v>1.149211111111111</v>
      </c>
      <c r="P79" t="inlineStr">
        <is>
          <t>seasonal pattern of Aug/23-Jul/26</t>
        </is>
      </c>
      <c r="Q79" t="n">
        <v>0.5926383540330482</v>
      </c>
      <c r="R79" t="n">
        <v>16.19480153881867</v>
      </c>
      <c r="S79" t="n">
        <v>23.51209530802741</v>
      </c>
      <c r="T79" t="n">
        <v>22.49805765941753</v>
      </c>
      <c r="U79" t="n">
        <v>9.42241642816445</v>
      </c>
      <c r="V79" t="n">
        <v>10.43645407677433</v>
      </c>
      <c r="W79" t="n">
        <v>34.08372284730297</v>
      </c>
      <c r="X79" t="n">
        <v>34.08372284730297</v>
      </c>
      <c r="Y79" t="n">
        <v>8.736160872608897</v>
      </c>
      <c r="Z79" t="n">
        <v>9.750198521218779</v>
      </c>
    </row>
    <row r="80">
      <c r="A80" s="8" t="n">
        <v>46569</v>
      </c>
      <c r="B80" t="inlineStr">
        <is>
          <t>Forecast</t>
        </is>
      </c>
      <c r="C80" t="n">
        <v>7.299471258702761</v>
      </c>
      <c r="D80" t="n">
        <v>5.600740992260573</v>
      </c>
      <c r="E80" t="n">
        <v>0.1964829098663687</v>
      </c>
      <c r="F80" t="n">
        <v>0.3592145606960728</v>
      </c>
      <c r="G80" t="n">
        <v>0.006532017648957973</v>
      </c>
      <c r="H80" t="n">
        <v>3.037684824395356</v>
      </c>
      <c r="I80" t="n">
        <v>0.1063647096627134</v>
      </c>
      <c r="J80" t="n">
        <v>7.490755317494781</v>
      </c>
      <c r="K80" t="n">
        <v>6.212198295643518</v>
      </c>
      <c r="L80" t="n">
        <v>33.16438630289471</v>
      </c>
      <c r="M80" t="n">
        <v>33.16438630289471</v>
      </c>
      <c r="N80" t="n">
        <v>1.445075268817204</v>
      </c>
      <c r="O80" t="n">
        <v>1.521387096774194</v>
      </c>
      <c r="P80" t="inlineStr">
        <is>
          <t>seasonal pattern of Aug/23-Jul/26</t>
        </is>
      </c>
      <c r="Q80" t="n">
        <v>0.5622294882113995</v>
      </c>
      <c r="R80" t="n">
        <v>16.60649127323281</v>
      </c>
      <c r="S80" t="n">
        <v>24.09724659072759</v>
      </c>
      <c r="T80" t="n">
        <v>22.81868956887632</v>
      </c>
      <c r="U80" t="n">
        <v>9.067139712167126</v>
      </c>
      <c r="V80" t="n">
        <v>10.34569673401839</v>
      </c>
      <c r="W80" t="n">
        <v>34.6857733996689</v>
      </c>
      <c r="X80" t="n">
        <v>34.6857733996689</v>
      </c>
      <c r="Y80" t="n">
        <v>9.143451540124113</v>
      </c>
      <c r="Z80" t="n">
        <v>10.42200856197538</v>
      </c>
    </row>
    <row r="81">
      <c r="A81" s="8" t="n">
        <v>46600</v>
      </c>
      <c r="B81" t="inlineStr">
        <is>
          <t>Forecast</t>
        </is>
      </c>
      <c r="C81" t="n">
        <v>8.193937527388337</v>
      </c>
      <c r="D81" t="n">
        <v>5.666028153285912</v>
      </c>
      <c r="E81" t="n">
        <v>0.172610225464836</v>
      </c>
      <c r="F81" t="n">
        <v>0.3501648764063452</v>
      </c>
      <c r="G81" t="n">
        <v>0.005090693310817161</v>
      </c>
      <c r="H81" t="n">
        <v>3.108901705501792</v>
      </c>
      <c r="I81" t="n">
        <v>0.1152284354679395</v>
      </c>
      <c r="J81" t="n">
        <v>7.99559592769987</v>
      </c>
      <c r="K81" t="n">
        <v>6.457477979402537</v>
      </c>
      <c r="L81" t="n">
        <v>33.39840372909472</v>
      </c>
      <c r="M81" t="n">
        <v>33.39840372909472</v>
      </c>
      <c r="N81" t="n">
        <v>1.741763440860215</v>
      </c>
      <c r="O81" t="n">
        <v>2.883548387096774</v>
      </c>
      <c r="P81" t="inlineStr">
        <is>
          <t>seasonal pattern of Aug/23-Jul/26</t>
        </is>
      </c>
      <c r="Q81" t="n">
        <v>0.5278657951819984</v>
      </c>
      <c r="R81" t="n">
        <v>17.61196161682598</v>
      </c>
      <c r="S81" t="n">
        <v>25.60755754452585</v>
      </c>
      <c r="T81" t="n">
        <v>24.06943959622852</v>
      </c>
      <c r="U81" t="n">
        <v>7.790846184568863</v>
      </c>
      <c r="V81" t="n">
        <v>9.328964132866197</v>
      </c>
      <c r="W81" t="n">
        <v>36.28195211619149</v>
      </c>
      <c r="X81" t="n">
        <v>36.28195211619149</v>
      </c>
      <c r="Y81" t="n">
        <v>8.932631130805422</v>
      </c>
      <c r="Z81" t="n">
        <v>10.47074907910276</v>
      </c>
    </row>
    <row r="82">
      <c r="A82" s="8" t="n">
        <v>46631</v>
      </c>
      <c r="B82" t="inlineStr">
        <is>
          <t>Forecast</t>
        </is>
      </c>
      <c r="C82" t="n">
        <v>6.945401123609252</v>
      </c>
      <c r="D82" t="n">
        <v>5.640800564781621</v>
      </c>
      <c r="E82" t="n">
        <v>0.1697954678102824</v>
      </c>
      <c r="F82" t="n">
        <v>0.3587098685556818</v>
      </c>
      <c r="G82" t="n">
        <v>0.005068649521012347</v>
      </c>
      <c r="H82" t="n">
        <v>2.926571038137624</v>
      </c>
      <c r="I82" t="n">
        <v>0.1240921612731656</v>
      </c>
      <c r="J82" t="n">
        <v>8.695339501376306</v>
      </c>
      <c r="K82" t="n">
        <v>6.990823893421982</v>
      </c>
      <c r="L82" t="n">
        <v>33.63099851262336</v>
      </c>
      <c r="M82" t="n">
        <v>33.63099851262336</v>
      </c>
      <c r="N82" t="n">
        <v>2.412133333333333</v>
      </c>
      <c r="O82" t="n">
        <v>2.104855555555555</v>
      </c>
      <c r="P82" t="inlineStr">
        <is>
          <t>seasonal pattern of Aug/23-Jul/26</t>
        </is>
      </c>
      <c r="Q82" t="n">
        <v>0.5335739858869766</v>
      </c>
      <c r="R82" t="n">
        <v>16.17043887368864</v>
      </c>
      <c r="S82" t="n">
        <v>24.86577837506495</v>
      </c>
      <c r="T82" t="n">
        <v>23.16126276711062</v>
      </c>
      <c r="U82" t="n">
        <v>8.765220137558412</v>
      </c>
      <c r="V82" t="n">
        <v>10.46973574551274</v>
      </c>
      <c r="W82" t="n">
        <v>35.73585406817891</v>
      </c>
      <c r="X82" t="n">
        <v>35.73585406817891</v>
      </c>
      <c r="Y82" t="n">
        <v>8.457942359780631</v>
      </c>
      <c r="Z82" t="n">
        <v>10.16245796773496</v>
      </c>
    </row>
    <row r="83">
      <c r="A83" s="8" t="n">
        <v>46661</v>
      </c>
      <c r="B83" t="inlineStr">
        <is>
          <t>Forecast</t>
        </is>
      </c>
      <c r="C83" t="n">
        <v>5.457817105953894</v>
      </c>
      <c r="D83" t="n">
        <v>5.492198659475094</v>
      </c>
      <c r="E83" t="n">
        <v>0.235661355920626</v>
      </c>
      <c r="F83" t="n">
        <v>0.392751012440045</v>
      </c>
      <c r="G83" t="n">
        <v>0.005064915715970399</v>
      </c>
      <c r="H83" t="n">
        <v>2.791645855212021</v>
      </c>
      <c r="I83" t="n">
        <v>0.1329558870783917</v>
      </c>
      <c r="J83" t="n">
        <v>9.396864497151915</v>
      </c>
      <c r="K83" t="n">
        <v>7.500412653304693</v>
      </c>
      <c r="L83" t="n">
        <v>33.86432455900134</v>
      </c>
      <c r="M83" t="n">
        <v>33.86432455900134</v>
      </c>
      <c r="N83" t="n">
        <v>2.523494623655914</v>
      </c>
      <c r="O83" t="n">
        <v>1.056784946236559</v>
      </c>
      <c r="P83" t="inlineStr">
        <is>
          <t>seasonal pattern of Aug/23-Jul/26</t>
        </is>
      </c>
      <c r="Q83" t="n">
        <v>0.6334772840766415</v>
      </c>
      <c r="R83" t="n">
        <v>14.50809479179604</v>
      </c>
      <c r="S83" t="n">
        <v>23.90495928894796</v>
      </c>
      <c r="T83" t="n">
        <v>22.00850744510073</v>
      </c>
      <c r="U83" t="n">
        <v>9.959365270053382</v>
      </c>
      <c r="V83" t="n">
        <v>11.85581711390061</v>
      </c>
      <c r="W83" t="n">
        <v>34.9211095052379</v>
      </c>
      <c r="X83" t="n">
        <v>34.9211095052379</v>
      </c>
      <c r="Y83" t="n">
        <v>8.49265559263403</v>
      </c>
      <c r="Z83" t="n">
        <v>10.38910743648125</v>
      </c>
    </row>
    <row r="84">
      <c r="A84" s="8" t="n">
        <v>46692</v>
      </c>
      <c r="B84" t="inlineStr">
        <is>
          <t>Forecast</t>
        </is>
      </c>
      <c r="C84" t="n">
        <v>4.663385892484723</v>
      </c>
      <c r="D84" t="n">
        <v>5.879821180492057</v>
      </c>
      <c r="E84" t="n">
        <v>0.4533365140892908</v>
      </c>
      <c r="F84" t="n">
        <v>0.4921469637282985</v>
      </c>
      <c r="G84" t="n">
        <v>0.005042983548659375</v>
      </c>
      <c r="H84" t="n">
        <v>2.728542512866445</v>
      </c>
      <c r="I84" t="n">
        <v>0.1418196128836179</v>
      </c>
      <c r="J84" t="n">
        <v>10.02482796884667</v>
      </c>
      <c r="K84" t="n">
        <v>7.939695001545404</v>
      </c>
      <c r="L84" t="n">
        <v>34.0936053442197</v>
      </c>
      <c r="M84" t="n">
        <v>34.0936053442197</v>
      </c>
      <c r="N84" t="n">
        <v>1.881788888888889</v>
      </c>
      <c r="O84" t="n">
        <v>1.287677777777778</v>
      </c>
      <c r="P84" t="inlineStr">
        <is>
          <t>seasonal pattern of Aug/23-Jul/26</t>
        </is>
      </c>
      <c r="Q84" t="n">
        <v>0.9505264613662487</v>
      </c>
      <c r="R84" t="n">
        <v>14.36409566009309</v>
      </c>
      <c r="S84" t="n">
        <v>24.38892362893976</v>
      </c>
      <c r="T84" t="n">
        <v>22.30379066163849</v>
      </c>
      <c r="U84" t="n">
        <v>9.704681715279932</v>
      </c>
      <c r="V84" t="n">
        <v>11.7898146825812</v>
      </c>
      <c r="W84" t="n">
        <v>35.38128312199748</v>
      </c>
      <c r="X84" t="n">
        <v>35.38128312199748</v>
      </c>
      <c r="Y84" t="n">
        <v>9.110570604168824</v>
      </c>
      <c r="Z84" t="n">
        <v>11.19570357147009</v>
      </c>
    </row>
    <row r="85">
      <c r="A85" s="8" t="n">
        <v>46722</v>
      </c>
      <c r="B85" t="inlineStr">
        <is>
          <t>Forecast</t>
        </is>
      </c>
      <c r="C85" t="n">
        <v>4.606898422723488</v>
      </c>
      <c r="D85" t="n">
        <v>6.079634754447258</v>
      </c>
      <c r="E85" t="n">
        <v>0.8360360847036827</v>
      </c>
      <c r="F85" t="n">
        <v>0.6273762003372318</v>
      </c>
      <c r="G85" t="n">
        <v>0.005039268650376826</v>
      </c>
      <c r="H85" t="n">
        <v>2.604276349552317</v>
      </c>
      <c r="I85" t="n">
        <v>0.150683338688844</v>
      </c>
      <c r="J85" t="n">
        <v>10.18260905034924</v>
      </c>
      <c r="K85" t="n">
        <v>8.077895689745533</v>
      </c>
      <c r="L85" t="n">
        <v>34.31354508796161</v>
      </c>
      <c r="M85" t="n">
        <v>34.31354508796161</v>
      </c>
      <c r="N85" t="n">
        <v>1.379204301075269</v>
      </c>
      <c r="O85" t="n">
        <v>2.158774193548387</v>
      </c>
      <c r="P85" t="inlineStr">
        <is>
          <t>seasonal pattern of Aug/23-Jul/26</t>
        </is>
      </c>
      <c r="Q85" t="n">
        <v>1.468451553691291</v>
      </c>
      <c r="R85" t="n">
        <v>14.9099444191032</v>
      </c>
      <c r="S85" t="n">
        <v>25.09255346945244</v>
      </c>
      <c r="T85" t="n">
        <v>22.98784010884873</v>
      </c>
      <c r="U85" t="n">
        <v>9.220991618509167</v>
      </c>
      <c r="V85" t="n">
        <v>11.32570497911288</v>
      </c>
      <c r="W85" t="n">
        <v>36.47231928151</v>
      </c>
      <c r="X85" t="n">
        <v>36.47231928151</v>
      </c>
      <c r="Y85" t="n">
        <v>10.00056151098229</v>
      </c>
      <c r="Z85" t="n">
        <v>12.105274871586</v>
      </c>
    </row>
    <row r="86">
      <c r="A86" s="8" t="n">
        <v>46753</v>
      </c>
      <c r="B86" t="inlineStr">
        <is>
          <t>Forecast</t>
        </is>
      </c>
      <c r="C86" t="n">
        <v>5.579445751982315</v>
      </c>
      <c r="D86" t="n">
        <v>5.940385840380165</v>
      </c>
      <c r="E86" t="n">
        <v>1.488597596750053</v>
      </c>
      <c r="F86" t="n">
        <v>0.8747056510822386</v>
      </c>
      <c r="G86" t="n">
        <v>0.006433291298340957</v>
      </c>
      <c r="H86" t="n">
        <v>2.869003261234769</v>
      </c>
      <c r="I86" t="n">
        <v>0.1595470644940701</v>
      </c>
      <c r="J86" t="n">
        <v>9.933882743400591</v>
      </c>
      <c r="K86" t="n">
        <v>8.136494845443632</v>
      </c>
      <c r="L86" t="n">
        <v>33.73408061239353</v>
      </c>
      <c r="M86" t="n">
        <v>33.73408061239353</v>
      </c>
      <c r="N86" t="n">
        <v>0.9953118279569892</v>
      </c>
      <c r="O86" t="n">
        <v>4.435344086021505</v>
      </c>
      <c r="P86" t="inlineStr">
        <is>
          <t>seasonal pattern of Aug/23-Jul/26</t>
        </is>
      </c>
      <c r="Q86" t="n">
        <v>2.369736539130633</v>
      </c>
      <c r="R86" t="n">
        <v>16.91811845722195</v>
      </c>
      <c r="S86" t="n">
        <v>26.85200120062254</v>
      </c>
      <c r="T86" t="n">
        <v>25.05461330266558</v>
      </c>
      <c r="U86" t="n">
        <v>6.882079411770984</v>
      </c>
      <c r="V86" t="n">
        <v>8.679467309727944</v>
      </c>
      <c r="W86" t="n">
        <v>38.16942469841503</v>
      </c>
      <c r="X86" t="n">
        <v>38.16942469841503</v>
      </c>
      <c r="Y86" t="n">
        <v>10.3221116698355</v>
      </c>
      <c r="Z86" t="n">
        <v>12.11949956779246</v>
      </c>
    </row>
    <row r="87">
      <c r="A87" s="8" t="n">
        <v>46784</v>
      </c>
      <c r="B87" t="inlineStr">
        <is>
          <t>Forecast</t>
        </is>
      </c>
      <c r="C87" t="n">
        <v>4.573570037829584</v>
      </c>
      <c r="D87" t="n">
        <v>5.817416336869187</v>
      </c>
      <c r="E87" t="n">
        <v>1.039600830225704</v>
      </c>
      <c r="F87" t="n">
        <v>0.6883837208538823</v>
      </c>
      <c r="G87" t="n">
        <v>0.006427491041518459</v>
      </c>
      <c r="H87" t="n">
        <v>2.820453433169897</v>
      </c>
      <c r="I87" t="n">
        <v>0.1684107902992963</v>
      </c>
      <c r="J87" t="n">
        <v>10.05862295544212</v>
      </c>
      <c r="K87" t="n">
        <v>8.296523437905869</v>
      </c>
      <c r="L87" t="n">
        <v>34.59969540182533</v>
      </c>
      <c r="M87" t="n">
        <v>34.59969540182533</v>
      </c>
      <c r="N87" t="n">
        <v>1.637940886699507</v>
      </c>
      <c r="O87" t="n">
        <v>2.852903530377668</v>
      </c>
      <c r="P87" t="inlineStr">
        <is>
          <t>seasonal pattern of Aug/23-Jul/26</t>
        </is>
      </c>
      <c r="Q87" t="n">
        <v>1.734412042121105</v>
      </c>
      <c r="R87" t="n">
        <v>15.11426264028907</v>
      </c>
      <c r="S87" t="n">
        <v>25.17288559573119</v>
      </c>
      <c r="T87" t="n">
        <v>23.41078607819494</v>
      </c>
      <c r="U87" t="n">
        <v>9.426809806094141</v>
      </c>
      <c r="V87" t="n">
        <v>11.18890932363039</v>
      </c>
      <c r="W87" t="n">
        <v>37.452598932203</v>
      </c>
      <c r="X87" t="n">
        <v>37.452598932203</v>
      </c>
      <c r="Y87" t="n">
        <v>10.6417724497723</v>
      </c>
      <c r="Z87" t="n">
        <v>12.40387196730855</v>
      </c>
    </row>
    <row r="88">
      <c r="A88" s="8" t="n">
        <v>46813</v>
      </c>
      <c r="B88" t="inlineStr">
        <is>
          <t>Forecast</t>
        </is>
      </c>
      <c r="C88" t="n">
        <v>4.068206450284062</v>
      </c>
      <c r="D88" t="n">
        <v>5.790370846617636</v>
      </c>
      <c r="E88" t="n">
        <v>0.4768042469229207</v>
      </c>
      <c r="F88" t="n">
        <v>0.4736773898689856</v>
      </c>
      <c r="G88" t="n">
        <v>0.00640071522932744</v>
      </c>
      <c r="H88" t="n">
        <v>2.717900612837081</v>
      </c>
      <c r="I88" t="n">
        <v>0.1772745161045224</v>
      </c>
      <c r="J88" t="n">
        <v>9.974197376981069</v>
      </c>
      <c r="K88" t="n">
        <v>8.318737297851872</v>
      </c>
      <c r="L88" t="n">
        <v>34.79017118914386</v>
      </c>
      <c r="M88" t="n">
        <v>34.79017118914386</v>
      </c>
      <c r="N88" t="n">
        <v>2.392172043010753</v>
      </c>
      <c r="O88" t="n">
        <v>1.187268817204301</v>
      </c>
      <c r="P88" t="inlineStr">
        <is>
          <t>seasonal pattern of Aug/23-Jul/26</t>
        </is>
      </c>
      <c r="Q88" t="n">
        <v>0.9568823520212337</v>
      </c>
      <c r="R88" t="n">
        <v>13.71063477786453</v>
      </c>
      <c r="S88" t="n">
        <v>23.6848321548456</v>
      </c>
      <c r="T88" t="n">
        <v>22.02937207571641</v>
      </c>
      <c r="U88" t="n">
        <v>11.10533903429826</v>
      </c>
      <c r="V88" t="n">
        <v>12.76079911342746</v>
      </c>
      <c r="W88" t="n">
        <v>35.97744000634816</v>
      </c>
      <c r="X88" t="n">
        <v>35.97744000634816</v>
      </c>
      <c r="Y88" t="n">
        <v>9.900435808491807</v>
      </c>
      <c r="Z88" t="n">
        <v>11.555895887621</v>
      </c>
    </row>
    <row r="89">
      <c r="A89" s="8" t="n">
        <v>46844</v>
      </c>
      <c r="B89" t="inlineStr">
        <is>
          <t>Forecast</t>
        </is>
      </c>
      <c r="C89" t="n">
        <v>4.495762034023503</v>
      </c>
      <c r="D89" t="n">
        <v>5.725619356997369</v>
      </c>
      <c r="E89" t="n">
        <v>0.3095091639611158</v>
      </c>
      <c r="F89" t="n">
        <v>0.4307663539860483</v>
      </c>
      <c r="G89" t="n">
        <v>0.00638141081335423</v>
      </c>
      <c r="H89" t="n">
        <v>2.926172373492231</v>
      </c>
      <c r="I89" t="n">
        <v>0.1861382419097485</v>
      </c>
      <c r="J89" t="n">
        <v>9.851180955530085</v>
      </c>
      <c r="K89" t="n">
        <v>8.421173993027676</v>
      </c>
      <c r="L89" t="n">
        <v>34.99107076113182</v>
      </c>
      <c r="M89" t="n">
        <v>34.99107076113182</v>
      </c>
      <c r="N89" t="n">
        <v>2.271922222222222</v>
      </c>
      <c r="O89" t="n">
        <v>1.159666666666667</v>
      </c>
      <c r="P89" t="inlineStr">
        <is>
          <t>seasonal pattern of Aug/23-Jul/26</t>
        </is>
      </c>
      <c r="Q89" t="n">
        <v>0.7466569287605183</v>
      </c>
      <c r="R89" t="n">
        <v>14.08034893518337</v>
      </c>
      <c r="S89" t="n">
        <v>23.93152989071346</v>
      </c>
      <c r="T89" t="n">
        <v>22.50152292821105</v>
      </c>
      <c r="U89" t="n">
        <v>11.05954087041837</v>
      </c>
      <c r="V89" t="n">
        <v>12.48954783292078</v>
      </c>
      <c r="W89" t="n">
        <v>36.15073742779849</v>
      </c>
      <c r="X89" t="n">
        <v>36.15073742779849</v>
      </c>
      <c r="Y89" t="n">
        <v>9.94728531486281</v>
      </c>
      <c r="Z89" t="n">
        <v>11.37729227736522</v>
      </c>
    </row>
    <row r="90">
      <c r="A90" s="8" t="n">
        <v>46874</v>
      </c>
      <c r="B90" t="inlineStr">
        <is>
          <t>Forecast</t>
        </is>
      </c>
      <c r="C90" t="n">
        <v>5.792966830004294</v>
      </c>
      <c r="D90" t="n">
        <v>5.596993586952225</v>
      </c>
      <c r="E90" t="n">
        <v>0.2143567350080206</v>
      </c>
      <c r="F90" t="n">
        <v>0.3618820459787971</v>
      </c>
      <c r="G90" t="n">
        <v>0.006368304114801937</v>
      </c>
      <c r="H90" t="n">
        <v>3.180382741041686</v>
      </c>
      <c r="I90" t="n">
        <v>0.1950019677149746</v>
      </c>
      <c r="J90" t="n">
        <v>10.37861337246806</v>
      </c>
      <c r="K90" t="n">
        <v>9.038091287529499</v>
      </c>
      <c r="L90" t="n">
        <v>35.21107507190299</v>
      </c>
      <c r="M90" t="n">
        <v>35.21107507190299</v>
      </c>
      <c r="N90" t="n">
        <v>2.179247311827957</v>
      </c>
      <c r="O90" t="n">
        <v>1.123032258064516</v>
      </c>
      <c r="P90" t="inlineStr">
        <is>
          <t>seasonal pattern of Aug/23-Jul/26</t>
        </is>
      </c>
      <c r="Q90" t="n">
        <v>0.5826070851016196</v>
      </c>
      <c r="R90" t="n">
        <v>15.3479522108148</v>
      </c>
      <c r="S90" t="n">
        <v>25.72656558328286</v>
      </c>
      <c r="T90" t="n">
        <v>24.3860434983443</v>
      </c>
      <c r="U90" t="n">
        <v>9.484509488620127</v>
      </c>
      <c r="V90" t="n">
        <v>10.82503157355869</v>
      </c>
      <c r="W90" t="n">
        <v>36.33410732996751</v>
      </c>
      <c r="X90" t="n">
        <v>36.33410732996751</v>
      </c>
      <c r="Y90" t="n">
        <v>8.428294434856689</v>
      </c>
      <c r="Z90" t="n">
        <v>9.768816519795251</v>
      </c>
    </row>
    <row r="91">
      <c r="A91" s="8" t="n">
        <v>46905</v>
      </c>
      <c r="B91" t="inlineStr">
        <is>
          <t>Forecast</t>
        </is>
      </c>
      <c r="C91" t="n">
        <v>6.680486736221694</v>
      </c>
      <c r="D91" t="n">
        <v>5.659067941972197</v>
      </c>
      <c r="E91" t="n">
        <v>0.2039075184487922</v>
      </c>
      <c r="F91" t="n">
        <v>0.3646025875132291</v>
      </c>
      <c r="G91" t="n">
        <v>0.006349097450035356</v>
      </c>
      <c r="H91" t="n">
        <v>3.118689989997127</v>
      </c>
      <c r="I91" t="n">
        <v>0.2038656935202007</v>
      </c>
      <c r="J91" t="n">
        <v>10.77479381700417</v>
      </c>
      <c r="K91" t="n">
        <v>9.401343619032692</v>
      </c>
      <c r="L91" t="n">
        <v>35.44668340469384</v>
      </c>
      <c r="M91" t="n">
        <v>35.44668340469384</v>
      </c>
      <c r="N91" t="n">
        <v>1.835466666666667</v>
      </c>
      <c r="O91" t="n">
        <v>1.149211111111111</v>
      </c>
      <c r="P91" t="inlineStr">
        <is>
          <t>seasonal pattern of Aug/23-Jul/26</t>
        </is>
      </c>
      <c r="Q91" t="n">
        <v>0.5748592034120567</v>
      </c>
      <c r="R91" t="n">
        <v>16.23696956512327</v>
      </c>
      <c r="S91" t="n">
        <v>27.01176338212744</v>
      </c>
      <c r="T91" t="n">
        <v>25.63831318415597</v>
      </c>
      <c r="U91" t="n">
        <v>8.434920022566399</v>
      </c>
      <c r="V91" t="n">
        <v>9.808370220537874</v>
      </c>
      <c r="W91" t="n">
        <v>36.59589451580496</v>
      </c>
      <c r="X91" t="n">
        <v>36.59589451580496</v>
      </c>
      <c r="Y91" t="n">
        <v>7.748664467010846</v>
      </c>
      <c r="Z91" t="n">
        <v>9.122114664982321</v>
      </c>
    </row>
    <row r="92">
      <c r="A92" s="8" t="n">
        <v>46935</v>
      </c>
      <c r="B92" t="inlineStr">
        <is>
          <t>Forecast</t>
        </is>
      </c>
      <c r="C92" t="n">
        <v>7.270704077454631</v>
      </c>
      <c r="D92" t="n">
        <v>5.645119370491004</v>
      </c>
      <c r="E92" t="n">
        <v>0.1905884225703777</v>
      </c>
      <c r="F92" t="n">
        <v>0.3484381238751906</v>
      </c>
      <c r="G92" t="n">
        <v>0.006336057119489233</v>
      </c>
      <c r="H92" t="n">
        <v>2.976157804314989</v>
      </c>
      <c r="I92" t="n">
        <v>0.2127294193254269</v>
      </c>
      <c r="J92" t="n">
        <v>10.78008861771616</v>
      </c>
      <c r="K92" t="n">
        <v>9.2793339875364</v>
      </c>
      <c r="L92" t="n">
        <v>35.69475987330169</v>
      </c>
      <c r="M92" t="n">
        <v>35.69475987330169</v>
      </c>
      <c r="N92" t="n">
        <v>1.445075268817204</v>
      </c>
      <c r="O92" t="n">
        <v>1.521387096774194</v>
      </c>
      <c r="P92" t="inlineStr">
        <is>
          <t>seasonal pattern of Aug/23-Jul/26</t>
        </is>
      </c>
      <c r="Q92" t="n">
        <v>0.5453626035650575</v>
      </c>
      <c r="R92" t="n">
        <v>16.65007327515111</v>
      </c>
      <c r="S92" t="n">
        <v>27.43016189286726</v>
      </c>
      <c r="T92" t="n">
        <v>25.92940726268751</v>
      </c>
      <c r="U92" t="n">
        <v>8.264597980434427</v>
      </c>
      <c r="V92" t="n">
        <v>9.765352610614183</v>
      </c>
      <c r="W92" t="n">
        <v>37.21614697007588</v>
      </c>
      <c r="X92" t="n">
        <v>37.21614697007588</v>
      </c>
      <c r="Y92" t="n">
        <v>8.340909808391414</v>
      </c>
      <c r="Z92" t="n">
        <v>9.84166443857117</v>
      </c>
    </row>
    <row r="93">
      <c r="A93" s="8" t="n">
        <v>46966</v>
      </c>
      <c r="B93" t="inlineStr">
        <is>
          <t>Forecast</t>
        </is>
      </c>
      <c r="C93" t="n">
        <v>8.161645258862009</v>
      </c>
      <c r="D93" t="n">
        <v>5.710923844909262</v>
      </c>
      <c r="E93" t="n">
        <v>0.1674319187008909</v>
      </c>
      <c r="F93" t="n">
        <v>0.3396599301141548</v>
      </c>
      <c r="G93" t="n">
        <v>0.004937972511492646</v>
      </c>
      <c r="H93" t="n">
        <v>3.045932217645074</v>
      </c>
      <c r="I93" t="n">
        <v>0.221593145130653</v>
      </c>
      <c r="J93" t="n">
        <v>11.27506783682496</v>
      </c>
      <c r="K93" t="n">
        <v>9.796097482933424</v>
      </c>
      <c r="L93" t="n">
        <v>35.94722820096002</v>
      </c>
      <c r="M93" t="n">
        <v>35.94722820096002</v>
      </c>
      <c r="N93" t="n">
        <v>1.741763440860215</v>
      </c>
      <c r="O93" t="n">
        <v>2.883548387096774</v>
      </c>
      <c r="P93" t="inlineStr">
        <is>
          <t>seasonal pattern of Aug/23-Jul/26</t>
        </is>
      </c>
      <c r="Q93" t="n">
        <v>0.5120298213265384</v>
      </c>
      <c r="R93" t="n">
        <v>17.65212428787354</v>
      </c>
      <c r="S93" t="n">
        <v>28.9271921246985</v>
      </c>
      <c r="T93" t="n">
        <v>27.44822177080697</v>
      </c>
      <c r="U93" t="n">
        <v>7.020036076261519</v>
      </c>
      <c r="V93" t="n">
        <v>8.499006430153052</v>
      </c>
      <c r="W93" t="n">
        <v>38.83077658805679</v>
      </c>
      <c r="X93" t="n">
        <v>38.83077658805679</v>
      </c>
      <c r="Y93" t="n">
        <v>8.161821022498078</v>
      </c>
      <c r="Z93" t="n">
        <v>9.640791376389611</v>
      </c>
    </row>
    <row r="94">
      <c r="A94" s="8" t="n">
        <v>46997</v>
      </c>
      <c r="B94" t="inlineStr">
        <is>
          <t>Forecast</t>
        </is>
      </c>
      <c r="C94" t="n">
        <v>6.918029331066658</v>
      </c>
      <c r="D94" t="n">
        <v>5.685496361522128</v>
      </c>
      <c r="E94" t="n">
        <v>0.1647016037759739</v>
      </c>
      <c r="F94" t="n">
        <v>0.3479485724990113</v>
      </c>
      <c r="G94" t="n">
        <v>0.004916590035381976</v>
      </c>
      <c r="H94" t="n">
        <v>2.867294580756646</v>
      </c>
      <c r="I94" t="n">
        <v>0.2304568709358791</v>
      </c>
      <c r="J94" t="n">
        <v>12.09451430971443</v>
      </c>
      <c r="K94" t="n">
        <v>10.49639681199225</v>
      </c>
      <c r="L94" t="n">
        <v>36.1981811852821</v>
      </c>
      <c r="M94" t="n">
        <v>36.1981811852821</v>
      </c>
      <c r="N94" t="n">
        <v>2.412133333333333</v>
      </c>
      <c r="O94" t="n">
        <v>2.104855555555555</v>
      </c>
      <c r="P94" t="inlineStr">
        <is>
          <t>seasonal pattern of Aug/23-Jul/26</t>
        </is>
      </c>
      <c r="Q94" t="n">
        <v>0.5175667663103672</v>
      </c>
      <c r="R94" t="n">
        <v>16.21884391059168</v>
      </c>
      <c r="S94" t="n">
        <v>28.31335822030611</v>
      </c>
      <c r="T94" t="n">
        <v>26.71524072258393</v>
      </c>
      <c r="U94" t="n">
        <v>7.884822964975996</v>
      </c>
      <c r="V94" t="n">
        <v>9.482940462698174</v>
      </c>
      <c r="W94" t="n">
        <v>38.30303674083765</v>
      </c>
      <c r="X94" t="n">
        <v>38.30303674083765</v>
      </c>
      <c r="Y94" t="n">
        <v>7.577545187198215</v>
      </c>
      <c r="Z94" t="n">
        <v>9.175662684920393</v>
      </c>
    </row>
    <row r="95">
      <c r="A95" s="8" t="n">
        <v>47027</v>
      </c>
      <c r="B95" t="inlineStr">
        <is>
          <t>Forecast</t>
        </is>
      </c>
      <c r="C95" t="n">
        <v>5.436307874895696</v>
      </c>
      <c r="D95" t="n">
        <v>5.535716984954465</v>
      </c>
      <c r="E95" t="n">
        <v>0.2285915152430072</v>
      </c>
      <c r="F95" t="n">
        <v>0.3809684820668436</v>
      </c>
      <c r="G95" t="n">
        <v>0.004912968244491286</v>
      </c>
      <c r="H95" t="n">
        <v>2.73510225028912</v>
      </c>
      <c r="I95" t="n">
        <v>0.2393205967411053</v>
      </c>
      <c r="J95" t="n">
        <v>12.69228003083021</v>
      </c>
      <c r="K95" t="n">
        <v>11.02796803524681</v>
      </c>
      <c r="L95" t="n">
        <v>36.4497772919081</v>
      </c>
      <c r="M95" t="n">
        <v>36.4497772919081</v>
      </c>
      <c r="N95" t="n">
        <v>2.523494623655914</v>
      </c>
      <c r="O95" t="n">
        <v>1.056784946236559</v>
      </c>
      <c r="P95" t="inlineStr">
        <is>
          <t>seasonal pattern of Aug/23-Jul/26</t>
        </is>
      </c>
      <c r="Q95" t="n">
        <v>0.6144729655543421</v>
      </c>
      <c r="R95" t="n">
        <v>14.56092067243473</v>
      </c>
      <c r="S95" t="n">
        <v>27.25320070326494</v>
      </c>
      <c r="T95" t="n">
        <v>25.58888870768154</v>
      </c>
      <c r="U95" t="n">
        <v>9.196576588643154</v>
      </c>
      <c r="V95" t="n">
        <v>10.86088858422656</v>
      </c>
      <c r="W95" t="n">
        <v>37.50656223814466</v>
      </c>
      <c r="X95" t="n">
        <v>37.50656223814466</v>
      </c>
      <c r="Y95" t="n">
        <v>7.729866911223802</v>
      </c>
      <c r="Z95" t="n">
        <v>9.394178906807209</v>
      </c>
    </row>
    <row r="96">
      <c r="A96" s="8" t="n">
        <v>47058</v>
      </c>
      <c r="B96" t="inlineStr">
        <is>
          <t>Forecast</t>
        </is>
      </c>
      <c r="C96" t="n">
        <v>4.645007511031529</v>
      </c>
      <c r="D96" t="n">
        <v>5.926410895787899</v>
      </c>
      <c r="E96" t="n">
        <v>0.4397364186666121</v>
      </c>
      <c r="F96" t="n">
        <v>0.4773825548164495</v>
      </c>
      <c r="G96" t="n">
        <v>0.004891694042199594</v>
      </c>
      <c r="H96" t="n">
        <v>2.67327703942725</v>
      </c>
      <c r="I96" t="n">
        <v>0.2481843225463314</v>
      </c>
      <c r="J96" t="n">
        <v>13.09400310968609</v>
      </c>
      <c r="K96" t="n">
        <v>11.51170200700679</v>
      </c>
      <c r="L96" t="n">
        <v>36.69687435930132</v>
      </c>
      <c r="M96" t="n">
        <v>36.69687435930132</v>
      </c>
      <c r="N96" t="n">
        <v>1.881788888888889</v>
      </c>
      <c r="O96" t="n">
        <v>1.287677777777778</v>
      </c>
      <c r="P96" t="inlineStr">
        <is>
          <t>seasonal pattern of Aug/23-Jul/26</t>
        </is>
      </c>
      <c r="Q96" t="n">
        <v>0.9220106675252612</v>
      </c>
      <c r="R96" t="n">
        <v>14.41489043631827</v>
      </c>
      <c r="S96" t="n">
        <v>27.50889354600436</v>
      </c>
      <c r="T96" t="n">
        <v>25.92659244332506</v>
      </c>
      <c r="U96" t="n">
        <v>9.18798081329696</v>
      </c>
      <c r="V96" t="n">
        <v>10.77028191597626</v>
      </c>
      <c r="W96" t="n">
        <v>37.9845521370791</v>
      </c>
      <c r="X96" t="n">
        <v>37.9845521370791</v>
      </c>
      <c r="Y96" t="n">
        <v>8.593869702185852</v>
      </c>
      <c r="Z96" t="n">
        <v>10.17617080486515</v>
      </c>
    </row>
    <row r="97">
      <c r="A97" s="8" t="n">
        <v>47088</v>
      </c>
      <c r="B97" t="inlineStr">
        <is>
          <t>Forecast</t>
        </is>
      </c>
      <c r="C97" t="n">
        <v>4.588742658117908</v>
      </c>
      <c r="D97" t="n">
        <v>6.127807724953939</v>
      </c>
      <c r="E97" t="n">
        <v>0.8109550021625722</v>
      </c>
      <c r="F97" t="n">
        <v>0.6085549143271148</v>
      </c>
      <c r="G97" t="n">
        <v>0.004888090590865522</v>
      </c>
      <c r="H97" t="n">
        <v>2.551527834641582</v>
      </c>
      <c r="I97" t="n">
        <v>0.2570480483515575</v>
      </c>
      <c r="J97" t="n">
        <v>13.04702460392214</v>
      </c>
      <c r="K97" t="n">
        <v>11.67019497240357</v>
      </c>
      <c r="L97" t="n">
        <v>36.93394943284404</v>
      </c>
      <c r="M97" t="n">
        <v>36.93394943284404</v>
      </c>
      <c r="N97" t="n">
        <v>1.379204301075269</v>
      </c>
      <c r="O97" t="n">
        <v>2.158774193548387</v>
      </c>
      <c r="P97" t="inlineStr">
        <is>
          <t>seasonal pattern of Aug/23-Jul/26</t>
        </is>
      </c>
      <c r="Q97" t="n">
        <v>1.424398007080552</v>
      </c>
      <c r="R97" t="n">
        <v>14.94952427314554</v>
      </c>
      <c r="S97" t="n">
        <v>27.99654887706768</v>
      </c>
      <c r="T97" t="n">
        <v>26.61971924554911</v>
      </c>
      <c r="U97" t="n">
        <v>8.937400555776353</v>
      </c>
      <c r="V97" t="n">
        <v>10.31423018729492</v>
      </c>
      <c r="W97" t="n">
        <v>39.09272362639243</v>
      </c>
      <c r="X97" t="n">
        <v>39.09272362639243</v>
      </c>
      <c r="Y97" t="n">
        <v>9.716970448249473</v>
      </c>
      <c r="Z97" t="n">
        <v>11.09380007976804</v>
      </c>
    </row>
    <row r="98">
      <c r="A98" s="8" t="n">
        <v>47119</v>
      </c>
      <c r="B98" t="inlineStr">
        <is>
          <t>Scenario</t>
        </is>
      </c>
      <c r="C98" t="n">
        <v>5.579445751982315</v>
      </c>
      <c r="D98" t="n">
        <v>5.987455449566409</v>
      </c>
      <c r="E98" t="n">
        <v>1.443939668847552</v>
      </c>
      <c r="F98" t="n">
        <v>0.8484644815497716</v>
      </c>
      <c r="G98" t="n">
        <v>0.006240292559390729</v>
      </c>
      <c r="H98" t="n">
        <v>2.810892814802997</v>
      </c>
      <c r="I98" t="n">
        <v>0.2659117741567836</v>
      </c>
      <c r="J98" t="n">
        <v>12.67205817734582</v>
      </c>
      <c r="K98" t="n">
        <v>11.54049810424927</v>
      </c>
      <c r="L98" t="n">
        <v>37.04951749580509</v>
      </c>
      <c r="M98" t="n">
        <v>37.04951749580509</v>
      </c>
      <c r="N98" t="n">
        <v>0.9953118279569892</v>
      </c>
      <c r="O98" t="n">
        <v>4.435344086021505</v>
      </c>
      <c r="P98" t="inlineStr">
        <is>
          <t>seasonal pattern of Aug/23-Jul/26</t>
        </is>
      </c>
      <c r="Q98" t="n">
        <v>2.298644442956714</v>
      </c>
      <c r="R98" t="n">
        <v>16.94235023346522</v>
      </c>
      <c r="S98" t="n">
        <v>29.61440841081104</v>
      </c>
      <c r="T98" t="n">
        <v>28.48284833771449</v>
      </c>
      <c r="U98" t="n">
        <v>7.435109084994053</v>
      </c>
      <c r="V98" t="n">
        <v>8.566669158090605</v>
      </c>
      <c r="W98" t="n">
        <v>41.48486158182659</v>
      </c>
      <c r="X98" t="n">
        <v>41.48486158182659</v>
      </c>
      <c r="Y98" t="n">
        <v>10.87514134305857</v>
      </c>
      <c r="Z98" t="n">
        <v>12.00670141615512</v>
      </c>
    </row>
    <row r="99">
      <c r="A99" s="8" t="n">
        <v>47150</v>
      </c>
      <c r="B99" t="inlineStr">
        <is>
          <t>Scenario</t>
        </is>
      </c>
      <c r="C99" t="n">
        <v>4.573570037829584</v>
      </c>
      <c r="D99" t="n">
        <v>5.863511577280807</v>
      </c>
      <c r="E99" t="n">
        <v>1.008412805318933</v>
      </c>
      <c r="F99" t="n">
        <v>0.6677322092282659</v>
      </c>
      <c r="G99" t="n">
        <v>0.006234666310272906</v>
      </c>
      <c r="H99" t="n">
        <v>2.763326342951468</v>
      </c>
      <c r="I99" t="n">
        <v>0.2747754999620097</v>
      </c>
      <c r="J99" t="n">
        <v>12.56022123652036</v>
      </c>
      <c r="K99" t="n">
        <v>11.57722821411672</v>
      </c>
      <c r="L99" t="n">
        <v>37.16545071279388</v>
      </c>
      <c r="M99" t="n">
        <v>37.16545071279388</v>
      </c>
      <c r="N99" t="n">
        <v>1.637940886699507</v>
      </c>
      <c r="O99" t="n">
        <v>2.852903530377668</v>
      </c>
      <c r="P99" t="inlineStr">
        <is>
          <t>seasonal pattern of Aug/23-Jul/26</t>
        </is>
      </c>
      <c r="Q99" t="n">
        <v>1.682379680857472</v>
      </c>
      <c r="R99" t="n">
        <v>15.15756313888134</v>
      </c>
      <c r="S99" t="n">
        <v>27.7177843754017</v>
      </c>
      <c r="T99" t="n">
        <v>26.73479135299806</v>
      </c>
      <c r="U99" t="n">
        <v>9.447666337392175</v>
      </c>
      <c r="V99" t="n">
        <v>10.43065935979581</v>
      </c>
      <c r="W99" t="n">
        <v>40.01835424317154</v>
      </c>
      <c r="X99" t="n">
        <v>40.01835424317154</v>
      </c>
      <c r="Y99" t="n">
        <v>10.66262898107033</v>
      </c>
      <c r="Z99" t="n">
        <v>11.64562200347397</v>
      </c>
    </row>
    <row r="100">
      <c r="A100" s="8" t="n">
        <v>47178</v>
      </c>
      <c r="B100" t="inlineStr">
        <is>
          <t>Scenario</t>
        </is>
      </c>
      <c r="C100" t="n">
        <v>4.068206450284062</v>
      </c>
      <c r="D100" t="n">
        <v>5.836251787707528</v>
      </c>
      <c r="E100" t="n">
        <v>0.4625001195152331</v>
      </c>
      <c r="F100" t="n">
        <v>0.459467068172916</v>
      </c>
      <c r="G100" t="n">
        <v>0.006208693772447616</v>
      </c>
      <c r="H100" t="n">
        <v>2.662850686577613</v>
      </c>
      <c r="I100" t="n">
        <v>0.2836392257672359</v>
      </c>
      <c r="J100" t="n">
        <v>12.25593655124702</v>
      </c>
      <c r="K100" t="n">
        <v>11.49280796682429</v>
      </c>
      <c r="L100" t="n">
        <v>37.28175027274523</v>
      </c>
      <c r="M100" t="n">
        <v>37.28175027274523</v>
      </c>
      <c r="N100" t="n">
        <v>2.392172043010753</v>
      </c>
      <c r="O100" t="n">
        <v>1.187268817204301</v>
      </c>
      <c r="P100" t="inlineStr">
        <is>
          <t>seasonal pattern of Aug/23-Jul/26</t>
        </is>
      </c>
      <c r="Q100" t="n">
        <v>0.9281758814605967</v>
      </c>
      <c r="R100" t="n">
        <v>13.77912403179704</v>
      </c>
      <c r="S100" t="n">
        <v>26.03506058304406</v>
      </c>
      <c r="T100" t="n">
        <v>25.27193199862133</v>
      </c>
      <c r="U100" t="n">
        <v>11.24668968970117</v>
      </c>
      <c r="V100" t="n">
        <v>12.0098182741239</v>
      </c>
      <c r="W100" t="n">
        <v>38.46901908994953</v>
      </c>
      <c r="X100" t="n">
        <v>38.46901908994953</v>
      </c>
      <c r="Y100" t="n">
        <v>10.04178646389472</v>
      </c>
      <c r="Z100" t="n">
        <v>10.80491504831745</v>
      </c>
    </row>
    <row r="101">
      <c r="A101" s="8" t="n">
        <v>47209</v>
      </c>
      <c r="B101" t="inlineStr">
        <is>
          <t>Scenario</t>
        </is>
      </c>
      <c r="C101" t="n">
        <v>4.495762034023503</v>
      </c>
      <c r="D101" t="n">
        <v>5.770987229173467</v>
      </c>
      <c r="E101" t="n">
        <v>0.3002238890422823</v>
      </c>
      <c r="F101" t="n">
        <v>0.4178433633664669</v>
      </c>
      <c r="G101" t="n">
        <v>0.006189968488953602</v>
      </c>
      <c r="H101" t="n">
        <v>2.866903990894866</v>
      </c>
      <c r="I101" t="n">
        <v>0.292502951572462</v>
      </c>
      <c r="J101" t="n">
        <v>11.8381445387415</v>
      </c>
      <c r="K101" t="n">
        <v>11.33789533324224</v>
      </c>
      <c r="L101" t="n">
        <v>37.39841736854674</v>
      </c>
      <c r="M101" t="n">
        <v>37.39841736854674</v>
      </c>
      <c r="N101" t="n">
        <v>2.271922222222222</v>
      </c>
      <c r="O101" t="n">
        <v>1.159666666666667</v>
      </c>
      <c r="P101" t="inlineStr">
        <is>
          <t>seasonal pattern of Aug/23-Jul/26</t>
        </is>
      </c>
      <c r="Q101" t="n">
        <v>0.7242572208977028</v>
      </c>
      <c r="R101" t="n">
        <v>14.150413426562</v>
      </c>
      <c r="S101" t="n">
        <v>25.98855796530351</v>
      </c>
      <c r="T101" t="n">
        <v>25.48830875980425</v>
      </c>
      <c r="U101" t="n">
        <v>11.40985940324323</v>
      </c>
      <c r="V101" t="n">
        <v>11.91010860874249</v>
      </c>
      <c r="W101" t="n">
        <v>38.5580840352134</v>
      </c>
      <c r="X101" t="n">
        <v>38.5580840352134</v>
      </c>
      <c r="Y101" t="n">
        <v>10.29760384768768</v>
      </c>
      <c r="Z101" t="n">
        <v>10.79785305318693</v>
      </c>
    </row>
    <row r="102">
      <c r="A102" s="8" t="n">
        <v>47239</v>
      </c>
      <c r="B102" t="inlineStr">
        <is>
          <t>Scenario</t>
        </is>
      </c>
      <c r="C102" t="n">
        <v>5.792966830004294</v>
      </c>
      <c r="D102" t="n">
        <v>5.641342272009844</v>
      </c>
      <c r="E102" t="n">
        <v>0.20792603295778</v>
      </c>
      <c r="F102" t="n">
        <v>0.3510255845994332</v>
      </c>
      <c r="G102" t="n">
        <v>0.006177254991357879</v>
      </c>
      <c r="H102" t="n">
        <v>3.115965435072403</v>
      </c>
      <c r="I102" t="n">
        <v>0.3013666773776881</v>
      </c>
      <c r="J102" t="n">
        <v>12.20315815805368</v>
      </c>
      <c r="K102" t="n">
        <v>11.80516970389002</v>
      </c>
      <c r="L102" t="n">
        <v>37.51545319705213</v>
      </c>
      <c r="M102" t="n">
        <v>37.51545319705213</v>
      </c>
      <c r="N102" t="n">
        <v>2.179247311827957</v>
      </c>
      <c r="O102" t="n">
        <v>1.123032258064516</v>
      </c>
      <c r="P102" t="inlineStr">
        <is>
          <t>seasonal pattern of Aug/23-Jul/26</t>
        </is>
      </c>
      <c r="Q102" t="n">
        <v>0.5651288725485711</v>
      </c>
      <c r="R102" t="n">
        <v>15.4167700870128</v>
      </c>
      <c r="S102" t="n">
        <v>27.61992824506648</v>
      </c>
      <c r="T102" t="n">
        <v>27.22193979090282</v>
      </c>
      <c r="U102" t="n">
        <v>9.895524951985649</v>
      </c>
      <c r="V102" t="n">
        <v>10.29351340614932</v>
      </c>
      <c r="W102" t="n">
        <v>38.63848545511665</v>
      </c>
      <c r="X102" t="n">
        <v>38.63848545511665</v>
      </c>
      <c r="Y102" t="n">
        <v>8.839309898222211</v>
      </c>
      <c r="Z102" t="n">
        <v>9.237298352385878</v>
      </c>
    </row>
    <row r="103">
      <c r="A103" s="8" t="n">
        <v>47270</v>
      </c>
      <c r="B103" t="inlineStr">
        <is>
          <t>Scenario</t>
        </is>
      </c>
      <c r="C103" t="n">
        <v>6.680486736221694</v>
      </c>
      <c r="D103" t="n">
        <v>5.703908483234074</v>
      </c>
      <c r="E103" t="n">
        <v>0.1977902928953284</v>
      </c>
      <c r="F103" t="n">
        <v>0.3536645098878322</v>
      </c>
      <c r="G103" t="n">
        <v>0.006158624526534295</v>
      </c>
      <c r="H103" t="n">
        <v>3.055522244581936</v>
      </c>
      <c r="I103" t="n">
        <v>0.3102304031829142</v>
      </c>
      <c r="J103" t="n">
        <v>12.32918349618877</v>
      </c>
      <c r="K103" t="n">
        <v>12.045985552518</v>
      </c>
      <c r="L103" t="n">
        <v>37.63285895909468</v>
      </c>
      <c r="M103" t="n">
        <v>37.63285895909468</v>
      </c>
      <c r="N103" t="n">
        <v>1.835466666666667</v>
      </c>
      <c r="O103" t="n">
        <v>1.149211111111111</v>
      </c>
      <c r="P103" t="inlineStr">
        <is>
          <t>seasonal pattern of Aug/23-Jul/26</t>
        </is>
      </c>
      <c r="Q103" t="n">
        <v>0.5576134273096949</v>
      </c>
      <c r="R103" t="n">
        <v>16.30776129453031</v>
      </c>
      <c r="S103" t="n">
        <v>28.63694479071908</v>
      </c>
      <c r="T103" t="n">
        <v>28.35374684704831</v>
      </c>
      <c r="U103" t="n">
        <v>8.995914168375599</v>
      </c>
      <c r="V103" t="n">
        <v>9.27911211204637</v>
      </c>
      <c r="W103" t="n">
        <v>38.7820700702058</v>
      </c>
      <c r="X103" t="n">
        <v>38.7820700702058</v>
      </c>
      <c r="Y103" t="n">
        <v>8.309658612820046</v>
      </c>
      <c r="Z103" t="n">
        <v>8.592856556490817</v>
      </c>
    </row>
    <row r="104">
      <c r="A104" s="8" t="n">
        <v>47300</v>
      </c>
      <c r="B104" t="inlineStr">
        <is>
          <t>Scenario</t>
        </is>
      </c>
      <c r="C104" t="n">
        <v>7.270704077454631</v>
      </c>
      <c r="D104" t="n">
        <v>5.689849387987933</v>
      </c>
      <c r="E104" t="n">
        <v>0.1848707698932664</v>
      </c>
      <c r="F104" t="n">
        <v>0.3379849801589349</v>
      </c>
      <c r="G104" t="n">
        <v>0.006145975405904556</v>
      </c>
      <c r="H104" t="n">
        <v>2.915876987978199</v>
      </c>
      <c r="I104" t="n">
        <v>0.3190941289881403</v>
      </c>
      <c r="J104" t="n">
        <v>11.99695972456145</v>
      </c>
      <c r="K104" t="n">
        <v>11.83708960277404</v>
      </c>
      <c r="L104" t="n">
        <v>37.75063585950051</v>
      </c>
      <c r="M104" t="n">
        <v>37.75063585950051</v>
      </c>
      <c r="N104" t="n">
        <v>1.445075268817204</v>
      </c>
      <c r="O104" t="n">
        <v>1.521387096774194</v>
      </c>
      <c r="P104" t="inlineStr">
        <is>
          <t>seasonal pattern of Aug/23-Jul/26</t>
        </is>
      </c>
      <c r="Q104" t="n">
        <v>0.5290017254581059</v>
      </c>
      <c r="R104" t="n">
        <v>16.72452630786701</v>
      </c>
      <c r="S104" t="n">
        <v>28.72148603242847</v>
      </c>
      <c r="T104" t="n">
        <v>28.56161591064105</v>
      </c>
      <c r="U104" t="n">
        <v>9.029149827072047</v>
      </c>
      <c r="V104" t="n">
        <v>9.18901994885946</v>
      </c>
      <c r="W104" t="n">
        <v>39.2720229562747</v>
      </c>
      <c r="X104" t="n">
        <v>39.2720229562747</v>
      </c>
      <c r="Y104" t="n">
        <v>9.105461655029034</v>
      </c>
      <c r="Z104" t="n">
        <v>9.265331776816447</v>
      </c>
    </row>
    <row r="105">
      <c r="A105" s="8" t="n">
        <v>47331</v>
      </c>
      <c r="B105" t="inlineStr">
        <is>
          <t>Scenario</t>
        </is>
      </c>
      <c r="C105" t="n">
        <v>8.161645258862009</v>
      </c>
      <c r="D105" t="n">
        <v>5.756175274815552</v>
      </c>
      <c r="E105" t="n">
        <v>0.1624089611398642</v>
      </c>
      <c r="F105" t="n">
        <v>0.3294701322107302</v>
      </c>
      <c r="G105" t="n">
        <v>0.004789833336147866</v>
      </c>
      <c r="H105" t="n">
        <v>2.98423815010606</v>
      </c>
      <c r="I105" t="n">
        <v>0.3279578547933664</v>
      </c>
      <c r="J105" t="n">
        <v>12.31445570816869</v>
      </c>
      <c r="K105" t="n">
        <v>12.23240518957855</v>
      </c>
      <c r="L105" t="n">
        <v>37.86878510710218</v>
      </c>
      <c r="M105" t="n">
        <v>37.86878510710218</v>
      </c>
      <c r="N105" t="n">
        <v>1.741763440860215</v>
      </c>
      <c r="O105" t="n">
        <v>2.883548387096774</v>
      </c>
      <c r="P105" t="inlineStr">
        <is>
          <t>seasonal pattern of Aug/23-Jul/26</t>
        </is>
      </c>
      <c r="Q105" t="n">
        <v>0.4966689266867422</v>
      </c>
      <c r="R105" t="n">
        <v>17.72668546526373</v>
      </c>
      <c r="S105" t="n">
        <v>30.04114117343242</v>
      </c>
      <c r="T105" t="n">
        <v>29.95909065484228</v>
      </c>
      <c r="U105" t="n">
        <v>7.827643933669755</v>
      </c>
      <c r="V105" t="n">
        <v>7.909694452259899</v>
      </c>
      <c r="W105" t="n">
        <v>40.75233349419895</v>
      </c>
      <c r="X105" t="n">
        <v>40.75233349419895</v>
      </c>
      <c r="Y105" t="n">
        <v>8.969428879906314</v>
      </c>
      <c r="Z105" t="n">
        <v>9.051479398496458</v>
      </c>
    </row>
    <row r="106">
      <c r="A106" s="8" t="n">
        <v>47362</v>
      </c>
      <c r="B106" t="inlineStr">
        <is>
          <t>Scenario</t>
        </is>
      </c>
      <c r="C106" t="n">
        <v>6.918029331066658</v>
      </c>
      <c r="D106" t="n">
        <v>5.7305463126461</v>
      </c>
      <c r="E106" t="n">
        <v>0.1597605556626947</v>
      </c>
      <c r="F106" t="n">
        <v>0.3375101153240409</v>
      </c>
      <c r="G106" t="n">
        <v>0.004769092334320517</v>
      </c>
      <c r="H106" t="n">
        <v>2.80921874292457</v>
      </c>
      <c r="I106" t="n">
        <v>0.3368215805985925</v>
      </c>
      <c r="J106" t="n">
        <v>12.89759651652548</v>
      </c>
      <c r="K106" t="n">
        <v>12.89759651652548</v>
      </c>
      <c r="L106" t="n">
        <v>37.98730791475212</v>
      </c>
      <c r="M106" t="n">
        <v>37.98730791475212</v>
      </c>
      <c r="N106" t="n">
        <v>2.412133333333333</v>
      </c>
      <c r="O106" t="n">
        <v>2.104855555555555</v>
      </c>
      <c r="P106" t="inlineStr">
        <is>
          <t>seasonal pattern of Aug/23-Jul/26</t>
        </is>
      </c>
      <c r="Q106" t="n">
        <v>0.5020397633210562</v>
      </c>
      <c r="R106" t="n">
        <v>16.29665573055697</v>
      </c>
      <c r="S106" t="n">
        <v>29.19425224708245</v>
      </c>
      <c r="T106" t="n">
        <v>29.19425224708245</v>
      </c>
      <c r="U106" t="n">
        <v>8.79305566766967</v>
      </c>
      <c r="V106" t="n">
        <v>8.79305566766967</v>
      </c>
      <c r="W106" t="n">
        <v>40.09216347030767</v>
      </c>
      <c r="X106" t="n">
        <v>40.09216347030767</v>
      </c>
      <c r="Y106" t="n">
        <v>8.485777889891889</v>
      </c>
      <c r="Z106" t="n">
        <v>8.485777889891889</v>
      </c>
    </row>
    <row r="107">
      <c r="A107" s="8" t="n">
        <v>47392</v>
      </c>
      <c r="B107" t="inlineStr">
        <is>
          <t>Scenario</t>
        </is>
      </c>
      <c r="C107" t="n">
        <v>5.436307874895696</v>
      </c>
      <c r="D107" t="n">
        <v>5.579580134933084</v>
      </c>
      <c r="E107" t="n">
        <v>0.2217337697857169</v>
      </c>
      <c r="F107" t="n">
        <v>0.3695394276048383</v>
      </c>
      <c r="G107" t="n">
        <v>0.004765579197156548</v>
      </c>
      <c r="H107" t="n">
        <v>2.679703912145565</v>
      </c>
      <c r="I107" t="n">
        <v>0.3456853064038187</v>
      </c>
      <c r="J107" t="n">
        <v>13.25228722923687</v>
      </c>
      <c r="K107" t="n">
        <v>13.25228722923687</v>
      </c>
      <c r="L107" t="n">
        <v>38.10620549933621</v>
      </c>
      <c r="M107" t="n">
        <v>38.10620549933621</v>
      </c>
      <c r="N107" t="n">
        <v>2.523494623655914</v>
      </c>
      <c r="O107" t="n">
        <v>1.056784946236559</v>
      </c>
      <c r="P107" t="inlineStr">
        <is>
          <t>seasonal pattern of Aug/23-Jul/26</t>
        </is>
      </c>
      <c r="Q107" t="n">
        <v>0.5960387765877118</v>
      </c>
      <c r="R107" t="n">
        <v>14.63731600496588</v>
      </c>
      <c r="S107" t="n">
        <v>27.88960323420275</v>
      </c>
      <c r="T107" t="n">
        <v>27.88960323420275</v>
      </c>
      <c r="U107" t="n">
        <v>10.21660226513347</v>
      </c>
      <c r="V107" t="n">
        <v>10.21660226513347</v>
      </c>
      <c r="W107" t="n">
        <v>39.16299044557277</v>
      </c>
      <c r="X107" t="n">
        <v>39.16299044557277</v>
      </c>
      <c r="Y107" t="n">
        <v>8.749892587714115</v>
      </c>
      <c r="Z107" t="n">
        <v>8.749892587714115</v>
      </c>
    </row>
    <row r="108">
      <c r="A108" s="8" t="n">
        <v>47423</v>
      </c>
      <c r="B108" t="inlineStr">
        <is>
          <t>Scenario</t>
        </is>
      </c>
      <c r="C108" t="n">
        <v>4.645007511031529</v>
      </c>
      <c r="D108" t="n">
        <v>5.973369772237578</v>
      </c>
      <c r="E108" t="n">
        <v>0.4265443261066137</v>
      </c>
      <c r="F108" t="n">
        <v>0.463061078171956</v>
      </c>
      <c r="G108" t="n">
        <v>0.004744943220933605</v>
      </c>
      <c r="H108" t="n">
        <v>2.61913094475531</v>
      </c>
      <c r="I108" t="n">
        <v>0.3545490322090448</v>
      </c>
      <c r="J108" t="n">
        <v>13.53544208829908</v>
      </c>
      <c r="K108" t="n">
        <v>13.53544208829908</v>
      </c>
      <c r="L108" t="n">
        <v>38.22547908178736</v>
      </c>
      <c r="M108" t="n">
        <v>38.22547908178736</v>
      </c>
      <c r="N108" t="n">
        <v>1.881788888888889</v>
      </c>
      <c r="O108" t="n">
        <v>1.287677777777778</v>
      </c>
      <c r="P108" t="inlineStr">
        <is>
          <t>seasonal pattern of Aug/23-Jul/26</t>
        </is>
      </c>
      <c r="Q108" t="n">
        <v>0.8943503474995033</v>
      </c>
      <c r="R108" t="n">
        <v>14.48640760773296</v>
      </c>
      <c r="S108" t="n">
        <v>28.02184969603205</v>
      </c>
      <c r="T108" t="n">
        <v>28.02184969603205</v>
      </c>
      <c r="U108" t="n">
        <v>10.20362938575532</v>
      </c>
      <c r="V108" t="n">
        <v>10.20362938575532</v>
      </c>
      <c r="W108" t="n">
        <v>39.51315685956514</v>
      </c>
      <c r="X108" t="n">
        <v>39.51315685956514</v>
      </c>
      <c r="Y108" t="n">
        <v>9.609518274644209</v>
      </c>
      <c r="Z108" t="n">
        <v>9.609518274644209</v>
      </c>
    </row>
    <row r="109">
      <c r="A109" s="8" t="n">
        <v>47453</v>
      </c>
      <c r="B109" t="inlineStr">
        <is>
          <t>Scenario</t>
        </is>
      </c>
      <c r="C109" t="n">
        <v>4.588742658117908</v>
      </c>
      <c r="D109" t="n">
        <v>6.176362401793511</v>
      </c>
      <c r="E109" t="n">
        <v>0.786626352097695</v>
      </c>
      <c r="F109" t="n">
        <v>0.5902982668973015</v>
      </c>
      <c r="G109" t="n">
        <v>0.004741447873139556</v>
      </c>
      <c r="H109" t="n">
        <v>2.499847718568692</v>
      </c>
      <c r="I109" t="n">
        <v>0.3634127580142709</v>
      </c>
      <c r="J109" t="n">
        <v>13.35375671170559</v>
      </c>
      <c r="K109" t="n">
        <v>13.35375671170559</v>
      </c>
      <c r="L109" t="n">
        <v>38.34512988709921</v>
      </c>
      <c r="M109" t="n">
        <v>38.34512988709921</v>
      </c>
      <c r="N109" t="n">
        <v>1.379204301075269</v>
      </c>
      <c r="O109" t="n">
        <v>2.158774193548387</v>
      </c>
      <c r="P109" t="inlineStr">
        <is>
          <t>seasonal pattern of Aug/23-Jul/26</t>
        </is>
      </c>
      <c r="Q109" t="n">
        <v>1.381666066868136</v>
      </c>
      <c r="R109" t="n">
        <v>15.01003160336252</v>
      </c>
      <c r="S109" t="n">
        <v>28.3637883150681</v>
      </c>
      <c r="T109" t="n">
        <v>28.3637883150681</v>
      </c>
      <c r="U109" t="n">
        <v>9.981341572031109</v>
      </c>
      <c r="V109" t="n">
        <v>9.981341572031109</v>
      </c>
      <c r="W109" t="n">
        <v>40.5039040806476</v>
      </c>
      <c r="X109" t="n">
        <v>40.5039040806476</v>
      </c>
      <c r="Y109" t="n">
        <v>10.76091146450423</v>
      </c>
      <c r="Z109" t="n">
        <v>10.76091146450423</v>
      </c>
    </row>
    <row r="110">
      <c r="A110" s="8" t="n">
        <v>47484</v>
      </c>
      <c r="B110" t="inlineStr">
        <is>
          <t>Scenario</t>
        </is>
      </c>
      <c r="C110" t="n">
        <v>5.579445751982315</v>
      </c>
      <c r="D110" t="n">
        <v>6.034898022423445</v>
      </c>
      <c r="E110" t="n">
        <v>1.400621478782125</v>
      </c>
      <c r="F110" t="n">
        <v>0.8230105471032784</v>
      </c>
      <c r="G110" t="n">
        <v>0.006053083782609006</v>
      </c>
      <c r="H110" t="n">
        <v>2.753959370861995</v>
      </c>
      <c r="I110" t="n">
        <v>0.372276483819497</v>
      </c>
      <c r="J110" t="n">
        <v>12.84320527110733</v>
      </c>
      <c r="K110" t="n">
        <v>12.84320527110733</v>
      </c>
      <c r="L110" t="n">
        <v>38.40566570148782</v>
      </c>
      <c r="M110" t="n">
        <v>38.40566570148782</v>
      </c>
      <c r="N110" t="n">
        <v>0.9953118279569892</v>
      </c>
      <c r="O110" t="n">
        <v>4.435344086021505</v>
      </c>
      <c r="P110" t="inlineStr">
        <is>
          <t>seasonal pattern of Aug/23-Jul/26</t>
        </is>
      </c>
      <c r="Q110" t="n">
        <v>2.229685109668012</v>
      </c>
      <c r="R110" t="n">
        <v>16.97026473875527</v>
      </c>
      <c r="S110" t="n">
        <v>29.8134700098626</v>
      </c>
      <c r="T110" t="n">
        <v>29.8134700098626</v>
      </c>
      <c r="U110" t="n">
        <v>8.592195691625221</v>
      </c>
      <c r="V110" t="n">
        <v>8.592195691625221</v>
      </c>
      <c r="W110" t="n">
        <v>42.84100978750932</v>
      </c>
      <c r="X110" t="n">
        <v>42.84100978750932</v>
      </c>
      <c r="Y110" t="n">
        <v>12.03222794968973</v>
      </c>
      <c r="Z110" t="n">
        <v>12.03222794968973</v>
      </c>
    </row>
    <row r="111">
      <c r="A111" s="8" t="n">
        <v>47515</v>
      </c>
      <c r="B111" t="inlineStr">
        <is>
          <t>Scenario</t>
        </is>
      </c>
      <c r="C111" t="n">
        <v>4.573570037829584</v>
      </c>
      <c r="D111" t="n">
        <v>5.909972060794444</v>
      </c>
      <c r="E111" t="n">
        <v>0.9781604211593652</v>
      </c>
      <c r="F111" t="n">
        <v>0.6477002429514178</v>
      </c>
      <c r="G111" t="n">
        <v>0.006047626320964719</v>
      </c>
      <c r="H111" t="n">
        <v>2.707356337760023</v>
      </c>
      <c r="I111" t="n">
        <v>0.3811402096247231</v>
      </c>
      <c r="J111" t="n">
        <v>12.64447062575261</v>
      </c>
      <c r="K111" t="n">
        <v>12.64447062575261</v>
      </c>
      <c r="L111" t="n">
        <v>38.46629814319879</v>
      </c>
      <c r="M111" t="n">
        <v>38.46629814319879</v>
      </c>
      <c r="N111" t="n">
        <v>1.637940886699507</v>
      </c>
      <c r="O111" t="n">
        <v>2.852903530377668</v>
      </c>
      <c r="P111" t="inlineStr">
        <is>
          <t>seasonal pattern of Aug/23-Jul/26</t>
        </is>
      </c>
      <c r="Q111" t="n">
        <v>1.631908290431748</v>
      </c>
      <c r="R111" t="n">
        <v>15.20394693644052</v>
      </c>
      <c r="S111" t="n">
        <v>27.84841756219313</v>
      </c>
      <c r="T111" t="n">
        <v>27.84841756219313</v>
      </c>
      <c r="U111" t="n">
        <v>10.61788058100566</v>
      </c>
      <c r="V111" t="n">
        <v>10.61788058100566</v>
      </c>
      <c r="W111" t="n">
        <v>41.31920167357646</v>
      </c>
      <c r="X111" t="n">
        <v>41.31920167357646</v>
      </c>
      <c r="Y111" t="n">
        <v>11.83284322468382</v>
      </c>
      <c r="Z111" t="n">
        <v>11.83284322468382</v>
      </c>
    </row>
    <row r="112">
      <c r="A112" s="8" t="n">
        <v>47543</v>
      </c>
      <c r="B112" t="inlineStr">
        <is>
          <t>Scenario</t>
        </is>
      </c>
      <c r="C112" t="n">
        <v>4.068206450284062</v>
      </c>
      <c r="D112" t="n">
        <v>5.882496273864059</v>
      </c>
      <c r="E112" t="n">
        <v>0.4486251159297761</v>
      </c>
      <c r="F112" t="n">
        <v>0.4456830561277285</v>
      </c>
      <c r="G112" t="n">
        <v>0.006022432959274187</v>
      </c>
      <c r="H112" t="n">
        <v>2.60891577326853</v>
      </c>
      <c r="I112" t="n">
        <v>0.3900039354299493</v>
      </c>
      <c r="J112" t="n">
        <v>12.25593655124702</v>
      </c>
      <c r="K112" t="n">
        <v>12.25593655124702</v>
      </c>
      <c r="L112" t="n">
        <v>38.52702737116564</v>
      </c>
      <c r="M112" t="n">
        <v>38.52702737116564</v>
      </c>
      <c r="N112" t="n">
        <v>2.392172043010753</v>
      </c>
      <c r="O112" t="n">
        <v>1.187268817204301</v>
      </c>
      <c r="P112" t="inlineStr">
        <is>
          <t>seasonal pattern of Aug/23-Jul/26</t>
        </is>
      </c>
      <c r="Q112" t="n">
        <v>0.9003306050167788</v>
      </c>
      <c r="R112" t="n">
        <v>13.84995303786338</v>
      </c>
      <c r="S112" t="n">
        <v>26.1058895891104</v>
      </c>
      <c r="T112" t="n">
        <v>26.1058895891104</v>
      </c>
      <c r="U112" t="n">
        <v>12.42113778205524</v>
      </c>
      <c r="V112" t="n">
        <v>12.42113778205524</v>
      </c>
      <c r="W112" t="n">
        <v>39.71429618836994</v>
      </c>
      <c r="X112" t="n">
        <v>39.71429618836994</v>
      </c>
      <c r="Y112" t="n">
        <v>11.21623455624879</v>
      </c>
      <c r="Z112" t="n">
        <v>11.21623455624879</v>
      </c>
    </row>
    <row r="113">
      <c r="A113" s="8" t="n">
        <v>47574</v>
      </c>
      <c r="B113" t="inlineStr">
        <is>
          <t>Scenario</t>
        </is>
      </c>
      <c r="C113" t="n">
        <v>4.495762034023503</v>
      </c>
      <c r="D113" t="n">
        <v>5.816714581031577</v>
      </c>
      <c r="E113" t="n">
        <v>0.2912171723710138</v>
      </c>
      <c r="F113" t="n">
        <v>0.4053080624654729</v>
      </c>
      <c r="G113" t="n">
        <v>0.006004269434284994</v>
      </c>
      <c r="H113" t="n">
        <v>2.80883606429508</v>
      </c>
      <c r="I113" t="n">
        <v>0.3988676612351754</v>
      </c>
      <c r="J113" t="n">
        <v>11.8381445387415</v>
      </c>
      <c r="K113" t="n">
        <v>11.8381445387415</v>
      </c>
      <c r="L113" t="n">
        <v>38.58785354458887</v>
      </c>
      <c r="M113" t="n">
        <v>38.58785354458887</v>
      </c>
      <c r="N113" t="n">
        <v>2.271922222222222</v>
      </c>
      <c r="O113" t="n">
        <v>1.159666666666667</v>
      </c>
      <c r="P113" t="inlineStr">
        <is>
          <t>seasonal pattern of Aug/23-Jul/26</t>
        </is>
      </c>
      <c r="Q113" t="n">
        <v>0.7025295042707718</v>
      </c>
      <c r="R113" t="n">
        <v>14.22270984485611</v>
      </c>
      <c r="S113" t="n">
        <v>26.06085438359761</v>
      </c>
      <c r="T113" t="n">
        <v>26.06085438359761</v>
      </c>
      <c r="U113" t="n">
        <v>12.52699916099126</v>
      </c>
      <c r="V113" t="n">
        <v>12.52699916099126</v>
      </c>
      <c r="W113" t="n">
        <v>39.74752021125553</v>
      </c>
      <c r="X113" t="n">
        <v>39.74752021125553</v>
      </c>
      <c r="Y113" t="n">
        <v>11.4147436054357</v>
      </c>
      <c r="Z113" t="n">
        <v>11.4147436054357</v>
      </c>
    </row>
    <row r="114">
      <c r="A114" s="8" t="n">
        <v>47604</v>
      </c>
      <c r="B114" t="inlineStr">
        <is>
          <t>Scenario</t>
        </is>
      </c>
      <c r="C114" t="n">
        <v>5.792966830004294</v>
      </c>
      <c r="D114" t="n">
        <v>5.686042361055296</v>
      </c>
      <c r="E114" t="n">
        <v>0.2016882519690466</v>
      </c>
      <c r="F114" t="n">
        <v>0.3404948170614502</v>
      </c>
      <c r="G114" t="n">
        <v>0.005991937341617142</v>
      </c>
      <c r="H114" t="n">
        <v>3.052852874363742</v>
      </c>
      <c r="I114" t="n">
        <v>0.4077313870404015</v>
      </c>
      <c r="J114" t="n">
        <v>12.20315815805368</v>
      </c>
      <c r="K114" t="n">
        <v>12.20315815805368</v>
      </c>
      <c r="L114" t="n">
        <v>38.64877682293622</v>
      </c>
      <c r="M114" t="n">
        <v>38.64877682293622</v>
      </c>
      <c r="N114" t="n">
        <v>2.179247311827957</v>
      </c>
      <c r="O114" t="n">
        <v>1.123032258064516</v>
      </c>
      <c r="P114" t="inlineStr">
        <is>
          <t>seasonal pattern of Aug/23-Jul/26</t>
        </is>
      </c>
      <c r="Q114" t="n">
        <v>0.5481750063721139</v>
      </c>
      <c r="R114" t="n">
        <v>15.48776845883585</v>
      </c>
      <c r="S114" t="n">
        <v>27.69092661688953</v>
      </c>
      <c r="T114" t="n">
        <v>27.69092661688953</v>
      </c>
      <c r="U114" t="n">
        <v>10.95785020604669</v>
      </c>
      <c r="V114" t="n">
        <v>10.95785020604669</v>
      </c>
      <c r="W114" t="n">
        <v>39.77180908100074</v>
      </c>
      <c r="X114" t="n">
        <v>39.77180908100074</v>
      </c>
      <c r="Y114" t="n">
        <v>9.901635152283248</v>
      </c>
      <c r="Z114" t="n">
        <v>9.901635152283248</v>
      </c>
    </row>
    <row r="115">
      <c r="A115" s="8" t="n">
        <v>47635</v>
      </c>
      <c r="B115" t="inlineStr">
        <is>
          <t>Scenario</t>
        </is>
      </c>
      <c r="C115" t="n">
        <v>6.680486736221694</v>
      </c>
      <c r="D115" t="n">
        <v>5.74910432578607</v>
      </c>
      <c r="E115" t="n">
        <v>0.1918565841084685</v>
      </c>
      <c r="F115" t="n">
        <v>0.3430545745911973</v>
      </c>
      <c r="G115" t="n">
        <v>0.005973865790738266</v>
      </c>
      <c r="H115" t="n">
        <v>2.99363393510736</v>
      </c>
      <c r="I115" t="n">
        <v>0.4165951128456276</v>
      </c>
      <c r="J115" t="n">
        <v>12.32918349618877</v>
      </c>
      <c r="K115" t="n">
        <v>12.32918349618877</v>
      </c>
      <c r="L115" t="n">
        <v>38.70979736594332</v>
      </c>
      <c r="M115" t="n">
        <v>38.70979736594332</v>
      </c>
      <c r="N115" t="n">
        <v>1.835466666666667</v>
      </c>
      <c r="O115" t="n">
        <v>1.149211111111111</v>
      </c>
      <c r="P115" t="inlineStr">
        <is>
          <t>seasonal pattern of Aug/23-Jul/26</t>
        </is>
      </c>
      <c r="Q115" t="n">
        <v>0.540885024490404</v>
      </c>
      <c r="R115" t="n">
        <v>16.38070513445115</v>
      </c>
      <c r="S115" t="n">
        <v>28.70988863063993</v>
      </c>
      <c r="T115" t="n">
        <v>28.70988863063993</v>
      </c>
      <c r="U115" t="n">
        <v>9.999908735303386</v>
      </c>
      <c r="V115" t="n">
        <v>9.999908735303386</v>
      </c>
      <c r="W115" t="n">
        <v>39.85900847705443</v>
      </c>
      <c r="X115" t="n">
        <v>39.85900847705443</v>
      </c>
      <c r="Y115" t="n">
        <v>9.313653179747833</v>
      </c>
      <c r="Z115" t="n">
        <v>9.313653179747833</v>
      </c>
    </row>
    <row r="116">
      <c r="A116" s="8" t="n">
        <v>47665</v>
      </c>
      <c r="B116" t="inlineStr">
        <is>
          <t>Scenario</t>
        </is>
      </c>
      <c r="C116" t="n">
        <v>7.270704077454631</v>
      </c>
      <c r="D116" t="n">
        <v>5.734933831022031</v>
      </c>
      <c r="E116" t="n">
        <v>0.1793246467964683</v>
      </c>
      <c r="F116" t="n">
        <v>0.3278454307541668</v>
      </c>
      <c r="G116" t="n">
        <v>0.005961596143727418</v>
      </c>
      <c r="H116" t="n">
        <v>2.856817134055754</v>
      </c>
      <c r="I116" t="n">
        <v>0.4254588386508537</v>
      </c>
      <c r="J116" t="n">
        <v>12.11686231590201</v>
      </c>
      <c r="K116" t="n">
        <v>11.99695972456145</v>
      </c>
      <c r="L116" t="n">
        <v>38.770915333614</v>
      </c>
      <c r="M116" t="n">
        <v>38.770915333614</v>
      </c>
      <c r="N116" t="n">
        <v>1.445075268817204</v>
      </c>
      <c r="O116" t="n">
        <v>1.521387096774194</v>
      </c>
      <c r="P116" t="inlineStr">
        <is>
          <t>seasonal pattern of Aug/23-Jul/26</t>
        </is>
      </c>
      <c r="Q116" t="n">
        <v>0.5131316736943625</v>
      </c>
      <c r="R116" t="n">
        <v>16.80104555487763</v>
      </c>
      <c r="S116" t="n">
        <v>28.91790787077964</v>
      </c>
      <c r="T116" t="n">
        <v>28.79800527943909</v>
      </c>
      <c r="U116" t="n">
        <v>9.853007462834356</v>
      </c>
      <c r="V116" t="n">
        <v>9.97291005417491</v>
      </c>
      <c r="W116" t="n">
        <v>40.29230243038819</v>
      </c>
      <c r="X116" t="n">
        <v>40.29230243038819</v>
      </c>
      <c r="Y116" t="n">
        <v>9.929319290791343</v>
      </c>
      <c r="Z116" t="n">
        <v>10.0492218821319</v>
      </c>
    </row>
    <row r="117">
      <c r="A117" s="8" t="n">
        <v>47696</v>
      </c>
      <c r="B117" t="inlineStr">
        <is>
          <t>Scenario</t>
        </is>
      </c>
      <c r="C117" t="n">
        <v>8.161645258862009</v>
      </c>
      <c r="D117" t="n">
        <v>5.801785261754675</v>
      </c>
      <c r="E117" t="n">
        <v>0.1575366923056682</v>
      </c>
      <c r="F117" t="n">
        <v>0.3195860282444082</v>
      </c>
      <c r="G117" t="n">
        <v>0.00464613833606343</v>
      </c>
      <c r="H117" t="n">
        <v>2.923793669786177</v>
      </c>
      <c r="I117" t="n">
        <v>0.4343225644560798</v>
      </c>
      <c r="J117" t="n">
        <v>12.51958200464404</v>
      </c>
      <c r="K117" t="n">
        <v>12.31445570816869</v>
      </c>
      <c r="L117" t="n">
        <v>38.83213088622084</v>
      </c>
      <c r="M117" t="n">
        <v>38.83213088622084</v>
      </c>
      <c r="N117" t="n">
        <v>1.741763440860215</v>
      </c>
      <c r="O117" t="n">
        <v>2.883548387096774</v>
      </c>
      <c r="P117" t="inlineStr">
        <is>
          <t>seasonal pattern of Aug/23-Jul/26</t>
        </is>
      </c>
      <c r="Q117" t="n">
        <v>0.4817688588861398</v>
      </c>
      <c r="R117" t="n">
        <v>17.80331561374508</v>
      </c>
      <c r="S117" t="n">
        <v>30.32289761838912</v>
      </c>
      <c r="T117" t="n">
        <v>30.11777132191377</v>
      </c>
      <c r="U117" t="n">
        <v>8.509233267831718</v>
      </c>
      <c r="V117" t="n">
        <v>8.71435956430707</v>
      </c>
      <c r="W117" t="n">
        <v>41.71567927331761</v>
      </c>
      <c r="X117" t="n">
        <v>41.71567927331761</v>
      </c>
      <c r="Y117" t="n">
        <v>9.651018214068277</v>
      </c>
      <c r="Z117" t="n">
        <v>9.856144510543629</v>
      </c>
    </row>
    <row r="118">
      <c r="A118" s="8" t="n">
        <v>47727</v>
      </c>
      <c r="B118" t="inlineStr">
        <is>
          <t>Scenario</t>
        </is>
      </c>
      <c r="C118" t="n">
        <v>6.918029331066658</v>
      </c>
      <c r="D118" t="n">
        <v>5.775953224353145</v>
      </c>
      <c r="E118" t="n">
        <v>0.1549677389928139</v>
      </c>
      <c r="F118" t="n">
        <v>0.3273848118643197</v>
      </c>
      <c r="G118" t="n">
        <v>0.004626019564290902</v>
      </c>
      <c r="H118" t="n">
        <v>2.752319206600729</v>
      </c>
      <c r="I118" t="n">
        <v>0.4431862902613058</v>
      </c>
      <c r="J118" t="n">
        <v>13.34674215256428</v>
      </c>
      <c r="K118" t="n">
        <v>12.89759651652548</v>
      </c>
      <c r="L118" t="n">
        <v>38.89344418430559</v>
      </c>
      <c r="M118" t="n">
        <v>38.89344418430559</v>
      </c>
      <c r="N118" t="n">
        <v>2.412133333333333</v>
      </c>
      <c r="O118" t="n">
        <v>2.104855555555555</v>
      </c>
      <c r="P118" t="inlineStr">
        <is>
          <t>seasonal pattern of Aug/23-Jul/26</t>
        </is>
      </c>
      <c r="Q118" t="n">
        <v>0.4869785704214246</v>
      </c>
      <c r="R118" t="n">
        <v>16.37646662270327</v>
      </c>
      <c r="S118" t="n">
        <v>29.72320877526754</v>
      </c>
      <c r="T118" t="n">
        <v>29.27406313922874</v>
      </c>
      <c r="U118" t="n">
        <v>9.170235409038042</v>
      </c>
      <c r="V118" t="n">
        <v>9.619381045076842</v>
      </c>
      <c r="W118" t="n">
        <v>40.99829973986114</v>
      </c>
      <c r="X118" t="n">
        <v>40.99829973986114</v>
      </c>
      <c r="Y118" t="n">
        <v>8.862957631260262</v>
      </c>
      <c r="Z118" t="n">
        <v>9.312103267299062</v>
      </c>
    </row>
    <row r="119">
      <c r="A119" s="8" t="n">
        <v>47757</v>
      </c>
      <c r="B119" t="inlineStr">
        <is>
          <t>Scenario</t>
        </is>
      </c>
      <c r="C119" t="n">
        <v>5.436307874895696</v>
      </c>
      <c r="D119" t="n">
        <v>5.623790841683713</v>
      </c>
      <c r="E119" t="n">
        <v>0.2150817566921454</v>
      </c>
      <c r="F119" t="n">
        <v>0.3584532447766932</v>
      </c>
      <c r="G119" t="n">
        <v>0.004622611821241851</v>
      </c>
      <c r="H119" t="n">
        <v>2.625427643887605</v>
      </c>
      <c r="I119" t="n">
        <v>0.4520500160665321</v>
      </c>
      <c r="J119" t="n">
        <v>13.90371721049099</v>
      </c>
      <c r="K119" t="n">
        <v>13.25228722923687</v>
      </c>
      <c r="L119" t="n">
        <v>38.95485538867963</v>
      </c>
      <c r="M119" t="n">
        <v>38.95485538867963</v>
      </c>
      <c r="N119" t="n">
        <v>2.523494623655914</v>
      </c>
      <c r="O119" t="n">
        <v>1.056784946236559</v>
      </c>
      <c r="P119" t="inlineStr">
        <is>
          <t>seasonal pattern of Aug/23-Jul/26</t>
        </is>
      </c>
      <c r="Q119" t="n">
        <v>0.5781576132900805</v>
      </c>
      <c r="R119" t="n">
        <v>14.71573398982363</v>
      </c>
      <c r="S119" t="n">
        <v>28.61945120031461</v>
      </c>
      <c r="T119" t="n">
        <v>27.9680212190605</v>
      </c>
      <c r="U119" t="n">
        <v>10.33540418836502</v>
      </c>
      <c r="V119" t="n">
        <v>10.98683416961914</v>
      </c>
      <c r="W119" t="n">
        <v>40.01164033491619</v>
      </c>
      <c r="X119" t="n">
        <v>40.01164033491619</v>
      </c>
      <c r="Y119" t="n">
        <v>8.868694510945666</v>
      </c>
      <c r="Z119" t="n">
        <v>9.520124492199784</v>
      </c>
    </row>
    <row r="120">
      <c r="A120" s="8" t="n">
        <v>47788</v>
      </c>
      <c r="B120" t="inlineStr">
        <is>
          <t>Scenario</t>
        </is>
      </c>
      <c r="C120" t="n">
        <v>4.645007511031529</v>
      </c>
      <c r="D120" t="n">
        <v>6.020700734949278</v>
      </c>
      <c r="E120" t="n">
        <v>0.4137479963234152</v>
      </c>
      <c r="F120" t="n">
        <v>0.4491692458267973</v>
      </c>
      <c r="G120" t="n">
        <v>0.004602594924305597</v>
      </c>
      <c r="H120" t="n">
        <v>2.566081556307597</v>
      </c>
      <c r="I120" t="n">
        <v>0.4609137418717582</v>
      </c>
      <c r="J120" t="n">
        <v>14.39478163770154</v>
      </c>
      <c r="K120" t="n">
        <v>13.53544208829908</v>
      </c>
      <c r="L120" t="n">
        <v>39.01636466042443</v>
      </c>
      <c r="M120" t="n">
        <v>39.01636466042443</v>
      </c>
      <c r="N120" t="n">
        <v>1.881788888888889</v>
      </c>
      <c r="O120" t="n">
        <v>1.287677777777778</v>
      </c>
      <c r="P120" t="inlineStr">
        <is>
          <t>seasonal pattern of Aug/23-Jul/26</t>
        </is>
      </c>
      <c r="Q120" t="n">
        <v>0.8675198370745181</v>
      </c>
      <c r="R120" t="n">
        <v>14.56022338123468</v>
      </c>
      <c r="S120" t="n">
        <v>28.95500501893622</v>
      </c>
      <c r="T120" t="n">
        <v>28.09566546953376</v>
      </c>
      <c r="U120" t="n">
        <v>10.06135964148821</v>
      </c>
      <c r="V120" t="n">
        <v>10.92069919089067</v>
      </c>
      <c r="W120" t="n">
        <v>40.30404243820221</v>
      </c>
      <c r="X120" t="n">
        <v>40.30404243820221</v>
      </c>
      <c r="Y120" t="n">
        <v>9.467248530377102</v>
      </c>
      <c r="Z120" t="n">
        <v>10.32658807977956</v>
      </c>
    </row>
    <row r="121">
      <c r="A121" s="8" t="n">
        <v>47818</v>
      </c>
      <c r="B121" t="inlineStr">
        <is>
          <t>Scenario</t>
        </is>
      </c>
      <c r="C121" t="n">
        <v>4.588742658117908</v>
      </c>
      <c r="D121" t="n">
        <v>6.225301809477917</v>
      </c>
      <c r="E121" t="n">
        <v>0.7630275615347641</v>
      </c>
      <c r="F121" t="n">
        <v>0.5725893188903823</v>
      </c>
      <c r="G121" t="n">
        <v>0.004599204436945369</v>
      </c>
      <c r="H121" t="n">
        <v>2.449214361367505</v>
      </c>
      <c r="I121" t="n">
        <v>0.4697774676769843</v>
      </c>
      <c r="J121" t="n">
        <v>14.39294827114436</v>
      </c>
      <c r="K121" t="n">
        <v>13.35375671170559</v>
      </c>
      <c r="L121" t="n">
        <v>39.07797216089202</v>
      </c>
      <c r="M121" t="n">
        <v>39.07797216089202</v>
      </c>
      <c r="N121" t="n">
        <v>1.379204301075269</v>
      </c>
      <c r="O121" t="n">
        <v>2.158774193548387</v>
      </c>
      <c r="P121" t="inlineStr">
        <is>
          <t>seasonal pattern of Aug/23-Jul/26</t>
        </is>
      </c>
      <c r="Q121" t="n">
        <v>1.340216084862092</v>
      </c>
      <c r="R121" t="n">
        <v>15.0732523815024</v>
      </c>
      <c r="S121" t="n">
        <v>29.46620065264676</v>
      </c>
      <c r="T121" t="n">
        <v>28.42700909320799</v>
      </c>
      <c r="U121" t="n">
        <v>9.611771508245255</v>
      </c>
      <c r="V121" t="n">
        <v>10.65096306768402</v>
      </c>
      <c r="W121" t="n">
        <v>41.23674635444041</v>
      </c>
      <c r="X121" t="n">
        <v>41.23674635444041</v>
      </c>
      <c r="Y121" t="n">
        <v>10.39134140071837</v>
      </c>
      <c r="Z121" t="n">
        <v>11.43053296015714</v>
      </c>
    </row>
    <row r="122">
      <c r="A122" s="8" t="n">
        <v>47849</v>
      </c>
      <c r="B122" t="inlineStr">
        <is>
          <t>Scenario</t>
        </is>
      </c>
      <c r="C122" t="n">
        <v>5.579445751982315</v>
      </c>
      <c r="D122" t="n">
        <v>6.082716514189316</v>
      </c>
      <c r="E122" t="n">
        <v>1.358602834418661</v>
      </c>
      <c r="F122" t="n">
        <v>0.79832023069018</v>
      </c>
      <c r="G122" t="n">
        <v>0.005871491269130735</v>
      </c>
      <c r="H122" t="n">
        <v>2.69817908972461</v>
      </c>
      <c r="I122" t="n">
        <v>0.4746460968977579</v>
      </c>
      <c r="J122" t="n">
        <v>14.15509556829357</v>
      </c>
      <c r="K122" t="n">
        <v>12.97156559142847</v>
      </c>
      <c r="L122" t="n">
        <v>39.10896050210854</v>
      </c>
      <c r="M122" t="n">
        <v>39.10896050210854</v>
      </c>
      <c r="N122" t="n">
        <v>0.9953118279569892</v>
      </c>
      <c r="O122" t="n">
        <v>4.435344086021505</v>
      </c>
      <c r="P122" t="inlineStr">
        <is>
          <t>seasonal pattern of Aug/23-Jul/26</t>
        </is>
      </c>
      <c r="Q122" t="n">
        <v>2.162794556377972</v>
      </c>
      <c r="R122" t="n">
        <v>16.99778200917197</v>
      </c>
      <c r="S122" t="n">
        <v>31.15287757746554</v>
      </c>
      <c r="T122" t="n">
        <v>29.96934760060044</v>
      </c>
      <c r="U122" t="n">
        <v>7.956082924642999</v>
      </c>
      <c r="V122" t="n">
        <v>9.139612901508094</v>
      </c>
      <c r="W122" t="n">
        <v>43.54430458813005</v>
      </c>
      <c r="X122" t="n">
        <v>43.54430458813005</v>
      </c>
      <c r="Y122" t="n">
        <v>11.39611518270752</v>
      </c>
      <c r="Z122" t="n">
        <v>12.57964515957261</v>
      </c>
    </row>
    <row r="123">
      <c r="A123" s="8" t="n">
        <v>47880</v>
      </c>
      <c r="B123" t="inlineStr">
        <is>
          <t>Scenario</t>
        </is>
      </c>
      <c r="C123" t="n">
        <v>4.573570037829584</v>
      </c>
      <c r="D123" t="n">
        <v>5.956800681472964</v>
      </c>
      <c r="E123" t="n">
        <v>0.9488156085245842</v>
      </c>
      <c r="F123" t="n">
        <v>0.6282692356628753</v>
      </c>
      <c r="G123" t="n">
        <v>0.005866197531335777</v>
      </c>
      <c r="H123" t="n">
        <v>2.652519981328204</v>
      </c>
      <c r="I123" t="n">
        <v>0.4795147261185315</v>
      </c>
      <c r="J123" t="n">
        <v>14.20153157323998</v>
      </c>
      <c r="K123" t="n">
        <v>12.85509409883324</v>
      </c>
      <c r="L123" t="n">
        <v>39.13997370468741</v>
      </c>
      <c r="M123" t="n">
        <v>39.13997370468741</v>
      </c>
      <c r="N123" t="n">
        <v>1.637940886699507</v>
      </c>
      <c r="O123" t="n">
        <v>2.852903530377668</v>
      </c>
      <c r="P123" t="inlineStr">
        <is>
          <t>seasonal pattern of Aug/23-Jul/26</t>
        </is>
      </c>
      <c r="Q123" t="n">
        <v>1.582951041718796</v>
      </c>
      <c r="R123" t="n">
        <v>15.24535646846808</v>
      </c>
      <c r="S123" t="n">
        <v>29.44688804170806</v>
      </c>
      <c r="T123" t="n">
        <v>28.10045056730132</v>
      </c>
      <c r="U123" t="n">
        <v>9.693085662979346</v>
      </c>
      <c r="V123" t="n">
        <v>11.03952313738608</v>
      </c>
      <c r="W123" t="n">
        <v>41.99287723506507</v>
      </c>
      <c r="X123" t="n">
        <v>41.99287723506507</v>
      </c>
      <c r="Y123" t="n">
        <v>10.90804830665751</v>
      </c>
      <c r="Z123" t="n">
        <v>12.25448578106424</v>
      </c>
    </row>
    <row r="124">
      <c r="A124" s="8" t="n">
        <v>47908</v>
      </c>
      <c r="B124" t="inlineStr">
        <is>
          <t>Scenario</t>
        </is>
      </c>
      <c r="C124" t="n">
        <v>4.068206450284062</v>
      </c>
      <c r="D124" t="n">
        <v>5.929107185695436</v>
      </c>
      <c r="E124" t="n">
        <v>0.4351663624518828</v>
      </c>
      <c r="F124" t="n">
        <v>0.4323125644438967</v>
      </c>
      <c r="G124" t="n">
        <v>0.005841759970495962</v>
      </c>
      <c r="H124" t="n">
        <v>2.556073288794575</v>
      </c>
      <c r="I124" t="n">
        <v>0.4843833553393052</v>
      </c>
      <c r="J124" t="n">
        <v>14.02246622474038</v>
      </c>
      <c r="K124" t="n">
        <v>12.68273703384143</v>
      </c>
      <c r="L124" t="n">
        <v>39.17101178918138</v>
      </c>
      <c r="M124" t="n">
        <v>39.17101178918138</v>
      </c>
      <c r="N124" t="n">
        <v>2.392172043010753</v>
      </c>
      <c r="O124" t="n">
        <v>1.187268817204301</v>
      </c>
      <c r="P124" t="inlineStr">
        <is>
          <t>seasonal pattern of Aug/23-Jul/26</t>
        </is>
      </c>
      <c r="Q124" t="n">
        <v>0.8733206868662754</v>
      </c>
      <c r="R124" t="n">
        <v>13.91109096697966</v>
      </c>
      <c r="S124" t="n">
        <v>27.93355719172003</v>
      </c>
      <c r="T124" t="n">
        <v>26.59382800082108</v>
      </c>
      <c r="U124" t="n">
        <v>11.23745459746134</v>
      </c>
      <c r="V124" t="n">
        <v>12.57718378836029</v>
      </c>
      <c r="W124" t="n">
        <v>40.35828060638568</v>
      </c>
      <c r="X124" t="n">
        <v>40.35828060638568</v>
      </c>
      <c r="Y124" t="n">
        <v>10.03255137165489</v>
      </c>
      <c r="Z124" t="n">
        <v>11.37228056255384</v>
      </c>
    </row>
    <row r="125">
      <c r="A125" s="8" t="n">
        <v>47939</v>
      </c>
      <c r="B125" t="inlineStr">
        <is>
          <t>Scenario</t>
        </is>
      </c>
      <c r="C125" t="n">
        <v>4.495762034023503</v>
      </c>
      <c r="D125" t="n">
        <v>5.862804260967176</v>
      </c>
      <c r="E125" t="n">
        <v>0.2824806571998834</v>
      </c>
      <c r="F125" t="n">
        <v>0.3931488205915087</v>
      </c>
      <c r="G125" t="n">
        <v>0.005824141351256444</v>
      </c>
      <c r="H125" t="n">
        <v>2.751944278964868</v>
      </c>
      <c r="I125" t="n">
        <v>0.4892519845600789</v>
      </c>
      <c r="J125" t="n">
        <v>13.71412009222568</v>
      </c>
      <c r="K125" t="n">
        <v>12.42006086318869</v>
      </c>
      <c r="L125" t="n">
        <v>39.20207477616061</v>
      </c>
      <c r="M125" t="n">
        <v>39.20207477616061</v>
      </c>
      <c r="N125" t="n">
        <v>2.271922222222222</v>
      </c>
      <c r="O125" t="n">
        <v>1.159666666666667</v>
      </c>
      <c r="P125" t="inlineStr">
        <is>
          <t>seasonal pattern of Aug/23-Jul/26</t>
        </is>
      </c>
      <c r="Q125" t="n">
        <v>0.6814536191426485</v>
      </c>
      <c r="R125" t="n">
        <v>14.28121617765828</v>
      </c>
      <c r="S125" t="n">
        <v>27.99533626988396</v>
      </c>
      <c r="T125" t="n">
        <v>26.70127704084697</v>
      </c>
      <c r="U125" t="n">
        <v>11.20673850627665</v>
      </c>
      <c r="V125" t="n">
        <v>12.50079773531364</v>
      </c>
      <c r="W125" t="n">
        <v>40.36174144282727</v>
      </c>
      <c r="X125" t="n">
        <v>40.36174144282727</v>
      </c>
      <c r="Y125" t="n">
        <v>10.09448295072109</v>
      </c>
      <c r="Z125" t="n">
        <v>11.38854217975808</v>
      </c>
    </row>
    <row r="126">
      <c r="A126" s="8" t="n">
        <v>47969</v>
      </c>
      <c r="B126" t="inlineStr">
        <is>
          <t>Scenario</t>
        </is>
      </c>
      <c r="C126" t="n">
        <v>5.792966830004294</v>
      </c>
      <c r="D126" t="n">
        <v>5.731096638494989</v>
      </c>
      <c r="E126" t="n">
        <v>0.1956376044099752</v>
      </c>
      <c r="F126" t="n">
        <v>0.3302799725496066</v>
      </c>
      <c r="G126" t="n">
        <v>0.005812179221368627</v>
      </c>
      <c r="H126" t="n">
        <v>2.991018631852827</v>
      </c>
      <c r="I126" t="n">
        <v>0.4941206137808525</v>
      </c>
      <c r="J126" t="n">
        <v>14.3118733709199</v>
      </c>
      <c r="K126" t="n">
        <v>12.97791352728497</v>
      </c>
      <c r="L126" t="n">
        <v>39.23316268621259</v>
      </c>
      <c r="M126" t="n">
        <v>39.23316268621259</v>
      </c>
      <c r="N126" t="n">
        <v>2.179247311827957</v>
      </c>
      <c r="O126" t="n">
        <v>1.123032258064516</v>
      </c>
      <c r="P126" t="inlineStr">
        <is>
          <t>seasonal pattern of Aug/23-Jul/26</t>
        </is>
      </c>
      <c r="Q126" t="n">
        <v>0.5317297561809505</v>
      </c>
      <c r="R126" t="n">
        <v>15.54093247031391</v>
      </c>
      <c r="S126" t="n">
        <v>29.85280584123382</v>
      </c>
      <c r="T126" t="n">
        <v>28.51884599759888</v>
      </c>
      <c r="U126" t="n">
        <v>9.38035684497877</v>
      </c>
      <c r="V126" t="n">
        <v>10.71431668861371</v>
      </c>
      <c r="W126" t="n">
        <v>40.35619494427711</v>
      </c>
      <c r="X126" t="n">
        <v>40.35619494427711</v>
      </c>
      <c r="Y126" t="n">
        <v>8.324141791215332</v>
      </c>
      <c r="Z126" t="n">
        <v>9.658101634850272</v>
      </c>
    </row>
    <row r="127">
      <c r="A127" s="8" t="n">
        <v>48000</v>
      </c>
      <c r="B127" t="inlineStr">
        <is>
          <t>Scenario</t>
        </is>
      </c>
      <c r="C127" t="n">
        <v>6.680486736221694</v>
      </c>
      <c r="D127" t="n">
        <v>5.794658284915496</v>
      </c>
      <c r="E127" t="n">
        <v>0.1861008865852145</v>
      </c>
      <c r="F127" t="n">
        <v>0.3327629373534614</v>
      </c>
      <c r="G127" t="n">
        <v>0.005794649817016119</v>
      </c>
      <c r="H127" t="n">
        <v>2.932999147140086</v>
      </c>
      <c r="I127" t="n">
        <v>0.4989892430016262</v>
      </c>
      <c r="J127" t="n">
        <v>14.54182463442464</v>
      </c>
      <c r="K127" t="n">
        <v>13.28864259826902</v>
      </c>
      <c r="L127" t="n">
        <v>39.26427553994218</v>
      </c>
      <c r="M127" t="n">
        <v>39.26427553994218</v>
      </c>
      <c r="N127" t="n">
        <v>1.835466666666667</v>
      </c>
      <c r="O127" t="n">
        <v>1.149211111111111</v>
      </c>
      <c r="P127" t="inlineStr">
        <is>
          <t>seasonal pattern of Aug/23-Jul/26</t>
        </is>
      </c>
      <c r="Q127" t="n">
        <v>0.5246584737556921</v>
      </c>
      <c r="R127" t="n">
        <v>16.4317918850346</v>
      </c>
      <c r="S127" t="n">
        <v>30.97361651945923</v>
      </c>
      <c r="T127" t="n">
        <v>29.72043448330362</v>
      </c>
      <c r="U127" t="n">
        <v>8.290659020482948</v>
      </c>
      <c r="V127" t="n">
        <v>9.543841056638563</v>
      </c>
      <c r="W127" t="n">
        <v>40.4134866510533</v>
      </c>
      <c r="X127" t="n">
        <v>40.4134866510533</v>
      </c>
      <c r="Y127" t="n">
        <v>7.604403464927396</v>
      </c>
      <c r="Z127" t="n">
        <v>8.85758550108301</v>
      </c>
    </row>
    <row r="128">
      <c r="A128" s="8" t="n">
        <v>48030</v>
      </c>
      <c r="B128" t="inlineStr">
        <is>
          <t>Scenario</t>
        </is>
      </c>
      <c r="C128" t="n">
        <v>7.270704077454631</v>
      </c>
      <c r="D128" t="n">
        <v>5.780375507941438</v>
      </c>
      <c r="E128" t="n">
        <v>0.1739449073925743</v>
      </c>
      <c r="F128" t="n">
        <v>0.3180100678315418</v>
      </c>
      <c r="G128" t="n">
        <v>0.005782748259415597</v>
      </c>
      <c r="H128" t="n">
        <v>2.798953512470861</v>
      </c>
      <c r="I128" t="n">
        <v>0.5038578722223999</v>
      </c>
      <c r="J128" t="n">
        <v>14.22991380966947</v>
      </c>
      <c r="K128" t="n">
        <v>13.22240888045034</v>
      </c>
      <c r="L128" t="n">
        <v>39.29541335797166</v>
      </c>
      <c r="M128" t="n">
        <v>39.29541335797166</v>
      </c>
      <c r="N128" t="n">
        <v>1.445075268817204</v>
      </c>
      <c r="O128" t="n">
        <v>1.521387096774194</v>
      </c>
      <c r="P128" t="inlineStr">
        <is>
          <t>seasonal pattern of Aug/23-Jul/26</t>
        </is>
      </c>
      <c r="Q128" t="n">
        <v>0.4977377234835317</v>
      </c>
      <c r="R128" t="n">
        <v>16.85162869357286</v>
      </c>
      <c r="S128" t="n">
        <v>31.08154250324233</v>
      </c>
      <c r="T128" t="n">
        <v>30.0740375740232</v>
      </c>
      <c r="U128" t="n">
        <v>8.213870854729329</v>
      </c>
      <c r="V128" t="n">
        <v>9.221375783948456</v>
      </c>
      <c r="W128" t="n">
        <v>40.81680045474585</v>
      </c>
      <c r="X128" t="n">
        <v>40.81680045474585</v>
      </c>
      <c r="Y128" t="n">
        <v>8.290182682686316</v>
      </c>
      <c r="Z128" t="n">
        <v>9.297687611905443</v>
      </c>
    </row>
    <row r="129">
      <c r="A129" s="8" t="n">
        <v>48061</v>
      </c>
      <c r="B129" t="inlineStr">
        <is>
          <t>Scenario</t>
        </is>
      </c>
      <c r="C129" t="n">
        <v>8.161645258862009</v>
      </c>
      <c r="D129" t="n">
        <v>5.847756646811344</v>
      </c>
      <c r="E129" t="n">
        <v>0.1528105915364982</v>
      </c>
      <c r="F129" t="n">
        <v>0.309998447397076</v>
      </c>
      <c r="G129" t="n">
        <v>0.004506754185981527</v>
      </c>
      <c r="H129" t="n">
        <v>2.864573466825327</v>
      </c>
      <c r="I129" t="n">
        <v>0.5087265014431734</v>
      </c>
      <c r="J129" t="n">
        <v>14.68855477995527</v>
      </c>
      <c r="K129" t="n">
        <v>13.83087807493037</v>
      </c>
      <c r="L129" t="n">
        <v>39.3265761609407</v>
      </c>
      <c r="M129" t="n">
        <v>39.3265761609407</v>
      </c>
      <c r="N129" t="n">
        <v>1.741763440860215</v>
      </c>
      <c r="O129" t="n">
        <v>2.883548387096774</v>
      </c>
      <c r="P129" t="inlineStr">
        <is>
          <t>seasonal pattern of Aug/23-Jul/26</t>
        </is>
      </c>
      <c r="Q129" t="n">
        <v>0.4673157931195557</v>
      </c>
      <c r="R129" t="n">
        <v>17.85001766706141</v>
      </c>
      <c r="S129" t="n">
        <v>32.53857244701668</v>
      </c>
      <c r="T129" t="n">
        <v>31.68089574199178</v>
      </c>
      <c r="U129" t="n">
        <v>6.78800371392402</v>
      </c>
      <c r="V129" t="n">
        <v>7.645680418948913</v>
      </c>
      <c r="W129" t="n">
        <v>42.21012454803747</v>
      </c>
      <c r="X129" t="n">
        <v>42.21012454803747</v>
      </c>
      <c r="Y129" t="n">
        <v>7.929788660160579</v>
      </c>
      <c r="Z129" t="n">
        <v>8.787465365185472</v>
      </c>
    </row>
    <row r="130">
      <c r="A130" s="8" t="n">
        <v>48092</v>
      </c>
      <c r="B130" t="inlineStr">
        <is>
          <t>Scenario</t>
        </is>
      </c>
      <c r="C130" t="n">
        <v>6.918029331066658</v>
      </c>
      <c r="D130" t="n">
        <v>5.82171992507825</v>
      </c>
      <c r="E130" t="n">
        <v>0.1503187068230294</v>
      </c>
      <c r="F130" t="n">
        <v>0.3175632675083901</v>
      </c>
      <c r="G130" t="n">
        <v>0.004487238977362174</v>
      </c>
      <c r="H130" t="n">
        <v>2.696572146296074</v>
      </c>
      <c r="I130" t="n">
        <v>0.5135951306639471</v>
      </c>
      <c r="J130" t="n">
        <v>15.4700550280206</v>
      </c>
      <c r="K130" t="n">
        <v>14.75661290975808</v>
      </c>
      <c r="L130" t="n">
        <v>39.35776396950637</v>
      </c>
      <c r="M130" t="n">
        <v>39.35776396950637</v>
      </c>
      <c r="N130" t="n">
        <v>2.412133333333333</v>
      </c>
      <c r="O130" t="n">
        <v>2.104855555555555</v>
      </c>
      <c r="P130" t="inlineStr">
        <is>
          <t>seasonal pattern of Aug/23-Jul/26</t>
        </is>
      </c>
      <c r="Q130" t="n">
        <v>0.4723692133087817</v>
      </c>
      <c r="R130" t="n">
        <v>16.42228574641371</v>
      </c>
      <c r="S130" t="n">
        <v>31.89234077443431</v>
      </c>
      <c r="T130" t="n">
        <v>31.17889865617179</v>
      </c>
      <c r="U130" t="n">
        <v>7.465423195072066</v>
      </c>
      <c r="V130" t="n">
        <v>8.178865313334583</v>
      </c>
      <c r="W130" t="n">
        <v>41.46261952506192</v>
      </c>
      <c r="X130" t="n">
        <v>41.46261952506192</v>
      </c>
      <c r="Y130" t="n">
        <v>7.158145417294286</v>
      </c>
      <c r="Z130" t="n">
        <v>7.871587535556802</v>
      </c>
    </row>
    <row r="131">
      <c r="A131" s="8" t="n">
        <v>48122</v>
      </c>
      <c r="B131" t="inlineStr">
        <is>
          <t>Scenario</t>
        </is>
      </c>
      <c r="C131" t="n">
        <v>5.436307874895696</v>
      </c>
      <c r="D131" t="n">
        <v>5.668351859128716</v>
      </c>
      <c r="E131" t="n">
        <v>0.208629303991381</v>
      </c>
      <c r="F131" t="n">
        <v>0.3476996474333924</v>
      </c>
      <c r="G131" t="n">
        <v>0.004483933466604595</v>
      </c>
      <c r="H131" t="n">
        <v>2.572250718464745</v>
      </c>
      <c r="I131" t="n">
        <v>0.5184637598847208</v>
      </c>
      <c r="J131" t="n">
        <v>15.89548970777218</v>
      </c>
      <c r="K131" t="n">
        <v>15.35236015776371</v>
      </c>
      <c r="L131" t="n">
        <v>39.38897680434319</v>
      </c>
      <c r="M131" t="n">
        <v>39.38897680434319</v>
      </c>
      <c r="N131" t="n">
        <v>2.523494623655914</v>
      </c>
      <c r="O131" t="n">
        <v>1.056784946236559</v>
      </c>
      <c r="P131" t="inlineStr">
        <is>
          <t>seasonal pattern of Aug/23-Jul/26</t>
        </is>
      </c>
      <c r="Q131" t="n">
        <v>0.5608128848913779</v>
      </c>
      <c r="R131" t="n">
        <v>14.75618709726526</v>
      </c>
      <c r="S131" t="n">
        <v>30.65167680503744</v>
      </c>
      <c r="T131" t="n">
        <v>30.10854725502897</v>
      </c>
      <c r="U131" t="n">
        <v>8.737299999305748</v>
      </c>
      <c r="V131" t="n">
        <v>9.280429549314213</v>
      </c>
      <c r="W131" t="n">
        <v>40.44576175057975</v>
      </c>
      <c r="X131" t="n">
        <v>40.44576175057975</v>
      </c>
      <c r="Y131" t="n">
        <v>7.270590321886395</v>
      </c>
      <c r="Z131" t="n">
        <v>7.813719871894861</v>
      </c>
    </row>
    <row r="132">
      <c r="A132" s="8" t="n">
        <v>48153</v>
      </c>
      <c r="B132" t="inlineStr">
        <is>
          <t>Scenario</t>
        </is>
      </c>
      <c r="C132" t="n">
        <v>4.645007511031529</v>
      </c>
      <c r="D132" t="n">
        <v>6.068406732208753</v>
      </c>
      <c r="E132" t="n">
        <v>0.4013355564337128</v>
      </c>
      <c r="F132" t="n">
        <v>0.4356941684519934</v>
      </c>
      <c r="G132" t="n">
        <v>0.00446451707657643</v>
      </c>
      <c r="H132" t="n">
        <v>2.514106660763842</v>
      </c>
      <c r="I132" t="n">
        <v>0.5233323891054944</v>
      </c>
      <c r="J132" t="n">
        <v>16.23512052546222</v>
      </c>
      <c r="K132" t="n">
        <v>15.87437699963832</v>
      </c>
      <c r="L132" t="n">
        <v>39.40963167559494</v>
      </c>
      <c r="M132" t="n">
        <v>39.40963167559494</v>
      </c>
      <c r="N132" t="n">
        <v>1.881788888888889</v>
      </c>
      <c r="O132" t="n">
        <v>1.287677777777778</v>
      </c>
      <c r="P132" t="inlineStr">
        <is>
          <t>seasonal pattern of Aug/23-Jul/26</t>
        </is>
      </c>
      <c r="Q132" t="n">
        <v>0.8414942419622826</v>
      </c>
      <c r="R132" t="n">
        <v>14.5923475350719</v>
      </c>
      <c r="S132" t="n">
        <v>30.82746806053412</v>
      </c>
      <c r="T132" t="n">
        <v>30.46672453471022</v>
      </c>
      <c r="U132" t="n">
        <v>8.582163615060814</v>
      </c>
      <c r="V132" t="n">
        <v>8.942907140884721</v>
      </c>
      <c r="W132" t="n">
        <v>40.69730945337272</v>
      </c>
      <c r="X132" t="n">
        <v>40.69730945337272</v>
      </c>
      <c r="Y132" t="n">
        <v>7.988052503949706</v>
      </c>
      <c r="Z132" t="n">
        <v>8.348796029773613</v>
      </c>
    </row>
    <row r="133">
      <c r="A133" s="8" t="n">
        <v>48183</v>
      </c>
      <c r="B133" t="inlineStr">
        <is>
          <t>Scenario</t>
        </is>
      </c>
      <c r="C133" t="n">
        <v>4.588742658117908</v>
      </c>
      <c r="D133" t="n">
        <v>6.274628996484306</v>
      </c>
      <c r="E133" t="n">
        <v>0.7401367346887212</v>
      </c>
      <c r="F133" t="n">
        <v>0.5554116393236709</v>
      </c>
      <c r="G133" t="n">
        <v>0.004461228303837008</v>
      </c>
      <c r="H133" t="n">
        <v>2.399606561380231</v>
      </c>
      <c r="I133" t="n">
        <v>0.5282010183262681</v>
      </c>
      <c r="J133" t="n">
        <v>16.01719753724603</v>
      </c>
      <c r="K133" t="n">
        <v>15.75027157089693</v>
      </c>
      <c r="L133" t="n">
        <v>39.41656782134501</v>
      </c>
      <c r="M133" t="n">
        <v>39.41656782134501</v>
      </c>
      <c r="N133" t="n">
        <v>1.379204301075269</v>
      </c>
      <c r="O133" t="n">
        <v>2.158774193548387</v>
      </c>
      <c r="P133" t="inlineStr">
        <is>
          <t>seasonal pattern of Aug/23-Jul/26</t>
        </is>
      </c>
      <c r="Q133" t="n">
        <v>1.300009602316229</v>
      </c>
      <c r="R133" t="n">
        <v>15.09118883662494</v>
      </c>
      <c r="S133" t="n">
        <v>31.10838637387097</v>
      </c>
      <c r="T133" t="n">
        <v>30.84146040752187</v>
      </c>
      <c r="U133" t="n">
        <v>8.308181447474041</v>
      </c>
      <c r="V133" t="n">
        <v>8.57510741382314</v>
      </c>
      <c r="W133" t="n">
        <v>41.5753420148934</v>
      </c>
      <c r="X133" t="n">
        <v>41.5753420148934</v>
      </c>
      <c r="Y133" t="n">
        <v>9.087751339947161</v>
      </c>
      <c r="Z133" t="n">
        <v>9.35467730629626</v>
      </c>
    </row>
    <row r="134">
      <c r="A134" s="8" t="n">
        <v>48214</v>
      </c>
      <c r="B134" t="inlineStr">
        <is>
          <t>Scenario</t>
        </is>
      </c>
      <c r="C134" t="n">
        <v>5.579445751982315</v>
      </c>
      <c r="D134" t="n">
        <v>6.13091390351837</v>
      </c>
      <c r="E134" t="n">
        <v>1.317844749386101</v>
      </c>
      <c r="F134" t="n">
        <v>0.7743706237694745</v>
      </c>
      <c r="G134" t="n">
        <v>0.005695346531056814</v>
      </c>
      <c r="H134" t="n">
        <v>2.643528614566458</v>
      </c>
      <c r="I134" t="n">
        <v>0.5330696475470417</v>
      </c>
      <c r="J134" t="n">
        <v>15.40481531001708</v>
      </c>
      <c r="K134" t="n">
        <v>15.23366821625557</v>
      </c>
      <c r="L134" t="n">
        <v>39.42004294921241</v>
      </c>
      <c r="M134" t="n">
        <v>39.42004294921241</v>
      </c>
      <c r="N134" t="n">
        <v>0.9953118279569892</v>
      </c>
      <c r="O134" t="n">
        <v>4.435344086021505</v>
      </c>
      <c r="P134" t="inlineStr">
        <is>
          <t>seasonal pattern of Aug/23-Jul/26</t>
        </is>
      </c>
      <c r="Q134" t="n">
        <v>2.097910719686632</v>
      </c>
      <c r="R134" t="n">
        <v>16.98486863730082</v>
      </c>
      <c r="S134" t="n">
        <v>32.3896839473179</v>
      </c>
      <c r="T134" t="n">
        <v>32.21853685355639</v>
      </c>
      <c r="U134" t="n">
        <v>7.03035900189451</v>
      </c>
      <c r="V134" t="n">
        <v>7.201506095656022</v>
      </c>
      <c r="W134" t="n">
        <v>43.85538703523392</v>
      </c>
      <c r="X134" t="n">
        <v>43.85538703523392</v>
      </c>
      <c r="Y134" t="n">
        <v>10.47039125995903</v>
      </c>
      <c r="Z134" t="n">
        <v>10.64153835372054</v>
      </c>
    </row>
    <row r="135">
      <c r="A135" s="8" t="n">
        <v>48245</v>
      </c>
      <c r="B135" t="inlineStr">
        <is>
          <t>Scenario</t>
        </is>
      </c>
      <c r="C135" t="n">
        <v>4.573570037829584</v>
      </c>
      <c r="D135" t="n">
        <v>6.00400035631081</v>
      </c>
      <c r="E135" t="n">
        <v>0.9203511402688467</v>
      </c>
      <c r="F135" t="n">
        <v>0.609421158592989</v>
      </c>
      <c r="G135" t="n">
        <v>0.005690211605395703</v>
      </c>
      <c r="H135" t="n">
        <v>2.598794312080328</v>
      </c>
      <c r="I135" t="n">
        <v>0.5379382767678154</v>
      </c>
      <c r="J135" t="n">
        <v>15.16644253291303</v>
      </c>
      <c r="K135" t="n">
        <v>15.08219314368078</v>
      </c>
      <c r="L135" t="n">
        <v>39.42351902089015</v>
      </c>
      <c r="M135" t="n">
        <v>39.42351902089015</v>
      </c>
      <c r="N135" t="n">
        <v>1.637940886699507</v>
      </c>
      <c r="O135" t="n">
        <v>2.852903530377668</v>
      </c>
      <c r="P135" t="inlineStr">
        <is>
          <t>seasonal pattern of Aug/23-Jul/26</t>
        </is>
      </c>
      <c r="Q135" t="n">
        <v>1.535462510467231</v>
      </c>
      <c r="R135" t="n">
        <v>15.24976549345577</v>
      </c>
      <c r="S135" t="n">
        <v>30.4162080263688</v>
      </c>
      <c r="T135" t="n">
        <v>30.33195863713655</v>
      </c>
      <c r="U135" t="n">
        <v>9.007310994521347</v>
      </c>
      <c r="V135" t="n">
        <v>9.091560383753595</v>
      </c>
      <c r="W135" t="n">
        <v>42.27642255126781</v>
      </c>
      <c r="X135" t="n">
        <v>42.27642255126781</v>
      </c>
      <c r="Y135" t="n">
        <v>10.22227363819951</v>
      </c>
      <c r="Z135" t="n">
        <v>10.30652302743175</v>
      </c>
    </row>
    <row r="136">
      <c r="A136" s="8" t="n">
        <v>48274</v>
      </c>
      <c r="B136" t="inlineStr">
        <is>
          <t>Scenario</t>
        </is>
      </c>
      <c r="C136" t="n">
        <v>4.068206450284062</v>
      </c>
      <c r="D136" t="n">
        <v>5.976087426634833</v>
      </c>
      <c r="E136" t="n">
        <v>0.4221113715783263</v>
      </c>
      <c r="F136" t="n">
        <v>0.4193431875105798</v>
      </c>
      <c r="G136" t="n">
        <v>0.005666507171381083</v>
      </c>
      <c r="H136" t="n">
        <v>2.504301106472185</v>
      </c>
      <c r="I136" t="n">
        <v>0.5428069059885891</v>
      </c>
      <c r="J136" t="n">
        <v>14.70041434656364</v>
      </c>
      <c r="K136" t="n">
        <v>14.70041434656364</v>
      </c>
      <c r="L136" t="n">
        <v>39.42699603663554</v>
      </c>
      <c r="M136" t="n">
        <v>39.42699603663554</v>
      </c>
      <c r="N136" t="n">
        <v>2.392172043010753</v>
      </c>
      <c r="O136" t="n">
        <v>1.187268817204301</v>
      </c>
      <c r="P136" t="inlineStr">
        <is>
          <t>seasonal pattern of Aug/23-Jul/26</t>
        </is>
      </c>
      <c r="Q136" t="n">
        <v>0.8471210662602872</v>
      </c>
      <c r="R136" t="n">
        <v>13.93852295563996</v>
      </c>
      <c r="S136" t="n">
        <v>28.6389373022036</v>
      </c>
      <c r="T136" t="n">
        <v>28.6389373022036</v>
      </c>
      <c r="U136" t="n">
        <v>10.78805873443194</v>
      </c>
      <c r="V136" t="n">
        <v>10.78805873443194</v>
      </c>
      <c r="W136" t="n">
        <v>40.61426485383984</v>
      </c>
      <c r="X136" t="n">
        <v>40.61426485383984</v>
      </c>
      <c r="Y136" t="n">
        <v>9.583155508625488</v>
      </c>
      <c r="Z136" t="n">
        <v>9.583155508625488</v>
      </c>
    </row>
    <row r="137">
      <c r="A137" s="8" t="n">
        <v>48305</v>
      </c>
      <c r="B137" t="inlineStr">
        <is>
          <t>Scenario</t>
        </is>
      </c>
      <c r="C137" t="n">
        <v>4.495762034023503</v>
      </c>
      <c r="D137" t="n">
        <v>5.909259139945459</v>
      </c>
      <c r="E137" t="n">
        <v>0.2740062374838869</v>
      </c>
      <c r="F137" t="n">
        <v>0.3813543559737634</v>
      </c>
      <c r="G137" t="n">
        <v>0.00564941711071875</v>
      </c>
      <c r="H137" t="n">
        <v>2.696204812660747</v>
      </c>
      <c r="I137" t="n">
        <v>0.5476755352093626</v>
      </c>
      <c r="J137" t="n">
        <v>14.1992926518784</v>
      </c>
      <c r="K137" t="n">
        <v>14.1992926518784</v>
      </c>
      <c r="L137" t="n">
        <v>39.43047399670598</v>
      </c>
      <c r="M137" t="n">
        <v>39.43047399670598</v>
      </c>
      <c r="N137" t="n">
        <v>2.271922222222222</v>
      </c>
      <c r="O137" t="n">
        <v>1.159666666666667</v>
      </c>
      <c r="P137" t="inlineStr">
        <is>
          <t>seasonal pattern of Aug/23-Jul/26</t>
        </is>
      </c>
      <c r="Q137" t="n">
        <v>0.6610100105683691</v>
      </c>
      <c r="R137" t="n">
        <v>14.30991153240744</v>
      </c>
      <c r="S137" t="n">
        <v>28.50920418428584</v>
      </c>
      <c r="T137" t="n">
        <v>28.50920418428584</v>
      </c>
      <c r="U137" t="n">
        <v>10.92126981242014</v>
      </c>
      <c r="V137" t="n">
        <v>10.92126981242014</v>
      </c>
      <c r="W137" t="n">
        <v>40.59014066337264</v>
      </c>
      <c r="X137" t="n">
        <v>40.59014066337264</v>
      </c>
      <c r="Y137" t="n">
        <v>9.809014256864582</v>
      </c>
      <c r="Z137" t="n">
        <v>9.809014256864582</v>
      </c>
    </row>
    <row r="138">
      <c r="A138" s="8" t="n">
        <v>48335</v>
      </c>
      <c r="B138" t="inlineStr">
        <is>
          <t>Scenario</t>
        </is>
      </c>
      <c r="C138" t="n">
        <v>5.792966830004294</v>
      </c>
      <c r="D138" t="n">
        <v>5.776507910798016</v>
      </c>
      <c r="E138" t="n">
        <v>0.1897684762776759</v>
      </c>
      <c r="F138" t="n">
        <v>0.3203715733731184</v>
      </c>
      <c r="G138" t="n">
        <v>0.005637813844727569</v>
      </c>
      <c r="H138" t="n">
        <v>2.930436815745756</v>
      </c>
      <c r="I138" t="n">
        <v>0.5525441644301362</v>
      </c>
      <c r="J138" t="n">
        <v>14.63710916827362</v>
      </c>
      <c r="K138" t="n">
        <v>14.63710916827362</v>
      </c>
      <c r="L138" t="n">
        <v>39.43395290135895</v>
      </c>
      <c r="M138" t="n">
        <v>39.43395290135895</v>
      </c>
      <c r="N138" t="n">
        <v>2.179247311827957</v>
      </c>
      <c r="O138" t="n">
        <v>1.123032258064516</v>
      </c>
      <c r="P138" t="inlineStr">
        <is>
          <t>seasonal pattern of Aug/23-Jul/26</t>
        </is>
      </c>
      <c r="Q138" t="n">
        <v>0.5157778634955219</v>
      </c>
      <c r="R138" t="n">
        <v>15.56823358447372</v>
      </c>
      <c r="S138" t="n">
        <v>30.20534275274734</v>
      </c>
      <c r="T138" t="n">
        <v>30.20534275274734</v>
      </c>
      <c r="U138" t="n">
        <v>9.228610148611608</v>
      </c>
      <c r="V138" t="n">
        <v>9.228610148611608</v>
      </c>
      <c r="W138" t="n">
        <v>40.55698515942347</v>
      </c>
      <c r="X138" t="n">
        <v>40.55698515942347</v>
      </c>
      <c r="Y138" t="n">
        <v>8.17239509484817</v>
      </c>
      <c r="Z138" t="n">
        <v>8.17239509484817</v>
      </c>
    </row>
    <row r="139">
      <c r="A139" s="8" t="n">
        <v>48366</v>
      </c>
      <c r="B139" t="inlineStr">
        <is>
          <t>Scenario</t>
        </is>
      </c>
      <c r="C139" t="n">
        <v>6.680486736221694</v>
      </c>
      <c r="D139" t="n">
        <v>5.840573198217045</v>
      </c>
      <c r="E139" t="n">
        <v>0.180517859987658</v>
      </c>
      <c r="F139" t="n">
        <v>0.3227800492328575</v>
      </c>
      <c r="G139" t="n">
        <v>0.005620810322505635</v>
      </c>
      <c r="H139" t="n">
        <v>2.873592491132675</v>
      </c>
      <c r="I139" t="n">
        <v>0.5574127936509099</v>
      </c>
      <c r="J139" t="n">
        <v>14.78827058143899</v>
      </c>
      <c r="K139" t="n">
        <v>14.78827058143899</v>
      </c>
      <c r="L139" t="n">
        <v>39.43743275085197</v>
      </c>
      <c r="M139" t="n">
        <v>39.43743275085197</v>
      </c>
      <c r="N139" t="n">
        <v>1.835466666666667</v>
      </c>
      <c r="O139" t="n">
        <v>1.149211111111111</v>
      </c>
      <c r="P139" t="inlineStr">
        <is>
          <t>seasonal pattern of Aug/23-Jul/26</t>
        </is>
      </c>
      <c r="Q139" t="n">
        <v>0.5089187195430211</v>
      </c>
      <c r="R139" t="n">
        <v>16.46098393876535</v>
      </c>
      <c r="S139" t="n">
        <v>31.24925452020434</v>
      </c>
      <c r="T139" t="n">
        <v>31.24925452020434</v>
      </c>
      <c r="U139" t="n">
        <v>8.188178230647633</v>
      </c>
      <c r="V139" t="n">
        <v>8.188178230647633</v>
      </c>
      <c r="W139" t="n">
        <v>40.58664386196308</v>
      </c>
      <c r="X139" t="n">
        <v>40.58664386196308</v>
      </c>
      <c r="Y139" t="n">
        <v>7.50192267509208</v>
      </c>
      <c r="Z139" t="n">
        <v>7.50192267509208</v>
      </c>
    </row>
    <row r="140">
      <c r="A140" s="8" t="n">
        <v>48396</v>
      </c>
      <c r="B140" t="inlineStr">
        <is>
          <t>Scenario</t>
        </is>
      </c>
      <c r="C140" t="n">
        <v>7.270704077454631</v>
      </c>
      <c r="D140" t="n">
        <v>5.826177249346695</v>
      </c>
      <c r="E140" t="n">
        <v>0.168726560170797</v>
      </c>
      <c r="F140" t="n">
        <v>0.3084697657965955</v>
      </c>
      <c r="G140" t="n">
        <v>0.005609265811633128</v>
      </c>
      <c r="H140" t="n">
        <v>2.742261894043959</v>
      </c>
      <c r="I140" t="n">
        <v>0.5622814228716836</v>
      </c>
      <c r="J140" t="n">
        <v>14.38978393145688</v>
      </c>
      <c r="K140" t="n">
        <v>14.38978393145688</v>
      </c>
      <c r="L140" t="n">
        <v>39.44091354544263</v>
      </c>
      <c r="M140" t="n">
        <v>39.44091354544263</v>
      </c>
      <c r="N140" t="n">
        <v>1.445075268817204</v>
      </c>
      <c r="O140" t="n">
        <v>1.521387096774194</v>
      </c>
      <c r="P140" t="inlineStr">
        <is>
          <t>seasonal pattern of Aug/23-Jul/26</t>
        </is>
      </c>
      <c r="Q140" t="n">
        <v>0.4828055917790257</v>
      </c>
      <c r="R140" t="n">
        <v>16.88423023549599</v>
      </c>
      <c r="S140" t="n">
        <v>31.27401416695287</v>
      </c>
      <c r="T140" t="n">
        <v>31.27401416695287</v>
      </c>
      <c r="U140" t="n">
        <v>8.166899378489759</v>
      </c>
      <c r="V140" t="n">
        <v>8.166899378489759</v>
      </c>
      <c r="W140" t="n">
        <v>40.96230064221682</v>
      </c>
      <c r="X140" t="n">
        <v>40.96230064221682</v>
      </c>
      <c r="Y140" t="n">
        <v>8.243211206446746</v>
      </c>
      <c r="Z140" t="n">
        <v>8.243211206446746</v>
      </c>
    </row>
    <row r="141">
      <c r="A141" s="8" t="n">
        <v>48427</v>
      </c>
      <c r="B141" t="inlineStr">
        <is>
          <t>Scenario</t>
        </is>
      </c>
      <c r="C141" t="n">
        <v>8.161645258862009</v>
      </c>
      <c r="D141" t="n">
        <v>5.894092293582069</v>
      </c>
      <c r="E141" t="n">
        <v>0.1482262737904032</v>
      </c>
      <c r="F141" t="n">
        <v>0.3006984939751637</v>
      </c>
      <c r="G141" t="n">
        <v>0.004371551560402081</v>
      </c>
      <c r="H141" t="n">
        <v>2.806552744003916</v>
      </c>
      <c r="I141" t="n">
        <v>0.5671500520924572</v>
      </c>
      <c r="J141" t="n">
        <v>14.77060529854541</v>
      </c>
      <c r="K141" t="n">
        <v>14.77060529854541</v>
      </c>
      <c r="L141" t="n">
        <v>39.44439528538862</v>
      </c>
      <c r="M141" t="n">
        <v>39.44439528538862</v>
      </c>
      <c r="N141" t="n">
        <v>1.741763440860215</v>
      </c>
      <c r="O141" t="n">
        <v>2.883548387096774</v>
      </c>
      <c r="P141" t="inlineStr">
        <is>
          <t>seasonal pattern of Aug/23-Jul/26</t>
        </is>
      </c>
      <c r="Q141" t="n">
        <v>0.453296319325969</v>
      </c>
      <c r="R141" t="n">
        <v>17.88273666786642</v>
      </c>
      <c r="S141" t="n">
        <v>32.65334196641183</v>
      </c>
      <c r="T141" t="n">
        <v>32.65334196641183</v>
      </c>
      <c r="U141" t="n">
        <v>6.791053318976793</v>
      </c>
      <c r="V141" t="n">
        <v>6.791053318976793</v>
      </c>
      <c r="W141" t="n">
        <v>42.3279436724854</v>
      </c>
      <c r="X141" t="n">
        <v>42.3279436724854</v>
      </c>
      <c r="Y141" t="n">
        <v>7.932838265213352</v>
      </c>
      <c r="Z141" t="n">
        <v>7.932838265213352</v>
      </c>
    </row>
    <row r="142">
      <c r="A142" s="8" t="n">
        <v>48458</v>
      </c>
      <c r="B142" t="inlineStr">
        <is>
          <t>Scenario</t>
        </is>
      </c>
      <c r="C142" t="n">
        <v>6.918029331066658</v>
      </c>
      <c r="D142" t="n">
        <v>5.867849265667964</v>
      </c>
      <c r="E142" t="n">
        <v>0.1458091456183385</v>
      </c>
      <c r="F142" t="n">
        <v>0.3080363694831384</v>
      </c>
      <c r="G142" t="n">
        <v>0.004352621808041308</v>
      </c>
      <c r="H142" t="n">
        <v>2.641954219096749</v>
      </c>
      <c r="I142" t="n">
        <v>0.5720186813132307</v>
      </c>
      <c r="J142" t="n">
        <v>15.4700550280206</v>
      </c>
      <c r="K142" t="n">
        <v>15.4700550280206</v>
      </c>
      <c r="L142" t="n">
        <v>39.44787797094769</v>
      </c>
      <c r="M142" t="n">
        <v>39.44787797094769</v>
      </c>
      <c r="N142" t="n">
        <v>2.412133333333333</v>
      </c>
      <c r="O142" t="n">
        <v>2.104855555555555</v>
      </c>
      <c r="P142" t="inlineStr">
        <is>
          <t>seasonal pattern of Aug/23-Jul/26</t>
        </is>
      </c>
      <c r="Q142" t="n">
        <v>0.4581981369095182</v>
      </c>
      <c r="R142" t="n">
        <v>16.45804963405412</v>
      </c>
      <c r="S142" t="n">
        <v>31.92810466207472</v>
      </c>
      <c r="T142" t="n">
        <v>31.92810466207472</v>
      </c>
      <c r="U142" t="n">
        <v>7.519773308872971</v>
      </c>
      <c r="V142" t="n">
        <v>7.519773308872971</v>
      </c>
      <c r="W142" t="n">
        <v>41.55273352650324</v>
      </c>
      <c r="X142" t="n">
        <v>41.55273352650324</v>
      </c>
      <c r="Y142" t="n">
        <v>7.21249553109519</v>
      </c>
      <c r="Z142" t="n">
        <v>7.21249553109519</v>
      </c>
    </row>
    <row r="143">
      <c r="A143" s="8" t="n">
        <v>48488</v>
      </c>
      <c r="B143" t="inlineStr">
        <is>
          <t>Scenario</t>
        </is>
      </c>
      <c r="C143" t="n">
        <v>5.436307874895696</v>
      </c>
      <c r="D143" t="n">
        <v>5.713265963011611</v>
      </c>
      <c r="E143" t="n">
        <v>0.2023704248716396</v>
      </c>
      <c r="F143" t="n">
        <v>0.3372686580103906</v>
      </c>
      <c r="G143" t="n">
        <v>0.004349415462606457</v>
      </c>
      <c r="H143" t="n">
        <v>2.520150869153281</v>
      </c>
      <c r="I143" t="n">
        <v>0.5768873105340044</v>
      </c>
      <c r="J143" t="n">
        <v>15.89548970777218</v>
      </c>
      <c r="K143" t="n">
        <v>15.89548970777218</v>
      </c>
      <c r="L143" t="n">
        <v>39.45136160237763</v>
      </c>
      <c r="M143" t="n">
        <v>39.45136160237763</v>
      </c>
      <c r="N143" t="n">
        <v>2.523494623655914</v>
      </c>
      <c r="O143" t="n">
        <v>1.056784946236559</v>
      </c>
      <c r="P143" t="inlineStr">
        <is>
          <t>seasonal pattern of Aug/23-Jul/26</t>
        </is>
      </c>
      <c r="Q143" t="n">
        <v>0.5439884983446366</v>
      </c>
      <c r="R143" t="n">
        <v>14.79060051593923</v>
      </c>
      <c r="S143" t="n">
        <v>30.68609022371141</v>
      </c>
      <c r="T143" t="n">
        <v>30.68609022371141</v>
      </c>
      <c r="U143" t="n">
        <v>8.76527137866622</v>
      </c>
      <c r="V143" t="n">
        <v>8.76527137866622</v>
      </c>
      <c r="W143" t="n">
        <v>40.50814654861419</v>
      </c>
      <c r="X143" t="n">
        <v>40.50814654861419</v>
      </c>
      <c r="Y143" t="n">
        <v>7.298561701246868</v>
      </c>
      <c r="Z143" t="n">
        <v>7.298561701246868</v>
      </c>
    </row>
    <row r="144">
      <c r="A144" s="8" t="n">
        <v>48519</v>
      </c>
      <c r="B144" t="inlineStr">
        <is>
          <t>Scenario</t>
        </is>
      </c>
      <c r="C144" t="n">
        <v>4.645007511031529</v>
      </c>
      <c r="D144" t="n">
        <v>6.116490735662972</v>
      </c>
      <c r="E144" t="n">
        <v>0.3892954897407014</v>
      </c>
      <c r="F144" t="n">
        <v>0.4226233433984335</v>
      </c>
      <c r="G144" t="n">
        <v>0.004330581564279136</v>
      </c>
      <c r="H144" t="n">
        <v>2.463184494725174</v>
      </c>
      <c r="I144" t="n">
        <v>0.5817559397547781</v>
      </c>
      <c r="J144" t="n">
        <v>16.23512052546222</v>
      </c>
      <c r="K144" t="n">
        <v>16.23512052546222</v>
      </c>
      <c r="L144" t="n">
        <v>39.45484617993637</v>
      </c>
      <c r="M144" t="n">
        <v>39.45484617993637</v>
      </c>
      <c r="N144" t="n">
        <v>1.881788888888889</v>
      </c>
      <c r="O144" t="n">
        <v>1.287677777777778</v>
      </c>
      <c r="P144" t="inlineStr">
        <is>
          <t>seasonal pattern of Aug/23-Jul/26</t>
        </is>
      </c>
      <c r="Q144" t="n">
        <v>0.8162494147034141</v>
      </c>
      <c r="R144" t="n">
        <v>14.62268809587787</v>
      </c>
      <c r="S144" t="n">
        <v>30.85780862134009</v>
      </c>
      <c r="T144" t="n">
        <v>30.85780862134009</v>
      </c>
      <c r="U144" t="n">
        <v>8.597037558596277</v>
      </c>
      <c r="V144" t="n">
        <v>8.597037558596277</v>
      </c>
      <c r="W144" t="n">
        <v>40.74252395771415</v>
      </c>
      <c r="X144" t="n">
        <v>40.74252395771415</v>
      </c>
      <c r="Y144" t="n">
        <v>8.002926447485169</v>
      </c>
      <c r="Z144" t="n">
        <v>8.002926447485169</v>
      </c>
    </row>
    <row r="145">
      <c r="A145" s="8" t="n">
        <v>48549</v>
      </c>
      <c r="B145" t="inlineStr">
        <is>
          <t>Scenario</t>
        </is>
      </c>
      <c r="C145" t="n">
        <v>4.588742658117908</v>
      </c>
      <c r="D145" t="n">
        <v>6.324347035444935</v>
      </c>
      <c r="E145" t="n">
        <v>0.7179326326480595</v>
      </c>
      <c r="F145" t="n">
        <v>0.5387492901439608</v>
      </c>
      <c r="G145" t="n">
        <v>0.004327391454721897</v>
      </c>
      <c r="H145" t="n">
        <v>2.351003546379683</v>
      </c>
      <c r="I145" t="n">
        <v>0.5866245689755517</v>
      </c>
      <c r="J145" t="n">
        <v>16.01719753724603</v>
      </c>
      <c r="K145" t="n">
        <v>16.01719753724603</v>
      </c>
      <c r="L145" t="n">
        <v>39.45833170388183</v>
      </c>
      <c r="M145" t="n">
        <v>39.45833170388183</v>
      </c>
      <c r="N145" t="n">
        <v>1.379204301075269</v>
      </c>
      <c r="O145" t="n">
        <v>2.158774193548387</v>
      </c>
      <c r="P145" t="inlineStr">
        <is>
          <t>seasonal pattern of Aug/23-Jul/26</t>
        </is>
      </c>
      <c r="Q145" t="n">
        <v>1.261009314246742</v>
      </c>
      <c r="R145" t="n">
        <v>15.11172712316482</v>
      </c>
      <c r="S145" t="n">
        <v>31.12892466041085</v>
      </c>
      <c r="T145" t="n">
        <v>31.12892466041085</v>
      </c>
      <c r="U145" t="n">
        <v>8.329407043470983</v>
      </c>
      <c r="V145" t="n">
        <v>8.329407043470983</v>
      </c>
      <c r="W145" t="n">
        <v>41.61710589743022</v>
      </c>
      <c r="X145" t="n">
        <v>41.61710589743022</v>
      </c>
      <c r="Y145" t="n">
        <v>9.108976935944103</v>
      </c>
      <c r="Z145" t="n">
        <v>9.108976935944103</v>
      </c>
    </row>
    <row r="146">
      <c r="A146" s="8" t="n">
        <v>48580</v>
      </c>
      <c r="B146" t="inlineStr">
        <is>
          <t>Scenario</t>
        </is>
      </c>
      <c r="C146" t="n">
        <v>5.579445751982315</v>
      </c>
      <c r="D146" t="n">
        <v>6.179493192666809</v>
      </c>
      <c r="E146" t="n">
        <v>1.278309406904518</v>
      </c>
      <c r="F146" t="n">
        <v>0.7511395050563904</v>
      </c>
      <c r="G146" t="n">
        <v>0.00552448613512511</v>
      </c>
      <c r="H146" t="n">
        <v>2.589985061645746</v>
      </c>
      <c r="I146" t="n">
        <v>0.5914931981963253</v>
      </c>
      <c r="J146" t="n">
        <v>15.40481531001708</v>
      </c>
      <c r="K146" t="n">
        <v>15.40481531001708</v>
      </c>
      <c r="L146" t="n">
        <v>39.46007624099035</v>
      </c>
      <c r="M146" t="n">
        <v>39.46007624099035</v>
      </c>
      <c r="N146" t="n">
        <v>0.9953118279569892</v>
      </c>
      <c r="O146" t="n">
        <v>4.435344086021505</v>
      </c>
      <c r="P146" t="inlineStr">
        <is>
          <t>seasonal pattern of Aug/23-Jul/26</t>
        </is>
      </c>
      <c r="Q146" t="n">
        <v>2.034973398096033</v>
      </c>
      <c r="R146" t="n">
        <v>16.97539060258723</v>
      </c>
      <c r="S146" t="n">
        <v>32.38020591260431</v>
      </c>
      <c r="T146" t="n">
        <v>32.38020591260431</v>
      </c>
      <c r="U146" t="n">
        <v>7.079870328386036</v>
      </c>
      <c r="V146" t="n">
        <v>7.079870328386036</v>
      </c>
      <c r="W146" t="n">
        <v>43.89542032701185</v>
      </c>
      <c r="X146" t="n">
        <v>43.89542032701185</v>
      </c>
      <c r="Y146" t="n">
        <v>10.51990258645055</v>
      </c>
      <c r="Z146" t="n">
        <v>10.51990258645055</v>
      </c>
    </row>
    <row r="147">
      <c r="A147" s="8" t="n">
        <v>48611</v>
      </c>
      <c r="B147" t="inlineStr">
        <is>
          <t>Scenario</t>
        </is>
      </c>
      <c r="C147" t="n">
        <v>4.573570037829584</v>
      </c>
      <c r="D147" t="n">
        <v>6.051574025415699</v>
      </c>
      <c r="E147" t="n">
        <v>0.8927406060607812</v>
      </c>
      <c r="F147" t="n">
        <v>0.5911385238351993</v>
      </c>
      <c r="G147" t="n">
        <v>0.005519505257233832</v>
      </c>
      <c r="H147" t="n">
        <v>2.546156833517707</v>
      </c>
      <c r="I147" t="n">
        <v>0.596361827417099</v>
      </c>
      <c r="J147" t="n">
        <v>15.16644253291303</v>
      </c>
      <c r="K147" t="n">
        <v>15.16644253291303</v>
      </c>
      <c r="L147" t="n">
        <v>39.46182101517966</v>
      </c>
      <c r="M147" t="n">
        <v>39.46182101517966</v>
      </c>
      <c r="N147" t="n">
        <v>1.637940886699507</v>
      </c>
      <c r="O147" t="n">
        <v>2.852903530377668</v>
      </c>
      <c r="P147" t="inlineStr">
        <is>
          <t>seasonal pattern of Aug/23-Jul/26</t>
        </is>
      </c>
      <c r="Q147" t="n">
        <v>1.489398635153214</v>
      </c>
      <c r="R147" t="n">
        <v>15.2570613593333</v>
      </c>
      <c r="S147" t="n">
        <v>30.42350389224634</v>
      </c>
      <c r="T147" t="n">
        <v>30.42350389224634</v>
      </c>
      <c r="U147" t="n">
        <v>9.038317122933321</v>
      </c>
      <c r="V147" t="n">
        <v>9.038317122933321</v>
      </c>
      <c r="W147" t="n">
        <v>42.31472454555733</v>
      </c>
      <c r="X147" t="n">
        <v>42.31472454555733</v>
      </c>
      <c r="Y147" t="n">
        <v>10.25327976661148</v>
      </c>
      <c r="Z147" t="n">
        <v>10.25327976661148</v>
      </c>
    </row>
    <row r="148">
      <c r="A148" s="8" t="n">
        <v>48639</v>
      </c>
      <c r="B148" t="inlineStr">
        <is>
          <t>Scenario</t>
        </is>
      </c>
      <c r="C148" t="n">
        <v>4.068206450284062</v>
      </c>
      <c r="D148" t="n">
        <v>6.023439923121245</v>
      </c>
      <c r="E148" t="n">
        <v>0.4094480304309765</v>
      </c>
      <c r="F148" t="n">
        <v>0.4067628918852623</v>
      </c>
      <c r="G148" t="n">
        <v>0.00549651195623965</v>
      </c>
      <c r="H148" t="n">
        <v>2.453577547784403</v>
      </c>
      <c r="I148" t="n">
        <v>0.6012304566378727</v>
      </c>
      <c r="J148" t="n">
        <v>14.70041434656364</v>
      </c>
      <c r="K148" t="n">
        <v>14.70041434656364</v>
      </c>
      <c r="L148" t="n">
        <v>39.4635660264821</v>
      </c>
      <c r="M148" t="n">
        <v>39.4635660264821</v>
      </c>
      <c r="N148" t="n">
        <v>2.392172043010753</v>
      </c>
      <c r="O148" t="n">
        <v>1.187268817204301</v>
      </c>
      <c r="P148" t="inlineStr">
        <is>
          <t>seasonal pattern of Aug/23-Jul/26</t>
        </is>
      </c>
      <c r="Q148" t="n">
        <v>0.8217074342724785</v>
      </c>
      <c r="R148" t="n">
        <v>13.96816181210006</v>
      </c>
      <c r="S148" t="n">
        <v>28.6685761586637</v>
      </c>
      <c r="T148" t="n">
        <v>28.6685761586637</v>
      </c>
      <c r="U148" t="n">
        <v>10.79498986781839</v>
      </c>
      <c r="V148" t="n">
        <v>10.79498986781839</v>
      </c>
      <c r="W148" t="n">
        <v>40.6508348436864</v>
      </c>
      <c r="X148" t="n">
        <v>40.6508348436864</v>
      </c>
      <c r="Y148" t="n">
        <v>9.59008664201194</v>
      </c>
      <c r="Z148" t="n">
        <v>9.59008664201194</v>
      </c>
    </row>
    <row r="149">
      <c r="A149" s="8" t="n">
        <v>48670</v>
      </c>
      <c r="B149" t="inlineStr">
        <is>
          <t>Scenario</t>
        </is>
      </c>
      <c r="C149" t="n">
        <v>4.495762034023503</v>
      </c>
      <c r="D149" t="n">
        <v>5.956082111680184</v>
      </c>
      <c r="E149" t="n">
        <v>0.2657860503593703</v>
      </c>
      <c r="F149" t="n">
        <v>0.3699137252945505</v>
      </c>
      <c r="G149" t="n">
        <v>0.005479934597397188</v>
      </c>
      <c r="H149" t="n">
        <v>2.641594325648691</v>
      </c>
      <c r="I149" t="n">
        <v>0.6060990858586462</v>
      </c>
      <c r="J149" t="n">
        <v>14.1992926518784</v>
      </c>
      <c r="K149" t="n">
        <v>14.1992926518784</v>
      </c>
      <c r="L149" t="n">
        <v>39.46531127493</v>
      </c>
      <c r="M149" t="n">
        <v>39.46531127493</v>
      </c>
      <c r="N149" t="n">
        <v>2.271922222222222</v>
      </c>
      <c r="O149" t="n">
        <v>1.159666666666667</v>
      </c>
      <c r="P149" t="inlineStr">
        <is>
          <t>seasonal pattern of Aug/23-Jul/26</t>
        </is>
      </c>
      <c r="Q149" t="n">
        <v>0.641179710251318</v>
      </c>
      <c r="R149" t="n">
        <v>14.34071726746234</v>
      </c>
      <c r="S149" t="n">
        <v>28.54000991934074</v>
      </c>
      <c r="T149" t="n">
        <v>28.54000991934074</v>
      </c>
      <c r="U149" t="n">
        <v>10.92530135558926</v>
      </c>
      <c r="V149" t="n">
        <v>10.92530135558926</v>
      </c>
      <c r="W149" t="n">
        <v>40.62497794159667</v>
      </c>
      <c r="X149" t="n">
        <v>40.62497794159667</v>
      </c>
      <c r="Y149" t="n">
        <v>9.813045800033706</v>
      </c>
      <c r="Z149" t="n">
        <v>9.813045800033706</v>
      </c>
    </row>
    <row r="150">
      <c r="A150" s="8" t="n">
        <v>48700</v>
      </c>
      <c r="B150" t="inlineStr">
        <is>
          <t>Scenario</t>
        </is>
      </c>
      <c r="C150" t="n">
        <v>5.792966830004294</v>
      </c>
      <c r="D150" t="n">
        <v>5.822279006670992</v>
      </c>
      <c r="E150" t="n">
        <v>0.1840754219893456</v>
      </c>
      <c r="F150" t="n">
        <v>0.3107604261719249</v>
      </c>
      <c r="G150" t="n">
        <v>0.005468679429385741</v>
      </c>
      <c r="H150" t="n">
        <v>2.871082058675945</v>
      </c>
      <c r="I150" t="n">
        <v>0.6109677150794198</v>
      </c>
      <c r="J150" t="n">
        <v>14.63710916827362</v>
      </c>
      <c r="K150" t="n">
        <v>14.63710916827362</v>
      </c>
      <c r="L150" t="n">
        <v>39.46705676055574</v>
      </c>
      <c r="M150" t="n">
        <v>39.46705676055574</v>
      </c>
      <c r="N150" t="n">
        <v>2.179247311827957</v>
      </c>
      <c r="O150" t="n">
        <v>1.123032258064516</v>
      </c>
      <c r="P150" t="inlineStr">
        <is>
          <t>seasonal pattern of Aug/23-Jul/26</t>
        </is>
      </c>
      <c r="Q150" t="n">
        <v>0.5003045275906562</v>
      </c>
      <c r="R150" t="n">
        <v>15.59760013802131</v>
      </c>
      <c r="S150" t="n">
        <v>30.23470930629493</v>
      </c>
      <c r="T150" t="n">
        <v>30.23470930629493</v>
      </c>
      <c r="U150" t="n">
        <v>9.232347454260815</v>
      </c>
      <c r="V150" t="n">
        <v>9.232347454260815</v>
      </c>
      <c r="W150" t="n">
        <v>40.59008901862026</v>
      </c>
      <c r="X150" t="n">
        <v>40.59008901862026</v>
      </c>
      <c r="Y150" t="n">
        <v>8.176132400497377</v>
      </c>
      <c r="Z150" t="n">
        <v>8.176132400497377</v>
      </c>
    </row>
    <row r="151">
      <c r="A151" s="8" t="n">
        <v>48731</v>
      </c>
      <c r="B151" t="inlineStr">
        <is>
          <t>Scenario</t>
        </is>
      </c>
      <c r="C151" t="n">
        <v>6.680486736221694</v>
      </c>
      <c r="D151" t="n">
        <v>5.886851925769554</v>
      </c>
      <c r="E151" t="n">
        <v>0.1751023241880283</v>
      </c>
      <c r="F151" t="n">
        <v>0.3130966477558717</v>
      </c>
      <c r="G151" t="n">
        <v>0.005452186012830465</v>
      </c>
      <c r="H151" t="n">
        <v>2.815389091792223</v>
      </c>
      <c r="I151" t="n">
        <v>0.6158363443001935</v>
      </c>
      <c r="J151" t="n">
        <v>14.78827058143899</v>
      </c>
      <c r="K151" t="n">
        <v>14.78827058143899</v>
      </c>
      <c r="L151" t="n">
        <v>39.46880248339166</v>
      </c>
      <c r="M151" t="n">
        <v>39.46880248339166</v>
      </c>
      <c r="N151" t="n">
        <v>1.835466666666667</v>
      </c>
      <c r="O151" t="n">
        <v>1.149211111111111</v>
      </c>
      <c r="P151" t="inlineStr">
        <is>
          <t>seasonal pattern of Aug/23-Jul/26</t>
        </is>
      </c>
      <c r="Q151" t="n">
        <v>0.4936511579567305</v>
      </c>
      <c r="R151" t="n">
        <v>16.4922152560404</v>
      </c>
      <c r="S151" t="n">
        <v>31.28048583747939</v>
      </c>
      <c r="T151" t="n">
        <v>31.28048583747939</v>
      </c>
      <c r="U151" t="n">
        <v>8.188316645912277</v>
      </c>
      <c r="V151" t="n">
        <v>8.188316645912277</v>
      </c>
      <c r="W151" t="n">
        <v>40.61801359450278</v>
      </c>
      <c r="X151" t="n">
        <v>40.61801359450278</v>
      </c>
      <c r="Y151" t="n">
        <v>7.502061090356724</v>
      </c>
      <c r="Z151" t="n">
        <v>7.502061090356724</v>
      </c>
    </row>
    <row r="152">
      <c r="A152" s="8" t="n">
        <v>48761</v>
      </c>
      <c r="B152" t="inlineStr">
        <is>
          <t>Scenario</t>
        </is>
      </c>
      <c r="C152" t="n">
        <v>7.270704077454631</v>
      </c>
      <c r="D152" t="n">
        <v>5.872341908267063</v>
      </c>
      <c r="E152" t="n">
        <v>0.1636647633656731</v>
      </c>
      <c r="F152" t="n">
        <v>0.2992156728226977</v>
      </c>
      <c r="G152" t="n">
        <v>0.005440987837284135</v>
      </c>
      <c r="H152" t="n">
        <v>2.686718540347266</v>
      </c>
      <c r="I152" t="n">
        <v>0.6207049735209672</v>
      </c>
      <c r="J152" t="n">
        <v>14.38978393145688</v>
      </c>
      <c r="K152" t="n">
        <v>14.38978393145688</v>
      </c>
      <c r="L152" t="n">
        <v>39.47054844347013</v>
      </c>
      <c r="M152" t="n">
        <v>39.47054844347013</v>
      </c>
      <c r="N152" t="n">
        <v>1.445075268817204</v>
      </c>
      <c r="O152" t="n">
        <v>1.521387096774194</v>
      </c>
      <c r="P152" t="inlineStr">
        <is>
          <t>seasonal pattern of Aug/23-Jul/26</t>
        </is>
      </c>
      <c r="Q152" t="n">
        <v>0.4683214240256549</v>
      </c>
      <c r="R152" t="n">
        <v>16.91879092361559</v>
      </c>
      <c r="S152" t="n">
        <v>31.30857485507246</v>
      </c>
      <c r="T152" t="n">
        <v>31.30857485507246</v>
      </c>
      <c r="U152" t="n">
        <v>8.161973588397665</v>
      </c>
      <c r="V152" t="n">
        <v>8.161973588397665</v>
      </c>
      <c r="W152" t="n">
        <v>40.99193554024432</v>
      </c>
      <c r="X152" t="n">
        <v>40.99193554024432</v>
      </c>
      <c r="Y152" t="n">
        <v>8.238285416354652</v>
      </c>
      <c r="Z152" t="n">
        <v>8.238285416354652</v>
      </c>
    </row>
    <row r="153">
      <c r="A153" s="8" t="n">
        <v>48792</v>
      </c>
      <c r="B153" t="inlineStr">
        <is>
          <t>Scenario</t>
        </is>
      </c>
      <c r="C153" t="n">
        <v>8.161645258862009</v>
      </c>
      <c r="D153" t="n">
        <v>5.940795088353529</v>
      </c>
      <c r="E153" t="n">
        <v>0.1437794855766911</v>
      </c>
      <c r="F153" t="n">
        <v>0.2916775391559088</v>
      </c>
      <c r="G153" t="n">
        <v>0.004240405013590019</v>
      </c>
      <c r="H153" t="n">
        <v>2.749707206359532</v>
      </c>
      <c r="I153" t="n">
        <v>0.6255736027417408</v>
      </c>
      <c r="J153" t="n">
        <v>14.77060529854541</v>
      </c>
      <c r="K153" t="n">
        <v>14.77060529854541</v>
      </c>
      <c r="L153" t="n">
        <v>39.47229464082351</v>
      </c>
      <c r="M153" t="n">
        <v>39.47229464082351</v>
      </c>
      <c r="N153" t="n">
        <v>1.741763440860215</v>
      </c>
      <c r="O153" t="n">
        <v>2.883548387096774</v>
      </c>
      <c r="P153" t="inlineStr">
        <is>
          <t>seasonal pattern of Aug/23-Jul/26</t>
        </is>
      </c>
      <c r="Q153" t="n">
        <v>0.43969742974619</v>
      </c>
      <c r="R153" t="n">
        <v>17.917418586063</v>
      </c>
      <c r="S153" t="n">
        <v>32.68802388460841</v>
      </c>
      <c r="T153" t="n">
        <v>32.68802388460841</v>
      </c>
      <c r="U153" t="n">
        <v>6.784270756215101</v>
      </c>
      <c r="V153" t="n">
        <v>6.784270756215101</v>
      </c>
      <c r="W153" t="n">
        <v>42.35584302792029</v>
      </c>
      <c r="X153" t="n">
        <v>42.35584302792029</v>
      </c>
      <c r="Y153" t="n">
        <v>7.926055702451659</v>
      </c>
      <c r="Z153" t="n">
        <v>7.926055702451659</v>
      </c>
    </row>
    <row r="154">
      <c r="A154" s="8" t="n">
        <v>48823</v>
      </c>
      <c r="B154" t="inlineStr">
        <is>
          <t>Scenario</t>
        </is>
      </c>
      <c r="C154" t="n">
        <v>6.918029331066658</v>
      </c>
      <c r="D154" t="n">
        <v>5.914344119557978</v>
      </c>
      <c r="E154" t="n">
        <v>0.1414348712497884</v>
      </c>
      <c r="F154" t="n">
        <v>0.2987952783986442</v>
      </c>
      <c r="G154" t="n">
        <v>0.004222043153800069</v>
      </c>
      <c r="H154" t="n">
        <v>2.588442554889738</v>
      </c>
      <c r="I154" t="n">
        <v>0.6304422319625144</v>
      </c>
      <c r="J154" t="n">
        <v>15.4700550280206</v>
      </c>
      <c r="K154" t="n">
        <v>15.4700550280206</v>
      </c>
      <c r="L154" t="n">
        <v>39.47404107548417</v>
      </c>
      <c r="M154" t="n">
        <v>39.47404107548417</v>
      </c>
      <c r="N154" t="n">
        <v>2.412133333333333</v>
      </c>
      <c r="O154" t="n">
        <v>2.104855555555555</v>
      </c>
      <c r="P154" t="inlineStr">
        <is>
          <t>seasonal pattern of Aug/23-Jul/26</t>
        </is>
      </c>
      <c r="Q154" t="n">
        <v>0.4444521928022327</v>
      </c>
      <c r="R154" t="n">
        <v>16.49571043027913</v>
      </c>
      <c r="S154" t="n">
        <v>31.96576545829972</v>
      </c>
      <c r="T154" t="n">
        <v>31.96576545829972</v>
      </c>
      <c r="U154" t="n">
        <v>7.508275617184452</v>
      </c>
      <c r="V154" t="n">
        <v>7.508275617184452</v>
      </c>
      <c r="W154" t="n">
        <v>41.57889663103973</v>
      </c>
      <c r="X154" t="n">
        <v>41.57889663103973</v>
      </c>
      <c r="Y154" t="n">
        <v>7.200997839406671</v>
      </c>
      <c r="Z154" t="n">
        <v>7.200997839406671</v>
      </c>
    </row>
    <row r="155">
      <c r="A155" s="8" t="n">
        <v>48853</v>
      </c>
      <c r="B155" t="inlineStr">
        <is>
          <t>Scenario</t>
        </is>
      </c>
      <c r="C155" t="n">
        <v>5.436307874895696</v>
      </c>
      <c r="D155" t="n">
        <v>5.758535951069964</v>
      </c>
      <c r="E155" t="n">
        <v>0.1962993121254904</v>
      </c>
      <c r="F155" t="n">
        <v>0.3271505982700789</v>
      </c>
      <c r="G155" t="n">
        <v>0.004218932998728263</v>
      </c>
      <c r="H155" t="n">
        <v>2.469106280232568</v>
      </c>
      <c r="I155" t="n">
        <v>0.6353108611832881</v>
      </c>
      <c r="J155" t="n">
        <v>15.89548970777218</v>
      </c>
      <c r="K155" t="n">
        <v>15.89548970777218</v>
      </c>
      <c r="L155" t="n">
        <v>39.4757877474845</v>
      </c>
      <c r="M155" t="n">
        <v>39.4757877474845</v>
      </c>
      <c r="N155" t="n">
        <v>2.523494623655914</v>
      </c>
      <c r="O155" t="n">
        <v>1.056784946236559</v>
      </c>
      <c r="P155" t="inlineStr">
        <is>
          <t>seasonal pattern of Aug/23-Jul/26</t>
        </is>
      </c>
      <c r="Q155" t="n">
        <v>0.5276688433942975</v>
      </c>
      <c r="R155" t="n">
        <v>14.82692981077581</v>
      </c>
      <c r="S155" t="n">
        <v>30.72241951854799</v>
      </c>
      <c r="T155" t="n">
        <v>30.72241951854799</v>
      </c>
      <c r="U155" t="n">
        <v>8.753368228936509</v>
      </c>
      <c r="V155" t="n">
        <v>8.753368228936509</v>
      </c>
      <c r="W155" t="n">
        <v>40.53257269372106</v>
      </c>
      <c r="X155" t="n">
        <v>40.53257269372106</v>
      </c>
      <c r="Y155" t="n">
        <v>7.286658551517156</v>
      </c>
      <c r="Z155" t="n">
        <v>7.286658551517156</v>
      </c>
    </row>
    <row r="156">
      <c r="A156" s="8" t="n">
        <v>48884</v>
      </c>
      <c r="B156" t="inlineStr">
        <is>
          <t>Scenario</t>
        </is>
      </c>
      <c r="C156" t="n">
        <v>4.645007511031529</v>
      </c>
      <c r="D156" t="n">
        <v>6.164955740505237</v>
      </c>
      <c r="E156" t="n">
        <v>0.3776166250484803</v>
      </c>
      <c r="F156" t="n">
        <v>0.4099446430964805</v>
      </c>
      <c r="G156" t="n">
        <v>0.004200664117350762</v>
      </c>
      <c r="H156" t="n">
        <v>2.413293735601152</v>
      </c>
      <c r="I156" t="n">
        <v>0.6401794904040617</v>
      </c>
      <c r="J156" t="n">
        <v>16.23512052546222</v>
      </c>
      <c r="K156" t="n">
        <v>16.23512052546222</v>
      </c>
      <c r="L156" t="n">
        <v>39.47753465685685</v>
      </c>
      <c r="M156" t="n">
        <v>39.47753465685685</v>
      </c>
      <c r="N156" t="n">
        <v>1.881788888888889</v>
      </c>
      <c r="O156" t="n">
        <v>1.287677777777778</v>
      </c>
      <c r="P156" t="inlineStr">
        <is>
          <t>seasonal pattern of Aug/23-Jul/26</t>
        </is>
      </c>
      <c r="Q156" t="n">
        <v>0.7917619322623116</v>
      </c>
      <c r="R156" t="n">
        <v>14.65519840980429</v>
      </c>
      <c r="S156" t="n">
        <v>30.89031893526651</v>
      </c>
      <c r="T156" t="n">
        <v>30.89031893526651</v>
      </c>
      <c r="U156" t="n">
        <v>8.587215721590336</v>
      </c>
      <c r="V156" t="n">
        <v>8.587215721590336</v>
      </c>
      <c r="W156" t="n">
        <v>40.76521243463463</v>
      </c>
      <c r="X156" t="n">
        <v>40.76521243463463</v>
      </c>
      <c r="Y156" t="n">
        <v>7.993104610479228</v>
      </c>
      <c r="Z156" t="n">
        <v>7.993104610479228</v>
      </c>
    </row>
    <row r="157">
      <c r="A157" s="8" t="n">
        <v>48914</v>
      </c>
      <c r="B157" t="inlineStr">
        <is>
          <t>Scenario</t>
        </is>
      </c>
      <c r="C157" t="n">
        <v>4.588742658117908</v>
      </c>
      <c r="D157" t="n">
        <v>6.374459023338558</v>
      </c>
      <c r="E157" t="n">
        <v>0.6963946536686179</v>
      </c>
      <c r="F157" t="n">
        <v>0.5225868114396419</v>
      </c>
      <c r="G157" t="n">
        <v>0.004197569711080241</v>
      </c>
      <c r="H157" t="n">
        <v>2.303384964871343</v>
      </c>
      <c r="I157" t="n">
        <v>0.6450481196248353</v>
      </c>
      <c r="J157" t="n">
        <v>16.01719753724603</v>
      </c>
      <c r="K157" t="n">
        <v>16.01719753724603</v>
      </c>
      <c r="L157" t="n">
        <v>39.47928180363363</v>
      </c>
      <c r="M157" t="n">
        <v>39.47928180363363</v>
      </c>
      <c r="N157" t="n">
        <v>1.379204301075269</v>
      </c>
      <c r="O157" t="n">
        <v>2.158774193548387</v>
      </c>
      <c r="P157" t="inlineStr">
        <is>
          <t>seasonal pattern of Aug/23-Jul/26</t>
        </is>
      </c>
      <c r="Q157" t="n">
        <v>1.22317903481934</v>
      </c>
      <c r="R157" t="n">
        <v>15.13481380077198</v>
      </c>
      <c r="S157" t="n">
        <v>31.15201133801801</v>
      </c>
      <c r="T157" t="n">
        <v>31.15201133801801</v>
      </c>
      <c r="U157" t="n">
        <v>8.327270465615619</v>
      </c>
      <c r="V157" t="n">
        <v>8.327270465615619</v>
      </c>
      <c r="W157" t="n">
        <v>41.63805599718202</v>
      </c>
      <c r="X157" t="n">
        <v>41.63805599718202</v>
      </c>
      <c r="Y157" t="n">
        <v>9.106840358088739</v>
      </c>
      <c r="Z157" t="n">
        <v>9.106840358088739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5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s>
  <sheetData>
    <row r="1" ht="75" customHeight="1">
      <c r="A1" s="7" t="inlineStr">
        <is>
          <t>Month</t>
        </is>
      </c>
      <c r="B1" s="7" t="inlineStr">
        <is>
          <t>Type</t>
        </is>
      </c>
      <c r="C1" s="7" t="inlineStr">
        <is>
          <t>Electric power</t>
        </is>
      </c>
      <c r="D1" s="7" t="inlineStr">
        <is>
          <t>Industrial</t>
        </is>
      </c>
      <c r="E1" s="7" t="inlineStr">
        <is>
          <t>Residential</t>
        </is>
      </c>
      <c r="F1" s="7" t="inlineStr">
        <is>
          <t>Commercial</t>
        </is>
      </c>
      <c r="G1" s="7" t="inlineStr">
        <is>
          <t>Vehicle fuel</t>
        </is>
      </c>
      <c r="H1" s="7" t="inlineStr">
        <is>
          <t>LNG feedgas (base)</t>
        </is>
      </c>
      <c r="I1" s="7" t="inlineStr">
        <is>
          <t>LNG feedgas (delayed)</t>
        </is>
      </c>
      <c r="J1" s="7" t="inlineStr">
        <is>
          <t>Marketed production (history)</t>
        </is>
      </c>
      <c r="K1" s="7" t="inlineStr">
        <is>
          <t>Dry production (history)</t>
        </is>
      </c>
      <c r="L1" s="7" t="inlineStr">
        <is>
          <t>Storage injection (demand)</t>
        </is>
      </c>
      <c r="M1" s="7" t="inlineStr">
        <is>
          <t>Storage withdrawal (supply)</t>
        </is>
      </c>
      <c r="N1" s="7" t="inlineStr">
        <is>
          <t>Storage basis</t>
        </is>
      </c>
      <c r="O1" s="7" t="inlineStr">
        <is>
          <t>Marketed production</t>
        </is>
      </c>
      <c r="P1" s="7" t="inlineStr">
        <is>
          <t>Dry production</t>
        </is>
      </c>
      <c r="Q1" s="7" t="inlineStr">
        <is>
          <t>Residential, commercial, vehicle fuel</t>
        </is>
      </c>
      <c r="R1" s="7" t="inlineStr">
        <is>
          <t>Demand excl. LNG</t>
        </is>
      </c>
      <c r="S1" s="7" t="inlineStr">
        <is>
          <t>Demand incl. LNG, base</t>
        </is>
      </c>
      <c r="T1" s="7" t="inlineStr">
        <is>
          <t>Demand incl. LNG, LNG delayed</t>
        </is>
      </c>
      <c r="U1" s="7" t="inlineStr">
        <is>
          <t>Implied net outflow before storage, base</t>
        </is>
      </c>
      <c r="V1" s="7" t="inlineStr">
        <is>
          <t>Implied net outflow before storage, delayed</t>
        </is>
      </c>
      <c r="W1" s="7" t="inlineStr">
        <is>
          <t>Dry production + storage withdrawal</t>
        </is>
      </c>
      <c r="X1" s="7" t="inlineStr">
        <is>
          <t>Implied net outflow, base</t>
        </is>
      </c>
      <c r="Y1" s="7" t="inlineStr">
        <is>
          <t>Implied net outflow, delayed</t>
        </is>
      </c>
    </row>
    <row r="2">
      <c r="A2" s="8" t="n">
        <v>44197</v>
      </c>
      <c r="B2" t="inlineStr">
        <is>
          <t>Actual</t>
        </is>
      </c>
      <c r="C2" t="n">
        <v>0.6518064516129032</v>
      </c>
      <c r="D2" t="n">
        <v>3.256483870967742</v>
      </c>
      <c r="E2" t="n">
        <v>0.2339032258064516</v>
      </c>
      <c r="F2" t="n">
        <v>0.1250645161290322</v>
      </c>
      <c r="G2" t="n">
        <v>0.001</v>
      </c>
      <c r="H2" t="n">
        <v>5.848342258064516</v>
      </c>
      <c r="I2" t="n">
        <v>5.848342258064516</v>
      </c>
      <c r="J2" t="n">
        <v>8.949064516129033</v>
      </c>
      <c r="K2" t="n">
        <v>8.878838709677419</v>
      </c>
      <c r="L2" t="n">
        <v>0.7892903225806451</v>
      </c>
      <c r="M2" t="n">
        <v>2.780032258064516</v>
      </c>
      <c r="N2" t="inlineStr">
        <is>
          <t>EIA</t>
        </is>
      </c>
      <c r="O2" t="n">
        <v>8.949064516129033</v>
      </c>
      <c r="P2" t="n">
        <v>8.878838709677419</v>
      </c>
      <c r="Q2" t="n">
        <v>0.3599677419354839</v>
      </c>
      <c r="R2" t="n">
        <v>4.26825806451613</v>
      </c>
      <c r="S2" t="n">
        <v>10.11660032258064</v>
      </c>
      <c r="T2" t="n">
        <v>10.11660032258064</v>
      </c>
      <c r="U2" t="n">
        <v>-1.237761612903226</v>
      </c>
      <c r="V2" t="n">
        <v>-1.237761612903226</v>
      </c>
      <c r="W2" t="n">
        <v>11.65887096774193</v>
      </c>
      <c r="X2" t="n">
        <v>0.7529803225806448</v>
      </c>
      <c r="Y2" t="n">
        <v>0.7529803225806448</v>
      </c>
    </row>
    <row r="3">
      <c r="A3" s="8" t="n">
        <v>44228</v>
      </c>
      <c r="B3" t="inlineStr">
        <is>
          <t>Actual</t>
        </is>
      </c>
      <c r="C3" t="n">
        <v>0.80575</v>
      </c>
      <c r="D3" t="n">
        <v>2.956464285714286</v>
      </c>
      <c r="E3" t="n">
        <v>0.2723928571428572</v>
      </c>
      <c r="F3" t="n">
        <v>0.1507857142857143</v>
      </c>
      <c r="G3" t="n">
        <v>0.001</v>
      </c>
      <c r="H3" t="n">
        <v>4.682795714285715</v>
      </c>
      <c r="I3" t="n">
        <v>4.682795714285715</v>
      </c>
      <c r="J3" t="n">
        <v>7.974</v>
      </c>
      <c r="K3" t="n">
        <v>7.909</v>
      </c>
      <c r="L3" t="n">
        <v>1.078357142857143</v>
      </c>
      <c r="M3" t="n">
        <v>4.318178571428572</v>
      </c>
      <c r="N3" t="inlineStr">
        <is>
          <t>EIA</t>
        </is>
      </c>
      <c r="O3" t="n">
        <v>7.974</v>
      </c>
      <c r="P3" t="n">
        <v>7.909</v>
      </c>
      <c r="Q3" t="n">
        <v>0.4241785714285714</v>
      </c>
      <c r="R3" t="n">
        <v>4.186392857142858</v>
      </c>
      <c r="S3" t="n">
        <v>8.869188571428573</v>
      </c>
      <c r="T3" t="n">
        <v>8.869188571428573</v>
      </c>
      <c r="U3" t="n">
        <v>-0.9601885714285734</v>
      </c>
      <c r="V3" t="n">
        <v>-0.9601885714285734</v>
      </c>
      <c r="W3" t="n">
        <v>12.22717857142857</v>
      </c>
      <c r="X3" t="n">
        <v>2.279632857142855</v>
      </c>
      <c r="Y3" t="n">
        <v>2.279632857142855</v>
      </c>
    </row>
    <row r="4">
      <c r="A4" s="8" t="n">
        <v>44256</v>
      </c>
      <c r="B4" t="inlineStr">
        <is>
          <t>Actual</t>
        </is>
      </c>
      <c r="C4" t="n">
        <v>0.7858064516129032</v>
      </c>
      <c r="D4" t="n">
        <v>2.772612903225806</v>
      </c>
      <c r="E4" t="n">
        <v>0.1358387096774194</v>
      </c>
      <c r="F4" t="n">
        <v>0.09658064516129032</v>
      </c>
      <c r="G4" t="n">
        <v>0.001</v>
      </c>
      <c r="H4" t="n">
        <v>5.767471290322581</v>
      </c>
      <c r="I4" t="n">
        <v>5.767471290322581</v>
      </c>
      <c r="J4" t="n">
        <v>9.12941935483871</v>
      </c>
      <c r="K4" t="n">
        <v>9.058483870967743</v>
      </c>
      <c r="L4" t="n">
        <v>1.771612903225806</v>
      </c>
      <c r="M4" t="n">
        <v>0.9381935483870968</v>
      </c>
      <c r="N4" t="inlineStr">
        <is>
          <t>EIA</t>
        </is>
      </c>
      <c r="O4" t="n">
        <v>9.12941935483871</v>
      </c>
      <c r="P4" t="n">
        <v>9.058483870967743</v>
      </c>
      <c r="Q4" t="n">
        <v>0.2334193548387097</v>
      </c>
      <c r="R4" t="n">
        <v>3.791838709677419</v>
      </c>
      <c r="S4" t="n">
        <v>9.55931</v>
      </c>
      <c r="T4" t="n">
        <v>9.55931</v>
      </c>
      <c r="U4" t="n">
        <v>-0.5008261290322569</v>
      </c>
      <c r="V4" t="n">
        <v>-0.5008261290322569</v>
      </c>
      <c r="W4" t="n">
        <v>9.996677419354841</v>
      </c>
      <c r="X4" t="n">
        <v>-1.334245483870966</v>
      </c>
      <c r="Y4" t="n">
        <v>-1.334245483870966</v>
      </c>
    </row>
    <row r="5">
      <c r="A5" s="8" t="n">
        <v>44287</v>
      </c>
      <c r="B5" t="inlineStr">
        <is>
          <t>Actual</t>
        </is>
      </c>
      <c r="C5" t="n">
        <v>0.7883333333333333</v>
      </c>
      <c r="D5" t="n">
        <v>2.868366666666667</v>
      </c>
      <c r="E5" t="n">
        <v>0.0871</v>
      </c>
      <c r="F5" t="n">
        <v>0.09726666666666667</v>
      </c>
      <c r="G5" t="n">
        <v>0.001</v>
      </c>
      <c r="H5" t="n">
        <v>5.803196333333334</v>
      </c>
      <c r="I5" t="n">
        <v>5.803196333333334</v>
      </c>
      <c r="J5" t="n">
        <v>9.121466666666667</v>
      </c>
      <c r="K5" t="n">
        <v>9.050000000000001</v>
      </c>
      <c r="L5" t="n">
        <v>1.734566666666667</v>
      </c>
      <c r="M5" t="n">
        <v>1.191566666666667</v>
      </c>
      <c r="N5" t="inlineStr">
        <is>
          <t>EIA</t>
        </is>
      </c>
      <c r="O5" t="n">
        <v>9.121466666666667</v>
      </c>
      <c r="P5" t="n">
        <v>9.050000000000001</v>
      </c>
      <c r="Q5" t="n">
        <v>0.1853666666666667</v>
      </c>
      <c r="R5" t="n">
        <v>3.842066666666666</v>
      </c>
      <c r="S5" t="n">
        <v>9.645263</v>
      </c>
      <c r="T5" t="n">
        <v>9.645263</v>
      </c>
      <c r="U5" t="n">
        <v>-0.5952629999999992</v>
      </c>
      <c r="V5" t="n">
        <v>-0.5952629999999992</v>
      </c>
      <c r="W5" t="n">
        <v>10.24156666666667</v>
      </c>
      <c r="X5" t="n">
        <v>-1.138262999999999</v>
      </c>
      <c r="Y5" t="n">
        <v>-1.138262999999999</v>
      </c>
    </row>
    <row r="6">
      <c r="A6" s="8" t="n">
        <v>44317</v>
      </c>
      <c r="B6" t="inlineStr">
        <is>
          <t>Actual</t>
        </is>
      </c>
      <c r="C6" t="n">
        <v>0.8640322580645161</v>
      </c>
      <c r="D6" t="n">
        <v>2.747129032258064</v>
      </c>
      <c r="E6" t="n">
        <v>0.05564516129032258</v>
      </c>
      <c r="F6" t="n">
        <v>0.07225806451612904</v>
      </c>
      <c r="G6" t="n">
        <v>0.001</v>
      </c>
      <c r="H6" t="n">
        <v>5.660651290322581</v>
      </c>
      <c r="I6" t="n">
        <v>5.660651290322581</v>
      </c>
      <c r="J6" t="n">
        <v>9.147516129032258</v>
      </c>
      <c r="K6" t="n">
        <v>9.07609677419355</v>
      </c>
      <c r="L6" t="n">
        <v>1.861903225806452</v>
      </c>
      <c r="M6" t="n">
        <v>0.7690645161290323</v>
      </c>
      <c r="N6" t="inlineStr">
        <is>
          <t>EIA</t>
        </is>
      </c>
      <c r="O6" t="n">
        <v>9.147516129032258</v>
      </c>
      <c r="P6" t="n">
        <v>9.07609677419355</v>
      </c>
      <c r="Q6" t="n">
        <v>0.1289032258064516</v>
      </c>
      <c r="R6" t="n">
        <v>3.740064516129032</v>
      </c>
      <c r="S6" t="n">
        <v>9.400715806451613</v>
      </c>
      <c r="T6" t="n">
        <v>9.400715806451613</v>
      </c>
      <c r="U6" t="n">
        <v>-0.3246190322580631</v>
      </c>
      <c r="V6" t="n">
        <v>-0.3246190322580631</v>
      </c>
      <c r="W6" t="n">
        <v>9.845161290322583</v>
      </c>
      <c r="X6" t="n">
        <v>-1.417457741935482</v>
      </c>
      <c r="Y6" t="n">
        <v>-1.417457741935482</v>
      </c>
    </row>
    <row r="7">
      <c r="A7" s="8" t="n">
        <v>44348</v>
      </c>
      <c r="B7" t="inlineStr">
        <is>
          <t>Actual</t>
        </is>
      </c>
      <c r="C7" t="n">
        <v>1.142566666666667</v>
      </c>
      <c r="D7" t="n">
        <v>2.857366666666667</v>
      </c>
      <c r="E7" t="n">
        <v>0.0413</v>
      </c>
      <c r="F7" t="n">
        <v>0.07133333333333333</v>
      </c>
      <c r="G7" t="n">
        <v>0.001</v>
      </c>
      <c r="H7" t="n">
        <v>4.53549</v>
      </c>
      <c r="I7" t="n">
        <v>4.53549</v>
      </c>
      <c r="J7" t="n">
        <v>9.204933333333333</v>
      </c>
      <c r="K7" t="n">
        <v>9.133799999999999</v>
      </c>
      <c r="L7" t="n">
        <v>1.2744</v>
      </c>
      <c r="M7" t="n">
        <v>1.159133333333333</v>
      </c>
      <c r="N7" t="inlineStr">
        <is>
          <t>EIA</t>
        </is>
      </c>
      <c r="O7" t="n">
        <v>9.204933333333333</v>
      </c>
      <c r="P7" t="n">
        <v>9.133799999999999</v>
      </c>
      <c r="Q7" t="n">
        <v>0.1136333333333333</v>
      </c>
      <c r="R7" t="n">
        <v>4.113566666666666</v>
      </c>
      <c r="S7" t="n">
        <v>8.649056666666667</v>
      </c>
      <c r="T7" t="n">
        <v>8.649056666666667</v>
      </c>
      <c r="U7" t="n">
        <v>0.4847433333333324</v>
      </c>
      <c r="V7" t="n">
        <v>0.4847433333333324</v>
      </c>
      <c r="W7" t="n">
        <v>10.29293333333333</v>
      </c>
      <c r="X7" t="n">
        <v>0.3694766666666653</v>
      </c>
      <c r="Y7" t="n">
        <v>0.3694766666666653</v>
      </c>
    </row>
    <row r="8">
      <c r="A8" s="8" t="n">
        <v>44378</v>
      </c>
      <c r="B8" t="inlineStr">
        <is>
          <t>Actual</t>
        </is>
      </c>
      <c r="C8" t="n">
        <v>1.109193548387097</v>
      </c>
      <c r="D8" t="n">
        <v>3.151774193548387</v>
      </c>
      <c r="E8" t="n">
        <v>0.04441935483870968</v>
      </c>
      <c r="F8" t="n">
        <v>0.07035483870967742</v>
      </c>
      <c r="G8" t="n">
        <v>0.001</v>
      </c>
      <c r="H8" t="n">
        <v>5.222225161290323</v>
      </c>
      <c r="I8" t="n">
        <v>5.222225161290323</v>
      </c>
      <c r="J8" t="n">
        <v>9.675612903225806</v>
      </c>
      <c r="K8" t="n">
        <v>9.603806451612904</v>
      </c>
      <c r="L8" t="n">
        <v>0.9508709677419355</v>
      </c>
      <c r="M8" t="n">
        <v>1.447612903225806</v>
      </c>
      <c r="N8" t="inlineStr">
        <is>
          <t>EIA</t>
        </is>
      </c>
      <c r="O8" t="n">
        <v>9.675612903225806</v>
      </c>
      <c r="P8" t="n">
        <v>9.603806451612904</v>
      </c>
      <c r="Q8" t="n">
        <v>0.1157741935483871</v>
      </c>
      <c r="R8" t="n">
        <v>4.376741935483872</v>
      </c>
      <c r="S8" t="n">
        <v>9.598967096774196</v>
      </c>
      <c r="T8" t="n">
        <v>9.598967096774196</v>
      </c>
      <c r="U8" t="n">
        <v>0.004839354838708232</v>
      </c>
      <c r="V8" t="n">
        <v>0.004839354838708232</v>
      </c>
      <c r="W8" t="n">
        <v>11.05141935483871</v>
      </c>
      <c r="X8" t="n">
        <v>0.5015812903225793</v>
      </c>
      <c r="Y8" t="n">
        <v>0.5015812903225793</v>
      </c>
    </row>
    <row r="9">
      <c r="A9" s="8" t="n">
        <v>44409</v>
      </c>
      <c r="B9" t="inlineStr">
        <is>
          <t>Actual</t>
        </is>
      </c>
      <c r="C9" t="n">
        <v>1.079451612903226</v>
      </c>
      <c r="D9" t="n">
        <v>2.891709677419354</v>
      </c>
      <c r="E9" t="n">
        <v>0.03538709677419355</v>
      </c>
      <c r="F9" t="n">
        <v>0.05945161290322581</v>
      </c>
      <c r="G9" t="n">
        <v>0.001</v>
      </c>
      <c r="H9" t="n">
        <v>4.959781290322582</v>
      </c>
      <c r="I9" t="n">
        <v>4.959781290322582</v>
      </c>
      <c r="J9" t="n">
        <v>9.445</v>
      </c>
      <c r="K9" t="n">
        <v>9.372967741935483</v>
      </c>
      <c r="L9" t="n">
        <v>1.001129032258065</v>
      </c>
      <c r="M9" t="n">
        <v>1.347354838709677</v>
      </c>
      <c r="N9" t="inlineStr">
        <is>
          <t>EIA</t>
        </is>
      </c>
      <c r="O9" t="n">
        <v>9.445</v>
      </c>
      <c r="P9" t="n">
        <v>9.372967741935483</v>
      </c>
      <c r="Q9" t="n">
        <v>0.09583870967741936</v>
      </c>
      <c r="R9" t="n">
        <v>4.067</v>
      </c>
      <c r="S9" t="n">
        <v>9.026781290322582</v>
      </c>
      <c r="T9" t="n">
        <v>9.026781290322582</v>
      </c>
      <c r="U9" t="n">
        <v>0.3461864516129012</v>
      </c>
      <c r="V9" t="n">
        <v>0.3461864516129012</v>
      </c>
      <c r="W9" t="n">
        <v>10.72032258064516</v>
      </c>
      <c r="X9" t="n">
        <v>0.6924122580645136</v>
      </c>
      <c r="Y9" t="n">
        <v>0.6924122580645136</v>
      </c>
    </row>
    <row r="10">
      <c r="A10" s="8" t="n">
        <v>44440</v>
      </c>
      <c r="B10" t="inlineStr">
        <is>
          <t>Actual</t>
        </is>
      </c>
      <c r="C10" t="n">
        <v>0.7262333333333334</v>
      </c>
      <c r="D10" t="n">
        <v>2.493</v>
      </c>
      <c r="E10" t="n">
        <v>0.05833333333333333</v>
      </c>
      <c r="F10" t="n">
        <v>0.07323333333333333</v>
      </c>
      <c r="G10" t="n">
        <v>0.001</v>
      </c>
      <c r="H10" t="n">
        <v>5.538035666666667</v>
      </c>
      <c r="I10" t="n">
        <v>5.538035666666667</v>
      </c>
      <c r="J10" t="n">
        <v>9.686966666666667</v>
      </c>
      <c r="K10" t="n">
        <v>9.614433333333332</v>
      </c>
      <c r="L10" t="n">
        <v>1.545533333333333</v>
      </c>
      <c r="M10" t="n">
        <v>0.6167</v>
      </c>
      <c r="N10" t="inlineStr">
        <is>
          <t>EIA</t>
        </is>
      </c>
      <c r="O10" t="n">
        <v>9.686966666666667</v>
      </c>
      <c r="P10" t="n">
        <v>9.614433333333332</v>
      </c>
      <c r="Q10" t="n">
        <v>0.1325666666666667</v>
      </c>
      <c r="R10" t="n">
        <v>3.3518</v>
      </c>
      <c r="S10" t="n">
        <v>8.889835666666666</v>
      </c>
      <c r="T10" t="n">
        <v>8.889835666666666</v>
      </c>
      <c r="U10" t="n">
        <v>0.724597666666666</v>
      </c>
      <c r="V10" t="n">
        <v>0.724597666666666</v>
      </c>
      <c r="W10" t="n">
        <v>10.23113333333333</v>
      </c>
      <c r="X10" t="n">
        <v>-0.2042356666666674</v>
      </c>
      <c r="Y10" t="n">
        <v>-0.2042356666666674</v>
      </c>
    </row>
    <row r="11">
      <c r="A11" s="8" t="n">
        <v>44470</v>
      </c>
      <c r="B11" t="inlineStr">
        <is>
          <t>Actual</t>
        </is>
      </c>
      <c r="C11" t="n">
        <v>0.8734516129032258</v>
      </c>
      <c r="D11" t="n">
        <v>2.965516129032258</v>
      </c>
      <c r="E11" t="n">
        <v>0.05690322580645162</v>
      </c>
      <c r="F11" t="n">
        <v>0.07270967741935483</v>
      </c>
      <c r="G11" t="n">
        <v>0.001</v>
      </c>
      <c r="H11" t="n">
        <v>5.413361935483872</v>
      </c>
      <c r="I11" t="n">
        <v>5.413361935483872</v>
      </c>
      <c r="J11" t="n">
        <v>9.927064516129033</v>
      </c>
      <c r="K11" t="n">
        <v>9.853387096774194</v>
      </c>
      <c r="L11" t="n">
        <v>1.905483870967742</v>
      </c>
      <c r="M11" t="n">
        <v>0.5323548387096775</v>
      </c>
      <c r="N11" t="inlineStr">
        <is>
          <t>EIA</t>
        </is>
      </c>
      <c r="O11" t="n">
        <v>9.927064516129033</v>
      </c>
      <c r="P11" t="n">
        <v>9.853387096774194</v>
      </c>
      <c r="Q11" t="n">
        <v>0.1306129032258064</v>
      </c>
      <c r="R11" t="n">
        <v>3.96958064516129</v>
      </c>
      <c r="S11" t="n">
        <v>9.382942580645162</v>
      </c>
      <c r="T11" t="n">
        <v>9.382942580645162</v>
      </c>
      <c r="U11" t="n">
        <v>0.4704445161290316</v>
      </c>
      <c r="V11" t="n">
        <v>0.4704445161290316</v>
      </c>
      <c r="W11" t="n">
        <v>10.38574193548387</v>
      </c>
      <c r="X11" t="n">
        <v>-0.9026845161290329</v>
      </c>
      <c r="Y11" t="n">
        <v>-0.9026845161290329</v>
      </c>
    </row>
    <row r="12">
      <c r="A12" s="8" t="n">
        <v>44501</v>
      </c>
      <c r="B12" t="inlineStr">
        <is>
          <t>Actual</t>
        </is>
      </c>
      <c r="C12" t="n">
        <v>0.8439666666666666</v>
      </c>
      <c r="D12" t="n">
        <v>3.234833333333333</v>
      </c>
      <c r="E12" t="n">
        <v>0.099</v>
      </c>
      <c r="F12" t="n">
        <v>0.1025333333333333</v>
      </c>
      <c r="G12" t="n">
        <v>0.001</v>
      </c>
      <c r="H12" t="n">
        <v>6.209294000000002</v>
      </c>
      <c r="I12" t="n">
        <v>6.209294000000002</v>
      </c>
      <c r="J12" t="n">
        <v>10.3469</v>
      </c>
      <c r="K12" t="n">
        <v>10.27236666666667</v>
      </c>
      <c r="L12" t="n">
        <v>0.7987333333333333</v>
      </c>
      <c r="M12" t="n">
        <v>1.215066666666667</v>
      </c>
      <c r="N12" t="inlineStr">
        <is>
          <t>EIA</t>
        </is>
      </c>
      <c r="O12" t="n">
        <v>10.3469</v>
      </c>
      <c r="P12" t="n">
        <v>10.27236666666667</v>
      </c>
      <c r="Q12" t="n">
        <v>0.2025333333333333</v>
      </c>
      <c r="R12" t="n">
        <v>4.281333333333334</v>
      </c>
      <c r="S12" t="n">
        <v>10.49062733333334</v>
      </c>
      <c r="T12" t="n">
        <v>10.49062733333334</v>
      </c>
      <c r="U12" t="n">
        <v>-0.2182606666666693</v>
      </c>
      <c r="V12" t="n">
        <v>-0.2182606666666693</v>
      </c>
      <c r="W12" t="n">
        <v>11.48743333333333</v>
      </c>
      <c r="X12" t="n">
        <v>0.1980726666666643</v>
      </c>
      <c r="Y12" t="n">
        <v>0.1980726666666643</v>
      </c>
    </row>
    <row r="13">
      <c r="A13" s="8" t="n">
        <v>44531</v>
      </c>
      <c r="B13" t="inlineStr">
        <is>
          <t>Actual</t>
        </is>
      </c>
      <c r="C13" t="n">
        <v>0.7543870967741936</v>
      </c>
      <c r="D13" t="n">
        <v>3.26058064516129</v>
      </c>
      <c r="E13" t="n">
        <v>0.08535483870967743</v>
      </c>
      <c r="F13" t="n">
        <v>0.08400000000000001</v>
      </c>
      <c r="G13" t="n">
        <v>0.001</v>
      </c>
      <c r="H13" t="n">
        <v>6.344503225806452</v>
      </c>
      <c r="I13" t="n">
        <v>6.344503225806452</v>
      </c>
      <c r="J13" t="n">
        <v>10.49041935483871</v>
      </c>
      <c r="K13" t="n">
        <v>10.41529032258065</v>
      </c>
      <c r="L13" t="n">
        <v>1.300709677419355</v>
      </c>
      <c r="M13" t="n">
        <v>1.549548387096774</v>
      </c>
      <c r="N13" t="inlineStr">
        <is>
          <t>EIA</t>
        </is>
      </c>
      <c r="O13" t="n">
        <v>10.49041935483871</v>
      </c>
      <c r="P13" t="n">
        <v>10.41529032258065</v>
      </c>
      <c r="Q13" t="n">
        <v>0.1703548387096774</v>
      </c>
      <c r="R13" t="n">
        <v>4.185322580645161</v>
      </c>
      <c r="S13" t="n">
        <v>10.52982580645161</v>
      </c>
      <c r="T13" t="n">
        <v>10.52982580645161</v>
      </c>
      <c r="U13" t="n">
        <v>-0.1145354838709682</v>
      </c>
      <c r="V13" t="n">
        <v>-0.1145354838709682</v>
      </c>
      <c r="W13" t="n">
        <v>11.96483870967742</v>
      </c>
      <c r="X13" t="n">
        <v>0.1343032258064507</v>
      </c>
      <c r="Y13" t="n">
        <v>0.1343032258064507</v>
      </c>
    </row>
    <row r="14">
      <c r="A14" s="8" t="n">
        <v>44562</v>
      </c>
      <c r="B14" t="inlineStr">
        <is>
          <t>Actual</t>
        </is>
      </c>
      <c r="C14" t="n">
        <v>0.9272258064516129</v>
      </c>
      <c r="D14" t="n">
        <v>3.47458064516129</v>
      </c>
      <c r="E14" t="n">
        <v>0.2525161290322581</v>
      </c>
      <c r="F14" t="n">
        <v>0.1318387096774194</v>
      </c>
      <c r="G14" t="n">
        <v>0.0009354838709677419</v>
      </c>
      <c r="H14" t="n">
        <v>6.72624935483871</v>
      </c>
      <c r="I14" t="n">
        <v>6.72624935483871</v>
      </c>
      <c r="J14" t="n">
        <v>10.30503225806452</v>
      </c>
      <c r="K14" t="n">
        <v>10.23783870967742</v>
      </c>
      <c r="L14" t="n">
        <v>0.7069354838709677</v>
      </c>
      <c r="M14" t="n">
        <v>4.060741935483871</v>
      </c>
      <c r="N14" t="inlineStr">
        <is>
          <t>EIA</t>
        </is>
      </c>
      <c r="O14" t="n">
        <v>10.30503225806452</v>
      </c>
      <c r="P14" t="n">
        <v>10.23783870967742</v>
      </c>
      <c r="Q14" t="n">
        <v>0.3852903225806452</v>
      </c>
      <c r="R14" t="n">
        <v>4.787096774193548</v>
      </c>
      <c r="S14" t="n">
        <v>11.51334612903226</v>
      </c>
      <c r="T14" t="n">
        <v>11.51334612903226</v>
      </c>
      <c r="U14" t="n">
        <v>-1.275507419354838</v>
      </c>
      <c r="V14" t="n">
        <v>-1.275507419354838</v>
      </c>
      <c r="W14" t="n">
        <v>14.29858064516129</v>
      </c>
      <c r="X14" t="n">
        <v>2.078299032258066</v>
      </c>
      <c r="Y14" t="n">
        <v>2.078299032258066</v>
      </c>
    </row>
    <row r="15">
      <c r="A15" s="8" t="n">
        <v>44593</v>
      </c>
      <c r="B15" t="inlineStr">
        <is>
          <t>Actual</t>
        </is>
      </c>
      <c r="C15" t="n">
        <v>0.8483928571428571</v>
      </c>
      <c r="D15" t="n">
        <v>3.324428571428572</v>
      </c>
      <c r="E15" t="n">
        <v>0.17625</v>
      </c>
      <c r="F15" t="n">
        <v>0.1018928571428571</v>
      </c>
      <c r="G15" t="n">
        <v>0.0009285714285714286</v>
      </c>
      <c r="H15" t="n">
        <v>6.433725000000001</v>
      </c>
      <c r="I15" t="n">
        <v>6.433725000000001</v>
      </c>
      <c r="J15" t="n">
        <v>10.41032142857143</v>
      </c>
      <c r="K15" t="n">
        <v>10.3425</v>
      </c>
      <c r="L15" t="n">
        <v>0.778</v>
      </c>
      <c r="M15" t="n">
        <v>3.243714285714286</v>
      </c>
      <c r="N15" t="inlineStr">
        <is>
          <t>EIA</t>
        </is>
      </c>
      <c r="O15" t="n">
        <v>10.41032142857143</v>
      </c>
      <c r="P15" t="n">
        <v>10.3425</v>
      </c>
      <c r="Q15" t="n">
        <v>0.2790714285714286</v>
      </c>
      <c r="R15" t="n">
        <v>4.451892857142857</v>
      </c>
      <c r="S15" t="n">
        <v>10.88561785714286</v>
      </c>
      <c r="T15" t="n">
        <v>10.88561785714286</v>
      </c>
      <c r="U15" t="n">
        <v>-0.5431178571428585</v>
      </c>
      <c r="V15" t="n">
        <v>-0.5431178571428585</v>
      </c>
      <c r="W15" t="n">
        <v>13.58621428571428</v>
      </c>
      <c r="X15" t="n">
        <v>1.922596428571426</v>
      </c>
      <c r="Y15" t="n">
        <v>1.922596428571426</v>
      </c>
    </row>
    <row r="16">
      <c r="A16" s="8" t="n">
        <v>44621</v>
      </c>
      <c r="B16" t="inlineStr">
        <is>
          <t>Actual</t>
        </is>
      </c>
      <c r="C16" t="n">
        <v>0.6706774193548387</v>
      </c>
      <c r="D16" t="n">
        <v>3.315741935483871</v>
      </c>
      <c r="E16" t="n">
        <v>0.1353870967741935</v>
      </c>
      <c r="F16" t="n">
        <v>0.1009677419354839</v>
      </c>
      <c r="G16" t="n">
        <v>0.0009354838709677419</v>
      </c>
      <c r="H16" t="n">
        <v>7.350573225806453</v>
      </c>
      <c r="I16" t="n">
        <v>7.350573225806453</v>
      </c>
      <c r="J16" t="n">
        <v>10.34461290322581</v>
      </c>
      <c r="K16" t="n">
        <v>10.27567741935484</v>
      </c>
      <c r="L16" t="n">
        <v>1.611612903225806</v>
      </c>
      <c r="M16" t="n">
        <v>1.301129032258065</v>
      </c>
      <c r="N16" t="inlineStr">
        <is>
          <t>EIA</t>
        </is>
      </c>
      <c r="O16" t="n">
        <v>10.34461290322581</v>
      </c>
      <c r="P16" t="n">
        <v>10.27567741935484</v>
      </c>
      <c r="Q16" t="n">
        <v>0.2372903225806451</v>
      </c>
      <c r="R16" t="n">
        <v>4.223709677419354</v>
      </c>
      <c r="S16" t="n">
        <v>11.57428290322581</v>
      </c>
      <c r="T16" t="n">
        <v>11.57428290322581</v>
      </c>
      <c r="U16" t="n">
        <v>-1.298605483870968</v>
      </c>
      <c r="V16" t="n">
        <v>-1.298605483870968</v>
      </c>
      <c r="W16" t="n">
        <v>11.5768064516129</v>
      </c>
      <c r="X16" t="n">
        <v>-1.609089354838711</v>
      </c>
      <c r="Y16" t="n">
        <v>-1.609089354838711</v>
      </c>
    </row>
    <row r="17">
      <c r="A17" s="8" t="n">
        <v>44652</v>
      </c>
      <c r="B17" t="inlineStr">
        <is>
          <t>Actual</t>
        </is>
      </c>
      <c r="C17" t="n">
        <v>0.9061</v>
      </c>
      <c r="D17" t="n">
        <v>3.2959</v>
      </c>
      <c r="E17" t="n">
        <v>0.0726</v>
      </c>
      <c r="F17" t="n">
        <v>0.08066666666666668</v>
      </c>
      <c r="G17" t="n">
        <v>0.0009333333333333333</v>
      </c>
      <c r="H17" t="n">
        <v>7.265031666666667</v>
      </c>
      <c r="I17" t="n">
        <v>7.265031666666667</v>
      </c>
      <c r="J17" t="n">
        <v>10.83226666666667</v>
      </c>
      <c r="K17" t="n">
        <v>10.76263333333333</v>
      </c>
      <c r="L17" t="n">
        <v>2.4075</v>
      </c>
      <c r="M17" t="n">
        <v>0.6063</v>
      </c>
      <c r="N17" t="inlineStr">
        <is>
          <t>EIA</t>
        </is>
      </c>
      <c r="O17" t="n">
        <v>10.83226666666667</v>
      </c>
      <c r="P17" t="n">
        <v>10.76263333333333</v>
      </c>
      <c r="Q17" t="n">
        <v>0.1542</v>
      </c>
      <c r="R17" t="n">
        <v>4.356199999999999</v>
      </c>
      <c r="S17" t="n">
        <v>11.62123166666667</v>
      </c>
      <c r="T17" t="n">
        <v>11.62123166666667</v>
      </c>
      <c r="U17" t="n">
        <v>-0.8585983333333331</v>
      </c>
      <c r="V17" t="n">
        <v>-0.8585983333333331</v>
      </c>
      <c r="W17" t="n">
        <v>11.36893333333333</v>
      </c>
      <c r="X17" t="n">
        <v>-2.659798333333334</v>
      </c>
      <c r="Y17" t="n">
        <v>-2.659798333333334</v>
      </c>
    </row>
    <row r="18">
      <c r="A18" s="8" t="n">
        <v>44682</v>
      </c>
      <c r="B18" t="inlineStr">
        <is>
          <t>Actual</t>
        </is>
      </c>
      <c r="C18" t="n">
        <v>1.138193548387097</v>
      </c>
      <c r="D18" t="n">
        <v>3.150225806451613</v>
      </c>
      <c r="E18" t="n">
        <v>0.04141935483870968</v>
      </c>
      <c r="F18" t="n">
        <v>0.06325806451612903</v>
      </c>
      <c r="G18" t="n">
        <v>0.0009354838709677419</v>
      </c>
      <c r="H18" t="n">
        <v>6.90922870967742</v>
      </c>
      <c r="I18" t="n">
        <v>6.90922870967742</v>
      </c>
      <c r="J18" t="n">
        <v>11.2511935483871</v>
      </c>
      <c r="K18" t="n">
        <v>11.18154838709678</v>
      </c>
      <c r="L18" t="n">
        <v>1.907806451612903</v>
      </c>
      <c r="M18" t="n">
        <v>0.6745806451612903</v>
      </c>
      <c r="N18" t="inlineStr">
        <is>
          <t>EIA</t>
        </is>
      </c>
      <c r="O18" t="n">
        <v>11.2511935483871</v>
      </c>
      <c r="P18" t="n">
        <v>11.18154838709678</v>
      </c>
      <c r="Q18" t="n">
        <v>0.1056129032258065</v>
      </c>
      <c r="R18" t="n">
        <v>4.394032258064516</v>
      </c>
      <c r="S18" t="n">
        <v>11.30326096774193</v>
      </c>
      <c r="T18" t="n">
        <v>11.30326096774193</v>
      </c>
      <c r="U18" t="n">
        <v>-0.1217125806451591</v>
      </c>
      <c r="V18" t="n">
        <v>-0.1217125806451591</v>
      </c>
      <c r="W18" t="n">
        <v>11.85612903225807</v>
      </c>
      <c r="X18" t="n">
        <v>-1.354938387096772</v>
      </c>
      <c r="Y18" t="n">
        <v>-1.354938387096772</v>
      </c>
    </row>
    <row r="19">
      <c r="A19" s="8" t="n">
        <v>44713</v>
      </c>
      <c r="B19" t="inlineStr">
        <is>
          <t>Actual</t>
        </is>
      </c>
      <c r="C19" t="n">
        <v>1.394233333333333</v>
      </c>
      <c r="D19" t="n">
        <v>3.071533333333333</v>
      </c>
      <c r="E19" t="n">
        <v>0.03603333333333333</v>
      </c>
      <c r="F19" t="n">
        <v>0.06623333333333334</v>
      </c>
      <c r="G19" t="n">
        <v>0.0009333333333333333</v>
      </c>
      <c r="H19" t="n">
        <v>6.867000000000001</v>
      </c>
      <c r="I19" t="n">
        <v>6.867000000000001</v>
      </c>
      <c r="J19" t="n">
        <v>11.28063333333333</v>
      </c>
      <c r="K19" t="n">
        <v>11.21076666666667</v>
      </c>
      <c r="L19" t="n">
        <v>1.3559</v>
      </c>
      <c r="M19" t="n">
        <v>0.7397333333333334</v>
      </c>
      <c r="N19" t="inlineStr">
        <is>
          <t>EIA</t>
        </is>
      </c>
      <c r="O19" t="n">
        <v>11.28063333333333</v>
      </c>
      <c r="P19" t="n">
        <v>11.21076666666667</v>
      </c>
      <c r="Q19" t="n">
        <v>0.1032</v>
      </c>
      <c r="R19" t="n">
        <v>4.568966666666666</v>
      </c>
      <c r="S19" t="n">
        <v>11.43596666666667</v>
      </c>
      <c r="T19" t="n">
        <v>11.43596666666667</v>
      </c>
      <c r="U19" t="n">
        <v>-0.225200000000001</v>
      </c>
      <c r="V19" t="n">
        <v>-0.225200000000001</v>
      </c>
      <c r="W19" t="n">
        <v>11.9505</v>
      </c>
      <c r="X19" t="n">
        <v>-0.8413666666666675</v>
      </c>
      <c r="Y19" t="n">
        <v>-0.8413666666666675</v>
      </c>
    </row>
    <row r="20">
      <c r="A20" s="8" t="n">
        <v>44743</v>
      </c>
      <c r="B20" t="inlineStr">
        <is>
          <t>Actual</t>
        </is>
      </c>
      <c r="C20" t="n">
        <v>1.494677419354839</v>
      </c>
      <c r="D20" t="n">
        <v>3.050870967741936</v>
      </c>
      <c r="E20" t="n">
        <v>0.03483870967741935</v>
      </c>
      <c r="F20" t="n">
        <v>0.06341935483870968</v>
      </c>
      <c r="G20" t="n">
        <v>0.0009354838709677419</v>
      </c>
      <c r="H20" t="n">
        <v>7.165202903225808</v>
      </c>
      <c r="I20" t="n">
        <v>7.165202903225808</v>
      </c>
      <c r="J20" t="n">
        <v>11.34454838709677</v>
      </c>
      <c r="K20" t="n">
        <v>11.27409677419355</v>
      </c>
      <c r="L20" t="n">
        <v>1.14058064516129</v>
      </c>
      <c r="M20" t="n">
        <v>1.543677419354839</v>
      </c>
      <c r="N20" t="inlineStr">
        <is>
          <t>EIA</t>
        </is>
      </c>
      <c r="O20" t="n">
        <v>11.34454838709677</v>
      </c>
      <c r="P20" t="n">
        <v>11.27409677419355</v>
      </c>
      <c r="Q20" t="n">
        <v>0.09919354838709678</v>
      </c>
      <c r="R20" t="n">
        <v>4.644741935483871</v>
      </c>
      <c r="S20" t="n">
        <v>11.80994483870968</v>
      </c>
      <c r="T20" t="n">
        <v>11.80994483870968</v>
      </c>
      <c r="U20" t="n">
        <v>-0.5358480645161308</v>
      </c>
      <c r="V20" t="n">
        <v>-0.5358480645161308</v>
      </c>
      <c r="W20" t="n">
        <v>12.81777419354839</v>
      </c>
      <c r="X20" t="n">
        <v>-0.1327512903225816</v>
      </c>
      <c r="Y20" t="n">
        <v>-0.1327512903225816</v>
      </c>
    </row>
    <row r="21">
      <c r="A21" s="8" t="n">
        <v>44774</v>
      </c>
      <c r="B21" t="inlineStr">
        <is>
          <t>Actual</t>
        </is>
      </c>
      <c r="C21" t="n">
        <v>1.198290322580645</v>
      </c>
      <c r="D21" t="n">
        <v>3.081838709677419</v>
      </c>
      <c r="E21" t="n">
        <v>0.03954838709677419</v>
      </c>
      <c r="F21" t="n">
        <v>0.06548387096774194</v>
      </c>
      <c r="G21" t="n">
        <v>0.0009354838709677419</v>
      </c>
      <c r="H21" t="n">
        <v>7.23963935483871</v>
      </c>
      <c r="I21" t="n">
        <v>7.23963935483871</v>
      </c>
      <c r="J21" t="n">
        <v>11.59293548387097</v>
      </c>
      <c r="K21" t="n">
        <v>11.52206451612903</v>
      </c>
      <c r="L21" t="n">
        <v>1.008129032258064</v>
      </c>
      <c r="M21" t="n">
        <v>1.174612903225806</v>
      </c>
      <c r="N21" t="inlineStr">
        <is>
          <t>EIA</t>
        </is>
      </c>
      <c r="O21" t="n">
        <v>11.59293548387097</v>
      </c>
      <c r="P21" t="n">
        <v>11.52206451612903</v>
      </c>
      <c r="Q21" t="n">
        <v>0.1059677419354839</v>
      </c>
      <c r="R21" t="n">
        <v>4.386096774193548</v>
      </c>
      <c r="S21" t="n">
        <v>11.62573612903226</v>
      </c>
      <c r="T21" t="n">
        <v>11.62573612903226</v>
      </c>
      <c r="U21" t="n">
        <v>-0.1036716129032271</v>
      </c>
      <c r="V21" t="n">
        <v>-0.1036716129032271</v>
      </c>
      <c r="W21" t="n">
        <v>12.69667741935484</v>
      </c>
      <c r="X21" t="n">
        <v>0.06281225806451518</v>
      </c>
      <c r="Y21" t="n">
        <v>0.06281225806451518</v>
      </c>
    </row>
    <row r="22">
      <c r="A22" s="8" t="n">
        <v>44805</v>
      </c>
      <c r="B22" t="inlineStr">
        <is>
          <t>Actual</t>
        </is>
      </c>
      <c r="C22" t="n">
        <v>0.9475666666666667</v>
      </c>
      <c r="D22" t="n">
        <v>3.1931</v>
      </c>
      <c r="E22" t="n">
        <v>0.0362</v>
      </c>
      <c r="F22" t="n">
        <v>0.07133333333333333</v>
      </c>
      <c r="G22" t="n">
        <v>0.0009333333333333333</v>
      </c>
      <c r="H22" t="n">
        <v>7.511553333333334</v>
      </c>
      <c r="I22" t="n">
        <v>7.511553333333334</v>
      </c>
      <c r="J22" t="n">
        <v>11.85256666666667</v>
      </c>
      <c r="K22" t="n">
        <v>11.7806</v>
      </c>
      <c r="L22" t="n">
        <v>1.651</v>
      </c>
      <c r="M22" t="n">
        <v>0.9509666666666667</v>
      </c>
      <c r="N22" t="inlineStr">
        <is>
          <t>EIA</t>
        </is>
      </c>
      <c r="O22" t="n">
        <v>11.85256666666667</v>
      </c>
      <c r="P22" t="n">
        <v>11.7806</v>
      </c>
      <c r="Q22" t="n">
        <v>0.1084666666666667</v>
      </c>
      <c r="R22" t="n">
        <v>4.249133333333333</v>
      </c>
      <c r="S22" t="n">
        <v>11.76068666666667</v>
      </c>
      <c r="T22" t="n">
        <v>11.76068666666667</v>
      </c>
      <c r="U22" t="n">
        <v>0.01991333333333323</v>
      </c>
      <c r="V22" t="n">
        <v>0.01991333333333323</v>
      </c>
      <c r="W22" t="n">
        <v>12.73156666666667</v>
      </c>
      <c r="X22" t="n">
        <v>-0.6801200000000007</v>
      </c>
      <c r="Y22" t="n">
        <v>-0.6801200000000007</v>
      </c>
    </row>
    <row r="23">
      <c r="A23" s="8" t="n">
        <v>44835</v>
      </c>
      <c r="B23" t="inlineStr">
        <is>
          <t>Actual</t>
        </is>
      </c>
      <c r="C23" t="n">
        <v>0.8060645161290323</v>
      </c>
      <c r="D23" t="n">
        <v>2.956354838709677</v>
      </c>
      <c r="E23" t="n">
        <v>0.05551612903225806</v>
      </c>
      <c r="F23" t="n">
        <v>0.07674193548387095</v>
      </c>
      <c r="G23" t="n">
        <v>0.0009354838709677419</v>
      </c>
      <c r="H23" t="n">
        <v>8.27267806451613</v>
      </c>
      <c r="I23" t="n">
        <v>8.27267806451613</v>
      </c>
      <c r="J23" t="n">
        <v>12.10764516129032</v>
      </c>
      <c r="K23" t="n">
        <v>12.0358064516129</v>
      </c>
      <c r="L23" t="n">
        <v>2.212612903225806</v>
      </c>
      <c r="M23" t="n">
        <v>0.5782903225806452</v>
      </c>
      <c r="N23" t="inlineStr">
        <is>
          <t>EIA</t>
        </is>
      </c>
      <c r="O23" t="n">
        <v>12.10764516129032</v>
      </c>
      <c r="P23" t="n">
        <v>12.0358064516129</v>
      </c>
      <c r="Q23" t="n">
        <v>0.1331935483870967</v>
      </c>
      <c r="R23" t="n">
        <v>3.895612903225807</v>
      </c>
      <c r="S23" t="n">
        <v>12.16829096774194</v>
      </c>
      <c r="T23" t="n">
        <v>12.16829096774194</v>
      </c>
      <c r="U23" t="n">
        <v>-0.1324845161290344</v>
      </c>
      <c r="V23" t="n">
        <v>-0.1324845161290344</v>
      </c>
      <c r="W23" t="n">
        <v>12.61409677419355</v>
      </c>
      <c r="X23" t="n">
        <v>-1.766807096774195</v>
      </c>
      <c r="Y23" t="n">
        <v>-1.766807096774195</v>
      </c>
    </row>
    <row r="24">
      <c r="A24" s="8" t="n">
        <v>44866</v>
      </c>
      <c r="B24" t="inlineStr">
        <is>
          <t>Actual</t>
        </is>
      </c>
      <c r="C24" t="n">
        <v>0.8003333333333333</v>
      </c>
      <c r="D24" t="n">
        <v>3.336166666666667</v>
      </c>
      <c r="E24" t="n">
        <v>0.119</v>
      </c>
      <c r="F24" t="n">
        <v>0.1095</v>
      </c>
      <c r="G24" t="n">
        <v>0.0009333333333333333</v>
      </c>
      <c r="H24" t="n">
        <v>7.782091333333334</v>
      </c>
      <c r="I24" t="n">
        <v>7.782091333333334</v>
      </c>
      <c r="J24" t="n">
        <v>12.20343333333333</v>
      </c>
      <c r="K24" t="n">
        <v>12.1315</v>
      </c>
      <c r="L24" t="n">
        <v>1.6076</v>
      </c>
      <c r="M24" t="n">
        <v>1.167233333333333</v>
      </c>
      <c r="N24" t="inlineStr">
        <is>
          <t>EIA</t>
        </is>
      </c>
      <c r="O24" t="n">
        <v>12.20343333333333</v>
      </c>
      <c r="P24" t="n">
        <v>12.1315</v>
      </c>
      <c r="Q24" t="n">
        <v>0.2294333333333333</v>
      </c>
      <c r="R24" t="n">
        <v>4.365933333333333</v>
      </c>
      <c r="S24" t="n">
        <v>12.14802466666667</v>
      </c>
      <c r="T24" t="n">
        <v>12.14802466666667</v>
      </c>
      <c r="U24" t="n">
        <v>-0.01652466666666541</v>
      </c>
      <c r="V24" t="n">
        <v>-0.01652466666666541</v>
      </c>
      <c r="W24" t="n">
        <v>13.29873333333333</v>
      </c>
      <c r="X24" t="n">
        <v>-0.4568913333333315</v>
      </c>
      <c r="Y24" t="n">
        <v>-0.4568913333333315</v>
      </c>
    </row>
    <row r="25">
      <c r="A25" s="8" t="n">
        <v>44896</v>
      </c>
      <c r="B25" t="inlineStr">
        <is>
          <t>Actual</t>
        </is>
      </c>
      <c r="C25" t="n">
        <v>0.8485806451612904</v>
      </c>
      <c r="D25" t="n">
        <v>3.247967741935484</v>
      </c>
      <c r="E25" t="n">
        <v>0.1655483870967742</v>
      </c>
      <c r="F25" t="n">
        <v>0.1132258064516129</v>
      </c>
      <c r="G25" t="n">
        <v>0.0009354838709677419</v>
      </c>
      <c r="H25" t="n">
        <v>8.308788709677421</v>
      </c>
      <c r="I25" t="n">
        <v>8.308788709677421</v>
      </c>
      <c r="J25" t="n">
        <v>11.95354838709677</v>
      </c>
      <c r="K25" t="n">
        <v>11.88264516129032</v>
      </c>
      <c r="L25" t="n">
        <v>1.216612903225806</v>
      </c>
      <c r="M25" t="n">
        <v>2.626612903225806</v>
      </c>
      <c r="N25" t="inlineStr">
        <is>
          <t>EIA</t>
        </is>
      </c>
      <c r="O25" t="n">
        <v>11.95354838709677</v>
      </c>
      <c r="P25" t="n">
        <v>11.88264516129032</v>
      </c>
      <c r="Q25" t="n">
        <v>0.2797096774193549</v>
      </c>
      <c r="R25" t="n">
        <v>4.376258064516129</v>
      </c>
      <c r="S25" t="n">
        <v>12.68504677419355</v>
      </c>
      <c r="T25" t="n">
        <v>12.68504677419355</v>
      </c>
      <c r="U25" t="n">
        <v>-0.8024016129032283</v>
      </c>
      <c r="V25" t="n">
        <v>-0.8024016129032283</v>
      </c>
      <c r="W25" t="n">
        <v>14.50925806451613</v>
      </c>
      <c r="X25" t="n">
        <v>0.6075983870967721</v>
      </c>
      <c r="Y25" t="n">
        <v>0.6075983870967721</v>
      </c>
    </row>
    <row r="26">
      <c r="A26" s="8" t="n">
        <v>44927</v>
      </c>
      <c r="B26" t="inlineStr">
        <is>
          <t>Actual</t>
        </is>
      </c>
      <c r="C26" t="n">
        <v>0.6188064516129032</v>
      </c>
      <c r="D26" t="n">
        <v>3.157677419354838</v>
      </c>
      <c r="E26" t="n">
        <v>0.183741935483871</v>
      </c>
      <c r="F26" t="n">
        <v>0.1150322580645161</v>
      </c>
      <c r="G26" t="n">
        <v>0.0007741935483870968</v>
      </c>
      <c r="H26" t="n">
        <v>8.582202903225808</v>
      </c>
      <c r="I26" t="n">
        <v>8.582202903225808</v>
      </c>
      <c r="J26" t="n">
        <v>12.06293548387097</v>
      </c>
      <c r="K26" t="n">
        <v>12.00441935483871</v>
      </c>
      <c r="L26" t="n">
        <v>1.299064516129032</v>
      </c>
      <c r="M26" t="n">
        <v>1.674225806451613</v>
      </c>
      <c r="N26" t="inlineStr">
        <is>
          <t>EIA</t>
        </is>
      </c>
      <c r="O26" t="n">
        <v>12.06293548387097</v>
      </c>
      <c r="P26" t="n">
        <v>12.00441935483871</v>
      </c>
      <c r="Q26" t="n">
        <v>0.2995483870967742</v>
      </c>
      <c r="R26" t="n">
        <v>4.076032258064515</v>
      </c>
      <c r="S26" t="n">
        <v>12.65823516129032</v>
      </c>
      <c r="T26" t="n">
        <v>12.65823516129032</v>
      </c>
      <c r="U26" t="n">
        <v>-0.6538158064516129</v>
      </c>
      <c r="V26" t="n">
        <v>-0.6538158064516129</v>
      </c>
      <c r="W26" t="n">
        <v>13.67864516129032</v>
      </c>
      <c r="X26" t="n">
        <v>-0.2786545161290321</v>
      </c>
      <c r="Y26" t="n">
        <v>-0.2786545161290321</v>
      </c>
    </row>
    <row r="27">
      <c r="A27" s="8" t="n">
        <v>44958</v>
      </c>
      <c r="B27" t="inlineStr">
        <is>
          <t>Actual</t>
        </is>
      </c>
      <c r="C27" t="n">
        <v>0.8890357142857144</v>
      </c>
      <c r="D27" t="n">
        <v>3.293428571428572</v>
      </c>
      <c r="E27" t="n">
        <v>0.13475</v>
      </c>
      <c r="F27" t="n">
        <v>0.10575</v>
      </c>
      <c r="G27" t="n">
        <v>0.0007857142857142857</v>
      </c>
      <c r="H27" t="n">
        <v>8.575652857142858</v>
      </c>
      <c r="I27" t="n">
        <v>8.575652857142858</v>
      </c>
      <c r="J27" t="n">
        <v>12.46171428571429</v>
      </c>
      <c r="K27" t="n">
        <v>12.40339285714286</v>
      </c>
      <c r="L27" t="n">
        <v>1.072214285714286</v>
      </c>
      <c r="M27" t="n">
        <v>1.698857142857143</v>
      </c>
      <c r="N27" t="inlineStr">
        <is>
          <t>EIA</t>
        </is>
      </c>
      <c r="O27" t="n">
        <v>12.46171428571429</v>
      </c>
      <c r="P27" t="n">
        <v>12.40339285714286</v>
      </c>
      <c r="Q27" t="n">
        <v>0.2412857142857143</v>
      </c>
      <c r="R27" t="n">
        <v>4.42375</v>
      </c>
      <c r="S27" t="n">
        <v>12.99940285714286</v>
      </c>
      <c r="T27" t="n">
        <v>12.99940285714286</v>
      </c>
      <c r="U27" t="n">
        <v>-0.5960100000000015</v>
      </c>
      <c r="V27" t="n">
        <v>-0.5960100000000015</v>
      </c>
      <c r="W27" t="n">
        <v>14.10225</v>
      </c>
      <c r="X27" t="n">
        <v>0.03063285714285602</v>
      </c>
      <c r="Y27" t="n">
        <v>0.03063285714285602</v>
      </c>
    </row>
    <row r="28">
      <c r="A28" s="8" t="n">
        <v>44986</v>
      </c>
      <c r="B28" t="inlineStr">
        <is>
          <t>Actual</t>
        </is>
      </c>
      <c r="C28" t="n">
        <v>0.8876774193548387</v>
      </c>
      <c r="D28" t="n">
        <v>3.241032258064516</v>
      </c>
      <c r="E28" t="n">
        <v>0.1048387096774194</v>
      </c>
      <c r="F28" t="n">
        <v>0.09364516129032258</v>
      </c>
      <c r="G28" t="n">
        <v>0.0007741935483870968</v>
      </c>
      <c r="H28" t="n">
        <v>8.121519677419355</v>
      </c>
      <c r="I28" t="n">
        <v>8.121519677419355</v>
      </c>
      <c r="J28" t="n">
        <v>12.05990322580645</v>
      </c>
      <c r="K28" t="n">
        <v>12.00077419354839</v>
      </c>
      <c r="L28" t="n">
        <v>1.372548387096774</v>
      </c>
      <c r="M28" t="n">
        <v>1.445290322580645</v>
      </c>
      <c r="N28" t="inlineStr">
        <is>
          <t>EIA</t>
        </is>
      </c>
      <c r="O28" t="n">
        <v>12.05990322580645</v>
      </c>
      <c r="P28" t="n">
        <v>12.00077419354839</v>
      </c>
      <c r="Q28" t="n">
        <v>0.199258064516129</v>
      </c>
      <c r="R28" t="n">
        <v>4.327967741935484</v>
      </c>
      <c r="S28" t="n">
        <v>12.44948741935484</v>
      </c>
      <c r="T28" t="n">
        <v>12.44948741935484</v>
      </c>
      <c r="U28" t="n">
        <v>-0.4487132258064523</v>
      </c>
      <c r="V28" t="n">
        <v>-0.4487132258064523</v>
      </c>
      <c r="W28" t="n">
        <v>13.44606451612903</v>
      </c>
      <c r="X28" t="n">
        <v>-0.3759712903225816</v>
      </c>
      <c r="Y28" t="n">
        <v>-0.3759712903225816</v>
      </c>
    </row>
    <row r="29">
      <c r="A29" s="8" t="n">
        <v>45017</v>
      </c>
      <c r="B29" t="inlineStr">
        <is>
          <t>Actual</t>
        </is>
      </c>
      <c r="C29" t="n">
        <v>0.8963333333333334</v>
      </c>
      <c r="D29" t="n">
        <v>3.2604</v>
      </c>
      <c r="E29" t="n">
        <v>0.05573333333333334</v>
      </c>
      <c r="F29" t="n">
        <v>0.07993333333333334</v>
      </c>
      <c r="G29" t="n">
        <v>0.0007666666666666667</v>
      </c>
      <c r="H29" t="n">
        <v>8.410512666666667</v>
      </c>
      <c r="I29" t="n">
        <v>8.410512666666667</v>
      </c>
      <c r="J29" t="n">
        <v>12.1478</v>
      </c>
      <c r="K29" t="n">
        <v>12.08916666666667</v>
      </c>
      <c r="L29" t="n">
        <v>1.4105</v>
      </c>
      <c r="M29" t="n">
        <v>1.134666666666667</v>
      </c>
      <c r="N29" t="inlineStr">
        <is>
          <t>EIA</t>
        </is>
      </c>
      <c r="O29" t="n">
        <v>12.1478</v>
      </c>
      <c r="P29" t="n">
        <v>12.08916666666667</v>
      </c>
      <c r="Q29" t="n">
        <v>0.1364333333333334</v>
      </c>
      <c r="R29" t="n">
        <v>4.293166666666666</v>
      </c>
      <c r="S29" t="n">
        <v>12.70367933333333</v>
      </c>
      <c r="T29" t="n">
        <v>12.70367933333333</v>
      </c>
      <c r="U29" t="n">
        <v>-0.614512666666668</v>
      </c>
      <c r="V29" t="n">
        <v>-0.614512666666668</v>
      </c>
      <c r="W29" t="n">
        <v>13.22383333333333</v>
      </c>
      <c r="X29" t="n">
        <v>-0.8903460000000021</v>
      </c>
      <c r="Y29" t="n">
        <v>-0.8903460000000021</v>
      </c>
    </row>
    <row r="30">
      <c r="A30" s="8" t="n">
        <v>45047</v>
      </c>
      <c r="B30" t="inlineStr">
        <is>
          <t>Actual</t>
        </is>
      </c>
      <c r="C30" t="n">
        <v>1.123161290322581</v>
      </c>
      <c r="D30" t="n">
        <v>3.108451612903226</v>
      </c>
      <c r="E30" t="n">
        <v>0.04519354838709678</v>
      </c>
      <c r="F30" t="n">
        <v>0.07041935483870967</v>
      </c>
      <c r="G30" t="n">
        <v>0.0007741935483870968</v>
      </c>
      <c r="H30" t="n">
        <v>7.274554516129033</v>
      </c>
      <c r="I30" t="n">
        <v>7.274554516129033</v>
      </c>
      <c r="J30" t="n">
        <v>12.54635483870968</v>
      </c>
      <c r="K30" t="n">
        <v>12.48722580645161</v>
      </c>
      <c r="L30" t="n">
        <v>1.873677419354839</v>
      </c>
      <c r="M30" t="n">
        <v>0.8789032258064516</v>
      </c>
      <c r="N30" t="inlineStr">
        <is>
          <t>EIA</t>
        </is>
      </c>
      <c r="O30" t="n">
        <v>12.54635483870968</v>
      </c>
      <c r="P30" t="n">
        <v>12.48722580645161</v>
      </c>
      <c r="Q30" t="n">
        <v>0.1163870967741935</v>
      </c>
      <c r="R30" t="n">
        <v>4.348000000000001</v>
      </c>
      <c r="S30" t="n">
        <v>11.62255451612903</v>
      </c>
      <c r="T30" t="n">
        <v>11.62255451612903</v>
      </c>
      <c r="U30" t="n">
        <v>0.8646712903225797</v>
      </c>
      <c r="V30" t="n">
        <v>0.8646712903225797</v>
      </c>
      <c r="W30" t="n">
        <v>13.36612903225807</v>
      </c>
      <c r="X30" t="n">
        <v>-0.130102903225807</v>
      </c>
      <c r="Y30" t="n">
        <v>-0.130102903225807</v>
      </c>
    </row>
    <row r="31">
      <c r="A31" s="8" t="n">
        <v>45078</v>
      </c>
      <c r="B31" t="inlineStr">
        <is>
          <t>Actual</t>
        </is>
      </c>
      <c r="C31" t="n">
        <v>1.3448</v>
      </c>
      <c r="D31" t="n">
        <v>3.104533333333333</v>
      </c>
      <c r="E31" t="n">
        <v>0.03773333333333333</v>
      </c>
      <c r="F31" t="n">
        <v>0.06063333333333333</v>
      </c>
      <c r="G31" t="n">
        <v>0.0007666666666666667</v>
      </c>
      <c r="H31" t="n">
        <v>6.023376333333334</v>
      </c>
      <c r="I31" t="n">
        <v>6.023376333333334</v>
      </c>
      <c r="J31" t="n">
        <v>11.7621</v>
      </c>
      <c r="K31" t="n">
        <v>11.70366666666667</v>
      </c>
      <c r="L31" t="n">
        <v>1.526533333333333</v>
      </c>
      <c r="M31" t="n">
        <v>1.057866666666667</v>
      </c>
      <c r="N31" t="inlineStr">
        <is>
          <t>EIA</t>
        </is>
      </c>
      <c r="O31" t="n">
        <v>11.7621</v>
      </c>
      <c r="P31" t="n">
        <v>11.70366666666667</v>
      </c>
      <c r="Q31" t="n">
        <v>0.09913333333333332</v>
      </c>
      <c r="R31" t="n">
        <v>4.548466666666667</v>
      </c>
      <c r="S31" t="n">
        <v>10.571843</v>
      </c>
      <c r="T31" t="n">
        <v>10.571843</v>
      </c>
      <c r="U31" t="n">
        <v>1.131823666666666</v>
      </c>
      <c r="V31" t="n">
        <v>1.131823666666666</v>
      </c>
      <c r="W31" t="n">
        <v>12.76153333333333</v>
      </c>
      <c r="X31" t="n">
        <v>0.663156999999998</v>
      </c>
      <c r="Y31" t="n">
        <v>0.663156999999998</v>
      </c>
    </row>
    <row r="32">
      <c r="A32" s="8" t="n">
        <v>45108</v>
      </c>
      <c r="B32" t="inlineStr">
        <is>
          <t>Actual</t>
        </is>
      </c>
      <c r="C32" t="n">
        <v>1.322064516129032</v>
      </c>
      <c r="D32" t="n">
        <v>3.118032258064516</v>
      </c>
      <c r="E32" t="n">
        <v>0.03706451612903226</v>
      </c>
      <c r="F32" t="n">
        <v>0.05887096774193548</v>
      </c>
      <c r="G32" t="n">
        <v>0.0007741935483870968</v>
      </c>
      <c r="H32" t="n">
        <v>7.097587741935484</v>
      </c>
      <c r="I32" t="n">
        <v>7.097587741935484</v>
      </c>
      <c r="J32" t="n">
        <v>11.91367741935484</v>
      </c>
      <c r="K32" t="n">
        <v>11.8548064516129</v>
      </c>
      <c r="L32" t="n">
        <v>1.063387096774194</v>
      </c>
      <c r="M32" t="n">
        <v>1.400967741935484</v>
      </c>
      <c r="N32" t="inlineStr">
        <is>
          <t>EIA</t>
        </is>
      </c>
      <c r="O32" t="n">
        <v>11.91367741935484</v>
      </c>
      <c r="P32" t="n">
        <v>11.8548064516129</v>
      </c>
      <c r="Q32" t="n">
        <v>0.09670967741935482</v>
      </c>
      <c r="R32" t="n">
        <v>4.536806451612902</v>
      </c>
      <c r="S32" t="n">
        <v>11.63439419354839</v>
      </c>
      <c r="T32" t="n">
        <v>11.63439419354839</v>
      </c>
      <c r="U32" t="n">
        <v>0.2204122580645169</v>
      </c>
      <c r="V32" t="n">
        <v>0.2204122580645169</v>
      </c>
      <c r="W32" t="n">
        <v>13.25577419354839</v>
      </c>
      <c r="X32" t="n">
        <v>0.5579929032258066</v>
      </c>
      <c r="Y32" t="n">
        <v>0.5579929032258066</v>
      </c>
    </row>
    <row r="33">
      <c r="A33" s="8" t="n">
        <v>45139</v>
      </c>
      <c r="B33" t="inlineStr">
        <is>
          <t>Actual</t>
        </is>
      </c>
      <c r="C33" t="n">
        <v>1.445806451612903</v>
      </c>
      <c r="D33" t="n">
        <v>3.083612903225806</v>
      </c>
      <c r="E33" t="n">
        <v>0.03338709677419355</v>
      </c>
      <c r="F33" t="n">
        <v>0.05993548387096775</v>
      </c>
      <c r="G33" t="n">
        <v>0.0007741935483870968</v>
      </c>
      <c r="H33" t="n">
        <v>7.180568387096775</v>
      </c>
      <c r="I33" t="n">
        <v>7.180568387096775</v>
      </c>
      <c r="J33" t="n">
        <v>11.95935483870968</v>
      </c>
      <c r="K33" t="n">
        <v>11.90012903225806</v>
      </c>
      <c r="L33" t="n">
        <v>0.9764838709677419</v>
      </c>
      <c r="M33" t="n">
        <v>1.683161290322581</v>
      </c>
      <c r="N33" t="inlineStr">
        <is>
          <t>EIA</t>
        </is>
      </c>
      <c r="O33" t="n">
        <v>11.95935483870968</v>
      </c>
      <c r="P33" t="n">
        <v>11.90012903225806</v>
      </c>
      <c r="Q33" t="n">
        <v>0.09409677419354839</v>
      </c>
      <c r="R33" t="n">
        <v>4.623516129032257</v>
      </c>
      <c r="S33" t="n">
        <v>11.80408451612903</v>
      </c>
      <c r="T33" t="n">
        <v>11.80408451612903</v>
      </c>
      <c r="U33" t="n">
        <v>0.09604451612903198</v>
      </c>
      <c r="V33" t="n">
        <v>0.09604451612903198</v>
      </c>
      <c r="W33" t="n">
        <v>13.58329032258064</v>
      </c>
      <c r="X33" t="n">
        <v>0.8027219354838704</v>
      </c>
      <c r="Y33" t="n">
        <v>0.8027219354838704</v>
      </c>
    </row>
    <row r="34">
      <c r="A34" s="8" t="n">
        <v>45170</v>
      </c>
      <c r="B34" t="inlineStr">
        <is>
          <t>Actual</t>
        </is>
      </c>
      <c r="C34" t="n">
        <v>1.1149</v>
      </c>
      <c r="D34" t="n">
        <v>3.1561</v>
      </c>
      <c r="E34" t="n">
        <v>0.03506666666666667</v>
      </c>
      <c r="F34" t="n">
        <v>0.06306666666666667</v>
      </c>
      <c r="G34" t="n">
        <v>0.0007666666666666667</v>
      </c>
      <c r="H34" t="n">
        <v>7.403207333333334</v>
      </c>
      <c r="I34" t="n">
        <v>7.403207333333334</v>
      </c>
      <c r="J34" t="n">
        <v>11.87463333333333</v>
      </c>
      <c r="K34" t="n">
        <v>11.81526666666667</v>
      </c>
      <c r="L34" t="n">
        <v>1.516833333333333</v>
      </c>
      <c r="M34" t="n">
        <v>0.9531000000000001</v>
      </c>
      <c r="N34" t="inlineStr">
        <is>
          <t>EIA</t>
        </is>
      </c>
      <c r="O34" t="n">
        <v>11.87463333333333</v>
      </c>
      <c r="P34" t="n">
        <v>11.81526666666667</v>
      </c>
      <c r="Q34" t="n">
        <v>0.09890000000000002</v>
      </c>
      <c r="R34" t="n">
        <v>4.369899999999999</v>
      </c>
      <c r="S34" t="n">
        <v>11.77310733333333</v>
      </c>
      <c r="T34" t="n">
        <v>11.77310733333333</v>
      </c>
      <c r="U34" t="n">
        <v>0.04215933333333233</v>
      </c>
      <c r="V34" t="n">
        <v>0.04215933333333233</v>
      </c>
      <c r="W34" t="n">
        <v>12.76836666666667</v>
      </c>
      <c r="X34" t="n">
        <v>-0.5215740000000018</v>
      </c>
      <c r="Y34" t="n">
        <v>-0.5215740000000018</v>
      </c>
    </row>
    <row r="35">
      <c r="A35" s="8" t="n">
        <v>45200</v>
      </c>
      <c r="B35" t="inlineStr">
        <is>
          <t>Actual</t>
        </is>
      </c>
      <c r="C35" t="n">
        <v>0.9394193548387096</v>
      </c>
      <c r="D35" t="n">
        <v>3.302193548387097</v>
      </c>
      <c r="E35" t="n">
        <v>0.04312903225806452</v>
      </c>
      <c r="F35" t="n">
        <v>0.07051612903225807</v>
      </c>
      <c r="G35" t="n">
        <v>0.0007741935483870968</v>
      </c>
      <c r="H35" t="n">
        <v>8.432732258064517</v>
      </c>
      <c r="I35" t="n">
        <v>8.432732258064517</v>
      </c>
      <c r="J35" t="n">
        <v>11.71903225806452</v>
      </c>
      <c r="K35" t="n">
        <v>11.65961290322581</v>
      </c>
      <c r="L35" t="n">
        <v>1.867935483870968</v>
      </c>
      <c r="M35" t="n">
        <v>0.6557419354838709</v>
      </c>
      <c r="N35" t="inlineStr">
        <is>
          <t>EIA</t>
        </is>
      </c>
      <c r="O35" t="n">
        <v>11.71903225806452</v>
      </c>
      <c r="P35" t="n">
        <v>11.65961290322581</v>
      </c>
      <c r="Q35" t="n">
        <v>0.1144193548387097</v>
      </c>
      <c r="R35" t="n">
        <v>4.356032258064515</v>
      </c>
      <c r="S35" t="n">
        <v>12.78876451612903</v>
      </c>
      <c r="T35" t="n">
        <v>12.78876451612903</v>
      </c>
      <c r="U35" t="n">
        <v>-1.129151612903225</v>
      </c>
      <c r="V35" t="n">
        <v>-1.129151612903225</v>
      </c>
      <c r="W35" t="n">
        <v>12.31535483870968</v>
      </c>
      <c r="X35" t="n">
        <v>-2.341345161290322</v>
      </c>
      <c r="Y35" t="n">
        <v>-2.341345161290322</v>
      </c>
    </row>
    <row r="36">
      <c r="A36" s="8" t="n">
        <v>45231</v>
      </c>
      <c r="B36" t="inlineStr">
        <is>
          <t>Actual</t>
        </is>
      </c>
      <c r="C36" t="n">
        <v>1.023633333333333</v>
      </c>
      <c r="D36" t="n">
        <v>3.324433333333333</v>
      </c>
      <c r="E36" t="n">
        <v>0.099</v>
      </c>
      <c r="F36" t="n">
        <v>0.09859999999999999</v>
      </c>
      <c r="G36" t="n">
        <v>0.0007666666666666667</v>
      </c>
      <c r="H36" t="n">
        <v>8.451060666666667</v>
      </c>
      <c r="I36" t="n">
        <v>8.451060666666667</v>
      </c>
      <c r="J36" t="n">
        <v>11.5409</v>
      </c>
      <c r="K36" t="n">
        <v>11.48056666666667</v>
      </c>
      <c r="L36" t="n">
        <v>1.4079</v>
      </c>
      <c r="M36" t="n">
        <v>0.9396</v>
      </c>
      <c r="N36" t="inlineStr">
        <is>
          <t>EIA</t>
        </is>
      </c>
      <c r="O36" t="n">
        <v>11.5409</v>
      </c>
      <c r="P36" t="n">
        <v>11.48056666666667</v>
      </c>
      <c r="Q36" t="n">
        <v>0.1983666666666667</v>
      </c>
      <c r="R36" t="n">
        <v>4.546433333333334</v>
      </c>
      <c r="S36" t="n">
        <v>12.997494</v>
      </c>
      <c r="T36" t="n">
        <v>12.997494</v>
      </c>
      <c r="U36" t="n">
        <v>-1.516927333333332</v>
      </c>
      <c r="V36" t="n">
        <v>-1.516927333333332</v>
      </c>
      <c r="W36" t="n">
        <v>12.42016666666667</v>
      </c>
      <c r="X36" t="n">
        <v>-1.985227333333331</v>
      </c>
      <c r="Y36" t="n">
        <v>-1.985227333333331</v>
      </c>
    </row>
    <row r="37">
      <c r="A37" s="8" t="n">
        <v>45261</v>
      </c>
      <c r="B37" t="inlineStr">
        <is>
          <t>Actual</t>
        </is>
      </c>
      <c r="C37" t="n">
        <v>0.8334516129032259</v>
      </c>
      <c r="D37" t="n">
        <v>3.554806451612903</v>
      </c>
      <c r="E37" t="n">
        <v>0.1621935483870968</v>
      </c>
      <c r="F37" t="n">
        <v>0.1151935483870968</v>
      </c>
      <c r="G37" t="n">
        <v>0.0007741935483870968</v>
      </c>
      <c r="H37" t="n">
        <v>8.897494193548388</v>
      </c>
      <c r="I37" t="n">
        <v>8.897494193548388</v>
      </c>
      <c r="J37" t="n">
        <v>11.09290322580645</v>
      </c>
      <c r="K37" t="n">
        <v>11.03251612903226</v>
      </c>
      <c r="L37" t="n">
        <v>1.131612903225806</v>
      </c>
      <c r="M37" t="n">
        <v>1.384677419354839</v>
      </c>
      <c r="N37" t="inlineStr">
        <is>
          <t>EIA</t>
        </is>
      </c>
      <c r="O37" t="n">
        <v>11.09290322580645</v>
      </c>
      <c r="P37" t="n">
        <v>11.03251612903226</v>
      </c>
      <c r="Q37" t="n">
        <v>0.2781612903225806</v>
      </c>
      <c r="R37" t="n">
        <v>4.66641935483871</v>
      </c>
      <c r="S37" t="n">
        <v>13.5639135483871</v>
      </c>
      <c r="T37" t="n">
        <v>13.5639135483871</v>
      </c>
      <c r="U37" t="n">
        <v>-2.531397419354841</v>
      </c>
      <c r="V37" t="n">
        <v>-2.531397419354841</v>
      </c>
      <c r="W37" t="n">
        <v>12.4171935483871</v>
      </c>
      <c r="X37" t="n">
        <v>-2.278332903225809</v>
      </c>
      <c r="Y37" t="n">
        <v>-2.278332903225809</v>
      </c>
    </row>
    <row r="38">
      <c r="A38" s="8" t="n">
        <v>45292</v>
      </c>
      <c r="B38" t="inlineStr">
        <is>
          <t>Actual</t>
        </is>
      </c>
      <c r="C38" t="n">
        <v>1.05258064516129</v>
      </c>
      <c r="D38" t="n">
        <v>3.157129032258065</v>
      </c>
      <c r="E38" t="n">
        <v>0.2681935483870967</v>
      </c>
      <c r="F38" t="n">
        <v>0.1276774193548387</v>
      </c>
      <c r="G38" t="n">
        <v>0.0007419354838709677</v>
      </c>
      <c r="H38" t="n">
        <v>8.80829</v>
      </c>
      <c r="I38" t="n">
        <v>8.80829</v>
      </c>
      <c r="J38" t="n">
        <v>10.96158064516129</v>
      </c>
      <c r="K38" t="n">
        <v>10.91803225806452</v>
      </c>
      <c r="L38" t="n">
        <v>0.9245806451612903</v>
      </c>
      <c r="M38" t="n">
        <v>3.587322580645162</v>
      </c>
      <c r="N38" t="inlineStr">
        <is>
          <t>EIA</t>
        </is>
      </c>
      <c r="O38" t="n">
        <v>10.96158064516129</v>
      </c>
      <c r="P38" t="n">
        <v>10.91803225806452</v>
      </c>
      <c r="Q38" t="n">
        <v>0.3966129032258064</v>
      </c>
      <c r="R38" t="n">
        <v>4.606322580645162</v>
      </c>
      <c r="S38" t="n">
        <v>13.41461258064516</v>
      </c>
      <c r="T38" t="n">
        <v>13.41461258064516</v>
      </c>
      <c r="U38" t="n">
        <v>-2.496580322580645</v>
      </c>
      <c r="V38" t="n">
        <v>-2.496580322580645</v>
      </c>
      <c r="W38" t="n">
        <v>14.50535483870968</v>
      </c>
      <c r="X38" t="n">
        <v>0.1661616129032257</v>
      </c>
      <c r="Y38" t="n">
        <v>0.1661616129032257</v>
      </c>
    </row>
    <row r="39">
      <c r="A39" s="8" t="n">
        <v>45323</v>
      </c>
      <c r="B39" t="inlineStr">
        <is>
          <t>Actual</t>
        </is>
      </c>
      <c r="C39" t="n">
        <v>0.7520344827586207</v>
      </c>
      <c r="D39" t="n">
        <v>2.913</v>
      </c>
      <c r="E39" t="n">
        <v>0.1498275862068965</v>
      </c>
      <c r="F39" t="n">
        <v>0.1052413793103448</v>
      </c>
      <c r="G39" t="n">
        <v>0.0007241379310344827</v>
      </c>
      <c r="H39" t="n">
        <v>8.718045517241379</v>
      </c>
      <c r="I39" t="n">
        <v>8.718045517241379</v>
      </c>
      <c r="J39" t="n">
        <v>11.36762068965517</v>
      </c>
      <c r="K39" t="n">
        <v>11.32286206896552</v>
      </c>
      <c r="L39" t="n">
        <v>1.579551724137931</v>
      </c>
      <c r="M39" t="n">
        <v>1.068620689655172</v>
      </c>
      <c r="N39" t="inlineStr">
        <is>
          <t>EIA</t>
        </is>
      </c>
      <c r="O39" t="n">
        <v>11.36762068965517</v>
      </c>
      <c r="P39" t="n">
        <v>11.32286206896552</v>
      </c>
      <c r="Q39" t="n">
        <v>0.2557931034482758</v>
      </c>
      <c r="R39" t="n">
        <v>3.920827586206896</v>
      </c>
      <c r="S39" t="n">
        <v>12.63887310344828</v>
      </c>
      <c r="T39" t="n">
        <v>12.63887310344828</v>
      </c>
      <c r="U39" t="n">
        <v>-1.316011034482758</v>
      </c>
      <c r="V39" t="n">
        <v>-1.316011034482758</v>
      </c>
      <c r="W39" t="n">
        <v>12.39148275862069</v>
      </c>
      <c r="X39" t="n">
        <v>-1.826942068965515</v>
      </c>
      <c r="Y39" t="n">
        <v>-1.826942068965515</v>
      </c>
    </row>
    <row r="40">
      <c r="A40" s="8" t="n">
        <v>45352</v>
      </c>
      <c r="B40" t="inlineStr">
        <is>
          <t>Actual</t>
        </is>
      </c>
      <c r="C40" t="n">
        <v>0.9054516129032258</v>
      </c>
      <c r="D40" t="n">
        <v>3.074612903225806</v>
      </c>
      <c r="E40" t="n">
        <v>0.09429032258064517</v>
      </c>
      <c r="F40" t="n">
        <v>0.08116129032258064</v>
      </c>
      <c r="G40" t="n">
        <v>0.0007419354838709677</v>
      </c>
      <c r="H40" t="n">
        <v>8.588250645161292</v>
      </c>
      <c r="I40" t="n">
        <v>8.588250645161292</v>
      </c>
      <c r="J40" t="n">
        <v>10.72558064516129</v>
      </c>
      <c r="K40" t="n">
        <v>10.6818064516129</v>
      </c>
      <c r="L40" t="n">
        <v>1.678677419354839</v>
      </c>
      <c r="M40" t="n">
        <v>1.081741935483871</v>
      </c>
      <c r="N40" t="inlineStr">
        <is>
          <t>EIA</t>
        </is>
      </c>
      <c r="O40" t="n">
        <v>10.72558064516129</v>
      </c>
      <c r="P40" t="n">
        <v>10.6818064516129</v>
      </c>
      <c r="Q40" t="n">
        <v>0.1761935483870968</v>
      </c>
      <c r="R40" t="n">
        <v>4.15625806451613</v>
      </c>
      <c r="S40" t="n">
        <v>12.74450870967742</v>
      </c>
      <c r="T40" t="n">
        <v>12.74450870967742</v>
      </c>
      <c r="U40" t="n">
        <v>-2.062702258064519</v>
      </c>
      <c r="V40" t="n">
        <v>-2.062702258064519</v>
      </c>
      <c r="W40" t="n">
        <v>11.76354838709677</v>
      </c>
      <c r="X40" t="n">
        <v>-2.659637741935487</v>
      </c>
      <c r="Y40" t="n">
        <v>-2.659637741935487</v>
      </c>
    </row>
    <row r="41">
      <c r="A41" s="8" t="n">
        <v>45383</v>
      </c>
      <c r="B41" t="inlineStr">
        <is>
          <t>Actual</t>
        </is>
      </c>
      <c r="C41" t="n">
        <v>0.9818</v>
      </c>
      <c r="D41" t="n">
        <v>3.3455</v>
      </c>
      <c r="E41" t="n">
        <v>0.0512</v>
      </c>
      <c r="F41" t="n">
        <v>0.07240000000000001</v>
      </c>
      <c r="G41" t="n">
        <v>0.0007333333333333332</v>
      </c>
      <c r="H41" t="n">
        <v>7.679849333333333</v>
      </c>
      <c r="I41" t="n">
        <v>7.679849333333333</v>
      </c>
      <c r="J41" t="n">
        <v>10.038</v>
      </c>
      <c r="K41" t="n">
        <v>9.994633333333333</v>
      </c>
      <c r="L41" t="n">
        <v>1.6405</v>
      </c>
      <c r="M41" t="n">
        <v>1.005433333333333</v>
      </c>
      <c r="N41" t="inlineStr">
        <is>
          <t>EIA</t>
        </is>
      </c>
      <c r="O41" t="n">
        <v>10.038</v>
      </c>
      <c r="P41" t="n">
        <v>9.994633333333333</v>
      </c>
      <c r="Q41" t="n">
        <v>0.1243333333333334</v>
      </c>
      <c r="R41" t="n">
        <v>4.451633333333334</v>
      </c>
      <c r="S41" t="n">
        <v>12.13148266666667</v>
      </c>
      <c r="T41" t="n">
        <v>12.13148266666667</v>
      </c>
      <c r="U41" t="n">
        <v>-2.136849333333334</v>
      </c>
      <c r="V41" t="n">
        <v>-2.136849333333334</v>
      </c>
      <c r="W41" t="n">
        <v>11.00006666666667</v>
      </c>
      <c r="X41" t="n">
        <v>-2.771916000000002</v>
      </c>
      <c r="Y41" t="n">
        <v>-2.771916000000002</v>
      </c>
    </row>
    <row r="42">
      <c r="A42" s="8" t="n">
        <v>45413</v>
      </c>
      <c r="B42" t="inlineStr">
        <is>
          <t>Actual</t>
        </is>
      </c>
      <c r="C42" t="n">
        <v>1.229225806451613</v>
      </c>
      <c r="D42" t="n">
        <v>3.260935483870968</v>
      </c>
      <c r="E42" t="n">
        <v>0.0422258064516129</v>
      </c>
      <c r="F42" t="n">
        <v>0.06570967741935484</v>
      </c>
      <c r="G42" t="n">
        <v>0.0007419354838709677</v>
      </c>
      <c r="H42" t="n">
        <v>7.73042064516129</v>
      </c>
      <c r="I42" t="n">
        <v>7.73042064516129</v>
      </c>
      <c r="J42" t="n">
        <v>9.496387096774193</v>
      </c>
      <c r="K42" t="n">
        <v>9.452967741935483</v>
      </c>
      <c r="L42" t="n">
        <v>1.474096774193548</v>
      </c>
      <c r="M42" t="n">
        <v>0.9017419354838709</v>
      </c>
      <c r="N42" t="inlineStr">
        <is>
          <t>EIA</t>
        </is>
      </c>
      <c r="O42" t="n">
        <v>9.496387096774193</v>
      </c>
      <c r="P42" t="n">
        <v>9.452967741935483</v>
      </c>
      <c r="Q42" t="n">
        <v>0.1086774193548387</v>
      </c>
      <c r="R42" t="n">
        <v>4.59883870967742</v>
      </c>
      <c r="S42" t="n">
        <v>12.32925935483871</v>
      </c>
      <c r="T42" t="n">
        <v>12.32925935483871</v>
      </c>
      <c r="U42" t="n">
        <v>-2.876291612903227</v>
      </c>
      <c r="V42" t="n">
        <v>-2.876291612903227</v>
      </c>
      <c r="W42" t="n">
        <v>10.35470967741935</v>
      </c>
      <c r="X42" t="n">
        <v>-3.448646451612904</v>
      </c>
      <c r="Y42" t="n">
        <v>-3.448646451612904</v>
      </c>
    </row>
    <row r="43">
      <c r="A43" s="8" t="n">
        <v>45444</v>
      </c>
      <c r="B43" t="inlineStr">
        <is>
          <t>Actual</t>
        </is>
      </c>
      <c r="C43" t="n">
        <v>1.326133333333333</v>
      </c>
      <c r="D43" t="n">
        <v>3.292333333333334</v>
      </c>
      <c r="E43" t="n">
        <v>0.04273333333333333</v>
      </c>
      <c r="F43" t="n">
        <v>0.06566666666666666</v>
      </c>
      <c r="G43" t="n">
        <v>0.0007333333333333332</v>
      </c>
      <c r="H43" t="n">
        <v>7.312083333333334</v>
      </c>
      <c r="I43" t="n">
        <v>7.312083333333334</v>
      </c>
      <c r="J43" t="n">
        <v>9.4376</v>
      </c>
      <c r="K43" t="n">
        <v>9.393666666666666</v>
      </c>
      <c r="L43" t="n">
        <v>1.3514</v>
      </c>
      <c r="M43" t="n">
        <v>1.071233333333333</v>
      </c>
      <c r="N43" t="inlineStr">
        <is>
          <t>EIA</t>
        </is>
      </c>
      <c r="O43" t="n">
        <v>9.4376</v>
      </c>
      <c r="P43" t="n">
        <v>9.393666666666666</v>
      </c>
      <c r="Q43" t="n">
        <v>0.1091333333333333</v>
      </c>
      <c r="R43" t="n">
        <v>4.727600000000001</v>
      </c>
      <c r="S43" t="n">
        <v>12.03968333333333</v>
      </c>
      <c r="T43" t="n">
        <v>12.03968333333333</v>
      </c>
      <c r="U43" t="n">
        <v>-2.646016666666668</v>
      </c>
      <c r="V43" t="n">
        <v>-2.646016666666668</v>
      </c>
      <c r="W43" t="n">
        <v>10.4649</v>
      </c>
      <c r="X43" t="n">
        <v>-2.926183333333334</v>
      </c>
      <c r="Y43" t="n">
        <v>-2.926183333333334</v>
      </c>
    </row>
    <row r="44">
      <c r="A44" s="8" t="n">
        <v>45474</v>
      </c>
      <c r="B44" t="inlineStr">
        <is>
          <t>Actual</t>
        </is>
      </c>
      <c r="C44" t="n">
        <v>1.415096774193548</v>
      </c>
      <c r="D44" t="n">
        <v>3.368064516129032</v>
      </c>
      <c r="E44" t="n">
        <v>0.03829032258064516</v>
      </c>
      <c r="F44" t="n">
        <v>0.06045161290322581</v>
      </c>
      <c r="G44" t="n">
        <v>0.0007419354838709677</v>
      </c>
      <c r="H44" t="n">
        <v>7.408097096774194</v>
      </c>
      <c r="I44" t="n">
        <v>7.408097096774194</v>
      </c>
      <c r="J44" t="n">
        <v>9.901064516129033</v>
      </c>
      <c r="K44" t="n">
        <v>9.856548387096774</v>
      </c>
      <c r="L44" t="n">
        <v>1.037870967741935</v>
      </c>
      <c r="M44" t="n">
        <v>1.078096774193548</v>
      </c>
      <c r="N44" t="inlineStr">
        <is>
          <t>EIA</t>
        </is>
      </c>
      <c r="O44" t="n">
        <v>9.901064516129033</v>
      </c>
      <c r="P44" t="n">
        <v>9.856548387096774</v>
      </c>
      <c r="Q44" t="n">
        <v>0.09948387096774194</v>
      </c>
      <c r="R44" t="n">
        <v>4.882645161290323</v>
      </c>
      <c r="S44" t="n">
        <v>12.29074225806452</v>
      </c>
      <c r="T44" t="n">
        <v>12.29074225806452</v>
      </c>
      <c r="U44" t="n">
        <v>-2.434193870967741</v>
      </c>
      <c r="V44" t="n">
        <v>-2.434193870967741</v>
      </c>
      <c r="W44" t="n">
        <v>10.93464516129032</v>
      </c>
      <c r="X44" t="n">
        <v>-2.393968064516128</v>
      </c>
      <c r="Y44" t="n">
        <v>-2.393968064516128</v>
      </c>
    </row>
    <row r="45">
      <c r="A45" s="8" t="n">
        <v>45505</v>
      </c>
      <c r="B45" t="inlineStr">
        <is>
          <t>Actual</t>
        </is>
      </c>
      <c r="C45" t="n">
        <v>1.483129032258065</v>
      </c>
      <c r="D45" t="n">
        <v>3.363290322580645</v>
      </c>
      <c r="E45" t="n">
        <v>0.03732258064516129</v>
      </c>
      <c r="F45" t="n">
        <v>0.05990322580645162</v>
      </c>
      <c r="G45" t="n">
        <v>0.0007419354838709677</v>
      </c>
      <c r="H45" t="n">
        <v>7.142383225806452</v>
      </c>
      <c r="I45" t="n">
        <v>7.142383225806452</v>
      </c>
      <c r="J45" t="n">
        <v>9.705612903225807</v>
      </c>
      <c r="K45" t="n">
        <v>9.661516129032258</v>
      </c>
      <c r="L45" t="n">
        <v>0.8859677419354839</v>
      </c>
      <c r="M45" t="n">
        <v>1.348645161290323</v>
      </c>
      <c r="N45" t="inlineStr">
        <is>
          <t>EIA</t>
        </is>
      </c>
      <c r="O45" t="n">
        <v>9.705612903225807</v>
      </c>
      <c r="P45" t="n">
        <v>9.661516129032258</v>
      </c>
      <c r="Q45" t="n">
        <v>0.09796774193548388</v>
      </c>
      <c r="R45" t="n">
        <v>4.944387096774195</v>
      </c>
      <c r="S45" t="n">
        <v>12.08677032258065</v>
      </c>
      <c r="T45" t="n">
        <v>12.08677032258065</v>
      </c>
      <c r="U45" t="n">
        <v>-2.42525419354839</v>
      </c>
      <c r="V45" t="n">
        <v>-2.42525419354839</v>
      </c>
      <c r="W45" t="n">
        <v>11.01016129032258</v>
      </c>
      <c r="X45" t="n">
        <v>-1.962576774193552</v>
      </c>
      <c r="Y45" t="n">
        <v>-1.962576774193552</v>
      </c>
    </row>
    <row r="46">
      <c r="A46" s="8" t="n">
        <v>45536</v>
      </c>
      <c r="B46" t="inlineStr">
        <is>
          <t>Actual</t>
        </is>
      </c>
      <c r="C46" t="n">
        <v>1.1057</v>
      </c>
      <c r="D46" t="n">
        <v>3.160933333333333</v>
      </c>
      <c r="E46" t="n">
        <v>0.0461</v>
      </c>
      <c r="F46" t="n">
        <v>0.06796666666666668</v>
      </c>
      <c r="G46" t="n">
        <v>0.0007333333333333332</v>
      </c>
      <c r="H46" t="n">
        <v>7.555189666666667</v>
      </c>
      <c r="I46" t="n">
        <v>7.555189666666667</v>
      </c>
      <c r="J46" t="n">
        <v>9.206899999999999</v>
      </c>
      <c r="K46" t="n">
        <v>9.1631</v>
      </c>
      <c r="L46" t="n">
        <v>1.326166666666667</v>
      </c>
      <c r="M46" t="n">
        <v>0.9736</v>
      </c>
      <c r="N46" t="inlineStr">
        <is>
          <t>EIA</t>
        </is>
      </c>
      <c r="O46" t="n">
        <v>9.206899999999999</v>
      </c>
      <c r="P46" t="n">
        <v>9.1631</v>
      </c>
      <c r="Q46" t="n">
        <v>0.1148</v>
      </c>
      <c r="R46" t="n">
        <v>4.381433333333334</v>
      </c>
      <c r="S46" t="n">
        <v>11.936623</v>
      </c>
      <c r="T46" t="n">
        <v>11.936623</v>
      </c>
      <c r="U46" t="n">
        <v>-2.773523000000001</v>
      </c>
      <c r="V46" t="n">
        <v>-2.773523000000001</v>
      </c>
      <c r="W46" t="n">
        <v>10.1367</v>
      </c>
      <c r="X46" t="n">
        <v>-3.126089666666668</v>
      </c>
      <c r="Y46" t="n">
        <v>-3.126089666666668</v>
      </c>
    </row>
    <row r="47">
      <c r="A47" s="8" t="n">
        <v>45566</v>
      </c>
      <c r="B47" t="inlineStr">
        <is>
          <t>Actual</t>
        </is>
      </c>
      <c r="C47" t="n">
        <v>1.049838709677419</v>
      </c>
      <c r="D47" t="n">
        <v>3.196322580645162</v>
      </c>
      <c r="E47" t="n">
        <v>0.04883870967741935</v>
      </c>
      <c r="F47" t="n">
        <v>0.0737741935483871</v>
      </c>
      <c r="G47" t="n">
        <v>0.0007419354838709677</v>
      </c>
      <c r="H47" t="n">
        <v>7.775497419354839</v>
      </c>
      <c r="I47" t="n">
        <v>7.775497419354839</v>
      </c>
      <c r="J47" t="n">
        <v>9.285354838709678</v>
      </c>
      <c r="K47" t="n">
        <v>9.240935483870969</v>
      </c>
      <c r="L47" t="n">
        <v>1.740064516129032</v>
      </c>
      <c r="M47" t="n">
        <v>0.5116129032258064</v>
      </c>
      <c r="N47" t="inlineStr">
        <is>
          <t>EIA</t>
        </is>
      </c>
      <c r="O47" t="n">
        <v>9.285354838709678</v>
      </c>
      <c r="P47" t="n">
        <v>9.240935483870969</v>
      </c>
      <c r="Q47" t="n">
        <v>0.1233548387096774</v>
      </c>
      <c r="R47" t="n">
        <v>4.369516129032259</v>
      </c>
      <c r="S47" t="n">
        <v>12.1450135483871</v>
      </c>
      <c r="T47" t="n">
        <v>12.1450135483871</v>
      </c>
      <c r="U47" t="n">
        <v>-2.904078064516129</v>
      </c>
      <c r="V47" t="n">
        <v>-2.904078064516129</v>
      </c>
      <c r="W47" t="n">
        <v>9.752548387096775</v>
      </c>
      <c r="X47" t="n">
        <v>-4.132529677419355</v>
      </c>
      <c r="Y47" t="n">
        <v>-4.132529677419355</v>
      </c>
    </row>
    <row r="48">
      <c r="A48" s="8" t="n">
        <v>45597</v>
      </c>
      <c r="B48" t="inlineStr">
        <is>
          <t>Actual</t>
        </is>
      </c>
      <c r="C48" t="n">
        <v>1.029166666666667</v>
      </c>
      <c r="D48" t="n">
        <v>3.270366666666667</v>
      </c>
      <c r="E48" t="n">
        <v>0.07366666666666667</v>
      </c>
      <c r="F48" t="n">
        <v>0.08153333333333333</v>
      </c>
      <c r="G48" t="n">
        <v>0.0007333333333333332</v>
      </c>
      <c r="H48" t="n">
        <v>8.210788333333333</v>
      </c>
      <c r="I48" t="n">
        <v>8.210788333333333</v>
      </c>
      <c r="J48" t="n">
        <v>9.209133333333334</v>
      </c>
      <c r="K48" t="n">
        <v>9.164733333333334</v>
      </c>
      <c r="L48" t="n">
        <v>1.2597</v>
      </c>
      <c r="M48" t="n">
        <v>0.8722000000000001</v>
      </c>
      <c r="N48" t="inlineStr">
        <is>
          <t>EIA</t>
        </is>
      </c>
      <c r="O48" t="n">
        <v>9.209133333333334</v>
      </c>
      <c r="P48" t="n">
        <v>9.164733333333334</v>
      </c>
      <c r="Q48" t="n">
        <v>0.1559333333333333</v>
      </c>
      <c r="R48" t="n">
        <v>4.455466666666668</v>
      </c>
      <c r="S48" t="n">
        <v>12.666255</v>
      </c>
      <c r="T48" t="n">
        <v>12.666255</v>
      </c>
      <c r="U48" t="n">
        <v>-3.501521666666667</v>
      </c>
      <c r="V48" t="n">
        <v>-3.501521666666667</v>
      </c>
      <c r="W48" t="n">
        <v>10.03693333333333</v>
      </c>
      <c r="X48" t="n">
        <v>-3.889021666666668</v>
      </c>
      <c r="Y48" t="n">
        <v>-3.889021666666668</v>
      </c>
    </row>
    <row r="49">
      <c r="A49" s="8" t="n">
        <v>45627</v>
      </c>
      <c r="B49" t="inlineStr">
        <is>
          <t>Actual</t>
        </is>
      </c>
      <c r="C49" t="n">
        <v>0.8888709677419355</v>
      </c>
      <c r="D49" t="n">
        <v>3.514935483870968</v>
      </c>
      <c r="E49" t="n">
        <v>0.146741935483871</v>
      </c>
      <c r="F49" t="n">
        <v>0.09796774193548387</v>
      </c>
      <c r="G49" t="n">
        <v>0.0007419354838709677</v>
      </c>
      <c r="H49" t="n">
        <v>8.471620645161291</v>
      </c>
      <c r="I49" t="n">
        <v>8.471620645161291</v>
      </c>
      <c r="J49" t="n">
        <v>9.208354838709678</v>
      </c>
      <c r="K49" t="n">
        <v>9.163129032258064</v>
      </c>
      <c r="L49" t="n">
        <v>1.070516129032258</v>
      </c>
      <c r="M49" t="n">
        <v>1.701064516129032</v>
      </c>
      <c r="N49" t="inlineStr">
        <is>
          <t>EIA</t>
        </is>
      </c>
      <c r="O49" t="n">
        <v>9.208354838709678</v>
      </c>
      <c r="P49" t="n">
        <v>9.163129032258064</v>
      </c>
      <c r="Q49" t="n">
        <v>0.2454516129032258</v>
      </c>
      <c r="R49" t="n">
        <v>4.64925806451613</v>
      </c>
      <c r="S49" t="n">
        <v>13.12087870967742</v>
      </c>
      <c r="T49" t="n">
        <v>13.12087870967742</v>
      </c>
      <c r="U49" t="n">
        <v>-3.957749677419356</v>
      </c>
      <c r="V49" t="n">
        <v>-3.957749677419356</v>
      </c>
      <c r="W49" t="n">
        <v>10.8641935483871</v>
      </c>
      <c r="X49" t="n">
        <v>-3.327201290322582</v>
      </c>
      <c r="Y49" t="n">
        <v>-3.327201290322582</v>
      </c>
    </row>
    <row r="50">
      <c r="A50" s="8" t="n">
        <v>45658</v>
      </c>
      <c r="B50" t="inlineStr">
        <is>
          <t>Actual</t>
        </is>
      </c>
      <c r="C50" t="n">
        <v>0.9500645161290323</v>
      </c>
      <c r="D50" t="n">
        <v>3.500774193548387</v>
      </c>
      <c r="E50" t="n">
        <v>0.2763548387096774</v>
      </c>
      <c r="F50" t="n">
        <v>0.1474193548387097</v>
      </c>
      <c r="G50" t="n">
        <v>0.0006129032258064516</v>
      </c>
      <c r="H50" t="n">
        <v>9.178081290322581</v>
      </c>
      <c r="I50" t="n">
        <v>9.178081290322581</v>
      </c>
      <c r="J50" t="n">
        <v>9.19641935483871</v>
      </c>
      <c r="K50" t="n">
        <v>9.155148586604295</v>
      </c>
      <c r="L50" t="n">
        <v>0.6349354838709677</v>
      </c>
      <c r="M50" t="n">
        <v>4.16483870967742</v>
      </c>
      <c r="N50" t="inlineStr">
        <is>
          <t>EIA</t>
        </is>
      </c>
      <c r="O50" t="n">
        <v>9.19641935483871</v>
      </c>
      <c r="P50" t="n">
        <v>9.155148586604295</v>
      </c>
      <c r="Q50" t="n">
        <v>0.4243870967741935</v>
      </c>
      <c r="R50" t="n">
        <v>4.875225806451613</v>
      </c>
      <c r="S50" t="n">
        <v>14.05330709677419</v>
      </c>
      <c r="T50" t="n">
        <v>14.05330709677419</v>
      </c>
      <c r="U50" t="n">
        <v>-4.8981585101699</v>
      </c>
      <c r="V50" t="n">
        <v>-4.8981585101699</v>
      </c>
      <c r="W50" t="n">
        <v>13.31998729628171</v>
      </c>
      <c r="X50" t="n">
        <v>-1.368255284363449</v>
      </c>
      <c r="Y50" t="n">
        <v>-1.368255284363449</v>
      </c>
    </row>
    <row r="51">
      <c r="A51" s="8" t="n">
        <v>45689</v>
      </c>
      <c r="B51" t="inlineStr">
        <is>
          <t>Actual</t>
        </is>
      </c>
      <c r="C51" t="n">
        <v>0.8975714285714286</v>
      </c>
      <c r="D51" t="n">
        <v>3.342714285714286</v>
      </c>
      <c r="E51" t="n">
        <v>0.19475</v>
      </c>
      <c r="F51" t="n">
        <v>0.1139642857142857</v>
      </c>
      <c r="G51" t="n">
        <v>0.0006071428571428571</v>
      </c>
      <c r="H51" t="n">
        <v>9.572107500000001</v>
      </c>
      <c r="I51" t="n">
        <v>9.572107500000001</v>
      </c>
      <c r="J51" t="n">
        <v>9.43807142857143</v>
      </c>
      <c r="K51" t="n">
        <v>9.39571619840204</v>
      </c>
      <c r="L51" t="n">
        <v>0.9550714285714286</v>
      </c>
      <c r="M51" t="n">
        <v>3.354357142857143</v>
      </c>
      <c r="N51" t="inlineStr">
        <is>
          <t>EIA</t>
        </is>
      </c>
      <c r="O51" t="n">
        <v>9.43807142857143</v>
      </c>
      <c r="P51" t="n">
        <v>9.39571619840204</v>
      </c>
      <c r="Q51" t="n">
        <v>0.3093214285714286</v>
      </c>
      <c r="R51" t="n">
        <v>4.549607142857142</v>
      </c>
      <c r="S51" t="n">
        <v>14.12171464285714</v>
      </c>
      <c r="T51" t="n">
        <v>14.12171464285714</v>
      </c>
      <c r="U51" t="n">
        <v>-4.725998444455103</v>
      </c>
      <c r="V51" t="n">
        <v>-4.725998444455103</v>
      </c>
      <c r="W51" t="n">
        <v>12.75007334125918</v>
      </c>
      <c r="X51" t="n">
        <v>-2.326712730169388</v>
      </c>
      <c r="Y51" t="n">
        <v>-2.326712730169388</v>
      </c>
    </row>
    <row r="52">
      <c r="A52" s="8" t="n">
        <v>45717</v>
      </c>
      <c r="B52" t="inlineStr">
        <is>
          <t>Actual</t>
        </is>
      </c>
      <c r="C52" t="n">
        <v>0.7619032258064515</v>
      </c>
      <c r="D52" t="n">
        <v>3.238612903225806</v>
      </c>
      <c r="E52" t="n">
        <v>0.1046774193548387</v>
      </c>
      <c r="F52" t="n">
        <v>0.08419354838709676</v>
      </c>
      <c r="G52" t="n">
        <v>0.0006129032258064516</v>
      </c>
      <c r="H52" t="n">
        <v>10.28608387096774</v>
      </c>
      <c r="I52" t="n">
        <v>10.28608387096774</v>
      </c>
      <c r="J52" t="n">
        <v>11.01461290322581</v>
      </c>
      <c r="K52" t="n">
        <v>10.96518262837849</v>
      </c>
      <c r="L52" t="n">
        <v>2.002258064516129</v>
      </c>
      <c r="M52" t="n">
        <v>0.8719354838709676</v>
      </c>
      <c r="N52" t="inlineStr">
        <is>
          <t>EIA</t>
        </is>
      </c>
      <c r="O52" t="n">
        <v>11.01461290322581</v>
      </c>
      <c r="P52" t="n">
        <v>10.96518262837849</v>
      </c>
      <c r="Q52" t="n">
        <v>0.1894838709677419</v>
      </c>
      <c r="R52" t="n">
        <v>4.19</v>
      </c>
      <c r="S52" t="n">
        <v>14.47608387096774</v>
      </c>
      <c r="T52" t="n">
        <v>14.47608387096774</v>
      </c>
      <c r="U52" t="n">
        <v>-3.510901242589251</v>
      </c>
      <c r="V52" t="n">
        <v>-3.510901242589251</v>
      </c>
      <c r="W52" t="n">
        <v>11.83711811224946</v>
      </c>
      <c r="X52" t="n">
        <v>-4.641223823234412</v>
      </c>
      <c r="Y52" t="n">
        <v>-4.641223823234412</v>
      </c>
    </row>
    <row r="53">
      <c r="A53" s="8" t="n">
        <v>45748</v>
      </c>
      <c r="B53" t="inlineStr">
        <is>
          <t>Actual</t>
        </is>
      </c>
      <c r="C53" t="n">
        <v>0.8827</v>
      </c>
      <c r="D53" t="n">
        <v>3.2655</v>
      </c>
      <c r="E53" t="n">
        <v>0.05053333333333333</v>
      </c>
      <c r="F53" t="n">
        <v>0.0713</v>
      </c>
      <c r="G53" t="n">
        <v>0.0005999999999999999</v>
      </c>
      <c r="H53" t="n">
        <v>10.44256333333333</v>
      </c>
      <c r="I53" t="n">
        <v>10.44256333333333</v>
      </c>
      <c r="J53" t="n">
        <v>10.59606666666667</v>
      </c>
      <c r="K53" t="n">
        <v>10.54851470163298</v>
      </c>
      <c r="L53" t="n">
        <v>2.1286</v>
      </c>
      <c r="M53" t="n">
        <v>0.8767333333333334</v>
      </c>
      <c r="N53" t="inlineStr">
        <is>
          <t>EIA</t>
        </is>
      </c>
      <c r="O53" t="n">
        <v>10.59606666666667</v>
      </c>
      <c r="P53" t="n">
        <v>10.54851470163298</v>
      </c>
      <c r="Q53" t="n">
        <v>0.1224333333333333</v>
      </c>
      <c r="R53" t="n">
        <v>4.270633333333334</v>
      </c>
      <c r="S53" t="n">
        <v>14.71319666666667</v>
      </c>
      <c r="T53" t="n">
        <v>14.71319666666667</v>
      </c>
      <c r="U53" t="n">
        <v>-4.164681965033688</v>
      </c>
      <c r="V53" t="n">
        <v>-4.164681965033688</v>
      </c>
      <c r="W53" t="n">
        <v>11.42524803496631</v>
      </c>
      <c r="X53" t="n">
        <v>-5.416548631700355</v>
      </c>
      <c r="Y53" t="n">
        <v>-5.416548631700355</v>
      </c>
    </row>
    <row r="54">
      <c r="A54" s="8" t="n">
        <v>45778</v>
      </c>
      <c r="B54" t="inlineStr">
        <is>
          <t>Actual</t>
        </is>
      </c>
      <c r="C54" t="n">
        <v>1.067548387096774</v>
      </c>
      <c r="D54" t="n">
        <v>3.368483870967742</v>
      </c>
      <c r="E54" t="n">
        <v>0.04448387096774194</v>
      </c>
      <c r="F54" t="n">
        <v>0.06554838709677419</v>
      </c>
      <c r="G54" t="n">
        <v>0.0006129032258064516</v>
      </c>
      <c r="H54" t="n">
        <v>9.596746774193548</v>
      </c>
      <c r="I54" t="n">
        <v>9.596746774193548</v>
      </c>
      <c r="J54" t="n">
        <v>10.83312903225806</v>
      </c>
      <c r="K54" t="n">
        <v>10.78451320252118</v>
      </c>
      <c r="L54" t="n">
        <v>2.077935483870968</v>
      </c>
      <c r="M54" t="n">
        <v>0.5091612903225806</v>
      </c>
      <c r="N54" t="inlineStr">
        <is>
          <t>EIA</t>
        </is>
      </c>
      <c r="O54" t="n">
        <v>10.83312903225806</v>
      </c>
      <c r="P54" t="n">
        <v>10.78451320252118</v>
      </c>
      <c r="Q54" t="n">
        <v>0.1106451612903226</v>
      </c>
      <c r="R54" t="n">
        <v>4.546677419354839</v>
      </c>
      <c r="S54" t="n">
        <v>14.14342419354839</v>
      </c>
      <c r="T54" t="n">
        <v>14.14342419354839</v>
      </c>
      <c r="U54" t="n">
        <v>-3.358910991027209</v>
      </c>
      <c r="V54" t="n">
        <v>-3.358910991027209</v>
      </c>
      <c r="W54" t="n">
        <v>11.29367449284376</v>
      </c>
      <c r="X54" t="n">
        <v>-4.927685184575596</v>
      </c>
      <c r="Y54" t="n">
        <v>-4.927685184575596</v>
      </c>
    </row>
    <row r="55">
      <c r="A55" s="8" t="n">
        <v>45809</v>
      </c>
      <c r="B55" t="inlineStr">
        <is>
          <t>Actual</t>
        </is>
      </c>
      <c r="C55" t="n">
        <v>1.246</v>
      </c>
      <c r="D55" t="n">
        <v>3.271466666666667</v>
      </c>
      <c r="E55" t="n">
        <v>0.03996666666666667</v>
      </c>
      <c r="F55" t="n">
        <v>0.0636</v>
      </c>
      <c r="G55" t="n">
        <v>0.0005999999999999999</v>
      </c>
      <c r="H55" t="n">
        <v>8.772283666666667</v>
      </c>
      <c r="I55" t="n">
        <v>8.772283666666667</v>
      </c>
      <c r="J55" t="n">
        <v>10.01503333333333</v>
      </c>
      <c r="K55" t="n">
        <v>9.970088871406151</v>
      </c>
      <c r="L55" t="n">
        <v>1.604333333333333</v>
      </c>
      <c r="M55" t="n">
        <v>0.8182</v>
      </c>
      <c r="N55" t="inlineStr">
        <is>
          <t>EIA</t>
        </is>
      </c>
      <c r="O55" t="n">
        <v>10.01503333333333</v>
      </c>
      <c r="P55" t="n">
        <v>9.970088871406151</v>
      </c>
      <c r="Q55" t="n">
        <v>0.1041666666666667</v>
      </c>
      <c r="R55" t="n">
        <v>4.621633333333333</v>
      </c>
      <c r="S55" t="n">
        <v>13.393917</v>
      </c>
      <c r="T55" t="n">
        <v>13.393917</v>
      </c>
      <c r="U55" t="n">
        <v>-3.423828128593849</v>
      </c>
      <c r="V55" t="n">
        <v>-3.423828128593849</v>
      </c>
      <c r="W55" t="n">
        <v>10.78828887140615</v>
      </c>
      <c r="X55" t="n">
        <v>-4.209961461927181</v>
      </c>
      <c r="Y55" t="n">
        <v>-4.209961461927181</v>
      </c>
    </row>
    <row r="56">
      <c r="A56" s="8" t="n">
        <v>45839</v>
      </c>
      <c r="B56" t="inlineStr">
        <is>
          <t>Actual</t>
        </is>
      </c>
      <c r="C56" t="n">
        <v>1.333451612903226</v>
      </c>
      <c r="D56" t="n">
        <v>3.409741935483871</v>
      </c>
      <c r="E56" t="n">
        <v>0.03270967741935484</v>
      </c>
      <c r="F56" t="n">
        <v>0.05212903225806452</v>
      </c>
      <c r="G56" t="n">
        <v>0.0006129032258064516</v>
      </c>
      <c r="H56" t="n">
        <v>9.927087096774194</v>
      </c>
      <c r="I56" t="n">
        <v>9.927087096774194</v>
      </c>
      <c r="J56" t="n">
        <v>10.43825806451613</v>
      </c>
      <c r="K56" t="n">
        <v>10.39141429709647</v>
      </c>
      <c r="L56" t="n">
        <v>1.273677419354839</v>
      </c>
      <c r="M56" t="n">
        <v>1.166677419354839</v>
      </c>
      <c r="N56" t="inlineStr">
        <is>
          <t>EIA</t>
        </is>
      </c>
      <c r="O56" t="n">
        <v>10.43825806451613</v>
      </c>
      <c r="P56" t="n">
        <v>10.39141429709647</v>
      </c>
      <c r="Q56" t="n">
        <v>0.08545161290322581</v>
      </c>
      <c r="R56" t="n">
        <v>4.828645161290322</v>
      </c>
      <c r="S56" t="n">
        <v>14.75573225806452</v>
      </c>
      <c r="T56" t="n">
        <v>14.75573225806452</v>
      </c>
      <c r="U56" t="n">
        <v>-4.364317960968041</v>
      </c>
      <c r="V56" t="n">
        <v>-4.364317960968041</v>
      </c>
      <c r="W56" t="n">
        <v>11.55809171645131</v>
      </c>
      <c r="X56" t="n">
        <v>-4.471317960968041</v>
      </c>
      <c r="Y56" t="n">
        <v>-4.471317960968041</v>
      </c>
    </row>
    <row r="57">
      <c r="A57" s="8" t="n">
        <v>45870</v>
      </c>
      <c r="B57" t="inlineStr">
        <is>
          <t>Actual</t>
        </is>
      </c>
      <c r="C57" t="n">
        <v>1.280516129032258</v>
      </c>
      <c r="D57" t="n">
        <v>3.371741935483871</v>
      </c>
      <c r="E57" t="n">
        <v>0.03045161290322581</v>
      </c>
      <c r="F57" t="n">
        <v>0.04541935483870968</v>
      </c>
      <c r="G57" t="n">
        <v>0.0006129032258064516</v>
      </c>
      <c r="H57" t="n">
        <v>10.35774258064516</v>
      </c>
      <c r="I57" t="n">
        <v>10.35774258064516</v>
      </c>
      <c r="J57" t="n">
        <v>10.82367741935484</v>
      </c>
      <c r="K57" t="n">
        <v>10.77510400561819</v>
      </c>
      <c r="L57" t="n">
        <v>1.090322580645161</v>
      </c>
      <c r="M57" t="n">
        <v>1.017387096774194</v>
      </c>
      <c r="N57" t="inlineStr">
        <is>
          <t>EIA</t>
        </is>
      </c>
      <c r="O57" t="n">
        <v>10.82367741935484</v>
      </c>
      <c r="P57" t="n">
        <v>10.77510400561819</v>
      </c>
      <c r="Q57" t="n">
        <v>0.07648387096774195</v>
      </c>
      <c r="R57" t="n">
        <v>4.728741935483871</v>
      </c>
      <c r="S57" t="n">
        <v>15.08648451612903</v>
      </c>
      <c r="T57" t="n">
        <v>15.08648451612903</v>
      </c>
      <c r="U57" t="n">
        <v>-4.311380510510839</v>
      </c>
      <c r="V57" t="n">
        <v>-4.311380510510839</v>
      </c>
      <c r="W57" t="n">
        <v>11.79249110239239</v>
      </c>
      <c r="X57" t="n">
        <v>-4.384315994381806</v>
      </c>
      <c r="Y57" t="n">
        <v>-4.384315994381806</v>
      </c>
    </row>
    <row r="58">
      <c r="A58" s="8" t="n">
        <v>45901</v>
      </c>
      <c r="B58" t="inlineStr">
        <is>
          <t>Actual</t>
        </is>
      </c>
      <c r="C58" t="n">
        <v>1.230333333333333</v>
      </c>
      <c r="D58" t="n">
        <v>3.390333333333333</v>
      </c>
      <c r="E58" t="n">
        <v>0.03143333333333333</v>
      </c>
      <c r="F58" t="n">
        <v>0.05173333333333333</v>
      </c>
      <c r="G58" t="n">
        <v>0.0005999999999999999</v>
      </c>
      <c r="H58" t="n">
        <v>10.655186</v>
      </c>
      <c r="I58" t="n">
        <v>10.655186</v>
      </c>
      <c r="J58" t="n">
        <v>10.37103333333333</v>
      </c>
      <c r="K58" t="n">
        <v>10.32449125031858</v>
      </c>
      <c r="L58" t="n">
        <v>1.092633333333333</v>
      </c>
      <c r="M58" t="n">
        <v>1.024833333333333</v>
      </c>
      <c r="N58" t="inlineStr">
        <is>
          <t>EIA</t>
        </is>
      </c>
      <c r="O58" t="n">
        <v>10.37103333333333</v>
      </c>
      <c r="P58" t="n">
        <v>10.32449125031858</v>
      </c>
      <c r="Q58" t="n">
        <v>0.08376666666666667</v>
      </c>
      <c r="R58" t="n">
        <v>4.704433333333333</v>
      </c>
      <c r="S58" t="n">
        <v>15.35961933333333</v>
      </c>
      <c r="T58" t="n">
        <v>15.35961933333333</v>
      </c>
      <c r="U58" t="n">
        <v>-5.035128083014756</v>
      </c>
      <c r="V58" t="n">
        <v>-5.035128083014756</v>
      </c>
      <c r="W58" t="n">
        <v>11.34932458365191</v>
      </c>
      <c r="X58" t="n">
        <v>-5.102928083014756</v>
      </c>
      <c r="Y58" t="n">
        <v>-5.102928083014756</v>
      </c>
    </row>
    <row r="59">
      <c r="A59" s="8" t="n">
        <v>45931</v>
      </c>
      <c r="B59" t="inlineStr">
        <is>
          <t>Actual</t>
        </is>
      </c>
      <c r="C59" t="n">
        <v>1.064322580645161</v>
      </c>
      <c r="D59" t="n">
        <v>3.192290322580645</v>
      </c>
      <c r="E59" t="n">
        <v>0.03767741935483871</v>
      </c>
      <c r="F59" t="n">
        <v>0.05883870967741935</v>
      </c>
      <c r="G59" t="n">
        <v>0.0006129032258064516</v>
      </c>
      <c r="H59" t="n">
        <v>11.63072193548387</v>
      </c>
      <c r="I59" t="n">
        <v>11.63072193548387</v>
      </c>
      <c r="J59" t="n">
        <v>10.32416129032258</v>
      </c>
      <c r="K59" t="n">
        <v>10.27782955496044</v>
      </c>
      <c r="L59" t="n">
        <v>1.729741935483871</v>
      </c>
      <c r="M59" t="n">
        <v>0.6537741935483871</v>
      </c>
      <c r="N59" t="inlineStr">
        <is>
          <t>EIA</t>
        </is>
      </c>
      <c r="O59" t="n">
        <v>10.32416129032258</v>
      </c>
      <c r="P59" t="n">
        <v>10.27782955496044</v>
      </c>
      <c r="Q59" t="n">
        <v>0.09712903225806452</v>
      </c>
      <c r="R59" t="n">
        <v>4.353741935483871</v>
      </c>
      <c r="S59" t="n">
        <v>15.98446387096774</v>
      </c>
      <c r="T59" t="n">
        <v>15.98446387096774</v>
      </c>
      <c r="U59" t="n">
        <v>-5.706634316007298</v>
      </c>
      <c r="V59" t="n">
        <v>-5.706634316007298</v>
      </c>
      <c r="W59" t="n">
        <v>10.93160374850883</v>
      </c>
      <c r="X59" t="n">
        <v>-6.782602057942782</v>
      </c>
      <c r="Y59" t="n">
        <v>-6.782602057942782</v>
      </c>
    </row>
    <row r="60">
      <c r="A60" s="8" t="n">
        <v>45962</v>
      </c>
      <c r="B60" t="inlineStr">
        <is>
          <t>Actual</t>
        </is>
      </c>
      <c r="C60" t="n">
        <v>1.028533333333333</v>
      </c>
      <c r="D60" t="n">
        <v>3.4494</v>
      </c>
      <c r="E60" t="n">
        <v>0.06196666666666667</v>
      </c>
      <c r="F60" t="n">
        <v>0.0654</v>
      </c>
      <c r="G60" t="n">
        <v>0.0005999999999999999</v>
      </c>
      <c r="H60" t="n">
        <v>12.56635566666667</v>
      </c>
      <c r="I60" t="n">
        <v>12.56635566666667</v>
      </c>
      <c r="J60" t="n">
        <v>11.08976666666667</v>
      </c>
      <c r="K60" t="n">
        <v>11.03999912429889</v>
      </c>
      <c r="L60" t="n">
        <v>1.2458</v>
      </c>
      <c r="M60" t="n">
        <v>0.7593</v>
      </c>
      <c r="N60" t="inlineStr">
        <is>
          <t>EIA</t>
        </is>
      </c>
      <c r="O60" t="n">
        <v>11.08976666666667</v>
      </c>
      <c r="P60" t="n">
        <v>11.03999912429889</v>
      </c>
      <c r="Q60" t="n">
        <v>0.1279666666666667</v>
      </c>
      <c r="R60" t="n">
        <v>4.605900000000001</v>
      </c>
      <c r="S60" t="n">
        <v>17.17225566666667</v>
      </c>
      <c r="T60" t="n">
        <v>17.17225566666667</v>
      </c>
      <c r="U60" t="n">
        <v>-6.132256542367776</v>
      </c>
      <c r="V60" t="n">
        <v>-6.132256542367776</v>
      </c>
      <c r="W60" t="n">
        <v>11.79929912429889</v>
      </c>
      <c r="X60" t="n">
        <v>-6.618756542367776</v>
      </c>
      <c r="Y60" t="n">
        <v>-6.618756542367776</v>
      </c>
    </row>
    <row r="61">
      <c r="A61" s="8" t="n">
        <v>45992</v>
      </c>
      <c r="B61" t="inlineStr">
        <is>
          <t>Actual</t>
        </is>
      </c>
      <c r="C61" t="n">
        <v>0.8948709677419355</v>
      </c>
      <c r="D61" t="n">
        <v>3.561129032258064</v>
      </c>
      <c r="E61" t="n">
        <v>0.1275161290322581</v>
      </c>
      <c r="F61" t="n">
        <v>0.0945483870967742</v>
      </c>
      <c r="G61" t="n">
        <v>0.0006129032258064516</v>
      </c>
      <c r="H61" t="n">
        <v>12.86555129032258</v>
      </c>
      <c r="I61" t="n">
        <v>12.86555129032258</v>
      </c>
      <c r="J61" t="n">
        <v>11.1621935483871</v>
      </c>
      <c r="K61" t="n">
        <v>11.1121009759251</v>
      </c>
      <c r="L61" t="n">
        <v>1.228096774193548</v>
      </c>
      <c r="M61" t="n">
        <v>1.938967741935484</v>
      </c>
      <c r="N61" t="inlineStr">
        <is>
          <t>EIA</t>
        </is>
      </c>
      <c r="O61" t="n">
        <v>11.1621935483871</v>
      </c>
      <c r="P61" t="n">
        <v>11.1121009759251</v>
      </c>
      <c r="Q61" t="n">
        <v>0.2226774193548387</v>
      </c>
      <c r="R61" t="n">
        <v>4.678677419354837</v>
      </c>
      <c r="S61" t="n">
        <v>17.54422870967742</v>
      </c>
      <c r="T61" t="n">
        <v>17.54422870967742</v>
      </c>
      <c r="U61" t="n">
        <v>-6.432127733752321</v>
      </c>
      <c r="V61" t="n">
        <v>-6.432127733752321</v>
      </c>
      <c r="W61" t="n">
        <v>13.05106871786058</v>
      </c>
      <c r="X61" t="n">
        <v>-5.721256766010385</v>
      </c>
      <c r="Y61" t="n">
        <v>-5.721256766010385</v>
      </c>
    </row>
    <row r="62">
      <c r="A62" s="8" t="n">
        <v>46023</v>
      </c>
      <c r="B62" t="inlineStr">
        <is>
          <t>Actual</t>
        </is>
      </c>
      <c r="C62" t="n">
        <v>1.007290322580645</v>
      </c>
      <c r="D62" t="n">
        <v>3.399193548387097</v>
      </c>
      <c r="E62" t="n">
        <v>0.2308387096774193</v>
      </c>
      <c r="F62" t="n">
        <v>0.08749462365591398</v>
      </c>
      <c r="G62" t="n">
        <v>0.0006129032258064516</v>
      </c>
      <c r="H62" t="n">
        <v>12.63619419354839</v>
      </c>
      <c r="I62" t="n">
        <v>12.63619419354839</v>
      </c>
      <c r="J62" t="n">
        <v>10.57648387096774</v>
      </c>
      <c r="K62" t="n">
        <v>10.52901978764013</v>
      </c>
      <c r="L62" t="n">
        <v>0.6324838709677419</v>
      </c>
      <c r="M62" t="n">
        <v>3.943548387096774</v>
      </c>
      <c r="N62" t="inlineStr">
        <is>
          <t>EIA</t>
        </is>
      </c>
      <c r="O62" t="n">
        <v>10.57648387096774</v>
      </c>
      <c r="P62" t="n">
        <v>10.52901978764013</v>
      </c>
      <c r="Q62" t="n">
        <v>0.3189462365591398</v>
      </c>
      <c r="R62" t="n">
        <v>4.725430107526882</v>
      </c>
      <c r="S62" t="n">
        <v>17.36162430107527</v>
      </c>
      <c r="T62" t="n">
        <v>17.36162430107527</v>
      </c>
      <c r="U62" t="n">
        <v>-6.832604513435141</v>
      </c>
      <c r="V62" t="n">
        <v>-6.832604513435141</v>
      </c>
      <c r="W62" t="n">
        <v>14.4725681747369</v>
      </c>
      <c r="X62" t="n">
        <v>-3.521539997306109</v>
      </c>
      <c r="Y62" t="n">
        <v>-3.521539997306109</v>
      </c>
    </row>
    <row r="63">
      <c r="A63" s="8" t="n">
        <v>46054</v>
      </c>
      <c r="B63" t="inlineStr">
        <is>
          <t>Actual</t>
        </is>
      </c>
      <c r="C63" t="n">
        <v>0.98475</v>
      </c>
      <c r="D63" t="n">
        <v>3.241428571428572</v>
      </c>
      <c r="E63" t="n">
        <v>0.1439642857142857</v>
      </c>
      <c r="F63" t="n">
        <v>0.08044086021505377</v>
      </c>
      <c r="G63" t="n">
        <v>0.0006071428571428571</v>
      </c>
      <c r="H63" t="n">
        <v>12.46882142857143</v>
      </c>
      <c r="I63" t="n">
        <v>12.46882142857143</v>
      </c>
      <c r="J63" t="n">
        <v>11.11892857142857</v>
      </c>
      <c r="K63" t="n">
        <v>11.06903015919001</v>
      </c>
      <c r="L63" t="n">
        <v>0.7897142857142857</v>
      </c>
      <c r="M63" t="n">
        <v>3.143107142857143</v>
      </c>
      <c r="N63" t="inlineStr">
        <is>
          <t>EIA</t>
        </is>
      </c>
      <c r="O63" t="n">
        <v>11.11892857142857</v>
      </c>
      <c r="P63" t="n">
        <v>11.06903015919001</v>
      </c>
      <c r="Q63" t="n">
        <v>0.2250122887864823</v>
      </c>
      <c r="R63" t="n">
        <v>4.451190860215053</v>
      </c>
      <c r="S63" t="n">
        <v>16.92001228878648</v>
      </c>
      <c r="T63" t="n">
        <v>16.92001228878648</v>
      </c>
      <c r="U63" t="n">
        <v>-5.850982129596474</v>
      </c>
      <c r="V63" t="n">
        <v>-5.850982129596474</v>
      </c>
      <c r="W63" t="n">
        <v>14.21213730204715</v>
      </c>
      <c r="X63" t="n">
        <v>-3.497589272453616</v>
      </c>
      <c r="Y63" t="n">
        <v>-3.497589272453616</v>
      </c>
    </row>
    <row r="64">
      <c r="A64" s="8" t="n">
        <v>46082</v>
      </c>
      <c r="B64" t="inlineStr">
        <is>
          <t>Actual</t>
        </is>
      </c>
      <c r="C64" t="n">
        <v>0.8501290322580645</v>
      </c>
      <c r="D64" t="n">
        <v>3.290967741935484</v>
      </c>
      <c r="E64" t="n">
        <v>0.07774193548387096</v>
      </c>
      <c r="F64" t="n">
        <v>0.07338709677419356</v>
      </c>
      <c r="G64" t="n">
        <v>0.0006129032258064516</v>
      </c>
      <c r="H64" t="n">
        <v>13.02732838709677</v>
      </c>
      <c r="I64" t="n">
        <v>13.02732838709677</v>
      </c>
      <c r="J64" t="n">
        <v>11.41641935483871</v>
      </c>
      <c r="K64" t="n">
        <v>11.36518589330539</v>
      </c>
      <c r="L64" t="n">
        <v>1.828258064516129</v>
      </c>
      <c r="M64" t="n">
        <v>1.164451612903226</v>
      </c>
      <c r="N64" t="inlineStr">
        <is>
          <t>EIA</t>
        </is>
      </c>
      <c r="O64" t="n">
        <v>11.41641935483871</v>
      </c>
      <c r="P64" t="n">
        <v>11.36518589330539</v>
      </c>
      <c r="Q64" t="n">
        <v>0.151741935483871</v>
      </c>
      <c r="R64" t="n">
        <v>4.29283870967742</v>
      </c>
      <c r="S64" t="n">
        <v>17.3201670967742</v>
      </c>
      <c r="T64" t="n">
        <v>17.3201670967742</v>
      </c>
      <c r="U64" t="n">
        <v>-5.954981203468808</v>
      </c>
      <c r="V64" t="n">
        <v>-5.954981203468808</v>
      </c>
      <c r="W64" t="n">
        <v>12.52963750620861</v>
      </c>
      <c r="X64" t="n">
        <v>-6.618787655081711</v>
      </c>
      <c r="Y64" t="n">
        <v>-6.618787655081711</v>
      </c>
    </row>
    <row r="65">
      <c r="A65" s="8" t="n">
        <v>46113</v>
      </c>
      <c r="B65" t="inlineStr">
        <is>
          <t>Actual</t>
        </is>
      </c>
      <c r="C65" t="n">
        <v>1.015233333333333</v>
      </c>
      <c r="D65" t="n">
        <v>3.418</v>
      </c>
      <c r="E65" t="n">
        <v>0.0426</v>
      </c>
      <c r="F65" t="n">
        <v>0.0665136200716846</v>
      </c>
      <c r="G65" t="n">
        <v>0.0005999999999999999</v>
      </c>
      <c r="H65" t="n">
        <v>12.521157</v>
      </c>
      <c r="I65" t="n">
        <v>12.521157</v>
      </c>
      <c r="J65" t="n">
        <v>11.6874</v>
      </c>
      <c r="K65" t="n">
        <v>11.63495045871096</v>
      </c>
      <c r="L65" t="n">
        <v>1.869033333333333</v>
      </c>
      <c r="M65" t="n">
        <v>0.8215333333333333</v>
      </c>
      <c r="N65" t="inlineStr">
        <is>
          <t>EIA</t>
        </is>
      </c>
      <c r="O65" t="n">
        <v>11.6874</v>
      </c>
      <c r="P65" t="n">
        <v>11.63495045871096</v>
      </c>
      <c r="Q65" t="n">
        <v>0.1097136200716846</v>
      </c>
      <c r="R65" t="n">
        <v>4.542946953405019</v>
      </c>
      <c r="S65" t="n">
        <v>17.06410395340502</v>
      </c>
      <c r="T65" t="n">
        <v>17.06410395340502</v>
      </c>
      <c r="U65" t="n">
        <v>-5.429153494694052</v>
      </c>
      <c r="V65" t="n">
        <v>-5.429153494694052</v>
      </c>
      <c r="W65" t="n">
        <v>12.4564837920443</v>
      </c>
      <c r="X65" t="n">
        <v>-6.476653494694053</v>
      </c>
      <c r="Y65" t="n">
        <v>-6.476653494694053</v>
      </c>
    </row>
    <row r="66">
      <c r="A66" s="8" t="n">
        <v>46143</v>
      </c>
      <c r="B66" t="inlineStr">
        <is>
          <t>Actual</t>
        </is>
      </c>
      <c r="C66" t="n">
        <v>1.077161290322581</v>
      </c>
      <c r="D66" t="n">
        <v>3.30741935483871</v>
      </c>
      <c r="E66" t="n">
        <v>0.03860054853170397</v>
      </c>
      <c r="F66" t="n">
        <v>0.05964014336917563</v>
      </c>
      <c r="G66" t="n">
        <v>0.0006129032258064516</v>
      </c>
      <c r="H66" t="n">
        <v>11.31602838709678</v>
      </c>
      <c r="I66" t="n">
        <v>11.31602838709678</v>
      </c>
      <c r="J66" t="n">
        <v>11.32383870967742</v>
      </c>
      <c r="K66" t="n">
        <v>11.27302072227615</v>
      </c>
      <c r="L66" t="n">
        <v>2.153838709677419</v>
      </c>
      <c r="M66" t="n">
        <v>0.4980645161290322</v>
      </c>
      <c r="N66" t="inlineStr">
        <is>
          <t>EIA</t>
        </is>
      </c>
      <c r="O66" t="n">
        <v>11.32383870967742</v>
      </c>
      <c r="P66" t="n">
        <v>11.27302072227615</v>
      </c>
      <c r="Q66" t="n">
        <v>0.09885359512668605</v>
      </c>
      <c r="R66" t="n">
        <v>4.483434240287977</v>
      </c>
      <c r="S66" t="n">
        <v>15.79946262738475</v>
      </c>
      <c r="T66" t="n">
        <v>15.79946262738475</v>
      </c>
      <c r="U66" t="n">
        <v>-4.526441905108603</v>
      </c>
      <c r="V66" t="n">
        <v>-4.526441905108603</v>
      </c>
      <c r="W66" t="n">
        <v>11.77108523840518</v>
      </c>
      <c r="X66" t="n">
        <v>-6.182216098656991</v>
      </c>
      <c r="Y66" t="n">
        <v>-6.182216098656991</v>
      </c>
    </row>
    <row r="67">
      <c r="A67" s="8" t="n">
        <v>46174</v>
      </c>
      <c r="B67" t="inlineStr">
        <is>
          <t>Actual</t>
        </is>
      </c>
      <c r="C67" t="n">
        <v>1.2666</v>
      </c>
      <c r="D67" t="n">
        <v>3.321133333333333</v>
      </c>
      <c r="E67" t="n">
        <v>0.03507475596329761</v>
      </c>
      <c r="F67" t="n">
        <v>0.05276666666666666</v>
      </c>
      <c r="G67" t="n">
        <v>0.0005999999999999999</v>
      </c>
      <c r="H67" t="n">
        <v>12.02142833333333</v>
      </c>
      <c r="I67" t="n">
        <v>12.02142833333333</v>
      </c>
      <c r="J67" t="n">
        <v>11.7441</v>
      </c>
      <c r="K67" t="n">
        <v>11.69139600613887</v>
      </c>
      <c r="L67" t="n">
        <v>1.878433333333333</v>
      </c>
      <c r="M67" t="n">
        <v>0.6569666666666667</v>
      </c>
      <c r="N67" t="inlineStr">
        <is>
          <t>EIA</t>
        </is>
      </c>
      <c r="O67" t="n">
        <v>11.7441</v>
      </c>
      <c r="P67" t="n">
        <v>11.69139600613887</v>
      </c>
      <c r="Q67" t="n">
        <v>0.08844142262996428</v>
      </c>
      <c r="R67" t="n">
        <v>4.676174755963298</v>
      </c>
      <c r="S67" t="n">
        <v>16.69760308929663</v>
      </c>
      <c r="T67" t="n">
        <v>16.69760308929663</v>
      </c>
      <c r="U67" t="n">
        <v>-5.006207083157761</v>
      </c>
      <c r="V67" t="n">
        <v>-5.006207083157761</v>
      </c>
      <c r="W67" t="n">
        <v>12.34836267280554</v>
      </c>
      <c r="X67" t="n">
        <v>-6.227673749824428</v>
      </c>
      <c r="Y67" t="n">
        <v>-6.227673749824428</v>
      </c>
    </row>
    <row r="68">
      <c r="A68" s="8" t="n">
        <v>46204</v>
      </c>
      <c r="B68" t="inlineStr">
        <is>
          <t>Actual</t>
        </is>
      </c>
      <c r="C68" t="n">
        <v>1.366096774193548</v>
      </c>
      <c r="D68" t="n">
        <v>3.303225806451613</v>
      </c>
      <c r="E68" t="n">
        <v>0.03124230980055626</v>
      </c>
      <c r="F68" t="n">
        <v>0.05512903225806452</v>
      </c>
      <c r="G68" t="n">
        <v>0.0006129032258064516</v>
      </c>
      <c r="H68" t="n">
        <v>11.38448741935484</v>
      </c>
      <c r="I68" t="n">
        <v>11.38448741935484</v>
      </c>
      <c r="J68" t="n">
        <v>11.90309677419355</v>
      </c>
      <c r="K68" t="n">
        <v>11.84967925055908</v>
      </c>
      <c r="L68" t="n">
        <v>1.386161290322581</v>
      </c>
      <c r="M68" t="n">
        <v>1.055967741935484</v>
      </c>
      <c r="N68" t="inlineStr">
        <is>
          <t>EIA</t>
        </is>
      </c>
      <c r="O68" t="n">
        <v>11.90309677419355</v>
      </c>
      <c r="P68" t="n">
        <v>11.84967925055908</v>
      </c>
      <c r="Q68" t="n">
        <v>0.08698424528442723</v>
      </c>
      <c r="R68" t="n">
        <v>4.756306825929589</v>
      </c>
      <c r="S68" t="n">
        <v>16.14079424528443</v>
      </c>
      <c r="T68" t="n">
        <v>16.14079424528443</v>
      </c>
      <c r="U68" t="n">
        <v>-4.291114994725346</v>
      </c>
      <c r="V68" t="n">
        <v>-4.291114994725346</v>
      </c>
      <c r="W68" t="n">
        <v>12.90564699249457</v>
      </c>
      <c r="X68" t="n">
        <v>-4.621308543112442</v>
      </c>
      <c r="Y68" t="n">
        <v>-4.621308543112442</v>
      </c>
    </row>
    <row r="69">
      <c r="A69" s="8" t="n">
        <v>46235</v>
      </c>
      <c r="B69" t="inlineStr">
        <is>
          <t>Forecast</t>
        </is>
      </c>
      <c r="C69" t="n">
        <v>1.439794577594319</v>
      </c>
      <c r="D69" t="n">
        <v>3.334180411444069</v>
      </c>
      <c r="E69" t="n">
        <v>0.02914720118549641</v>
      </c>
      <c r="F69" t="n">
        <v>0.05953538952854175</v>
      </c>
      <c r="G69" t="n">
        <v>0.0006305132071971461</v>
      </c>
      <c r="H69" t="n">
        <v>11.05856866678018</v>
      </c>
      <c r="I69" t="n">
        <v>11.05856866678018</v>
      </c>
      <c r="L69" t="n">
        <v>0.9842580645161288</v>
      </c>
      <c r="M69" t="n">
        <v>1.349731182795699</v>
      </c>
      <c r="N69" t="inlineStr">
        <is>
          <t>seasonal pattern of Aug/23-Jul/26</t>
        </is>
      </c>
      <c r="O69" t="n">
        <v>12.02819273185637</v>
      </c>
      <c r="P69" t="n">
        <v>11.97421381513221</v>
      </c>
      <c r="Q69" t="n">
        <v>0.0893131039212353</v>
      </c>
      <c r="R69" t="n">
        <v>4.863288092959623</v>
      </c>
      <c r="S69" t="n">
        <v>15.92185675973981</v>
      </c>
      <c r="T69" t="n">
        <v>15.92185675973981</v>
      </c>
      <c r="U69" t="n">
        <v>-3.947642944607598</v>
      </c>
      <c r="V69" t="n">
        <v>-3.947642944607598</v>
      </c>
      <c r="W69" t="n">
        <v>13.32394499792791</v>
      </c>
      <c r="X69" t="n">
        <v>-3.582169826328028</v>
      </c>
      <c r="Y69" t="n">
        <v>-3.582169826328028</v>
      </c>
    </row>
    <row r="70">
      <c r="A70" s="8" t="n">
        <v>46266</v>
      </c>
      <c r="B70" t="inlineStr">
        <is>
          <t>Forecast</t>
        </is>
      </c>
      <c r="C70" t="n">
        <v>1.182007386837179</v>
      </c>
      <c r="D70" t="n">
        <v>3.299582680542325</v>
      </c>
      <c r="E70" t="n">
        <v>0.03219072291404873</v>
      </c>
      <c r="F70" t="n">
        <v>0.06506982781599042</v>
      </c>
      <c r="G70" t="n">
        <v>0.0006201089126325379</v>
      </c>
      <c r="H70" t="n">
        <v>11.28059060797097</v>
      </c>
      <c r="I70" t="n">
        <v>11.28059060797097</v>
      </c>
      <c r="L70" t="n">
        <v>1.311877777777778</v>
      </c>
      <c r="M70" t="n">
        <v>0.9838444444444444</v>
      </c>
      <c r="N70" t="inlineStr">
        <is>
          <t>seasonal pattern of Aug/23-Jul/26</t>
        </is>
      </c>
      <c r="O70" t="n">
        <v>12.10610128985637</v>
      </c>
      <c r="P70" t="n">
        <v>12.05177274292108</v>
      </c>
      <c r="Q70" t="n">
        <v>0.09788065964267169</v>
      </c>
      <c r="R70" t="n">
        <v>4.579470727022176</v>
      </c>
      <c r="S70" t="n">
        <v>15.86006133499314</v>
      </c>
      <c r="T70" t="n">
        <v>15.86006133499314</v>
      </c>
      <c r="U70" t="n">
        <v>-3.808288592072063</v>
      </c>
      <c r="V70" t="n">
        <v>-3.808288592072063</v>
      </c>
      <c r="W70" t="n">
        <v>13.03561718736552</v>
      </c>
      <c r="X70" t="n">
        <v>-4.136321925405396</v>
      </c>
      <c r="Y70" t="n">
        <v>-4.136321925405396</v>
      </c>
    </row>
    <row r="71">
      <c r="A71" s="8" t="n">
        <v>46296</v>
      </c>
      <c r="B71" t="inlineStr">
        <is>
          <t>Forecast</t>
        </is>
      </c>
      <c r="C71" t="n">
        <v>1.049063335825056</v>
      </c>
      <c r="D71" t="n">
        <v>3.298270927653171</v>
      </c>
      <c r="E71" t="n">
        <v>0.03708926953715247</v>
      </c>
      <c r="F71" t="n">
        <v>0.07161130084778998</v>
      </c>
      <c r="G71" t="n">
        <v>0.0006273204959084647</v>
      </c>
      <c r="H71" t="n">
        <v>11.82639372882546</v>
      </c>
      <c r="I71" t="n">
        <v>11.82639372882546</v>
      </c>
      <c r="L71" t="n">
        <v>1.779247311827957</v>
      </c>
      <c r="M71" t="n">
        <v>0.6070430107526882</v>
      </c>
      <c r="N71" t="inlineStr">
        <is>
          <t>seasonal pattern of Aug/23-Jul/26</t>
        </is>
      </c>
      <c r="O71" t="n">
        <v>12.15359499485637</v>
      </c>
      <c r="P71" t="n">
        <v>12.09905331043615</v>
      </c>
      <c r="Q71" t="n">
        <v>0.1093278908808509</v>
      </c>
      <c r="R71" t="n">
        <v>4.456662154359078</v>
      </c>
      <c r="S71" t="n">
        <v>16.28305588318454</v>
      </c>
      <c r="T71" t="n">
        <v>16.28305588318454</v>
      </c>
      <c r="U71" t="n">
        <v>-4.18400257274839</v>
      </c>
      <c r="V71" t="n">
        <v>-4.18400257274839</v>
      </c>
      <c r="W71" t="n">
        <v>12.70609632118884</v>
      </c>
      <c r="X71" t="n">
        <v>-5.356206873823659</v>
      </c>
      <c r="Y71" t="n">
        <v>-5.356206873823659</v>
      </c>
    </row>
    <row r="72">
      <c r="A72" s="8" t="n">
        <v>46327</v>
      </c>
      <c r="B72" t="inlineStr">
        <is>
          <t>Forecast</t>
        </is>
      </c>
      <c r="C72" t="n">
        <v>1.060926146753596</v>
      </c>
      <c r="D72" t="n">
        <v>3.419667020612491</v>
      </c>
      <c r="E72" t="n">
        <v>0.06682869444294644</v>
      </c>
      <c r="F72" t="n">
        <v>0.08931856118059013</v>
      </c>
      <c r="G72" t="n">
        <v>0.0006169688852659822</v>
      </c>
      <c r="H72" t="n">
        <v>12.4606806560368</v>
      </c>
      <c r="I72" t="n">
        <v>12.4606806560368</v>
      </c>
      <c r="L72" t="n">
        <v>1.304466666666667</v>
      </c>
      <c r="M72" t="n">
        <v>0.8570333333333333</v>
      </c>
      <c r="N72" t="inlineStr">
        <is>
          <t>seasonal pattern of Aug/23-Jul/26</t>
        </is>
      </c>
      <c r="O72" t="n">
        <v>12.16032410885638</v>
      </c>
      <c r="P72" t="n">
        <v>12.10575222619338</v>
      </c>
      <c r="Q72" t="n">
        <v>0.1567642245088026</v>
      </c>
      <c r="R72" t="n">
        <v>4.63735739187489</v>
      </c>
      <c r="S72" t="n">
        <v>17.09803804791169</v>
      </c>
      <c r="T72" t="n">
        <v>17.09803804791169</v>
      </c>
      <c r="U72" t="n">
        <v>-4.992285821718315</v>
      </c>
      <c r="V72" t="n">
        <v>-4.992285821718315</v>
      </c>
      <c r="W72" t="n">
        <v>12.96278555952671</v>
      </c>
      <c r="X72" t="n">
        <v>-5.439719155051648</v>
      </c>
      <c r="Y72" t="n">
        <v>-5.439719155051648</v>
      </c>
    </row>
    <row r="73">
      <c r="A73" s="8" t="n">
        <v>46357</v>
      </c>
      <c r="B73" t="inlineStr">
        <is>
          <t>Forecast</t>
        </is>
      </c>
      <c r="C73" t="n">
        <v>0.9033812662733699</v>
      </c>
      <c r="D73" t="n">
        <v>3.622586429771473</v>
      </c>
      <c r="E73" t="n">
        <v>0.1244638229920495</v>
      </c>
      <c r="F73" t="n">
        <v>0.1056434622304725</v>
      </c>
      <c r="G73" t="n">
        <v>0.0006241439514585688</v>
      </c>
      <c r="H73" t="n">
        <v>12.81178383756908</v>
      </c>
      <c r="I73" t="n">
        <v>12.81178383756908</v>
      </c>
      <c r="L73" t="n">
        <v>1.143408602150538</v>
      </c>
      <c r="M73" t="n">
        <v>1.674903225806452</v>
      </c>
      <c r="N73" t="inlineStr">
        <is>
          <t>seasonal pattern of Aug/23-Jul/26</t>
        </is>
      </c>
      <c r="O73" t="n">
        <v>12.31884934985638</v>
      </c>
      <c r="P73" t="n">
        <v>12.2635660535194</v>
      </c>
      <c r="Q73" t="n">
        <v>0.2307314291739805</v>
      </c>
      <c r="R73" t="n">
        <v>4.756699125218823</v>
      </c>
      <c r="S73" t="n">
        <v>17.5684829627879</v>
      </c>
      <c r="T73" t="n">
        <v>17.5684829627879</v>
      </c>
      <c r="U73" t="n">
        <v>-5.304916909268496</v>
      </c>
      <c r="V73" t="n">
        <v>-5.304916909268496</v>
      </c>
      <c r="W73" t="n">
        <v>13.93846927932586</v>
      </c>
      <c r="X73" t="n">
        <v>-4.773422285612582</v>
      </c>
      <c r="Y73" t="n">
        <v>-4.773422285612582</v>
      </c>
    </row>
    <row r="74">
      <c r="A74" s="8" t="n">
        <v>46388</v>
      </c>
      <c r="B74" t="inlineStr">
        <is>
          <t>Forecast</t>
        </is>
      </c>
      <c r="C74" t="n">
        <v>1.040828739687615</v>
      </c>
      <c r="D74" t="n">
        <v>3.427502831142794</v>
      </c>
      <c r="E74" t="n">
        <v>0.2205817824834983</v>
      </c>
      <c r="F74" t="n">
        <v>0.1363327203295758</v>
      </c>
      <c r="G74" t="n">
        <v>0.0005757093647170206</v>
      </c>
      <c r="H74" t="n">
        <v>12.80304511027049</v>
      </c>
      <c r="I74" t="n">
        <v>12.80304511027049</v>
      </c>
      <c r="L74" t="n">
        <v>0.7306666666666666</v>
      </c>
      <c r="M74" t="n">
        <v>3.898569892473118</v>
      </c>
      <c r="N74" t="inlineStr">
        <is>
          <t>seasonal pattern of Aug/23-Jul/26</t>
        </is>
      </c>
      <c r="O74" t="n">
        <v>12.15968542885638</v>
      </c>
      <c r="P74" t="n">
        <v>12.10511641239741</v>
      </c>
      <c r="Q74" t="n">
        <v>0.3574902121777911</v>
      </c>
      <c r="R74" t="n">
        <v>4.8258217830082</v>
      </c>
      <c r="S74" t="n">
        <v>17.62886689327869</v>
      </c>
      <c r="T74" t="n">
        <v>17.62886689327869</v>
      </c>
      <c r="U74" t="n">
        <v>-5.523750480881276</v>
      </c>
      <c r="V74" t="n">
        <v>-5.523750480881276</v>
      </c>
      <c r="W74" t="n">
        <v>16.00368630487053</v>
      </c>
      <c r="X74" t="n">
        <v>-2.355847255074823</v>
      </c>
      <c r="Y74" t="n">
        <v>-2.355847255074823</v>
      </c>
    </row>
    <row r="75">
      <c r="A75" s="8" t="n">
        <v>46419</v>
      </c>
      <c r="B75" t="inlineStr">
        <is>
          <t>Forecast</t>
        </is>
      </c>
      <c r="C75" t="n">
        <v>0.913590654323012</v>
      </c>
      <c r="D75" t="n">
        <v>3.238248386266844</v>
      </c>
      <c r="E75" t="n">
        <v>0.1383227663933033</v>
      </c>
      <c r="F75" t="n">
        <v>0.1085647679573512</v>
      </c>
      <c r="G75" t="n">
        <v>0.0005660195469843779</v>
      </c>
      <c r="H75" t="n">
        <v>12.77374570662752</v>
      </c>
      <c r="I75" t="n">
        <v>12.77374570662752</v>
      </c>
      <c r="L75" t="n">
        <v>1.108112479474548</v>
      </c>
      <c r="M75" t="n">
        <v>2.522028325123153</v>
      </c>
      <c r="N75" t="inlineStr">
        <is>
          <t>seasonal pattern of Aug/23-Jul/26</t>
        </is>
      </c>
      <c r="O75" t="n">
        <v>12.32374254585637</v>
      </c>
      <c r="P75" t="n">
        <v>12.26843729032526</v>
      </c>
      <c r="Q75" t="n">
        <v>0.2474535538976389</v>
      </c>
      <c r="R75" t="n">
        <v>4.399292594487496</v>
      </c>
      <c r="S75" t="n">
        <v>17.17303830111501</v>
      </c>
      <c r="T75" t="n">
        <v>17.17303830111501</v>
      </c>
      <c r="U75" t="n">
        <v>-4.904601010789754</v>
      </c>
      <c r="V75" t="n">
        <v>-4.904601010789754</v>
      </c>
      <c r="W75" t="n">
        <v>14.79046561544841</v>
      </c>
      <c r="X75" t="n">
        <v>-3.490685165141151</v>
      </c>
      <c r="Y75" t="n">
        <v>-3.490685165141151</v>
      </c>
    </row>
    <row r="76">
      <c r="A76" s="8" t="n">
        <v>46447</v>
      </c>
      <c r="B76" t="inlineStr">
        <is>
          <t>Forecast</t>
        </is>
      </c>
      <c r="C76" t="n">
        <v>0.8744196890709012</v>
      </c>
      <c r="D76" t="n">
        <v>3.278253866959976</v>
      </c>
      <c r="E76" t="n">
        <v>0.07803301634852061</v>
      </c>
      <c r="F76" t="n">
        <v>0.08184483134941602</v>
      </c>
      <c r="G76" t="n">
        <v>0.0005727941620428331</v>
      </c>
      <c r="H76" t="n">
        <v>12.67293913912476</v>
      </c>
      <c r="I76" t="n">
        <v>12.67293913912476</v>
      </c>
      <c r="L76" t="n">
        <v>1.836397849462366</v>
      </c>
      <c r="M76" t="n">
        <v>1.039376344086022</v>
      </c>
      <c r="N76" t="inlineStr">
        <is>
          <t>seasonal pattern of Aug/23-Jul/26</t>
        </is>
      </c>
      <c r="O76" t="n">
        <v>12.32894264285637</v>
      </c>
      <c r="P76" t="n">
        <v>12.2736140508516</v>
      </c>
      <c r="Q76" t="n">
        <v>0.1604506418599795</v>
      </c>
      <c r="R76" t="n">
        <v>4.313124197890857</v>
      </c>
      <c r="S76" t="n">
        <v>16.98606333701562</v>
      </c>
      <c r="T76" t="n">
        <v>16.98606333701562</v>
      </c>
      <c r="U76" t="n">
        <v>-4.71244928616402</v>
      </c>
      <c r="V76" t="n">
        <v>-4.71244928616402</v>
      </c>
      <c r="W76" t="n">
        <v>13.31299039493762</v>
      </c>
      <c r="X76" t="n">
        <v>-5.509470791540365</v>
      </c>
      <c r="Y76" t="n">
        <v>-5.509470791540365</v>
      </c>
    </row>
    <row r="77">
      <c r="A77" s="8" t="n">
        <v>46478</v>
      </c>
      <c r="B77" t="inlineStr">
        <is>
          <t>Forecast</t>
        </is>
      </c>
      <c r="C77" t="n">
        <v>1.002685595463145</v>
      </c>
      <c r="D77" t="n">
        <v>3.427015144571087</v>
      </c>
      <c r="E77" t="n">
        <v>0.04074143976883788</v>
      </c>
      <c r="F77" t="n">
        <v>0.07108238533279491</v>
      </c>
      <c r="G77" t="n">
        <v>0.0005611413707491175</v>
      </c>
      <c r="H77" t="n">
        <v>12.12736448915697</v>
      </c>
      <c r="I77" t="n">
        <v>12.12736448915697</v>
      </c>
      <c r="L77" t="n">
        <v>1.879377777777778</v>
      </c>
      <c r="M77" t="n">
        <v>0.9012333333333333</v>
      </c>
      <c r="N77" t="inlineStr">
        <is>
          <t>seasonal pattern of Aug/23-Jul/26</t>
        </is>
      </c>
      <c r="O77" t="n">
        <v>12.33670182085637</v>
      </c>
      <c r="P77" t="n">
        <v>12.28133840799094</v>
      </c>
      <c r="Q77" t="n">
        <v>0.1123849664723819</v>
      </c>
      <c r="R77" t="n">
        <v>4.542085706506614</v>
      </c>
      <c r="S77" t="n">
        <v>16.66945019566359</v>
      </c>
      <c r="T77" t="n">
        <v>16.66945019566359</v>
      </c>
      <c r="U77" t="n">
        <v>-4.388111787672651</v>
      </c>
      <c r="V77" t="n">
        <v>-4.388111787672651</v>
      </c>
      <c r="W77" t="n">
        <v>13.18257174132427</v>
      </c>
      <c r="X77" t="n">
        <v>-5.366256232117095</v>
      </c>
      <c r="Y77" t="n">
        <v>-5.366256232117095</v>
      </c>
    </row>
    <row r="78">
      <c r="A78" s="8" t="n">
        <v>46508</v>
      </c>
      <c r="B78" t="inlineStr">
        <is>
          <t>Forecast</t>
        </is>
      </c>
      <c r="C78" t="n">
        <v>1.178008004123352</v>
      </c>
      <c r="D78" t="n">
        <v>3.397671475717175</v>
      </c>
      <c r="E78" t="n">
        <v>0.03744253207575286</v>
      </c>
      <c r="F78" t="n">
        <v>0.06489442384892743</v>
      </c>
      <c r="G78" t="n">
        <v>0.0005698937209951754</v>
      </c>
      <c r="H78" t="n">
        <v>11.34875595893553</v>
      </c>
      <c r="I78" t="n">
        <v>11.34875595893553</v>
      </c>
      <c r="L78" t="n">
        <v>1.901956989247312</v>
      </c>
      <c r="M78" t="n">
        <v>0.6363225806451612</v>
      </c>
      <c r="N78" t="inlineStr">
        <is>
          <t>seasonal pattern of Aug/23-Jul/26</t>
        </is>
      </c>
      <c r="O78" t="n">
        <v>12.34665389585638</v>
      </c>
      <c r="P78" t="n">
        <v>12.2912458210671</v>
      </c>
      <c r="Q78" t="n">
        <v>0.1029068496456755</v>
      </c>
      <c r="R78" t="n">
        <v>4.678586329486203</v>
      </c>
      <c r="S78" t="n">
        <v>16.02734228842174</v>
      </c>
      <c r="T78" t="n">
        <v>16.02734228842174</v>
      </c>
      <c r="U78" t="n">
        <v>-3.736096467354633</v>
      </c>
      <c r="V78" t="n">
        <v>-3.736096467354633</v>
      </c>
      <c r="W78" t="n">
        <v>12.92756840171226</v>
      </c>
      <c r="X78" t="n">
        <v>-5.001730875956783</v>
      </c>
      <c r="Y78" t="n">
        <v>-5.001730875956783</v>
      </c>
    </row>
    <row r="79">
      <c r="A79" s="8" t="n">
        <v>46539</v>
      </c>
      <c r="B79" t="inlineStr">
        <is>
          <t>Forecast</t>
        </is>
      </c>
      <c r="C79" t="n">
        <v>1.343730852156348</v>
      </c>
      <c r="D79" t="n">
        <v>3.382700230851289</v>
      </c>
      <c r="E79" t="n">
        <v>0.03402251328439868</v>
      </c>
      <c r="F79" t="n">
        <v>0.06387258622647067</v>
      </c>
      <c r="G79" t="n">
        <v>0.0005582999355999618</v>
      </c>
      <c r="H79" t="n">
        <v>11.00307681727622</v>
      </c>
      <c r="I79" t="n">
        <v>11.00307681727622</v>
      </c>
      <c r="L79" t="n">
        <v>1.611388888888889</v>
      </c>
      <c r="M79" t="n">
        <v>0.8488000000000001</v>
      </c>
      <c r="N79" t="inlineStr">
        <is>
          <t>seasonal pattern of Aug/23-Jul/26</t>
        </is>
      </c>
      <c r="O79" t="n">
        <v>12.35843402085637</v>
      </c>
      <c r="P79" t="n">
        <v>12.30297308040386</v>
      </c>
      <c r="Q79" t="n">
        <v>0.0984533994464693</v>
      </c>
      <c r="R79" t="n">
        <v>4.824884482454105</v>
      </c>
      <c r="S79" t="n">
        <v>15.82796129973033</v>
      </c>
      <c r="T79" t="n">
        <v>15.82796129973033</v>
      </c>
      <c r="U79" t="n">
        <v>-3.524988219326469</v>
      </c>
      <c r="V79" t="n">
        <v>-3.524988219326469</v>
      </c>
      <c r="W79" t="n">
        <v>13.15177308040386</v>
      </c>
      <c r="X79" t="n">
        <v>-4.287577108215356</v>
      </c>
      <c r="Y79" t="n">
        <v>-4.287577108215356</v>
      </c>
    </row>
    <row r="80">
      <c r="A80" s="8" t="n">
        <v>46569</v>
      </c>
      <c r="B80" t="inlineStr">
        <is>
          <t>Forecast</t>
        </is>
      </c>
      <c r="C80" t="n">
        <v>1.443734447749194</v>
      </c>
      <c r="D80" t="n">
        <v>3.452609953313982</v>
      </c>
      <c r="E80" t="n">
        <v>0.03030504050653957</v>
      </c>
      <c r="F80" t="n">
        <v>0.05558759989232031</v>
      </c>
      <c r="G80" t="n">
        <v>0.0005670079668260306</v>
      </c>
      <c r="H80" t="n">
        <v>11.03492177389689</v>
      </c>
      <c r="I80" t="n">
        <v>11.03492177389689</v>
      </c>
      <c r="L80" t="n">
        <v>1.232569892473118</v>
      </c>
      <c r="M80" t="n">
        <v>1.100247311827957</v>
      </c>
      <c r="N80" t="inlineStr">
        <is>
          <t>seasonal pattern of Aug/23-Jul/26</t>
        </is>
      </c>
      <c r="O80" t="n">
        <v>12.38019920485637</v>
      </c>
      <c r="P80" t="n">
        <v>12.32464058879449</v>
      </c>
      <c r="Q80" t="n">
        <v>0.08645964836568591</v>
      </c>
      <c r="R80" t="n">
        <v>4.982804049428861</v>
      </c>
      <c r="S80" t="n">
        <v>16.01772582332575</v>
      </c>
      <c r="T80" t="n">
        <v>16.01772582332575</v>
      </c>
      <c r="U80" t="n">
        <v>-3.693085234531253</v>
      </c>
      <c r="V80" t="n">
        <v>-3.693085234531253</v>
      </c>
      <c r="W80" t="n">
        <v>13.42488790062245</v>
      </c>
      <c r="X80" t="n">
        <v>-3.825407815176415</v>
      </c>
      <c r="Y80" t="n">
        <v>-3.825407815176415</v>
      </c>
    </row>
    <row r="81">
      <c r="A81" s="8" t="n">
        <v>46600</v>
      </c>
      <c r="B81" t="inlineStr">
        <is>
          <t>Forecast</t>
        </is>
      </c>
      <c r="C81" t="n">
        <v>1.481742562299722</v>
      </c>
      <c r="D81" t="n">
        <v>3.362850495474</v>
      </c>
      <c r="E81" t="n">
        <v>0.02827278514993152</v>
      </c>
      <c r="F81" t="n">
        <v>0.059153629902732</v>
      </c>
      <c r="G81" t="n">
        <v>0.0006115978109812318</v>
      </c>
      <c r="H81" t="n">
        <v>11.05856866678018</v>
      </c>
      <c r="I81" t="n">
        <v>11.05856866678018</v>
      </c>
      <c r="L81" t="n">
        <v>0.9842580645161288</v>
      </c>
      <c r="M81" t="n">
        <v>1.349731182795699</v>
      </c>
      <c r="N81" t="inlineStr">
        <is>
          <t>seasonal pattern of Aug/23-Jul/26</t>
        </is>
      </c>
      <c r="O81" t="n">
        <v>12.41167974485638</v>
      </c>
      <c r="P81" t="n">
        <v>12.35597985358508</v>
      </c>
      <c r="Q81" t="n">
        <v>0.08803801286364475</v>
      </c>
      <c r="R81" t="n">
        <v>4.932631070637366</v>
      </c>
      <c r="S81" t="n">
        <v>15.99119973741755</v>
      </c>
      <c r="T81" t="n">
        <v>15.99119973741755</v>
      </c>
      <c r="U81" t="n">
        <v>-3.63521988383247</v>
      </c>
      <c r="V81" t="n">
        <v>-3.63521988383247</v>
      </c>
      <c r="W81" t="n">
        <v>13.70571103638078</v>
      </c>
      <c r="X81" t="n">
        <v>-3.2697467655529</v>
      </c>
      <c r="Y81" t="n">
        <v>-3.2697467655529</v>
      </c>
    </row>
    <row r="82">
      <c r="A82" s="8" t="n">
        <v>46631</v>
      </c>
      <c r="B82" t="inlineStr">
        <is>
          <t>Forecast</t>
        </is>
      </c>
      <c r="C82" t="n">
        <v>1.216444818784982</v>
      </c>
      <c r="D82" t="n">
        <v>3.327955264218407</v>
      </c>
      <c r="E82" t="n">
        <v>0.03122500122662726</v>
      </c>
      <c r="F82" t="n">
        <v>0.06465257963276273</v>
      </c>
      <c r="G82" t="n">
        <v>0.0006015056452535617</v>
      </c>
      <c r="H82" t="n">
        <v>11.28059060797097</v>
      </c>
      <c r="I82" t="n">
        <v>11.28059060797097</v>
      </c>
      <c r="L82" t="n">
        <v>1.311877777777778</v>
      </c>
      <c r="M82" t="n">
        <v>0.9838444444444444</v>
      </c>
      <c r="N82" t="inlineStr">
        <is>
          <t>seasonal pattern of Aug/23-Jul/26</t>
        </is>
      </c>
      <c r="O82" t="n">
        <v>12.44262525385638</v>
      </c>
      <c r="P82" t="n">
        <v>12.38678648843411</v>
      </c>
      <c r="Q82" t="n">
        <v>0.09647908650464355</v>
      </c>
      <c r="R82" t="n">
        <v>4.640879169508032</v>
      </c>
      <c r="S82" t="n">
        <v>15.921469777479</v>
      </c>
      <c r="T82" t="n">
        <v>15.921469777479</v>
      </c>
      <c r="U82" t="n">
        <v>-3.534683289044885</v>
      </c>
      <c r="V82" t="n">
        <v>-3.534683289044885</v>
      </c>
      <c r="W82" t="n">
        <v>13.37063093287856</v>
      </c>
      <c r="X82" t="n">
        <v>-3.862716622378218</v>
      </c>
      <c r="Y82" t="n">
        <v>-3.862716622378218</v>
      </c>
    </row>
    <row r="83">
      <c r="A83" s="8" t="n">
        <v>46661</v>
      </c>
      <c r="B83" t="inlineStr">
        <is>
          <t>Forecast</t>
        </is>
      </c>
      <c r="C83" t="n">
        <v>1.079627482579739</v>
      </c>
      <c r="D83" t="n">
        <v>3.326632231775984</v>
      </c>
      <c r="E83" t="n">
        <v>0.0359765914510379</v>
      </c>
      <c r="F83" t="n">
        <v>0.07115210668391715</v>
      </c>
      <c r="G83" t="n">
        <v>0.0006085008810312108</v>
      </c>
      <c r="H83" t="n">
        <v>12.28980723930454</v>
      </c>
      <c r="I83" t="n">
        <v>11.82639372882546</v>
      </c>
      <c r="L83" t="n">
        <v>1.779247311827957</v>
      </c>
      <c r="M83" t="n">
        <v>0.6070430107526882</v>
      </c>
      <c r="N83" t="inlineStr">
        <is>
          <t>seasonal pattern of Aug/23-Jul/26</t>
        </is>
      </c>
      <c r="O83" t="n">
        <v>12.47816686485637</v>
      </c>
      <c r="P83" t="n">
        <v>12.42216859935765</v>
      </c>
      <c r="Q83" t="n">
        <v>0.1077371990159862</v>
      </c>
      <c r="R83" t="n">
        <v>4.513996913371709</v>
      </c>
      <c r="S83" t="n">
        <v>16.80380415267625</v>
      </c>
      <c r="T83" t="n">
        <v>16.34039064219717</v>
      </c>
      <c r="U83" t="n">
        <v>-4.381635553318601</v>
      </c>
      <c r="V83" t="n">
        <v>-3.918222042839519</v>
      </c>
      <c r="W83" t="n">
        <v>13.02921161011034</v>
      </c>
      <c r="X83" t="n">
        <v>-5.553839854393869</v>
      </c>
      <c r="Y83" t="n">
        <v>-5.090426343914787</v>
      </c>
    </row>
    <row r="84">
      <c r="A84" s="8" t="n">
        <v>46692</v>
      </c>
      <c r="B84" t="inlineStr">
        <is>
          <t>Forecast</t>
        </is>
      </c>
      <c r="C84" t="n">
        <v>1.091835912959232</v>
      </c>
      <c r="D84" t="n">
        <v>3.449072190320412</v>
      </c>
      <c r="E84" t="n">
        <v>0.06482383360965803</v>
      </c>
      <c r="F84" t="n">
        <v>0.08874582249920769</v>
      </c>
      <c r="G84" t="n">
        <v>0.0005984598187080027</v>
      </c>
      <c r="H84" t="n">
        <v>13.16595643039863</v>
      </c>
      <c r="I84" t="n">
        <v>12.4606806560368</v>
      </c>
      <c r="L84" t="n">
        <v>1.304466666666667</v>
      </c>
      <c r="M84" t="n">
        <v>0.8570333333333333</v>
      </c>
      <c r="N84" t="inlineStr">
        <is>
          <t>seasonal pattern of Aug/23-Jul/26</t>
        </is>
      </c>
      <c r="O84" t="n">
        <v>12.51828000785638</v>
      </c>
      <c r="P84" t="n">
        <v>12.46210172661848</v>
      </c>
      <c r="Q84" t="n">
        <v>0.1541681159275737</v>
      </c>
      <c r="R84" t="n">
        <v>4.695076219207218</v>
      </c>
      <c r="S84" t="n">
        <v>17.86103264960585</v>
      </c>
      <c r="T84" t="n">
        <v>17.15575687524402</v>
      </c>
      <c r="U84" t="n">
        <v>-5.398930922987367</v>
      </c>
      <c r="V84" t="n">
        <v>-4.693655148625544</v>
      </c>
      <c r="W84" t="n">
        <v>13.31913505995181</v>
      </c>
      <c r="X84" t="n">
        <v>-5.846364256320699</v>
      </c>
      <c r="Y84" t="n">
        <v>-5.141088481958876</v>
      </c>
    </row>
    <row r="85">
      <c r="A85" s="8" t="n">
        <v>46722</v>
      </c>
      <c r="B85" t="inlineStr">
        <is>
          <t>Forecast</t>
        </is>
      </c>
      <c r="C85" t="n">
        <v>0.9297010094718058</v>
      </c>
      <c r="D85" t="n">
        <v>3.653736471020215</v>
      </c>
      <c r="E85" t="n">
        <v>0.120729908302288</v>
      </c>
      <c r="F85" t="n">
        <v>0.1049660431536893</v>
      </c>
      <c r="G85" t="n">
        <v>0.0006054196329148117</v>
      </c>
      <c r="H85" t="n">
        <v>13.76005462555457</v>
      </c>
      <c r="I85" t="n">
        <v>12.81178383756908</v>
      </c>
      <c r="L85" t="n">
        <v>1.143408602150538</v>
      </c>
      <c r="M85" t="n">
        <v>1.674903225806452</v>
      </c>
      <c r="N85" t="inlineStr">
        <is>
          <t>seasonal pattern of Aug/23-Jul/26</t>
        </is>
      </c>
      <c r="O85" t="n">
        <v>12.55693511385638</v>
      </c>
      <c r="P85" t="n">
        <v>12.50058336011149</v>
      </c>
      <c r="Q85" t="n">
        <v>0.2263013710888921</v>
      </c>
      <c r="R85" t="n">
        <v>4.809738851580913</v>
      </c>
      <c r="S85" t="n">
        <v>18.56979347713548</v>
      </c>
      <c r="T85" t="n">
        <v>17.62152268914999</v>
      </c>
      <c r="U85" t="n">
        <v>-6.069210117023992</v>
      </c>
      <c r="V85" t="n">
        <v>-5.120939329038499</v>
      </c>
      <c r="W85" t="n">
        <v>14.17548658591794</v>
      </c>
      <c r="X85" t="n">
        <v>-5.537715493368078</v>
      </c>
      <c r="Y85" t="n">
        <v>-4.589444705382586</v>
      </c>
    </row>
    <row r="86">
      <c r="A86" s="8" t="n">
        <v>46753</v>
      </c>
      <c r="B86" t="inlineStr">
        <is>
          <t>Forecast</t>
        </is>
      </c>
      <c r="C86" t="n">
        <v>1.071152973944915</v>
      </c>
      <c r="D86" t="n">
        <v>3.456975379732067</v>
      </c>
      <c r="E86" t="n">
        <v>0.2139643290089933</v>
      </c>
      <c r="F86" t="n">
        <v>0.1354585120861966</v>
      </c>
      <c r="G86" t="n">
        <v>0.0005584380837755099</v>
      </c>
      <c r="H86" t="n">
        <v>13.97363944663128</v>
      </c>
      <c r="I86" t="n">
        <v>12.80304511027049</v>
      </c>
      <c r="L86" t="n">
        <v>0.7306666666666666</v>
      </c>
      <c r="M86" t="n">
        <v>3.898569892473118</v>
      </c>
      <c r="N86" t="inlineStr">
        <is>
          <t>seasonal pattern of Aug/23-Jul/26</t>
        </is>
      </c>
      <c r="O86" t="n">
        <v>12.84422787478481</v>
      </c>
      <c r="P86" t="n">
        <v>12.78658683740744</v>
      </c>
      <c r="Q86" t="n">
        <v>0.3499812791789654</v>
      </c>
      <c r="R86" t="n">
        <v>4.878109632855947</v>
      </c>
      <c r="S86" t="n">
        <v>18.85174907948722</v>
      </c>
      <c r="T86" t="n">
        <v>17.68115474312643</v>
      </c>
      <c r="U86" t="n">
        <v>-6.065162242079785</v>
      </c>
      <c r="V86" t="n">
        <v>-4.894567905718995</v>
      </c>
      <c r="W86" t="n">
        <v>16.68515672988056</v>
      </c>
      <c r="X86" t="n">
        <v>-2.897259016273333</v>
      </c>
      <c r="Y86" t="n">
        <v>-1.726664679912544</v>
      </c>
    </row>
    <row r="87">
      <c r="A87" s="8" t="n">
        <v>46784</v>
      </c>
      <c r="B87" t="inlineStr">
        <is>
          <t>Forecast</t>
        </is>
      </c>
      <c r="C87" t="n">
        <v>0.9402078449909848</v>
      </c>
      <c r="D87" t="n">
        <v>3.266093566157348</v>
      </c>
      <c r="E87" t="n">
        <v>0.1341730834015042</v>
      </c>
      <c r="F87" t="n">
        <v>0.1078686165502684</v>
      </c>
      <c r="G87" t="n">
        <v>0.0005490389605748465</v>
      </c>
      <c r="H87" t="n">
        <v>14.16412125972599</v>
      </c>
      <c r="I87" t="n">
        <v>12.77374570662752</v>
      </c>
      <c r="L87" t="n">
        <v>1.108112479474548</v>
      </c>
      <c r="M87" t="n">
        <v>2.522028325123153</v>
      </c>
      <c r="N87" t="inlineStr">
        <is>
          <t>seasonal pattern of Aug/23-Jul/26</t>
        </is>
      </c>
      <c r="O87" t="n">
        <v>13.01747995244229</v>
      </c>
      <c r="P87" t="n">
        <v>12.95906141177073</v>
      </c>
      <c r="Q87" t="n">
        <v>0.2425907389123474</v>
      </c>
      <c r="R87" t="n">
        <v>4.44889215006068</v>
      </c>
      <c r="S87" t="n">
        <v>18.61301340978667</v>
      </c>
      <c r="T87" t="n">
        <v>17.2226378566882</v>
      </c>
      <c r="U87" t="n">
        <v>-5.653951998015947</v>
      </c>
      <c r="V87" t="n">
        <v>-4.26357644491747</v>
      </c>
      <c r="W87" t="n">
        <v>15.48108973689388</v>
      </c>
      <c r="X87" t="n">
        <v>-4.240036152367343</v>
      </c>
      <c r="Y87" t="n">
        <v>-2.849660599268867</v>
      </c>
    </row>
    <row r="88">
      <c r="A88" s="8" t="n">
        <v>46813</v>
      </c>
      <c r="B88" t="inlineStr">
        <is>
          <t>Forecast</t>
        </is>
      </c>
      <c r="C88" t="n">
        <v>0.899895645373318</v>
      </c>
      <c r="D88" t="n">
        <v>3.306443047579773</v>
      </c>
      <c r="E88" t="n">
        <v>0.07569202585806499</v>
      </c>
      <c r="F88" t="n">
        <v>0.08132001657222479</v>
      </c>
      <c r="G88" t="n">
        <v>0.0005556103371815481</v>
      </c>
      <c r="H88" t="n">
        <v>14.27304676587438</v>
      </c>
      <c r="I88" t="n">
        <v>12.67293913912476</v>
      </c>
      <c r="L88" t="n">
        <v>1.836397849462366</v>
      </c>
      <c r="M88" t="n">
        <v>1.039376344086022</v>
      </c>
      <c r="N88" t="inlineStr">
        <is>
          <t>seasonal pattern of Aug/23-Jul/26</t>
        </is>
      </c>
      <c r="O88" t="n">
        <v>13.02297150090873</v>
      </c>
      <c r="P88" t="n">
        <v>12.96452831581685</v>
      </c>
      <c r="Q88" t="n">
        <v>0.1575676527674713</v>
      </c>
      <c r="R88" t="n">
        <v>4.363906345720563</v>
      </c>
      <c r="S88" t="n">
        <v>18.63695311159494</v>
      </c>
      <c r="T88" t="n">
        <v>17.03684548484532</v>
      </c>
      <c r="U88" t="n">
        <v>-5.672424795778094</v>
      </c>
      <c r="V88" t="n">
        <v>-4.072317169028475</v>
      </c>
      <c r="W88" t="n">
        <v>14.00390465990287</v>
      </c>
      <c r="X88" t="n">
        <v>-6.469446301154439</v>
      </c>
      <c r="Y88" t="n">
        <v>-4.86933867440482</v>
      </c>
    </row>
    <row r="89">
      <c r="A89" s="8" t="n">
        <v>46844</v>
      </c>
      <c r="B89" t="inlineStr">
        <is>
          <t>Forecast</t>
        </is>
      </c>
      <c r="C89" t="n">
        <v>1.031898540613343</v>
      </c>
      <c r="D89" t="n">
        <v>3.456483499621539</v>
      </c>
      <c r="E89" t="n">
        <v>0.03951919657577274</v>
      </c>
      <c r="F89" t="n">
        <v>0.07062658274140844</v>
      </c>
      <c r="G89" t="n">
        <v>0.000544307129626644</v>
      </c>
      <c r="H89" t="n">
        <v>13.86978999028831</v>
      </c>
      <c r="I89" t="n">
        <v>12.60257144401097</v>
      </c>
      <c r="L89" t="n">
        <v>1.879377777777778</v>
      </c>
      <c r="M89" t="n">
        <v>0.9012333333333333</v>
      </c>
      <c r="N89" t="inlineStr">
        <is>
          <t>seasonal pattern of Aug/23-Jul/26</t>
        </is>
      </c>
      <c r="O89" t="n">
        <v>13.03116555999008</v>
      </c>
      <c r="P89" t="n">
        <v>12.97268560242184</v>
      </c>
      <c r="Q89" t="n">
        <v>0.1106900864468078</v>
      </c>
      <c r="R89" t="n">
        <v>4.59907212668169</v>
      </c>
      <c r="S89" t="n">
        <v>18.46886211697</v>
      </c>
      <c r="T89" t="n">
        <v>17.20164357069266</v>
      </c>
      <c r="U89" t="n">
        <v>-5.496176514548157</v>
      </c>
      <c r="V89" t="n">
        <v>-4.228957968270819</v>
      </c>
      <c r="W89" t="n">
        <v>13.87391893575518</v>
      </c>
      <c r="X89" t="n">
        <v>-6.474320958992601</v>
      </c>
      <c r="Y89" t="n">
        <v>-5.207102412715264</v>
      </c>
    </row>
    <row r="90">
      <c r="A90" s="8" t="n">
        <v>46874</v>
      </c>
      <c r="B90" t="inlineStr">
        <is>
          <t>Forecast</t>
        </is>
      </c>
      <c r="C90" t="n">
        <v>1.212328915251087</v>
      </c>
      <c r="D90" t="n">
        <v>3.4268875092529</v>
      </c>
      <c r="E90" t="n">
        <v>0.03631925611348026</v>
      </c>
      <c r="F90" t="n">
        <v>0.06447830041105476</v>
      </c>
      <c r="G90" t="n">
        <v>0.0005527969093653201</v>
      </c>
      <c r="H90" t="n">
        <v>13.17695648402449</v>
      </c>
      <c r="I90" t="n">
        <v>11.99109668396678</v>
      </c>
      <c r="L90" t="n">
        <v>1.901956989247312</v>
      </c>
      <c r="M90" t="n">
        <v>0.6363225806451612</v>
      </c>
      <c r="N90" t="inlineStr">
        <is>
          <t>seasonal pattern of Aug/23-Jul/26</t>
        </is>
      </c>
      <c r="O90" t="n">
        <v>13.04167542205692</v>
      </c>
      <c r="P90" t="n">
        <v>12.98314829938401</v>
      </c>
      <c r="Q90" t="n">
        <v>0.1013503534339003</v>
      </c>
      <c r="R90" t="n">
        <v>4.740566777937887</v>
      </c>
      <c r="S90" t="n">
        <v>17.91752326196237</v>
      </c>
      <c r="T90" t="n">
        <v>16.73166346190467</v>
      </c>
      <c r="U90" t="n">
        <v>-4.934374962578362</v>
      </c>
      <c r="V90" t="n">
        <v>-3.748515162520659</v>
      </c>
      <c r="W90" t="n">
        <v>13.61947088002917</v>
      </c>
      <c r="X90" t="n">
        <v>-6.200009371180512</v>
      </c>
      <c r="Y90" t="n">
        <v>-5.014149571122809</v>
      </c>
    </row>
    <row r="91">
      <c r="A91" s="8" t="n">
        <v>46905</v>
      </c>
      <c r="B91" t="inlineStr">
        <is>
          <t>Forecast</t>
        </is>
      </c>
      <c r="C91" t="n">
        <v>1.382880048931775</v>
      </c>
      <c r="D91" t="n">
        <v>3.411787529047179</v>
      </c>
      <c r="E91" t="n">
        <v>0.03300183788586672</v>
      </c>
      <c r="F91" t="n">
        <v>0.06346301513253119</v>
      </c>
      <c r="G91" t="n">
        <v>0.000541550937531963</v>
      </c>
      <c r="H91" t="n">
        <v>12.96721414721974</v>
      </c>
      <c r="I91" t="n">
        <v>11.81747522237475</v>
      </c>
      <c r="L91" t="n">
        <v>1.611388888888889</v>
      </c>
      <c r="M91" t="n">
        <v>0.8488000000000001</v>
      </c>
      <c r="N91" t="inlineStr">
        <is>
          <t>seasonal pattern of Aug/23-Jul/26</t>
        </is>
      </c>
      <c r="O91" t="n">
        <v>13.05411579141508</v>
      </c>
      <c r="P91" t="n">
        <v>12.99553284010053</v>
      </c>
      <c r="Q91" t="n">
        <v>0.09700640395592987</v>
      </c>
      <c r="R91" t="n">
        <v>4.891673981934884</v>
      </c>
      <c r="S91" t="n">
        <v>17.85888812915463</v>
      </c>
      <c r="T91" t="n">
        <v>16.70914920430964</v>
      </c>
      <c r="U91" t="n">
        <v>-4.863355289054102</v>
      </c>
      <c r="V91" t="n">
        <v>-3.713616364209113</v>
      </c>
      <c r="W91" t="n">
        <v>13.84433284010053</v>
      </c>
      <c r="X91" t="n">
        <v>-5.62594417794299</v>
      </c>
      <c r="Y91" t="n">
        <v>-4.476205253098001</v>
      </c>
    </row>
    <row r="92">
      <c r="A92" s="8" t="n">
        <v>46935</v>
      </c>
      <c r="B92" t="inlineStr">
        <is>
          <t>Forecast</t>
        </is>
      </c>
      <c r="C92" t="n">
        <v>1.485797219394047</v>
      </c>
      <c r="D92" t="n">
        <v>3.482298394030725</v>
      </c>
      <c r="E92" t="n">
        <v>0.02939588929134338</v>
      </c>
      <c r="F92" t="n">
        <v>0.05523115473419499</v>
      </c>
      <c r="G92" t="n">
        <v>0.0005499977278212498</v>
      </c>
      <c r="H92" t="n">
        <v>13.19692143091807</v>
      </c>
      <c r="I92" t="n">
        <v>12.04385494717344</v>
      </c>
      <c r="L92" t="n">
        <v>1.232569892473118</v>
      </c>
      <c r="M92" t="n">
        <v>1.100247311827957</v>
      </c>
      <c r="N92" t="inlineStr">
        <is>
          <t>seasonal pattern of Aug/23-Jul/26</t>
        </is>
      </c>
      <c r="O92" t="n">
        <v>13.07710085550466</v>
      </c>
      <c r="P92" t="n">
        <v>13.01841475412525</v>
      </c>
      <c r="Q92" t="n">
        <v>0.08517704175335962</v>
      </c>
      <c r="R92" t="n">
        <v>5.053272655178133</v>
      </c>
      <c r="S92" t="n">
        <v>18.2501940860962</v>
      </c>
      <c r="T92" t="n">
        <v>17.09712760235157</v>
      </c>
      <c r="U92" t="n">
        <v>-5.23177933197095</v>
      </c>
      <c r="V92" t="n">
        <v>-4.078712848226319</v>
      </c>
      <c r="W92" t="n">
        <v>14.11866206595321</v>
      </c>
      <c r="X92" t="n">
        <v>-5.364101912616111</v>
      </c>
      <c r="Y92" t="n">
        <v>-4.21103542887148</v>
      </c>
    </row>
    <row r="93">
      <c r="A93" s="8" t="n">
        <v>46966</v>
      </c>
      <c r="B93" t="inlineStr">
        <is>
          <t>Forecast</t>
        </is>
      </c>
      <c r="C93" t="n">
        <v>1.524912689002482</v>
      </c>
      <c r="D93" t="n">
        <v>3.3917671089705</v>
      </c>
      <c r="E93" t="n">
        <v>0.02742460159543357</v>
      </c>
      <c r="F93" t="n">
        <v>0.0587743182396055</v>
      </c>
      <c r="G93" t="n">
        <v>0.0005932498766517948</v>
      </c>
      <c r="H93" t="n">
        <v>13.4177908717757</v>
      </c>
      <c r="I93" t="n">
        <v>12.26225346524729</v>
      </c>
      <c r="L93" t="n">
        <v>0.9842580645161288</v>
      </c>
      <c r="M93" t="n">
        <v>1.349731182795699</v>
      </c>
      <c r="N93" t="inlineStr">
        <is>
          <t>seasonal pattern of Aug/23-Jul/26</t>
        </is>
      </c>
      <c r="O93" t="n">
        <v>13.11034579519709</v>
      </c>
      <c r="P93" t="n">
        <v>13.05151050051233</v>
      </c>
      <c r="Q93" t="n">
        <v>0.08679216971169088</v>
      </c>
      <c r="R93" t="n">
        <v>5.003471967684674</v>
      </c>
      <c r="S93" t="n">
        <v>18.42126283946038</v>
      </c>
      <c r="T93" t="n">
        <v>17.26572543293196</v>
      </c>
      <c r="U93" t="n">
        <v>-5.36975233894805</v>
      </c>
      <c r="V93" t="n">
        <v>-4.214214932419633</v>
      </c>
      <c r="W93" t="n">
        <v>14.40124168330803</v>
      </c>
      <c r="X93" t="n">
        <v>-5.00427922066848</v>
      </c>
      <c r="Y93" t="n">
        <v>-3.848741814140063</v>
      </c>
    </row>
    <row r="94">
      <c r="A94" s="8" t="n">
        <v>46997</v>
      </c>
      <c r="B94" t="inlineStr">
        <is>
          <t>Forecast</t>
        </is>
      </c>
      <c r="C94" t="n">
        <v>1.251885575020235</v>
      </c>
      <c r="D94" t="n">
        <v>3.356571819203105</v>
      </c>
      <c r="E94" t="n">
        <v>0.03028825118982845</v>
      </c>
      <c r="F94" t="n">
        <v>0.06423800697600023</v>
      </c>
      <c r="G94" t="n">
        <v>0.0005834604758959549</v>
      </c>
      <c r="H94" t="n">
        <v>13.88363488832788</v>
      </c>
      <c r="I94" t="n">
        <v>12.70489785571343</v>
      </c>
      <c r="L94" t="n">
        <v>1.311877777777778</v>
      </c>
      <c r="M94" t="n">
        <v>0.9838444444444444</v>
      </c>
      <c r="N94" t="inlineStr">
        <is>
          <t>seasonal pattern of Aug/23-Jul/26</t>
        </is>
      </c>
      <c r="O94" t="n">
        <v>13.14302571683937</v>
      </c>
      <c r="P94" t="n">
        <v>13.08404376448057</v>
      </c>
      <c r="Q94" t="n">
        <v>0.09510971864172464</v>
      </c>
      <c r="R94" t="n">
        <v>4.703567112865064</v>
      </c>
      <c r="S94" t="n">
        <v>18.58720200119294</v>
      </c>
      <c r="T94" t="n">
        <v>17.40846496857849</v>
      </c>
      <c r="U94" t="n">
        <v>-5.50315823671237</v>
      </c>
      <c r="V94" t="n">
        <v>-4.32442120409792</v>
      </c>
      <c r="W94" t="n">
        <v>14.06788820892502</v>
      </c>
      <c r="X94" t="n">
        <v>-5.831191570045703</v>
      </c>
      <c r="Y94" t="n">
        <v>-4.652454537431253</v>
      </c>
    </row>
    <row r="95">
      <c r="A95" s="8" t="n">
        <v>47027</v>
      </c>
      <c r="B95" t="inlineStr">
        <is>
          <t>Forecast</t>
        </is>
      </c>
      <c r="C95" t="n">
        <v>1.111082106615383</v>
      </c>
      <c r="D95" t="n">
        <v>3.355237410216338</v>
      </c>
      <c r="E95" t="n">
        <v>0.03489729370750676</v>
      </c>
      <c r="F95" t="n">
        <v>0.07069585701731834</v>
      </c>
      <c r="G95" t="n">
        <v>0.0005902458546002745</v>
      </c>
      <c r="H95" t="n">
        <v>14.76134596185965</v>
      </c>
      <c r="I95" t="n">
        <v>13.5255766005821</v>
      </c>
      <c r="L95" t="n">
        <v>1.779247311827957</v>
      </c>
      <c r="M95" t="n">
        <v>0.6070430107526882</v>
      </c>
      <c r="N95" t="inlineStr">
        <is>
          <t>seasonal pattern of Aug/23-Jul/26</t>
        </is>
      </c>
      <c r="O95" t="n">
        <v>13.18055933965101</v>
      </c>
      <c r="P95" t="n">
        <v>13.12140894766497</v>
      </c>
      <c r="Q95" t="n">
        <v>0.1061833965794254</v>
      </c>
      <c r="R95" t="n">
        <v>4.572502913411146</v>
      </c>
      <c r="S95" t="n">
        <v>19.3338488752708</v>
      </c>
      <c r="T95" t="n">
        <v>18.09807951399324</v>
      </c>
      <c r="U95" t="n">
        <v>-6.212439927605825</v>
      </c>
      <c r="V95" t="n">
        <v>-4.97667056632827</v>
      </c>
      <c r="W95" t="n">
        <v>13.72845195841766</v>
      </c>
      <c r="X95" t="n">
        <v>-7.384644228681093</v>
      </c>
      <c r="Y95" t="n">
        <v>-6.148874867403539</v>
      </c>
    </row>
    <row r="96">
      <c r="A96" s="8" t="n">
        <v>47058</v>
      </c>
      <c r="B96" t="inlineStr">
        <is>
          <t>Forecast</t>
        </is>
      </c>
      <c r="C96" t="n">
        <v>1.123646225965237</v>
      </c>
      <c r="D96" t="n">
        <v>3.478730210379066</v>
      </c>
      <c r="E96" t="n">
        <v>0.06287911860136829</v>
      </c>
      <c r="F96" t="n">
        <v>0.08817675639822529</v>
      </c>
      <c r="G96" t="n">
        <v>0.0005805060241467626</v>
      </c>
      <c r="H96" t="n">
        <v>15.55304366670018</v>
      </c>
      <c r="I96" t="n">
        <v>14.46800401383584</v>
      </c>
      <c r="L96" t="n">
        <v>1.304466666666667</v>
      </c>
      <c r="M96" t="n">
        <v>0.8570333333333333</v>
      </c>
      <c r="N96" t="inlineStr">
        <is>
          <t>seasonal pattern of Aug/23-Jul/26</t>
        </is>
      </c>
      <c r="O96" t="n">
        <v>13.22292071654953</v>
      </c>
      <c r="P96" t="n">
        <v>13.16358021942577</v>
      </c>
      <c r="Q96" t="n">
        <v>0.1516363810237404</v>
      </c>
      <c r="R96" t="n">
        <v>4.754012817368044</v>
      </c>
      <c r="S96" t="n">
        <v>20.30705648406822</v>
      </c>
      <c r="T96" t="n">
        <v>19.22201683120388</v>
      </c>
      <c r="U96" t="n">
        <v>-7.143476264642455</v>
      </c>
      <c r="V96" t="n">
        <v>-6.058436611778113</v>
      </c>
      <c r="W96" t="n">
        <v>14.0206135527591</v>
      </c>
      <c r="X96" t="n">
        <v>-7.590909597975788</v>
      </c>
      <c r="Y96" t="n">
        <v>-6.505869945111446</v>
      </c>
    </row>
    <row r="97">
      <c r="A97" s="8" t="n">
        <v>47088</v>
      </c>
      <c r="B97" t="inlineStr">
        <is>
          <t>Forecast</t>
        </is>
      </c>
      <c r="C97" t="n">
        <v>0.956787570522121</v>
      </c>
      <c r="D97" t="n">
        <v>3.685154366490965</v>
      </c>
      <c r="E97" t="n">
        <v>0.1171080110532193</v>
      </c>
      <c r="F97" t="n">
        <v>0.1042929679008958</v>
      </c>
      <c r="G97" t="n">
        <v>0.0005872570439273674</v>
      </c>
      <c r="H97" t="n">
        <v>15.99128000904985</v>
      </c>
      <c r="I97" t="n">
        <v>15.09878985565174</v>
      </c>
      <c r="L97" t="n">
        <v>1.143408602150538</v>
      </c>
      <c r="M97" t="n">
        <v>1.674903225806452</v>
      </c>
      <c r="N97" t="inlineStr">
        <is>
          <t>seasonal pattern of Aug/23-Jul/26</t>
        </is>
      </c>
      <c r="O97" t="n">
        <v>13.26374233739132</v>
      </c>
      <c r="P97" t="n">
        <v>13.20421864509259</v>
      </c>
      <c r="Q97" t="n">
        <v>0.2219882359980425</v>
      </c>
      <c r="R97" t="n">
        <v>4.863930173011128</v>
      </c>
      <c r="S97" t="n">
        <v>20.85521018206098</v>
      </c>
      <c r="T97" t="n">
        <v>19.96272002866286</v>
      </c>
      <c r="U97" t="n">
        <v>-7.650991536968384</v>
      </c>
      <c r="V97" t="n">
        <v>-6.758501383570273</v>
      </c>
      <c r="W97" t="n">
        <v>14.87912187089904</v>
      </c>
      <c r="X97" t="n">
        <v>-7.11949691331247</v>
      </c>
      <c r="Y97" t="n">
        <v>-6.227006759914359</v>
      </c>
    </row>
    <row r="98">
      <c r="A98" s="8" t="n">
        <v>47119</v>
      </c>
      <c r="B98" t="inlineStr">
        <is>
          <t>Scenario</t>
        </is>
      </c>
      <c r="C98" t="n">
        <v>1.102360695704268</v>
      </c>
      <c r="D98" t="n">
        <v>3.486701358052295</v>
      </c>
      <c r="E98" t="n">
        <v>0.2075453991387235</v>
      </c>
      <c r="F98" t="n">
        <v>0.1345899095407815</v>
      </c>
      <c r="G98" t="n">
        <v>0.0005416849412622446</v>
      </c>
      <c r="H98" t="n">
        <v>15.98037259467834</v>
      </c>
      <c r="I98" t="n">
        <v>15.31146154532932</v>
      </c>
      <c r="L98" t="n">
        <v>0.7306666666666666</v>
      </c>
      <c r="M98" t="n">
        <v>3.898569892473118</v>
      </c>
      <c r="N98" t="inlineStr">
        <is>
          <t>seasonal pattern of Aug/23-Jul/26</t>
        </is>
      </c>
      <c r="O98" t="n">
        <v>13.29445079206924</v>
      </c>
      <c r="P98" t="n">
        <v>13.23478928944815</v>
      </c>
      <c r="Q98" t="n">
        <v>0.3426769936207672</v>
      </c>
      <c r="R98" t="n">
        <v>4.931739047377329</v>
      </c>
      <c r="S98" t="n">
        <v>20.91211164205567</v>
      </c>
      <c r="T98" t="n">
        <v>20.24320059270665</v>
      </c>
      <c r="U98" t="n">
        <v>-7.67732235260752</v>
      </c>
      <c r="V98" t="n">
        <v>-7.008411303258496</v>
      </c>
      <c r="W98" t="n">
        <v>17.13335918192127</v>
      </c>
      <c r="X98" t="n">
        <v>-4.509419126801069</v>
      </c>
      <c r="Y98" t="n">
        <v>-3.840508077452045</v>
      </c>
    </row>
    <row r="99">
      <c r="A99" s="8" t="n">
        <v>47150</v>
      </c>
      <c r="B99" t="inlineStr">
        <is>
          <t>Scenario</t>
        </is>
      </c>
      <c r="C99" t="n">
        <v>0.9676005195539629</v>
      </c>
      <c r="D99" t="n">
        <v>3.294178182295677</v>
      </c>
      <c r="E99" t="n">
        <v>0.130147890899459</v>
      </c>
      <c r="F99" t="n">
        <v>0.1071769290847635</v>
      </c>
      <c r="G99" t="n">
        <v>0.0005325677917576012</v>
      </c>
      <c r="H99" t="n">
        <v>15.94380196769204</v>
      </c>
      <c r="I99" t="n">
        <v>15.49888179070053</v>
      </c>
      <c r="L99" t="n">
        <v>1.108112479474548</v>
      </c>
      <c r="M99" t="n">
        <v>2.522028325123153</v>
      </c>
      <c r="N99" t="inlineStr">
        <is>
          <t>seasonal pattern of Aug/23-Jul/26</t>
        </is>
      </c>
      <c r="O99" t="n">
        <v>13.32523005540608</v>
      </c>
      <c r="P99" t="n">
        <v>13.26543042469464</v>
      </c>
      <c r="Q99" t="n">
        <v>0.2378573877759801</v>
      </c>
      <c r="R99" t="n">
        <v>4.49963608962562</v>
      </c>
      <c r="S99" t="n">
        <v>20.44343805731766</v>
      </c>
      <c r="T99" t="n">
        <v>19.99851788032615</v>
      </c>
      <c r="U99" t="n">
        <v>-7.178007632623025</v>
      </c>
      <c r="V99" t="n">
        <v>-6.733087455631512</v>
      </c>
      <c r="W99" t="n">
        <v>15.78745874981779</v>
      </c>
      <c r="X99" t="n">
        <v>-5.764091786974421</v>
      </c>
      <c r="Y99" t="n">
        <v>-5.319171609982908</v>
      </c>
    </row>
    <row r="100">
      <c r="A100" s="8" t="n">
        <v>47178</v>
      </c>
      <c r="B100" t="inlineStr">
        <is>
          <t>Scenario</t>
        </is>
      </c>
      <c r="C100" t="n">
        <v>0.9261138360485822</v>
      </c>
      <c r="D100" t="n">
        <v>3.334874622454641</v>
      </c>
      <c r="E100" t="n">
        <v>0.07342126508232304</v>
      </c>
      <c r="F100" t="n">
        <v>0.08079856707230051</v>
      </c>
      <c r="G100" t="n">
        <v>0.0005389420270661017</v>
      </c>
      <c r="H100" t="n">
        <v>15.81797826756367</v>
      </c>
      <c r="I100" t="n">
        <v>15.59727376732234</v>
      </c>
      <c r="L100" t="n">
        <v>1.836397849462366</v>
      </c>
      <c r="M100" t="n">
        <v>1.039376344086022</v>
      </c>
      <c r="N100" t="inlineStr">
        <is>
          <t>seasonal pattern of Aug/23-Jul/26</t>
        </is>
      </c>
      <c r="O100" t="n">
        <v>13.356080290675</v>
      </c>
      <c r="P100" t="n">
        <v>13.29614221337248</v>
      </c>
      <c r="Q100" t="n">
        <v>0.1547587741816897</v>
      </c>
      <c r="R100" t="n">
        <v>4.415747232684913</v>
      </c>
      <c r="S100" t="n">
        <v>20.23372550024858</v>
      </c>
      <c r="T100" t="n">
        <v>20.01302100000726</v>
      </c>
      <c r="U100" t="n">
        <v>-6.937583286876102</v>
      </c>
      <c r="V100" t="n">
        <v>-6.716878786634776</v>
      </c>
      <c r="W100" t="n">
        <v>14.3355185574585</v>
      </c>
      <c r="X100" t="n">
        <v>-7.734604792252447</v>
      </c>
      <c r="Y100" t="n">
        <v>-7.513900292011122</v>
      </c>
    </row>
    <row r="101">
      <c r="A101" s="8" t="n">
        <v>47209</v>
      </c>
      <c r="B101" t="inlineStr">
        <is>
          <t>Scenario</t>
        </is>
      </c>
      <c r="C101" t="n">
        <v>1.061962596189592</v>
      </c>
      <c r="D101" t="n">
        <v>3.486205248343377</v>
      </c>
      <c r="E101" t="n">
        <v>0.03833362067849956</v>
      </c>
      <c r="F101" t="n">
        <v>0.07017370289946748</v>
      </c>
      <c r="G101" t="n">
        <v>0.0005279779157378447</v>
      </c>
      <c r="H101" t="n">
        <v>15.31978044227872</v>
      </c>
      <c r="I101" t="n">
        <v>15.13700853656565</v>
      </c>
      <c r="L101" t="n">
        <v>1.879377777777778</v>
      </c>
      <c r="M101" t="n">
        <v>0.9012333333333333</v>
      </c>
      <c r="N101" t="inlineStr">
        <is>
          <t>seasonal pattern of Aug/23-Jul/26</t>
        </is>
      </c>
      <c r="O101" t="n">
        <v>13.38700166152561</v>
      </c>
      <c r="P101" t="n">
        <v>13.3269248183969</v>
      </c>
      <c r="Q101" t="n">
        <v>0.1090353014937049</v>
      </c>
      <c r="R101" t="n">
        <v>4.657203146026673</v>
      </c>
      <c r="S101" t="n">
        <v>19.9769835883054</v>
      </c>
      <c r="T101" t="n">
        <v>19.79421168259232</v>
      </c>
      <c r="U101" t="n">
        <v>-6.650058769908503</v>
      </c>
      <c r="V101" t="n">
        <v>-6.467286864195424</v>
      </c>
      <c r="W101" t="n">
        <v>14.22815815173023</v>
      </c>
      <c r="X101" t="n">
        <v>-7.628203214352947</v>
      </c>
      <c r="Y101" t="n">
        <v>-7.445431308639868</v>
      </c>
    </row>
    <row r="102">
      <c r="A102" s="8" t="n">
        <v>47239</v>
      </c>
      <c r="B102" t="inlineStr">
        <is>
          <t>Scenario</t>
        </is>
      </c>
      <c r="C102" t="n">
        <v>1.247649755867004</v>
      </c>
      <c r="D102" t="n">
        <v>3.456354766787667</v>
      </c>
      <c r="E102" t="n">
        <v>0.03522967843007586</v>
      </c>
      <c r="F102" t="n">
        <v>0.06406484528742663</v>
      </c>
      <c r="G102" t="n">
        <v>0.0005362130020843605</v>
      </c>
      <c r="H102" t="n">
        <v>14.45023543600952</v>
      </c>
      <c r="I102" t="n">
        <v>14.16517298407257</v>
      </c>
      <c r="L102" t="n">
        <v>1.901956989247312</v>
      </c>
      <c r="M102" t="n">
        <v>0.6363225806451612</v>
      </c>
      <c r="N102" t="inlineStr">
        <is>
          <t>seasonal pattern of Aug/23-Jul/26</t>
        </is>
      </c>
      <c r="O102" t="n">
        <v>13.41799433198492</v>
      </c>
      <c r="P102" t="n">
        <v>13.35777840305877</v>
      </c>
      <c r="Q102" t="n">
        <v>0.09983073671958685</v>
      </c>
      <c r="R102" t="n">
        <v>4.803835259374258</v>
      </c>
      <c r="S102" t="n">
        <v>19.25407069538377</v>
      </c>
      <c r="T102" t="n">
        <v>18.96900824344683</v>
      </c>
      <c r="U102" t="n">
        <v>-5.896292292325006</v>
      </c>
      <c r="V102" t="n">
        <v>-5.611229840388061</v>
      </c>
      <c r="W102" t="n">
        <v>13.99410098370393</v>
      </c>
      <c r="X102" t="n">
        <v>-7.161926700927156</v>
      </c>
      <c r="Y102" t="n">
        <v>-6.876864248990211</v>
      </c>
    </row>
    <row r="103">
      <c r="A103" s="8" t="n">
        <v>47270</v>
      </c>
      <c r="B103" t="inlineStr">
        <is>
          <t>Scenario</t>
        </is>
      </c>
      <c r="C103" t="n">
        <v>1.423169845854696</v>
      </c>
      <c r="D103" t="n">
        <v>3.441124944267516</v>
      </c>
      <c r="E103" t="n">
        <v>0.03201178274929072</v>
      </c>
      <c r="F103" t="n">
        <v>0.06305607033714797</v>
      </c>
      <c r="G103" t="n">
        <v>0.0005253044094060041</v>
      </c>
      <c r="H103" t="n">
        <v>14.12063813272129</v>
      </c>
      <c r="I103" t="n">
        <v>13.73370676378307</v>
      </c>
      <c r="L103" t="n">
        <v>1.611388888888889</v>
      </c>
      <c r="M103" t="n">
        <v>0.8488000000000001</v>
      </c>
      <c r="N103" t="inlineStr">
        <is>
          <t>seasonal pattern of Aug/23-Jul/26</t>
        </is>
      </c>
      <c r="O103" t="n">
        <v>13.44905846645811</v>
      </c>
      <c r="P103" t="n">
        <v>13.3887031310255</v>
      </c>
      <c r="Q103" t="n">
        <v>0.09559315749584468</v>
      </c>
      <c r="R103" t="n">
        <v>4.959887947618056</v>
      </c>
      <c r="S103" t="n">
        <v>19.08052608033934</v>
      </c>
      <c r="T103" t="n">
        <v>18.69359471140113</v>
      </c>
      <c r="U103" t="n">
        <v>-5.691822949313847</v>
      </c>
      <c r="V103" t="n">
        <v>-5.30489158037563</v>
      </c>
      <c r="W103" t="n">
        <v>14.2375031310255</v>
      </c>
      <c r="X103" t="n">
        <v>-6.454411838202735</v>
      </c>
      <c r="Y103" t="n">
        <v>-6.067480469264518</v>
      </c>
    </row>
    <row r="104">
      <c r="A104" s="8" t="n">
        <v>47300</v>
      </c>
      <c r="B104" t="inlineStr">
        <is>
          <t>Scenario</t>
        </is>
      </c>
      <c r="C104" t="n">
        <v>1.52908547731943</v>
      </c>
      <c r="D104" t="n">
        <v>3.512242120900295</v>
      </c>
      <c r="E104" t="n">
        <v>0.02851401261260308</v>
      </c>
      <c r="F104" t="n">
        <v>0.0548769952144314</v>
      </c>
      <c r="G104" t="n">
        <v>0.0005334977959866123</v>
      </c>
      <c r="H104" t="n">
        <v>14.50687355059762</v>
      </c>
      <c r="I104" t="n">
        <v>13.77345467279039</v>
      </c>
      <c r="L104" t="n">
        <v>1.232569892473118</v>
      </c>
      <c r="M104" t="n">
        <v>1.100247311827957</v>
      </c>
      <c r="N104" t="inlineStr">
        <is>
          <t>seasonal pattern of Aug/23-Jul/26</t>
        </is>
      </c>
      <c r="O104" t="n">
        <v>13.48019422972948</v>
      </c>
      <c r="P104" t="n">
        <v>13.41969916634187</v>
      </c>
      <c r="Q104" t="n">
        <v>0.0839245056230211</v>
      </c>
      <c r="R104" t="n">
        <v>5.125252103842746</v>
      </c>
      <c r="S104" t="n">
        <v>19.63212565444037</v>
      </c>
      <c r="T104" t="n">
        <v>18.89870677663313</v>
      </c>
      <c r="U104" t="n">
        <v>-6.212426488098497</v>
      </c>
      <c r="V104" t="n">
        <v>-5.479007610291266</v>
      </c>
      <c r="W104" t="n">
        <v>14.51994647816982</v>
      </c>
      <c r="X104" t="n">
        <v>-6.344749068743659</v>
      </c>
      <c r="Y104" t="n">
        <v>-5.611330190936427</v>
      </c>
    </row>
    <row r="105">
      <c r="A105" s="8" t="n">
        <v>47331</v>
      </c>
      <c r="B105" t="inlineStr">
        <is>
          <t>Scenario</t>
        </is>
      </c>
      <c r="C105" t="n">
        <v>1.56934056444443</v>
      </c>
      <c r="D105" t="n">
        <v>3.420932371801019</v>
      </c>
      <c r="E105" t="n">
        <v>0.02660186354757057</v>
      </c>
      <c r="F105" t="n">
        <v>0.05839743884205628</v>
      </c>
      <c r="G105" t="n">
        <v>0.0005754523803522409</v>
      </c>
      <c r="H105" t="n">
        <v>14.76004136439691</v>
      </c>
      <c r="I105" t="n">
        <v>13.80297000728518</v>
      </c>
      <c r="L105" t="n">
        <v>0.9842580645161288</v>
      </c>
      <c r="M105" t="n">
        <v>1.349731182795699</v>
      </c>
      <c r="N105" t="inlineStr">
        <is>
          <t>seasonal pattern of Aug/23-Jul/26</t>
        </is>
      </c>
      <c r="O105" t="n">
        <v>13.5114017869633</v>
      </c>
      <c r="P105" t="n">
        <v>13.45076667343094</v>
      </c>
      <c r="Q105" t="n">
        <v>0.08557475476997908</v>
      </c>
      <c r="R105" t="n">
        <v>5.075847691015428</v>
      </c>
      <c r="S105" t="n">
        <v>19.83588905541234</v>
      </c>
      <c r="T105" t="n">
        <v>18.87881769830061</v>
      </c>
      <c r="U105" t="n">
        <v>-6.385122381981404</v>
      </c>
      <c r="V105" t="n">
        <v>-5.428051024869671</v>
      </c>
      <c r="W105" t="n">
        <v>14.80049785622664</v>
      </c>
      <c r="X105" t="n">
        <v>-6.019649263701834</v>
      </c>
      <c r="Y105" t="n">
        <v>-5.062577906590101</v>
      </c>
    </row>
    <row r="106">
      <c r="A106" s="8" t="n">
        <v>47362</v>
      </c>
      <c r="B106" t="inlineStr">
        <is>
          <t>Scenario</t>
        </is>
      </c>
      <c r="C106" t="n">
        <v>1.288358887096189</v>
      </c>
      <c r="D106" t="n">
        <v>3.385434443366675</v>
      </c>
      <c r="E106" t="n">
        <v>0.0293796036541336</v>
      </c>
      <c r="F106" t="n">
        <v>0.06382609268938647</v>
      </c>
      <c r="G106" t="n">
        <v>0.0005659566616190762</v>
      </c>
      <c r="H106" t="n">
        <v>15.28291698089712</v>
      </c>
      <c r="I106" t="n">
        <v>14.08009106043028</v>
      </c>
      <c r="L106" t="n">
        <v>1.311877777777778</v>
      </c>
      <c r="M106" t="n">
        <v>0.9838444444444444</v>
      </c>
      <c r="N106" t="inlineStr">
        <is>
          <t>seasonal pattern of Aug/23-Jul/26</t>
        </is>
      </c>
      <c r="O106" t="n">
        <v>13.54268130370465</v>
      </c>
      <c r="P106" t="n">
        <v>13.48190581709489</v>
      </c>
      <c r="Q106" t="n">
        <v>0.09377165300513914</v>
      </c>
      <c r="R106" t="n">
        <v>4.767564983468003</v>
      </c>
      <c r="S106" t="n">
        <v>20.05048196436513</v>
      </c>
      <c r="T106" t="n">
        <v>18.84765604389829</v>
      </c>
      <c r="U106" t="n">
        <v>-6.568576147270239</v>
      </c>
      <c r="V106" t="n">
        <v>-5.365750226803399</v>
      </c>
      <c r="W106" t="n">
        <v>14.46575026153933</v>
      </c>
      <c r="X106" t="n">
        <v>-6.896609480603572</v>
      </c>
      <c r="Y106" t="n">
        <v>-5.693783560136732</v>
      </c>
    </row>
    <row r="107">
      <c r="A107" s="8" t="n">
        <v>47392</v>
      </c>
      <c r="B107" t="inlineStr">
        <is>
          <t>Scenario</t>
        </is>
      </c>
      <c r="C107" t="n">
        <v>1.143453151721431</v>
      </c>
      <c r="D107" t="n">
        <v>3.384088560010479</v>
      </c>
      <c r="E107" t="n">
        <v>0.03385037489628155</v>
      </c>
      <c r="F107" t="n">
        <v>0.07024253296695177</v>
      </c>
      <c r="G107" t="n">
        <v>0.0005725384789622663</v>
      </c>
      <c r="H107" t="n">
        <v>16.25987020647609</v>
      </c>
      <c r="I107" t="n">
        <v>14.93958192742853</v>
      </c>
      <c r="L107" t="n">
        <v>1.779247311827957</v>
      </c>
      <c r="M107" t="n">
        <v>0.6070430107526882</v>
      </c>
      <c r="N107" t="inlineStr">
        <is>
          <t>seasonal pattern of Aug/23-Jul/26</t>
        </is>
      </c>
      <c r="O107" t="n">
        <v>13.57403294588036</v>
      </c>
      <c r="P107" t="n">
        <v>13.5131167625159</v>
      </c>
      <c r="Q107" t="n">
        <v>0.1046654463421956</v>
      </c>
      <c r="R107" t="n">
        <v>4.632207158074105</v>
      </c>
      <c r="S107" t="n">
        <v>20.8920773645502</v>
      </c>
      <c r="T107" t="n">
        <v>19.57178908550264</v>
      </c>
      <c r="U107" t="n">
        <v>-7.378960602034295</v>
      </c>
      <c r="V107" t="n">
        <v>-6.058672322986732</v>
      </c>
      <c r="W107" t="n">
        <v>14.12015977326859</v>
      </c>
      <c r="X107" t="n">
        <v>-8.551164903109564</v>
      </c>
      <c r="Y107" t="n">
        <v>-7.230876624062001</v>
      </c>
    </row>
    <row r="108">
      <c r="A108" s="8" t="n">
        <v>47423</v>
      </c>
      <c r="B108" t="inlineStr">
        <is>
          <t>Scenario</t>
        </is>
      </c>
      <c r="C108" t="n">
        <v>1.156383322933493</v>
      </c>
      <c r="D108" t="n">
        <v>3.508643255008174</v>
      </c>
      <c r="E108" t="n">
        <v>0.06099274504332724</v>
      </c>
      <c r="F108" t="n">
        <v>0.08761133932790335</v>
      </c>
      <c r="G108" t="n">
        <v>0.0005630908434223598</v>
      </c>
      <c r="H108" t="n">
        <v>17.38217688382564</v>
      </c>
      <c r="I108" t="n">
        <v>15.8660358742572</v>
      </c>
      <c r="L108" t="n">
        <v>1.304466666666667</v>
      </c>
      <c r="M108" t="n">
        <v>0.8570333333333333</v>
      </c>
      <c r="N108" t="inlineStr">
        <is>
          <t>seasonal pattern of Aug/23-Jul/26</t>
        </is>
      </c>
      <c r="O108" t="n">
        <v>13.60545687979984</v>
      </c>
      <c r="P108" t="n">
        <v>13.54439967525706</v>
      </c>
      <c r="Q108" t="n">
        <v>0.1491671752146529</v>
      </c>
      <c r="R108" t="n">
        <v>4.814193753156319</v>
      </c>
      <c r="S108" t="n">
        <v>22.19637063698195</v>
      </c>
      <c r="T108" t="n">
        <v>20.68022962741352</v>
      </c>
      <c r="U108" t="n">
        <v>-8.651970961724889</v>
      </c>
      <c r="V108" t="n">
        <v>-7.135829952156456</v>
      </c>
      <c r="W108" t="n">
        <v>14.4014330085904</v>
      </c>
      <c r="X108" t="n">
        <v>-9.099404295058221</v>
      </c>
      <c r="Y108" t="n">
        <v>-7.583263285489789</v>
      </c>
    </row>
    <row r="109">
      <c r="A109" s="8" t="n">
        <v>47453</v>
      </c>
      <c r="B109" t="inlineStr">
        <is>
          <t>Scenario</t>
        </is>
      </c>
      <c r="C109" t="n">
        <v>0.9846632904332503</v>
      </c>
      <c r="D109" t="n">
        <v>3.716842419419329</v>
      </c>
      <c r="E109" t="n">
        <v>0.1135947707216227</v>
      </c>
      <c r="F109" t="n">
        <v>0.1036242086181276</v>
      </c>
      <c r="G109" t="n">
        <v>0.0005696393326095464</v>
      </c>
      <c r="H109" t="n">
        <v>18.12924181730824</v>
      </c>
      <c r="I109" t="n">
        <v>16.44181590379409</v>
      </c>
      <c r="L109" t="n">
        <v>1.143408602150538</v>
      </c>
      <c r="M109" t="n">
        <v>1.674903225806452</v>
      </c>
      <c r="N109" t="inlineStr">
        <is>
          <t>seasonal pattern of Aug/23-Jul/26</t>
        </is>
      </c>
      <c r="O109" t="n">
        <v>13.63695327215601</v>
      </c>
      <c r="P109" t="n">
        <v>13.5757547212632</v>
      </c>
      <c r="Q109" t="n">
        <v>0.2177886186723599</v>
      </c>
      <c r="R109" t="n">
        <v>4.91929432852494</v>
      </c>
      <c r="S109" t="n">
        <v>23.04853614583318</v>
      </c>
      <c r="T109" t="n">
        <v>21.36111023231903</v>
      </c>
      <c r="U109" t="n">
        <v>-9.472781424569979</v>
      </c>
      <c r="V109" t="n">
        <v>-7.785355511055824</v>
      </c>
      <c r="W109" t="n">
        <v>15.25065794706966</v>
      </c>
      <c r="X109" t="n">
        <v>-8.941286800914066</v>
      </c>
      <c r="Y109" t="n">
        <v>-7.25386088739991</v>
      </c>
    </row>
    <row r="110">
      <c r="A110" s="8" t="n">
        <v>47484</v>
      </c>
      <c r="B110" t="inlineStr">
        <is>
          <t>Scenario</t>
        </is>
      </c>
      <c r="C110" t="n">
        <v>1.134477645109997</v>
      </c>
      <c r="D110" t="n">
        <v>3.516682945305198</v>
      </c>
      <c r="E110" t="n">
        <v>0.2013190371645618</v>
      </c>
      <c r="F110" t="n">
        <v>0.1337268767478336</v>
      </c>
      <c r="G110" t="n">
        <v>0.0005254343930243772</v>
      </c>
      <c r="H110" t="n">
        <v>18.24535321001983</v>
      </c>
      <c r="I110" t="n">
        <v>16.83130703442236</v>
      </c>
      <c r="L110" t="n">
        <v>0.7306666666666666</v>
      </c>
      <c r="M110" t="n">
        <v>3.898569892473118</v>
      </c>
      <c r="N110" t="inlineStr">
        <is>
          <t>seasonal pattern of Aug/23-Jul/26</t>
        </is>
      </c>
      <c r="O110" t="n">
        <v>13.65283775315453</v>
      </c>
      <c r="P110" t="n">
        <v>13.59156791748137</v>
      </c>
      <c r="Q110" t="n">
        <v>0.3355713483054198</v>
      </c>
      <c r="R110" t="n">
        <v>4.986731938720615</v>
      </c>
      <c r="S110" t="n">
        <v>23.23208514874045</v>
      </c>
      <c r="T110" t="n">
        <v>21.81803897314298</v>
      </c>
      <c r="U110" t="n">
        <v>-9.64051723125908</v>
      </c>
      <c r="V110" t="n">
        <v>-8.226471055661611</v>
      </c>
      <c r="W110" t="n">
        <v>17.49013780995448</v>
      </c>
      <c r="X110" t="n">
        <v>-6.472614005452629</v>
      </c>
      <c r="Y110" t="n">
        <v>-5.058567829855159</v>
      </c>
    </row>
    <row r="111">
      <c r="A111" s="8" t="n">
        <v>47515</v>
      </c>
      <c r="B111" t="inlineStr">
        <is>
          <t>Scenario</t>
        </is>
      </c>
      <c r="C111" t="n">
        <v>0.9957912715034584</v>
      </c>
      <c r="D111" t="n">
        <v>3.322504293555828</v>
      </c>
      <c r="E111" t="n">
        <v>0.1262434541724753</v>
      </c>
      <c r="F111" t="n">
        <v>0.1064896769366403</v>
      </c>
      <c r="G111" t="n">
        <v>0.0005165907580048732</v>
      </c>
      <c r="H111" t="n">
        <v>18.33178230240186</v>
      </c>
      <c r="I111" t="n">
        <v>17.04931448990182</v>
      </c>
      <c r="L111" t="n">
        <v>1.108112479474548</v>
      </c>
      <c r="M111" t="n">
        <v>2.522028325123153</v>
      </c>
      <c r="N111" t="inlineStr">
        <is>
          <t>seasonal pattern of Aug/23-Jul/26</t>
        </is>
      </c>
      <c r="O111" t="n">
        <v>13.66874066364636</v>
      </c>
      <c r="P111" t="n">
        <v>13.6073994604868</v>
      </c>
      <c r="Q111" t="n">
        <v>0.2332497218671205</v>
      </c>
      <c r="R111" t="n">
        <v>4.551545286926406</v>
      </c>
      <c r="S111" t="n">
        <v>22.88332758932826</v>
      </c>
      <c r="T111" t="n">
        <v>21.60085977682822</v>
      </c>
      <c r="U111" t="n">
        <v>-9.275928128841464</v>
      </c>
      <c r="V111" t="n">
        <v>-7.993460316341427</v>
      </c>
      <c r="W111" t="n">
        <v>16.12942778560995</v>
      </c>
      <c r="X111" t="n">
        <v>-7.86201228319286</v>
      </c>
      <c r="Y111" t="n">
        <v>-6.579544470692823</v>
      </c>
    </row>
    <row r="112">
      <c r="A112" s="8" t="n">
        <v>47543</v>
      </c>
      <c r="B112" t="inlineStr">
        <is>
          <t>Scenario</t>
        </is>
      </c>
      <c r="C112" t="n">
        <v>0.9530958858733136</v>
      </c>
      <c r="D112" t="n">
        <v>3.363550675894006</v>
      </c>
      <c r="E112" t="n">
        <v>0.07121862712985336</v>
      </c>
      <c r="F112" t="n">
        <v>0.08028046127042787</v>
      </c>
      <c r="G112" t="n">
        <v>0.0005227737662541186</v>
      </c>
      <c r="H112" t="n">
        <v>18.31428485880027</v>
      </c>
      <c r="I112" t="n">
        <v>17.16926741675652</v>
      </c>
      <c r="L112" t="n">
        <v>1.836397849462366</v>
      </c>
      <c r="M112" t="n">
        <v>1.039376344086022</v>
      </c>
      <c r="N112" t="inlineStr">
        <is>
          <t>seasonal pattern of Aug/23-Jul/26</t>
        </is>
      </c>
      <c r="O112" t="n">
        <v>13.68466202501375</v>
      </c>
      <c r="P112" t="n">
        <v>13.6232493715658</v>
      </c>
      <c r="Q112" t="n">
        <v>0.1520218621665353</v>
      </c>
      <c r="R112" t="n">
        <v>4.468668423933854</v>
      </c>
      <c r="S112" t="n">
        <v>22.78295328273413</v>
      </c>
      <c r="T112" t="n">
        <v>21.63793584069037</v>
      </c>
      <c r="U112" t="n">
        <v>-9.159703911168323</v>
      </c>
      <c r="V112" t="n">
        <v>-8.014686469124571</v>
      </c>
      <c r="W112" t="n">
        <v>14.66262571565182</v>
      </c>
      <c r="X112" t="n">
        <v>-9.956725416544668</v>
      </c>
      <c r="Y112" t="n">
        <v>-8.811707974500916</v>
      </c>
    </row>
    <row r="113">
      <c r="A113" s="8" t="n">
        <v>47574</v>
      </c>
      <c r="B113" t="inlineStr">
        <is>
          <t>Scenario</t>
        </is>
      </c>
      <c r="C113" t="n">
        <v>1.092902559039781</v>
      </c>
      <c r="D113" t="n">
        <v>3.516182569628249</v>
      </c>
      <c r="E113" t="n">
        <v>0.03718361205814456</v>
      </c>
      <c r="F113" t="n">
        <v>0.06972372706538409</v>
      </c>
      <c r="G113" t="n">
        <v>0.0005121385782657093</v>
      </c>
      <c r="H113" t="n">
        <v>17.64754492105152</v>
      </c>
      <c r="I113" t="n">
        <v>16.67366883445572</v>
      </c>
      <c r="L113" t="n">
        <v>1.879377777777778</v>
      </c>
      <c r="M113" t="n">
        <v>0.9012333333333333</v>
      </c>
      <c r="N113" t="inlineStr">
        <is>
          <t>seasonal pattern of Aug/23-Jul/26</t>
        </is>
      </c>
      <c r="O113" t="n">
        <v>13.70060185866378</v>
      </c>
      <c r="P113" t="n">
        <v>13.6391176720294</v>
      </c>
      <c r="Q113" t="n">
        <v>0.1074194777017944</v>
      </c>
      <c r="R113" t="n">
        <v>4.716504606369823</v>
      </c>
      <c r="S113" t="n">
        <v>22.36404952742135</v>
      </c>
      <c r="T113" t="n">
        <v>21.39017344082554</v>
      </c>
      <c r="U113" t="n">
        <v>-8.724931855391951</v>
      </c>
      <c r="V113" t="n">
        <v>-7.751055768796146</v>
      </c>
      <c r="W113" t="n">
        <v>14.54035100536273</v>
      </c>
      <c r="X113" t="n">
        <v>-9.703076299836395</v>
      </c>
      <c r="Y113" t="n">
        <v>-8.72920021324059</v>
      </c>
    </row>
    <row r="114">
      <c r="A114" s="8" t="n">
        <v>47604</v>
      </c>
      <c r="B114" t="inlineStr">
        <is>
          <t>Scenario</t>
        </is>
      </c>
      <c r="C114" t="n">
        <v>1.283999658617892</v>
      </c>
      <c r="D114" t="n">
        <v>3.486075408556458</v>
      </c>
      <c r="E114" t="n">
        <v>0.03417278807717358</v>
      </c>
      <c r="F114" t="n">
        <v>0.0636540413679736</v>
      </c>
      <c r="G114" t="n">
        <v>0.0005201266120218296</v>
      </c>
      <c r="H114" t="n">
        <v>16.62840981948412</v>
      </c>
      <c r="I114" t="n">
        <v>15.83108410647042</v>
      </c>
      <c r="L114" t="n">
        <v>1.901956989247312</v>
      </c>
      <c r="M114" t="n">
        <v>0.6363225806451612</v>
      </c>
      <c r="N114" t="inlineStr">
        <is>
          <t>seasonal pattern of Aug/23-Jul/26</t>
        </is>
      </c>
      <c r="O114" t="n">
        <v>13.71656018602836</v>
      </c>
      <c r="P114" t="n">
        <v>13.65500438321331</v>
      </c>
      <c r="Q114" t="n">
        <v>0.098346956057169</v>
      </c>
      <c r="R114" t="n">
        <v>4.868422023231519</v>
      </c>
      <c r="S114" t="n">
        <v>21.49683184271564</v>
      </c>
      <c r="T114" t="n">
        <v>20.69950612970194</v>
      </c>
      <c r="U114" t="n">
        <v>-7.841827459502326</v>
      </c>
      <c r="V114" t="n">
        <v>-7.044501746488628</v>
      </c>
      <c r="W114" t="n">
        <v>14.29132696385847</v>
      </c>
      <c r="X114" t="n">
        <v>-9.107461868104476</v>
      </c>
      <c r="Y114" t="n">
        <v>-8.310136155090778</v>
      </c>
    </row>
    <row r="115">
      <c r="A115" s="8" t="n">
        <v>47635</v>
      </c>
      <c r="B115" t="inlineStr">
        <is>
          <t>Scenario</t>
        </is>
      </c>
      <c r="C115" t="n">
        <v>1.464633473969515</v>
      </c>
      <c r="D115" t="n">
        <v>3.470714627228585</v>
      </c>
      <c r="E115" t="n">
        <v>0.031051429266812</v>
      </c>
      <c r="F115" t="n">
        <v>0.06265173499966938</v>
      </c>
      <c r="G115" t="n">
        <v>0.000509545277123824</v>
      </c>
      <c r="H115" t="n">
        <v>16.23232887086422</v>
      </c>
      <c r="I115" t="n">
        <v>15.56984124020844</v>
      </c>
      <c r="L115" t="n">
        <v>1.611388888888889</v>
      </c>
      <c r="M115" t="n">
        <v>0.8488000000000001</v>
      </c>
      <c r="N115" t="inlineStr">
        <is>
          <t>seasonal pattern of Aug/23-Jul/26</t>
        </is>
      </c>
      <c r="O115" t="n">
        <v>13.73253702856428</v>
      </c>
      <c r="P115" t="n">
        <v>13.67090952647803</v>
      </c>
      <c r="Q115" t="n">
        <v>0.09421270954360519</v>
      </c>
      <c r="R115" t="n">
        <v>5.029560810741706</v>
      </c>
      <c r="S115" t="n">
        <v>21.26188968160593</v>
      </c>
      <c r="T115" t="n">
        <v>20.59940205095014</v>
      </c>
      <c r="U115" t="n">
        <v>-7.590980155127902</v>
      </c>
      <c r="V115" t="n">
        <v>-6.928492524472116</v>
      </c>
      <c r="W115" t="n">
        <v>14.51970952647803</v>
      </c>
      <c r="X115" t="n">
        <v>-8.35356904401679</v>
      </c>
      <c r="Y115" t="n">
        <v>-7.691081413361004</v>
      </c>
    </row>
    <row r="116">
      <c r="A116" s="8" t="n">
        <v>47665</v>
      </c>
      <c r="B116" t="inlineStr">
        <is>
          <t>Scenario</t>
        </is>
      </c>
      <c r="C116" t="n">
        <v>1.573634925701867</v>
      </c>
      <c r="D116" t="n">
        <v>3.542443329087484</v>
      </c>
      <c r="E116" t="n">
        <v>0.02765859223422498</v>
      </c>
      <c r="F116" t="n">
        <v>0.05452510667679815</v>
      </c>
      <c r="G116" t="n">
        <v>0.0005174928621070139</v>
      </c>
      <c r="H116" t="n">
        <v>16.69086036657659</v>
      </c>
      <c r="I116" t="n">
        <v>15.72563743044046</v>
      </c>
      <c r="L116" t="n">
        <v>1.232569892473118</v>
      </c>
      <c r="M116" t="n">
        <v>1.100247311827957</v>
      </c>
      <c r="N116" t="inlineStr">
        <is>
          <t>seasonal pattern of Aug/23-Jul/26</t>
        </is>
      </c>
      <c r="O116" t="n">
        <v>13.74853240775321</v>
      </c>
      <c r="P116" t="n">
        <v>13.68683312320882</v>
      </c>
      <c r="Q116" t="n">
        <v>0.08270119177313015</v>
      </c>
      <c r="R116" t="n">
        <v>5.19877944656248</v>
      </c>
      <c r="S116" t="n">
        <v>21.88963981313907</v>
      </c>
      <c r="T116" t="n">
        <v>20.92441687700294</v>
      </c>
      <c r="U116" t="n">
        <v>-8.202806689930258</v>
      </c>
      <c r="V116" t="n">
        <v>-7.237583753794128</v>
      </c>
      <c r="W116" t="n">
        <v>14.78708043503677</v>
      </c>
      <c r="X116" t="n">
        <v>-8.335129270575418</v>
      </c>
      <c r="Y116" t="n">
        <v>-7.36990633443929</v>
      </c>
    </row>
    <row r="117">
      <c r="A117" s="8" t="n">
        <v>47696</v>
      </c>
      <c r="B117" t="inlineStr">
        <is>
          <t>Scenario</t>
        </is>
      </c>
      <c r="C117" t="n">
        <v>1.615062832759176</v>
      </c>
      <c r="D117" t="n">
        <v>3.450348422061408</v>
      </c>
      <c r="E117" t="n">
        <v>0.02580380764114345</v>
      </c>
      <c r="F117" t="n">
        <v>0.05802297611363316</v>
      </c>
      <c r="G117" t="n">
        <v>0.0005581888089416737</v>
      </c>
      <c r="H117" t="n">
        <v>17.02083234376693</v>
      </c>
      <c r="I117" t="n">
        <v>15.87030758490799</v>
      </c>
      <c r="L117" t="n">
        <v>0.9842580645161288</v>
      </c>
      <c r="M117" t="n">
        <v>1.349731182795699</v>
      </c>
      <c r="N117" t="inlineStr">
        <is>
          <t>seasonal pattern of Aug/23-Jul/26</t>
        </is>
      </c>
      <c r="O117" t="n">
        <v>13.76454634510174</v>
      </c>
      <c r="P117" t="n">
        <v>13.70277519481576</v>
      </c>
      <c r="Q117" t="n">
        <v>0.08438497256371828</v>
      </c>
      <c r="R117" t="n">
        <v>5.149796227384302</v>
      </c>
      <c r="S117" t="n">
        <v>22.17062857115123</v>
      </c>
      <c r="T117" t="n">
        <v>21.0201038122923</v>
      </c>
      <c r="U117" t="n">
        <v>-8.467853376335462</v>
      </c>
      <c r="V117" t="n">
        <v>-7.317328617476534</v>
      </c>
      <c r="W117" t="n">
        <v>15.05250637761146</v>
      </c>
      <c r="X117" t="n">
        <v>-8.102380258055891</v>
      </c>
      <c r="Y117" t="n">
        <v>-6.951855499196964</v>
      </c>
    </row>
    <row r="118">
      <c r="A118" s="8" t="n">
        <v>47727</v>
      </c>
      <c r="B118" t="inlineStr">
        <is>
          <t>Scenario</t>
        </is>
      </c>
      <c r="C118" t="n">
        <v>1.325894838218662</v>
      </c>
      <c r="D118" t="n">
        <v>3.414545252618626</v>
      </c>
      <c r="E118" t="n">
        <v>0.02849821554450959</v>
      </c>
      <c r="F118" t="n">
        <v>0.0634168197266167</v>
      </c>
      <c r="G118" t="n">
        <v>0.0005489779617705039</v>
      </c>
      <c r="H118" t="n">
        <v>17.66266976350623</v>
      </c>
      <c r="I118" t="n">
        <v>16.30213382245876</v>
      </c>
      <c r="L118" t="n">
        <v>1.311877777777778</v>
      </c>
      <c r="M118" t="n">
        <v>0.9838444444444444</v>
      </c>
      <c r="N118" t="inlineStr">
        <is>
          <t>seasonal pattern of Aug/23-Jul/26</t>
        </is>
      </c>
      <c r="O118" t="n">
        <v>13.78057886214142</v>
      </c>
      <c r="P118" t="n">
        <v>13.71873576273379</v>
      </c>
      <c r="Q118" t="n">
        <v>0.0924640132328968</v>
      </c>
      <c r="R118" t="n">
        <v>4.832904104070184</v>
      </c>
      <c r="S118" t="n">
        <v>22.49557386757641</v>
      </c>
      <c r="T118" t="n">
        <v>21.13503792652895</v>
      </c>
      <c r="U118" t="n">
        <v>-8.776838104842621</v>
      </c>
      <c r="V118" t="n">
        <v>-7.416302163795159</v>
      </c>
      <c r="W118" t="n">
        <v>14.70258020717823</v>
      </c>
      <c r="X118" t="n">
        <v>-9.104871438175953</v>
      </c>
      <c r="Y118" t="n">
        <v>-7.744335497128492</v>
      </c>
    </row>
    <row r="119">
      <c r="A119" s="8" t="n">
        <v>47757</v>
      </c>
      <c r="B119" t="inlineStr">
        <is>
          <t>Scenario</t>
        </is>
      </c>
      <c r="C119" t="n">
        <v>1.176767317551878</v>
      </c>
      <c r="D119" t="n">
        <v>3.413187796226735</v>
      </c>
      <c r="E119" t="n">
        <v>0.0328348636493931</v>
      </c>
      <c r="F119" t="n">
        <v>0.06979211577284682</v>
      </c>
      <c r="G119" t="n">
        <v>0.0005553623245933982</v>
      </c>
      <c r="H119" t="n">
        <v>18.831897413148</v>
      </c>
      <c r="I119" t="n">
        <v>17.20957713195586</v>
      </c>
      <c r="L119" t="n">
        <v>1.779247311827957</v>
      </c>
      <c r="M119" t="n">
        <v>0.6070430107526882</v>
      </c>
      <c r="N119" t="inlineStr">
        <is>
          <t>seasonal pattern of Aug/23-Jul/26</t>
        </is>
      </c>
      <c r="O119" t="n">
        <v>13.79662998042878</v>
      </c>
      <c r="P119" t="n">
        <v>13.73471484842268</v>
      </c>
      <c r="Q119" t="n">
        <v>0.1031823417468333</v>
      </c>
      <c r="R119" t="n">
        <v>4.693137455525447</v>
      </c>
      <c r="S119" t="n">
        <v>23.52503486867344</v>
      </c>
      <c r="T119" t="n">
        <v>21.90271458748131</v>
      </c>
      <c r="U119" t="n">
        <v>-9.790320020250761</v>
      </c>
      <c r="V119" t="n">
        <v>-8.167999739058622</v>
      </c>
      <c r="W119" t="n">
        <v>14.34175785917537</v>
      </c>
      <c r="X119" t="n">
        <v>-10.96252432132603</v>
      </c>
      <c r="Y119" t="n">
        <v>-9.340204040133891</v>
      </c>
    </row>
    <row r="120">
      <c r="A120" s="8" t="n">
        <v>47788</v>
      </c>
      <c r="B120" t="inlineStr">
        <is>
          <t>Scenario</t>
        </is>
      </c>
      <c r="C120" t="n">
        <v>1.19007420543775</v>
      </c>
      <c r="D120" t="n">
        <v>3.538813517123223</v>
      </c>
      <c r="E120" t="n">
        <v>0.05916296269202742</v>
      </c>
      <c r="F120" t="n">
        <v>0.08704954788951064</v>
      </c>
      <c r="G120" t="n">
        <v>0.0005461981181196889</v>
      </c>
      <c r="H120" t="n">
        <v>20.1734187016023</v>
      </c>
      <c r="I120" t="n">
        <v>18.25762271459865</v>
      </c>
      <c r="L120" t="n">
        <v>1.304466666666667</v>
      </c>
      <c r="M120" t="n">
        <v>0.8570333333333333</v>
      </c>
      <c r="N120" t="inlineStr">
        <is>
          <t>seasonal pattern of Aug/23-Jul/26</t>
        </is>
      </c>
      <c r="O120" t="n">
        <v>13.81269972154536</v>
      </c>
      <c r="P120" t="n">
        <v>13.75071247336713</v>
      </c>
      <c r="Q120" t="n">
        <v>0.1467587086996577</v>
      </c>
      <c r="R120" t="n">
        <v>4.875646431260631</v>
      </c>
      <c r="S120" t="n">
        <v>25.04906513286294</v>
      </c>
      <c r="T120" t="n">
        <v>23.13326914585928</v>
      </c>
      <c r="U120" t="n">
        <v>-11.2983526594958</v>
      </c>
      <c r="V120" t="n">
        <v>-9.38255667249215</v>
      </c>
      <c r="W120" t="n">
        <v>14.60774580670047</v>
      </c>
      <c r="X120" t="n">
        <v>-11.74578599282913</v>
      </c>
      <c r="Y120" t="n">
        <v>-9.829990005825483</v>
      </c>
    </row>
    <row r="121">
      <c r="A121" s="8" t="n">
        <v>47818</v>
      </c>
      <c r="B121" t="inlineStr">
        <is>
          <t>Scenario</t>
        </is>
      </c>
      <c r="C121" t="n">
        <v>1.013351161112747</v>
      </c>
      <c r="D121" t="n">
        <v>3.748802952846074</v>
      </c>
      <c r="E121" t="n">
        <v>0.1101869275999741</v>
      </c>
      <c r="F121" t="n">
        <v>0.1029597376300287</v>
      </c>
      <c r="G121" t="n">
        <v>0.0005525501526312599</v>
      </c>
      <c r="H121" t="n">
        <v>20.96859393460808</v>
      </c>
      <c r="I121" t="n">
        <v>18.90063044432378</v>
      </c>
      <c r="L121" t="n">
        <v>1.143408602150538</v>
      </c>
      <c r="M121" t="n">
        <v>1.674903225806452</v>
      </c>
      <c r="N121" t="inlineStr">
        <is>
          <t>seasonal pattern of Aug/23-Jul/26</t>
        </is>
      </c>
      <c r="O121" t="n">
        <v>13.82878810709775</v>
      </c>
      <c r="P121" t="n">
        <v>13.76672865907676</v>
      </c>
      <c r="Q121" t="n">
        <v>0.213699215382634</v>
      </c>
      <c r="R121" t="n">
        <v>4.975853329341455</v>
      </c>
      <c r="S121" t="n">
        <v>25.94444726394953</v>
      </c>
      <c r="T121" t="n">
        <v>23.87648377366524</v>
      </c>
      <c r="U121" t="n">
        <v>-12.17771860487278</v>
      </c>
      <c r="V121" t="n">
        <v>-10.10975511458848</v>
      </c>
      <c r="W121" t="n">
        <v>15.44163188488321</v>
      </c>
      <c r="X121" t="n">
        <v>-11.64622398121687</v>
      </c>
      <c r="Y121" t="n">
        <v>-9.578260490932566</v>
      </c>
    </row>
    <row r="122">
      <c r="A122" s="8" t="n">
        <v>47849</v>
      </c>
      <c r="B122" t="inlineStr">
        <is>
          <t>Scenario</t>
        </is>
      </c>
      <c r="C122" t="n">
        <v>1.167530312237838</v>
      </c>
      <c r="D122" t="n">
        <v>3.5469223394311</v>
      </c>
      <c r="E122" t="n">
        <v>0.195279466049625</v>
      </c>
      <c r="F122" t="n">
        <v>0.1328693779923499</v>
      </c>
      <c r="G122" t="n">
        <v>0.0005096713612336459</v>
      </c>
      <c r="H122" t="n">
        <v>21.18088801367117</v>
      </c>
      <c r="I122" t="n">
        <v>19.3652336265762</v>
      </c>
      <c r="L122" t="n">
        <v>0.7306666666666666</v>
      </c>
      <c r="M122" t="n">
        <v>3.898569892473118</v>
      </c>
      <c r="N122" t="inlineStr">
        <is>
          <t>seasonal pattern of Aug/23-Jul/26</t>
        </is>
      </c>
      <c r="O122" t="n">
        <v>13.83686731343441</v>
      </c>
      <c r="P122" t="n">
        <v>13.77477160836169</v>
      </c>
      <c r="Q122" t="n">
        <v>0.3286585154032086</v>
      </c>
      <c r="R122" t="n">
        <v>5.043111167072146</v>
      </c>
      <c r="S122" t="n">
        <v>26.22399918074332</v>
      </c>
      <c r="T122" t="n">
        <v>24.40834479364835</v>
      </c>
      <c r="U122" t="n">
        <v>-12.44922757238163</v>
      </c>
      <c r="V122" t="n">
        <v>-10.63357318528665</v>
      </c>
      <c r="W122" t="n">
        <v>17.67334150083481</v>
      </c>
      <c r="X122" t="n">
        <v>-9.281324346575174</v>
      </c>
      <c r="Y122" t="n">
        <v>-7.4656699594802</v>
      </c>
    </row>
    <row r="123">
      <c r="A123" s="8" t="n">
        <v>47880</v>
      </c>
      <c r="B123" t="inlineStr">
        <is>
          <t>Scenario</t>
        </is>
      </c>
      <c r="C123" t="n">
        <v>1.024803352585605</v>
      </c>
      <c r="D123" t="n">
        <v>3.351073976515722</v>
      </c>
      <c r="E123" t="n">
        <v>0.122456150547301</v>
      </c>
      <c r="F123" t="n">
        <v>0.1058068316652503</v>
      </c>
      <c r="G123" t="n">
        <v>0.0005010930352647269</v>
      </c>
      <c r="H123" t="n">
        <v>21.23031097829645</v>
      </c>
      <c r="I123" t="n">
        <v>19.66075272720838</v>
      </c>
      <c r="L123" t="n">
        <v>1.108112479474548</v>
      </c>
      <c r="M123" t="n">
        <v>2.522028325123153</v>
      </c>
      <c r="N123" t="inlineStr">
        <is>
          <t>seasonal pattern of Aug/23-Jul/26</t>
        </is>
      </c>
      <c r="O123" t="n">
        <v>13.84495122154469</v>
      </c>
      <c r="P123" t="n">
        <v>13.7828192383201</v>
      </c>
      <c r="Q123" t="n">
        <v>0.228764075247816</v>
      </c>
      <c r="R123" t="n">
        <v>4.604641404349143</v>
      </c>
      <c r="S123" t="n">
        <v>25.83495238264559</v>
      </c>
      <c r="T123" t="n">
        <v>24.26539413155752</v>
      </c>
      <c r="U123" t="n">
        <v>-12.05213314432549</v>
      </c>
      <c r="V123" t="n">
        <v>-10.48257489323742</v>
      </c>
      <c r="W123" t="n">
        <v>16.30484756344325</v>
      </c>
      <c r="X123" t="n">
        <v>-10.63821729867689</v>
      </c>
      <c r="Y123" t="n">
        <v>-9.068659047588817</v>
      </c>
    </row>
    <row r="124">
      <c r="A124" s="8" t="n">
        <v>47908</v>
      </c>
      <c r="B124" t="inlineStr">
        <is>
          <t>Scenario</t>
        </is>
      </c>
      <c r="C124" t="n">
        <v>0.9808640496555374</v>
      </c>
      <c r="D124" t="n">
        <v>3.392473310129938</v>
      </c>
      <c r="E124" t="n">
        <v>0.06908206831595774</v>
      </c>
      <c r="F124" t="n">
        <v>0.07976567772576426</v>
      </c>
      <c r="G124" t="n">
        <v>0.000507090553266495</v>
      </c>
      <c r="H124" t="n">
        <v>21.15989000191371</v>
      </c>
      <c r="I124" t="n">
        <v>19.84274996995349</v>
      </c>
      <c r="L124" t="n">
        <v>1.836397849462366</v>
      </c>
      <c r="M124" t="n">
        <v>1.039376344086022</v>
      </c>
      <c r="N124" t="inlineStr">
        <is>
          <t>seasonal pattern of Aug/23-Jul/26</t>
        </is>
      </c>
      <c r="O124" t="n">
        <v>13.85303983416483</v>
      </c>
      <c r="P124" t="n">
        <v>13.79087155167593</v>
      </c>
      <c r="Q124" t="n">
        <v>0.1493548365949885</v>
      </c>
      <c r="R124" t="n">
        <v>4.522692196380465</v>
      </c>
      <c r="S124" t="n">
        <v>25.68258219829417</v>
      </c>
      <c r="T124" t="n">
        <v>24.36544216633395</v>
      </c>
      <c r="U124" t="n">
        <v>-11.89171064661824</v>
      </c>
      <c r="V124" t="n">
        <v>-10.57457061465802</v>
      </c>
      <c r="W124" t="n">
        <v>14.83024789576195</v>
      </c>
      <c r="X124" t="n">
        <v>-12.68873215199459</v>
      </c>
      <c r="Y124" t="n">
        <v>-11.37159212003437</v>
      </c>
    </row>
    <row r="125">
      <c r="A125" s="8" t="n">
        <v>47939</v>
      </c>
      <c r="B125" t="inlineStr">
        <is>
          <t>Scenario</t>
        </is>
      </c>
      <c r="C125" t="n">
        <v>1.124743948460553</v>
      </c>
      <c r="D125" t="n">
        <v>3.546417661103745</v>
      </c>
      <c r="E125" t="n">
        <v>0.03606810369640023</v>
      </c>
      <c r="F125" t="n">
        <v>0.06927663661774737</v>
      </c>
      <c r="G125" t="n">
        <v>0.0004967744209177381</v>
      </c>
      <c r="H125" t="n">
        <v>20.34189014062969</v>
      </c>
      <c r="I125" t="n">
        <v>19.31115174992062</v>
      </c>
      <c r="L125" t="n">
        <v>1.879377777777778</v>
      </c>
      <c r="M125" t="n">
        <v>0.9012333333333333</v>
      </c>
      <c r="N125" t="inlineStr">
        <is>
          <t>seasonal pattern of Aug/23-Jul/26</t>
        </is>
      </c>
      <c r="O125" t="n">
        <v>13.86113315403266</v>
      </c>
      <c r="P125" t="n">
        <v>13.79892855115475</v>
      </c>
      <c r="Q125" t="n">
        <v>0.1058415147350653</v>
      </c>
      <c r="R125" t="n">
        <v>4.777003124299362</v>
      </c>
      <c r="S125" t="n">
        <v>25.11889326492905</v>
      </c>
      <c r="T125" t="n">
        <v>24.08815487421998</v>
      </c>
      <c r="U125" t="n">
        <v>-11.3199647137743</v>
      </c>
      <c r="V125" t="n">
        <v>-10.28922632306523</v>
      </c>
      <c r="W125" t="n">
        <v>14.70016188448808</v>
      </c>
      <c r="X125" t="n">
        <v>-12.29810915821875</v>
      </c>
      <c r="Y125" t="n">
        <v>-11.26737076750968</v>
      </c>
    </row>
    <row r="126">
      <c r="A126" s="8" t="n">
        <v>47969</v>
      </c>
      <c r="B126" t="inlineStr">
        <is>
          <t>Scenario</t>
        </is>
      </c>
      <c r="C126" t="n">
        <v>1.321408604921496</v>
      </c>
      <c r="D126" t="n">
        <v>3.516051613369771</v>
      </c>
      <c r="E126" t="n">
        <v>0.03314760443485838</v>
      </c>
      <c r="F126" t="n">
        <v>0.06324587165234144</v>
      </c>
      <c r="G126" t="n">
        <v>0.0005045228136611747</v>
      </c>
      <c r="H126" t="n">
        <v>19.12286162552623</v>
      </c>
      <c r="I126" t="n">
        <v>18.37325038829199</v>
      </c>
      <c r="L126" t="n">
        <v>1.901956989247312</v>
      </c>
      <c r="M126" t="n">
        <v>0.6363225806451612</v>
      </c>
      <c r="N126" t="inlineStr">
        <is>
          <t>seasonal pattern of Aug/23-Jul/26</t>
        </is>
      </c>
      <c r="O126" t="n">
        <v>13.86923118388761</v>
      </c>
      <c r="P126" t="n">
        <v>13.80699023948368</v>
      </c>
      <c r="Q126" t="n">
        <v>0.09689799890086098</v>
      </c>
      <c r="R126" t="n">
        <v>4.934358217192129</v>
      </c>
      <c r="S126" t="n">
        <v>24.05721984271836</v>
      </c>
      <c r="T126" t="n">
        <v>23.30760860548411</v>
      </c>
      <c r="U126" t="n">
        <v>-10.25022960323468</v>
      </c>
      <c r="V126" t="n">
        <v>-9.500618366000436</v>
      </c>
      <c r="W126" t="n">
        <v>14.44331282012884</v>
      </c>
      <c r="X126" t="n">
        <v>-11.51586401183683</v>
      </c>
      <c r="Y126" t="n">
        <v>-10.76625277460259</v>
      </c>
    </row>
    <row r="127">
      <c r="A127" s="8" t="n">
        <v>48000</v>
      </c>
      <c r="B127" t="inlineStr">
        <is>
          <t>Scenario</t>
        </is>
      </c>
      <c r="C127" t="n">
        <v>1.507305132497184</v>
      </c>
      <c r="D127" t="n">
        <v>3.500558747140337</v>
      </c>
      <c r="E127" t="n">
        <v>0.03011988638880763</v>
      </c>
      <c r="F127" t="n">
        <v>0.06224999238743135</v>
      </c>
      <c r="G127" t="n">
        <v>0.0004942589188101093</v>
      </c>
      <c r="H127" t="n">
        <v>18.62471079636015</v>
      </c>
      <c r="I127" t="n">
        <v>18.00834706063397</v>
      </c>
      <c r="L127" t="n">
        <v>1.611388888888889</v>
      </c>
      <c r="M127" t="n">
        <v>0.8488000000000001</v>
      </c>
      <c r="N127" t="inlineStr">
        <is>
          <t>seasonal pattern of Aug/23-Jul/26</t>
        </is>
      </c>
      <c r="O127" t="n">
        <v>13.87733392647071</v>
      </c>
      <c r="P127" t="n">
        <v>13.81505661939145</v>
      </c>
      <c r="Q127" t="n">
        <v>0.09286413769504909</v>
      </c>
      <c r="R127" t="n">
        <v>5.100728017332569</v>
      </c>
      <c r="S127" t="n">
        <v>23.72543881369272</v>
      </c>
      <c r="T127" t="n">
        <v>23.10907507796654</v>
      </c>
      <c r="U127" t="n">
        <v>-9.910382194301274</v>
      </c>
      <c r="V127" t="n">
        <v>-9.294018458575099</v>
      </c>
      <c r="W127" t="n">
        <v>14.66385661939145</v>
      </c>
      <c r="X127" t="n">
        <v>-10.67297108319016</v>
      </c>
      <c r="Y127" t="n">
        <v>-10.05660734746399</v>
      </c>
    </row>
    <row r="128">
      <c r="A128" s="8" t="n">
        <v>48030</v>
      </c>
      <c r="B128" t="inlineStr">
        <is>
          <t>Scenario</t>
        </is>
      </c>
      <c r="C128" t="n">
        <v>1.619482308948388</v>
      </c>
      <c r="D128" t="n">
        <v>3.572904232632956</v>
      </c>
      <c r="E128" t="n">
        <v>0.02682883446719823</v>
      </c>
      <c r="F128" t="n">
        <v>0.05417547455904419</v>
      </c>
      <c r="G128" t="n">
        <v>0.0005019680762438034</v>
      </c>
      <c r="H128" t="n">
        <v>18.76318309027753</v>
      </c>
      <c r="I128" t="n">
        <v>18.2557696485062</v>
      </c>
      <c r="L128" t="n">
        <v>1.232569892473118</v>
      </c>
      <c r="M128" t="n">
        <v>1.100247311827957</v>
      </c>
      <c r="N128" t="inlineStr">
        <is>
          <t>seasonal pattern of Aug/23-Jul/26</t>
        </is>
      </c>
      <c r="O128" t="n">
        <v>13.88544138452457</v>
      </c>
      <c r="P128" t="n">
        <v>13.82312769360836</v>
      </c>
      <c r="Q128" t="n">
        <v>0.08150627710248623</v>
      </c>
      <c r="R128" t="n">
        <v>5.273892818683831</v>
      </c>
      <c r="S128" t="n">
        <v>24.03707590896136</v>
      </c>
      <c r="T128" t="n">
        <v>23.52966246719003</v>
      </c>
      <c r="U128" t="n">
        <v>-10.21394821535299</v>
      </c>
      <c r="V128" t="n">
        <v>-9.706534773581666</v>
      </c>
      <c r="W128" t="n">
        <v>14.92337500543632</v>
      </c>
      <c r="X128" t="n">
        <v>-10.34627079599816</v>
      </c>
      <c r="Y128" t="n">
        <v>-9.838857354226828</v>
      </c>
    </row>
    <row r="129">
      <c r="A129" s="8" t="n">
        <v>48061</v>
      </c>
      <c r="B129" t="inlineStr">
        <is>
          <t>Scenario</t>
        </is>
      </c>
      <c r="C129" t="n">
        <v>1.662117205696213</v>
      </c>
      <c r="D129" t="n">
        <v>3.48001741623266</v>
      </c>
      <c r="E129" t="n">
        <v>0.02502969341190914</v>
      </c>
      <c r="F129" t="n">
        <v>0.0576509145578943</v>
      </c>
      <c r="G129" t="n">
        <v>0.0005414431446734235</v>
      </c>
      <c r="H129" t="n">
        <v>18.80339098570049</v>
      </c>
      <c r="I129" t="n">
        <v>18.37964033124419</v>
      </c>
      <c r="L129" t="n">
        <v>0.9842580645161288</v>
      </c>
      <c r="M129" t="n">
        <v>1.349731182795699</v>
      </c>
      <c r="N129" t="inlineStr">
        <is>
          <t>seasonal pattern of Aug/23-Jul/26</t>
        </is>
      </c>
      <c r="O129" t="n">
        <v>13.89355356079342</v>
      </c>
      <c r="P129" t="n">
        <v>13.83120346486633</v>
      </c>
      <c r="Q129" t="n">
        <v>0.08322205111447688</v>
      </c>
      <c r="R129" t="n">
        <v>5.22535667304335</v>
      </c>
      <c r="S129" t="n">
        <v>24.02874765874384</v>
      </c>
      <c r="T129" t="n">
        <v>23.60499700428754</v>
      </c>
      <c r="U129" t="n">
        <v>-10.19754419387751</v>
      </c>
      <c r="V129" t="n">
        <v>-9.773793539421209</v>
      </c>
      <c r="W129" t="n">
        <v>15.18093464766203</v>
      </c>
      <c r="X129" t="n">
        <v>-9.832071075597941</v>
      </c>
      <c r="Y129" t="n">
        <v>-9.408320421141639</v>
      </c>
    </row>
    <row r="130">
      <c r="A130" s="8" t="n">
        <v>48092</v>
      </c>
      <c r="B130" t="inlineStr">
        <is>
          <t>Scenario</t>
        </is>
      </c>
      <c r="C130" t="n">
        <v>1.364524388058681</v>
      </c>
      <c r="D130" t="n">
        <v>3.443906381062834</v>
      </c>
      <c r="E130" t="n">
        <v>0.0276432690781743</v>
      </c>
      <c r="F130" t="n">
        <v>0.06301017115069243</v>
      </c>
      <c r="G130" t="n">
        <v>0.0005325086229173888</v>
      </c>
      <c r="H130" t="n">
        <v>19.18090506490999</v>
      </c>
      <c r="I130" t="n">
        <v>18.83509845670827</v>
      </c>
      <c r="L130" t="n">
        <v>1.311877777777778</v>
      </c>
      <c r="M130" t="n">
        <v>0.9838444444444444</v>
      </c>
      <c r="N130" t="inlineStr">
        <is>
          <t>seasonal pattern of Aug/23-Jul/26</t>
        </is>
      </c>
      <c r="O130" t="n">
        <v>13.90167045802306</v>
      </c>
      <c r="P130" t="n">
        <v>13.83928393589883</v>
      </c>
      <c r="Q130" t="n">
        <v>0.09118594885178412</v>
      </c>
      <c r="R130" t="n">
        <v>4.899616717973299</v>
      </c>
      <c r="S130" t="n">
        <v>24.08052178288328</v>
      </c>
      <c r="T130" t="n">
        <v>23.73471517468156</v>
      </c>
      <c r="U130" t="n">
        <v>-10.24123784698445</v>
      </c>
      <c r="V130" t="n">
        <v>-9.895431238782733</v>
      </c>
      <c r="W130" t="n">
        <v>14.82312838034328</v>
      </c>
      <c r="X130" t="n">
        <v>-10.56927118031778</v>
      </c>
      <c r="Y130" t="n">
        <v>-10.22346457211606</v>
      </c>
    </row>
    <row r="131">
      <c r="A131" s="8" t="n">
        <v>48122</v>
      </c>
      <c r="B131" t="inlineStr">
        <is>
          <t>Scenario</t>
        </is>
      </c>
      <c r="C131" t="n">
        <v>1.211052081647158</v>
      </c>
      <c r="D131" t="n">
        <v>3.442537252120565</v>
      </c>
      <c r="E131" t="n">
        <v>0.03184981773991132</v>
      </c>
      <c r="F131" t="n">
        <v>0.06934458679532765</v>
      </c>
      <c r="G131" t="n">
        <v>0.0005387014548555963</v>
      </c>
      <c r="H131" t="n">
        <v>20.10895911890998</v>
      </c>
      <c r="I131" t="n">
        <v>19.83705546301451</v>
      </c>
      <c r="L131" t="n">
        <v>1.779247311827957</v>
      </c>
      <c r="M131" t="n">
        <v>0.6070430107526882</v>
      </c>
      <c r="N131" t="inlineStr">
        <is>
          <t>seasonal pattern of Aug/23-Jul/26</t>
        </is>
      </c>
      <c r="O131" t="n">
        <v>13.9097920789609</v>
      </c>
      <c r="P131" t="n">
        <v>13.84736910944095</v>
      </c>
      <c r="Q131" t="n">
        <v>0.1017331059900946</v>
      </c>
      <c r="R131" t="n">
        <v>4.755322439757818</v>
      </c>
      <c r="S131" t="n">
        <v>24.8642815586678</v>
      </c>
      <c r="T131" t="n">
        <v>24.59237790277233</v>
      </c>
      <c r="U131" t="n">
        <v>-11.01691244922684</v>
      </c>
      <c r="V131" t="n">
        <v>-10.74500879333137</v>
      </c>
      <c r="W131" t="n">
        <v>14.45441212019364</v>
      </c>
      <c r="X131" t="n">
        <v>-12.18911675030211</v>
      </c>
      <c r="Y131" t="n">
        <v>-11.91721309440664</v>
      </c>
    </row>
    <row r="132">
      <c r="A132" s="8" t="n">
        <v>48153</v>
      </c>
      <c r="B132" t="inlineStr">
        <is>
          <t>Scenario</t>
        </is>
      </c>
      <c r="C132" t="n">
        <v>1.224746661734543</v>
      </c>
      <c r="D132" t="n">
        <v>3.569243208496232</v>
      </c>
      <c r="E132" t="n">
        <v>0.0573880738112666</v>
      </c>
      <c r="F132" t="n">
        <v>0.08649135883435587</v>
      </c>
      <c r="G132" t="n">
        <v>0.0005298121745760982</v>
      </c>
      <c r="H132" t="n">
        <v>21.18746624301015</v>
      </c>
      <c r="I132" t="n">
        <v>20.99647510330404</v>
      </c>
      <c r="L132" t="n">
        <v>1.304466666666667</v>
      </c>
      <c r="M132" t="n">
        <v>0.8570333333333333</v>
      </c>
      <c r="N132" t="inlineStr">
        <is>
          <t>seasonal pattern of Aug/23-Jul/26</t>
        </is>
      </c>
      <c r="O132" t="n">
        <v>13.91791842635594</v>
      </c>
      <c r="P132" t="n">
        <v>13.85545898822936</v>
      </c>
      <c r="Q132" t="n">
        <v>0.1444092448201986</v>
      </c>
      <c r="R132" t="n">
        <v>4.938399115050973</v>
      </c>
      <c r="S132" t="n">
        <v>26.12586535806112</v>
      </c>
      <c r="T132" t="n">
        <v>25.93487421835501</v>
      </c>
      <c r="U132" t="n">
        <v>-12.27040636983176</v>
      </c>
      <c r="V132" t="n">
        <v>-12.07941523012565</v>
      </c>
      <c r="W132" t="n">
        <v>14.7124923215627</v>
      </c>
      <c r="X132" t="n">
        <v>-12.71783970316509</v>
      </c>
      <c r="Y132" t="n">
        <v>-12.52684856345898</v>
      </c>
    </row>
    <row r="133">
      <c r="A133" s="8" t="n">
        <v>48183</v>
      </c>
      <c r="B133" t="inlineStr">
        <is>
          <t>Scenario</t>
        </is>
      </c>
      <c r="C133" t="n">
        <v>1.042874844330518</v>
      </c>
      <c r="D133" t="n">
        <v>3.781038309787421</v>
      </c>
      <c r="E133" t="n">
        <v>0.1068813197719748</v>
      </c>
      <c r="F133" t="n">
        <v>0.102299527438706</v>
      </c>
      <c r="G133" t="n">
        <v>0.0005359736480523221</v>
      </c>
      <c r="H133" t="n">
        <v>21.78446306941743</v>
      </c>
      <c r="I133" t="n">
        <v>21.68627673175456</v>
      </c>
      <c r="L133" t="n">
        <v>1.143408602150538</v>
      </c>
      <c r="M133" t="n">
        <v>1.674903225806452</v>
      </c>
      <c r="N133" t="inlineStr">
        <is>
          <t>seasonal pattern of Aug/23-Jul/26</t>
        </is>
      </c>
      <c r="O133" t="n">
        <v>13.92604950295881</v>
      </c>
      <c r="P133" t="n">
        <v>13.86355357500233</v>
      </c>
      <c r="Q133" t="n">
        <v>0.2097168208587332</v>
      </c>
      <c r="R133" t="n">
        <v>5.033629974976673</v>
      </c>
      <c r="S133" t="n">
        <v>26.8180930443941</v>
      </c>
      <c r="T133" t="n">
        <v>26.71990670673123</v>
      </c>
      <c r="U133" t="n">
        <v>-12.95453946939177</v>
      </c>
      <c r="V133" t="n">
        <v>-12.85635313172891</v>
      </c>
      <c r="W133" t="n">
        <v>15.53845680080878</v>
      </c>
      <c r="X133" t="n">
        <v>-12.42304484573586</v>
      </c>
      <c r="Y133" t="n">
        <v>-12.32485850807299</v>
      </c>
    </row>
    <row r="134">
      <c r="A134" s="8" t="n">
        <v>48214</v>
      </c>
      <c r="B134" t="inlineStr">
        <is>
          <t>Scenario</t>
        </is>
      </c>
      <c r="C134" t="n">
        <v>1.201545958943967</v>
      </c>
      <c r="D134" t="n">
        <v>3.577421757270065</v>
      </c>
      <c r="E134" t="n">
        <v>0.1894210820681362</v>
      </c>
      <c r="F134" t="n">
        <v>0.1320173777883433</v>
      </c>
      <c r="G134" t="n">
        <v>0.0004943812203966365</v>
      </c>
      <c r="H134" t="n">
        <v>21.76960421100057</v>
      </c>
      <c r="I134" t="n">
        <v>21.76960421100057</v>
      </c>
      <c r="L134" t="n">
        <v>0.7306666666666666</v>
      </c>
      <c r="M134" t="n">
        <v>3.898569892473118</v>
      </c>
      <c r="N134" t="inlineStr">
        <is>
          <t>seasonal pattern of Aug/23-Jul/26</t>
        </is>
      </c>
      <c r="O134" t="n">
        <v>13.93012391556546</v>
      </c>
      <c r="P134" t="n">
        <v>13.86760970286881</v>
      </c>
      <c r="Q134" t="n">
        <v>0.3219328410768761</v>
      </c>
      <c r="R134" t="n">
        <v>5.100900557290908</v>
      </c>
      <c r="S134" t="n">
        <v>26.87050476829148</v>
      </c>
      <c r="T134" t="n">
        <v>26.87050476829148</v>
      </c>
      <c r="U134" t="n">
        <v>-13.00289506542267</v>
      </c>
      <c r="V134" t="n">
        <v>-13.00289506542267</v>
      </c>
      <c r="W134" t="n">
        <v>17.76617959534193</v>
      </c>
      <c r="X134" t="n">
        <v>-9.834991839616213</v>
      </c>
      <c r="Y134" t="n">
        <v>-9.834991839616213</v>
      </c>
    </row>
    <row r="135">
      <c r="A135" s="8" t="n">
        <v>48245</v>
      </c>
      <c r="B135" t="inlineStr">
        <is>
          <t>Scenario</t>
        </is>
      </c>
      <c r="C135" t="n">
        <v>1.054660691979211</v>
      </c>
      <c r="D135" t="n">
        <v>3.379889325609446</v>
      </c>
      <c r="E135" t="n">
        <v>0.118782466030882</v>
      </c>
      <c r="F135" t="n">
        <v>0.1051283650123148</v>
      </c>
      <c r="G135" t="n">
        <v>0.0004860602442067851</v>
      </c>
      <c r="H135" t="n">
        <v>21.71978509254615</v>
      </c>
      <c r="I135" t="n">
        <v>21.71978509254615</v>
      </c>
      <c r="L135" t="n">
        <v>1.108112479474548</v>
      </c>
      <c r="M135" t="n">
        <v>2.522028325123153</v>
      </c>
      <c r="N135" t="inlineStr">
        <is>
          <t>seasonal pattern of Aug/23-Jul/26</t>
        </is>
      </c>
      <c r="O135" t="n">
        <v>13.93419951564118</v>
      </c>
      <c r="P135" t="n">
        <v>13.87166701287536</v>
      </c>
      <c r="Q135" t="n">
        <v>0.2243968912874035</v>
      </c>
      <c r="R135" t="n">
        <v>4.65894690887606</v>
      </c>
      <c r="S135" t="n">
        <v>26.37873200142221</v>
      </c>
      <c r="T135" t="n">
        <v>26.37873200142221</v>
      </c>
      <c r="U135" t="n">
        <v>-12.50706498854686</v>
      </c>
      <c r="V135" t="n">
        <v>-12.50706498854686</v>
      </c>
      <c r="W135" t="n">
        <v>16.39369533799851</v>
      </c>
      <c r="X135" t="n">
        <v>-11.09314914289825</v>
      </c>
      <c r="Y135" t="n">
        <v>-11.09314914289825</v>
      </c>
    </row>
    <row r="136">
      <c r="A136" s="8" t="n">
        <v>48274</v>
      </c>
      <c r="B136" t="inlineStr">
        <is>
          <t>Scenario</t>
        </is>
      </c>
      <c r="C136" t="n">
        <v>1.009441230590458</v>
      </c>
      <c r="D136" t="n">
        <v>3.421644645471265</v>
      </c>
      <c r="E136" t="n">
        <v>0.067009606266479</v>
      </c>
      <c r="F136" t="n">
        <v>0.07925419513495245</v>
      </c>
      <c r="G136" t="n">
        <v>0.0004918778366685002</v>
      </c>
      <c r="H136" t="n">
        <v>21.54837906706522</v>
      </c>
      <c r="I136" t="n">
        <v>21.54837906706522</v>
      </c>
      <c r="L136" t="n">
        <v>1.836397849462366</v>
      </c>
      <c r="M136" t="n">
        <v>1.039376344086022</v>
      </c>
      <c r="N136" t="inlineStr">
        <is>
          <t>seasonal pattern of Aug/23-Jul/26</t>
        </is>
      </c>
      <c r="O136" t="n">
        <v>13.93827630353206</v>
      </c>
      <c r="P136" t="n">
        <v>13.8757255053665</v>
      </c>
      <c r="Q136" t="n">
        <v>0.1467556792381</v>
      </c>
      <c r="R136" t="n">
        <v>4.577841555299823</v>
      </c>
      <c r="S136" t="n">
        <v>26.12622062236504</v>
      </c>
      <c r="T136" t="n">
        <v>26.12622062236504</v>
      </c>
      <c r="U136" t="n">
        <v>-12.25049511699854</v>
      </c>
      <c r="V136" t="n">
        <v>-12.25049511699854</v>
      </c>
      <c r="W136" t="n">
        <v>14.91510184945252</v>
      </c>
      <c r="X136" t="n">
        <v>-13.04751662237488</v>
      </c>
      <c r="Y136" t="n">
        <v>-13.04751662237488</v>
      </c>
    </row>
    <row r="137">
      <c r="A137" s="8" t="n">
        <v>48305</v>
      </c>
      <c r="B137" t="inlineStr">
        <is>
          <t>Scenario</t>
        </is>
      </c>
      <c r="C137" t="n">
        <v>1.157513027245632</v>
      </c>
      <c r="D137" t="n">
        <v>3.576912739294499</v>
      </c>
      <c r="E137" t="n">
        <v>0.03498606058550822</v>
      </c>
      <c r="F137" t="n">
        <v>0.06883241305455273</v>
      </c>
      <c r="G137" t="n">
        <v>0.0004818711882902058</v>
      </c>
      <c r="H137" t="n">
        <v>20.62071349258198</v>
      </c>
      <c r="I137" t="n">
        <v>20.62071349258198</v>
      </c>
      <c r="L137" t="n">
        <v>1.879377777777778</v>
      </c>
      <c r="M137" t="n">
        <v>0.9012333333333333</v>
      </c>
      <c r="N137" t="inlineStr">
        <is>
          <t>seasonal pattern of Aug/23-Jul/26</t>
        </is>
      </c>
      <c r="O137" t="n">
        <v>13.94235427958427</v>
      </c>
      <c r="P137" t="n">
        <v>13.87978518068688</v>
      </c>
      <c r="Q137" t="n">
        <v>0.1043003448283512</v>
      </c>
      <c r="R137" t="n">
        <v>4.838726111368483</v>
      </c>
      <c r="S137" t="n">
        <v>25.45943960395047</v>
      </c>
      <c r="T137" t="n">
        <v>25.45943960395047</v>
      </c>
      <c r="U137" t="n">
        <v>-11.57965442326359</v>
      </c>
      <c r="V137" t="n">
        <v>-11.57965442326359</v>
      </c>
      <c r="W137" t="n">
        <v>14.78101851402021</v>
      </c>
      <c r="X137" t="n">
        <v>-12.55779886770804</v>
      </c>
      <c r="Y137" t="n">
        <v>-12.55779886770804</v>
      </c>
    </row>
    <row r="138">
      <c r="A138" s="8" t="n">
        <v>48335</v>
      </c>
      <c r="B138" t="inlineStr">
        <is>
          <t>Scenario</t>
        </is>
      </c>
      <c r="C138" t="n">
        <v>1.359907449695208</v>
      </c>
      <c r="D138" t="n">
        <v>3.546285578773348</v>
      </c>
      <c r="E138" t="n">
        <v>0.03215317630181262</v>
      </c>
      <c r="F138" t="n">
        <v>0.06284031924918744</v>
      </c>
      <c r="G138" t="n">
        <v>0.0004893871292513394</v>
      </c>
      <c r="H138" t="n">
        <v>19.29680973435555</v>
      </c>
      <c r="I138" t="n">
        <v>19.29680973435555</v>
      </c>
      <c r="L138" t="n">
        <v>1.901956989247312</v>
      </c>
      <c r="M138" t="n">
        <v>0.6363225806451612</v>
      </c>
      <c r="N138" t="inlineStr">
        <is>
          <t>seasonal pattern of Aug/23-Jul/26</t>
        </is>
      </c>
      <c r="O138" t="n">
        <v>13.94643344414411</v>
      </c>
      <c r="P138" t="n">
        <v>13.88384603918121</v>
      </c>
      <c r="Q138" t="n">
        <v>0.0954828826802514</v>
      </c>
      <c r="R138" t="n">
        <v>5.001675911148807</v>
      </c>
      <c r="S138" t="n">
        <v>24.29848564550436</v>
      </c>
      <c r="T138" t="n">
        <v>24.29848564550436</v>
      </c>
      <c r="U138" t="n">
        <v>-10.41463960632315</v>
      </c>
      <c r="V138" t="n">
        <v>-10.41463960632315</v>
      </c>
      <c r="W138" t="n">
        <v>14.52016861982637</v>
      </c>
      <c r="X138" t="n">
        <v>-11.6802740149253</v>
      </c>
      <c r="Y138" t="n">
        <v>-11.6802740149253</v>
      </c>
    </row>
    <row r="139">
      <c r="A139" s="8" t="n">
        <v>48366</v>
      </c>
      <c r="B139" t="inlineStr">
        <is>
          <t>Scenario</t>
        </is>
      </c>
      <c r="C139" t="n">
        <v>1.551220017042737</v>
      </c>
      <c r="D139" t="n">
        <v>3.53065949186541</v>
      </c>
      <c r="E139" t="n">
        <v>0.0292162897971434</v>
      </c>
      <c r="F139" t="n">
        <v>0.06185082587506491</v>
      </c>
      <c r="G139" t="n">
        <v>0.0004794311512458059</v>
      </c>
      <c r="H139" t="n">
        <v>18.70903565146297</v>
      </c>
      <c r="I139" t="n">
        <v>18.70903565146297</v>
      </c>
      <c r="L139" t="n">
        <v>1.611388888888889</v>
      </c>
      <c r="M139" t="n">
        <v>0.8488000000000001</v>
      </c>
      <c r="N139" t="inlineStr">
        <is>
          <t>seasonal pattern of Aug/23-Jul/26</t>
        </is>
      </c>
      <c r="O139" t="n">
        <v>13.95051379755796</v>
      </c>
      <c r="P139" t="n">
        <v>13.88790808119433</v>
      </c>
      <c r="Q139" t="n">
        <v>0.09154654682345413</v>
      </c>
      <c r="R139" t="n">
        <v>5.173426055731602</v>
      </c>
      <c r="S139" t="n">
        <v>23.88246170719457</v>
      </c>
      <c r="T139" t="n">
        <v>23.88246170719457</v>
      </c>
      <c r="U139" t="n">
        <v>-9.994553626000236</v>
      </c>
      <c r="V139" t="n">
        <v>-9.994553626000236</v>
      </c>
      <c r="W139" t="n">
        <v>14.73670808119433</v>
      </c>
      <c r="X139" t="n">
        <v>-10.75714251488913</v>
      </c>
      <c r="Y139" t="n">
        <v>-10.75714251488913</v>
      </c>
    </row>
    <row r="140">
      <c r="A140" s="8" t="n">
        <v>48396</v>
      </c>
      <c r="B140" t="inlineStr">
        <is>
          <t>Scenario</t>
        </is>
      </c>
      <c r="C140" t="n">
        <v>1.666665442003345</v>
      </c>
      <c r="D140" t="n">
        <v>3.603627064615558</v>
      </c>
      <c r="E140" t="n">
        <v>0.02602396943318229</v>
      </c>
      <c r="F140" t="n">
        <v>0.05382808439229621</v>
      </c>
      <c r="G140" t="n">
        <v>0.0004869090339564893</v>
      </c>
      <c r="H140" t="n">
        <v>18.76318309027753</v>
      </c>
      <c r="I140" t="n">
        <v>18.76318309027753</v>
      </c>
      <c r="L140" t="n">
        <v>1.232569892473118</v>
      </c>
      <c r="M140" t="n">
        <v>1.100247311827957</v>
      </c>
      <c r="N140" t="inlineStr">
        <is>
          <t>seasonal pattern of Aug/23-Jul/26</t>
        </is>
      </c>
      <c r="O140" t="n">
        <v>13.9545953401723</v>
      </c>
      <c r="P140" t="n">
        <v>13.89197130707117</v>
      </c>
      <c r="Q140" t="n">
        <v>0.08033896285943498</v>
      </c>
      <c r="R140" t="n">
        <v>5.350631469478337</v>
      </c>
      <c r="S140" t="n">
        <v>24.11381455975586</v>
      </c>
      <c r="T140" t="n">
        <v>24.11381455975586</v>
      </c>
      <c r="U140" t="n">
        <v>-10.22184325268469</v>
      </c>
      <c r="V140" t="n">
        <v>-10.22184325268469</v>
      </c>
      <c r="W140" t="n">
        <v>14.99221861889913</v>
      </c>
      <c r="X140" t="n">
        <v>-10.35416583332985</v>
      </c>
      <c r="Y140" t="n">
        <v>-10.35416583332985</v>
      </c>
    </row>
    <row r="141">
      <c r="A141" s="8" t="n">
        <v>48427</v>
      </c>
      <c r="B141" t="inlineStr">
        <is>
          <t>Scenario</t>
        </is>
      </c>
      <c r="C141" t="n">
        <v>1.710542493725584</v>
      </c>
      <c r="D141" t="n">
        <v>3.509941529339004</v>
      </c>
      <c r="E141" t="n">
        <v>0.02427880260955187</v>
      </c>
      <c r="F141" t="n">
        <v>0.05728123877776592</v>
      </c>
      <c r="G141" t="n">
        <v>0.0005251998503332207</v>
      </c>
      <c r="H141" t="n">
        <v>18.80339098570049</v>
      </c>
      <c r="I141" t="n">
        <v>18.80339098570049</v>
      </c>
      <c r="L141" t="n">
        <v>0.9842580645161288</v>
      </c>
      <c r="M141" t="n">
        <v>1.349731182795699</v>
      </c>
      <c r="N141" t="inlineStr">
        <is>
          <t>seasonal pattern of Aug/23-Jul/26</t>
        </is>
      </c>
      <c r="O141" t="n">
        <v>13.95867807233373</v>
      </c>
      <c r="P141" t="n">
        <v>13.89603571715676</v>
      </c>
      <c r="Q141" t="n">
        <v>0.08208524123765101</v>
      </c>
      <c r="R141" t="n">
        <v>5.30256926430224</v>
      </c>
      <c r="S141" t="n">
        <v>24.10596025000273</v>
      </c>
      <c r="T141" t="n">
        <v>24.10596025000273</v>
      </c>
      <c r="U141" t="n">
        <v>-10.20992453284597</v>
      </c>
      <c r="V141" t="n">
        <v>-10.20992453284597</v>
      </c>
      <c r="W141" t="n">
        <v>15.24576689995246</v>
      </c>
      <c r="X141" t="n">
        <v>-9.844451414566398</v>
      </c>
      <c r="Y141" t="n">
        <v>-9.844451414566398</v>
      </c>
    </row>
    <row r="142">
      <c r="A142" s="8" t="n">
        <v>48458</v>
      </c>
      <c r="B142" t="inlineStr">
        <is>
          <t>Scenario</t>
        </is>
      </c>
      <c r="C142" t="n">
        <v>1.404279398288038</v>
      </c>
      <c r="D142" t="n">
        <v>3.473519981153994</v>
      </c>
      <c r="E142" t="n">
        <v>0.02681397100582907</v>
      </c>
      <c r="F142" t="n">
        <v>0.06260613013322058</v>
      </c>
      <c r="G142" t="n">
        <v>0.0005165333642298672</v>
      </c>
      <c r="H142" t="n">
        <v>19.18090506490999</v>
      </c>
      <c r="I142" t="n">
        <v>19.18090506490999</v>
      </c>
      <c r="L142" t="n">
        <v>1.311877777777778</v>
      </c>
      <c r="M142" t="n">
        <v>0.9838444444444444</v>
      </c>
      <c r="N142" t="inlineStr">
        <is>
          <t>seasonal pattern of Aug/23-Jul/26</t>
        </is>
      </c>
      <c r="O142" t="n">
        <v>13.96276199438892</v>
      </c>
      <c r="P142" t="n">
        <v>13.90010131179624</v>
      </c>
      <c r="Q142" t="n">
        <v>0.08993663450327952</v>
      </c>
      <c r="R142" t="n">
        <v>4.967736013945312</v>
      </c>
      <c r="S142" t="n">
        <v>24.1486410788553</v>
      </c>
      <c r="T142" t="n">
        <v>24.1486410788553</v>
      </c>
      <c r="U142" t="n">
        <v>-10.24853976705906</v>
      </c>
      <c r="V142" t="n">
        <v>-10.24853976705906</v>
      </c>
      <c r="W142" t="n">
        <v>14.88394575624068</v>
      </c>
      <c r="X142" t="n">
        <v>-10.57657310039239</v>
      </c>
      <c r="Y142" t="n">
        <v>-10.57657310039239</v>
      </c>
    </row>
    <row r="143">
      <c r="A143" s="8" t="n">
        <v>48488</v>
      </c>
      <c r="B143" t="inlineStr">
        <is>
          <t>Scenario</t>
        </is>
      </c>
      <c r="C143" t="n">
        <v>1.246335722097633</v>
      </c>
      <c r="D143" t="n">
        <v>3.472139079290954</v>
      </c>
      <c r="E143" t="n">
        <v>0.03089432320771397</v>
      </c>
      <c r="F143" t="n">
        <v>0.06889992751424201</v>
      </c>
      <c r="G143" t="n">
        <v>0.0005225404112099284</v>
      </c>
      <c r="H143" t="n">
        <v>20.10895911890998</v>
      </c>
      <c r="I143" t="n">
        <v>20.10895911890998</v>
      </c>
      <c r="L143" t="n">
        <v>1.779247311827957</v>
      </c>
      <c r="M143" t="n">
        <v>0.6070430107526882</v>
      </c>
      <c r="N143" t="inlineStr">
        <is>
          <t>seasonal pattern of Aug/23-Jul/26</t>
        </is>
      </c>
      <c r="O143" t="n">
        <v>13.96684710668467</v>
      </c>
      <c r="P143" t="n">
        <v>13.90416809133483</v>
      </c>
      <c r="Q143" t="n">
        <v>0.1003167911331659</v>
      </c>
      <c r="R143" t="n">
        <v>4.818791592521753</v>
      </c>
      <c r="S143" t="n">
        <v>24.92775071143173</v>
      </c>
      <c r="T143" t="n">
        <v>24.92775071143173</v>
      </c>
      <c r="U143" t="n">
        <v>-11.0235826200969</v>
      </c>
      <c r="V143" t="n">
        <v>-11.0235826200969</v>
      </c>
      <c r="W143" t="n">
        <v>14.51121110208752</v>
      </c>
      <c r="X143" t="n">
        <v>-12.19578692117217</v>
      </c>
      <c r="Y143" t="n">
        <v>-12.19578692117217</v>
      </c>
    </row>
    <row r="144">
      <c r="A144" s="8" t="n">
        <v>48519</v>
      </c>
      <c r="B144" t="inlineStr">
        <is>
          <t>Scenario</t>
        </is>
      </c>
      <c r="C144" t="n">
        <v>1.260429289682951</v>
      </c>
      <c r="D144" t="n">
        <v>3.599934559917892</v>
      </c>
      <c r="E144" t="n">
        <v>0.0556664315969286</v>
      </c>
      <c r="F144" t="n">
        <v>0.08593674906282578</v>
      </c>
      <c r="G144" t="n">
        <v>0.0005139178093388153</v>
      </c>
      <c r="H144" t="n">
        <v>21.18746624301015</v>
      </c>
      <c r="I144" t="n">
        <v>21.18746624301015</v>
      </c>
      <c r="L144" t="n">
        <v>1.304466666666667</v>
      </c>
      <c r="M144" t="n">
        <v>0.8570333333333333</v>
      </c>
      <c r="N144" t="inlineStr">
        <is>
          <t>seasonal pattern of Aug/23-Jul/26</t>
        </is>
      </c>
      <c r="O144" t="n">
        <v>13.97093340956788</v>
      </c>
      <c r="P144" t="n">
        <v>13.90823605611788</v>
      </c>
      <c r="Q144" t="n">
        <v>0.1421170984690932</v>
      </c>
      <c r="R144" t="n">
        <v>5.002480948069935</v>
      </c>
      <c r="S144" t="n">
        <v>26.18994719108008</v>
      </c>
      <c r="T144" t="n">
        <v>26.18994719108008</v>
      </c>
      <c r="U144" t="n">
        <v>-12.28171113496221</v>
      </c>
      <c r="V144" t="n">
        <v>-12.28171113496221</v>
      </c>
      <c r="W144" t="n">
        <v>14.76526938945121</v>
      </c>
      <c r="X144" t="n">
        <v>-12.72914446829554</v>
      </c>
      <c r="Y144" t="n">
        <v>-12.72914446829554</v>
      </c>
    </row>
    <row r="145">
      <c r="A145" s="8" t="n">
        <v>48549</v>
      </c>
      <c r="B145" t="inlineStr">
        <is>
          <t>Scenario</t>
        </is>
      </c>
      <c r="C145" t="n">
        <v>1.073258691235068</v>
      </c>
      <c r="D145" t="n">
        <v>3.813550853406811</v>
      </c>
      <c r="E145" t="n">
        <v>0.1036748801788156</v>
      </c>
      <c r="F145" t="n">
        <v>0.1016435507225918</v>
      </c>
      <c r="G145" t="n">
        <v>0.0005198944386107524</v>
      </c>
      <c r="H145" t="n">
        <v>21.78446306941743</v>
      </c>
      <c r="I145" t="n">
        <v>21.78446306941743</v>
      </c>
      <c r="L145" t="n">
        <v>1.143408602150538</v>
      </c>
      <c r="M145" t="n">
        <v>1.674903225806452</v>
      </c>
      <c r="N145" t="inlineStr">
        <is>
          <t>seasonal pattern of Aug/23-Jul/26</t>
        </is>
      </c>
      <c r="O145" t="n">
        <v>13.97502090338552</v>
      </c>
      <c r="P145" t="n">
        <v>13.9123052064908</v>
      </c>
      <c r="Q145" t="n">
        <v>0.2058383253400181</v>
      </c>
      <c r="R145" t="n">
        <v>5.092647869981898</v>
      </c>
      <c r="S145" t="n">
        <v>26.87711093939932</v>
      </c>
      <c r="T145" t="n">
        <v>26.87711093939932</v>
      </c>
      <c r="U145" t="n">
        <v>-12.96480573290852</v>
      </c>
      <c r="V145" t="n">
        <v>-12.96480573290852</v>
      </c>
      <c r="W145" t="n">
        <v>15.58720843229725</v>
      </c>
      <c r="X145" t="n">
        <v>-12.43331110925261</v>
      </c>
      <c r="Y145" t="n">
        <v>-12.43331110925261</v>
      </c>
    </row>
    <row r="146">
      <c r="A146" s="8" t="n">
        <v>48580</v>
      </c>
      <c r="B146" t="inlineStr">
        <is>
          <t>Scenario</t>
        </is>
      </c>
      <c r="C146" t="n">
        <v>1.236552641350589</v>
      </c>
      <c r="D146" t="n">
        <v>3.608183434724408</v>
      </c>
      <c r="E146" t="n">
        <v>0.1837384496060921</v>
      </c>
      <c r="F146" t="n">
        <v>0.1311708408773737</v>
      </c>
      <c r="G146" t="n">
        <v>0.0004795497837847374</v>
      </c>
      <c r="H146" t="n">
        <v>21.76960421100057</v>
      </c>
      <c r="I146" t="n">
        <v>21.76960421100057</v>
      </c>
      <c r="L146" t="n">
        <v>0.7306666666666666</v>
      </c>
      <c r="M146" t="n">
        <v>3.898569892473118</v>
      </c>
      <c r="N146" t="inlineStr">
        <is>
          <t>seasonal pattern of Aug/23-Jul/26</t>
        </is>
      </c>
      <c r="O146" t="n">
        <v>13.97706688418508</v>
      </c>
      <c r="P146" t="n">
        <v>13.91434200554298</v>
      </c>
      <c r="Q146" t="n">
        <v>0.3153888402672506</v>
      </c>
      <c r="R146" t="n">
        <v>5.160124916342248</v>
      </c>
      <c r="S146" t="n">
        <v>26.92972912734282</v>
      </c>
      <c r="T146" t="n">
        <v>26.92972912734282</v>
      </c>
      <c r="U146" t="n">
        <v>-13.01538712179984</v>
      </c>
      <c r="V146" t="n">
        <v>-13.01538712179984</v>
      </c>
      <c r="W146" t="n">
        <v>17.8129118980161</v>
      </c>
      <c r="X146" t="n">
        <v>-9.847483895993383</v>
      </c>
      <c r="Y146" t="n">
        <v>-9.847483895993383</v>
      </c>
    </row>
    <row r="147">
      <c r="A147" s="8" t="n">
        <v>48611</v>
      </c>
      <c r="B147" t="inlineStr">
        <is>
          <t>Scenario</t>
        </is>
      </c>
      <c r="C147" t="n">
        <v>1.085387916032557</v>
      </c>
      <c r="D147" t="n">
        <v>3.408952453280788</v>
      </c>
      <c r="E147" t="n">
        <v>0.1152189920499555</v>
      </c>
      <c r="F147" t="n">
        <v>0.1044542489007564</v>
      </c>
      <c r="G147" t="n">
        <v>0.0004714784368805815</v>
      </c>
      <c r="H147" t="n">
        <v>21.71978509254615</v>
      </c>
      <c r="I147" t="n">
        <v>21.71978509254615</v>
      </c>
      <c r="L147" t="n">
        <v>1.108112479474548</v>
      </c>
      <c r="M147" t="n">
        <v>2.522028325123153</v>
      </c>
      <c r="N147" t="inlineStr">
        <is>
          <t>seasonal pattern of Aug/23-Jul/26</t>
        </is>
      </c>
      <c r="O147" t="n">
        <v>13.97911316336948</v>
      </c>
      <c r="P147" t="n">
        <v>13.91637910164093</v>
      </c>
      <c r="Q147" t="n">
        <v>0.2201447193875925</v>
      </c>
      <c r="R147" t="n">
        <v>4.714485088700937</v>
      </c>
      <c r="S147" t="n">
        <v>26.43427018124709</v>
      </c>
      <c r="T147" t="n">
        <v>26.43427018124709</v>
      </c>
      <c r="U147" t="n">
        <v>-12.51789107960616</v>
      </c>
      <c r="V147" t="n">
        <v>-12.51789107960616</v>
      </c>
      <c r="W147" t="n">
        <v>16.43840742676408</v>
      </c>
      <c r="X147" t="n">
        <v>-11.10397523395756</v>
      </c>
      <c r="Y147" t="n">
        <v>-11.10397523395756</v>
      </c>
    </row>
    <row r="148">
      <c r="A148" s="8" t="n">
        <v>48639</v>
      </c>
      <c r="B148" t="inlineStr">
        <is>
          <t>Scenario</t>
        </is>
      </c>
      <c r="C148" t="n">
        <v>1.038850999151028</v>
      </c>
      <c r="D148" t="n">
        <v>3.45106682045901</v>
      </c>
      <c r="E148" t="n">
        <v>0.06499931807848465</v>
      </c>
      <c r="F148" t="n">
        <v>0.07874599233123909</v>
      </c>
      <c r="G148" t="n">
        <v>0.0004771215015684451</v>
      </c>
      <c r="H148" t="n">
        <v>21.54837906706522</v>
      </c>
      <c r="I148" t="n">
        <v>21.54837906706522</v>
      </c>
      <c r="L148" t="n">
        <v>1.836397849462366</v>
      </c>
      <c r="M148" t="n">
        <v>1.039376344086022</v>
      </c>
      <c r="N148" t="inlineStr">
        <is>
          <t>seasonal pattern of Aug/23-Jul/26</t>
        </is>
      </c>
      <c r="O148" t="n">
        <v>13.98115974098223</v>
      </c>
      <c r="P148" t="n">
        <v>13.91841649482797</v>
      </c>
      <c r="Q148" t="n">
        <v>0.1442224319112922</v>
      </c>
      <c r="R148" t="n">
        <v>4.63414025152133</v>
      </c>
      <c r="S148" t="n">
        <v>26.18251931858655</v>
      </c>
      <c r="T148" t="n">
        <v>26.18251931858655</v>
      </c>
      <c r="U148" t="n">
        <v>-12.26410282375858</v>
      </c>
      <c r="V148" t="n">
        <v>-12.26410282375858</v>
      </c>
      <c r="W148" t="n">
        <v>14.95779283891399</v>
      </c>
      <c r="X148" t="n">
        <v>-13.06112432913492</v>
      </c>
      <c r="Y148" t="n">
        <v>-13.06112432913492</v>
      </c>
    </row>
    <row r="149">
      <c r="A149" s="8" t="n">
        <v>48670</v>
      </c>
      <c r="B149" t="inlineStr">
        <is>
          <t>Scenario</t>
        </is>
      </c>
      <c r="C149" t="n">
        <v>1.191236823347388</v>
      </c>
      <c r="D149" t="n">
        <v>3.607670039784693</v>
      </c>
      <c r="E149" t="n">
        <v>0.03393647876794298</v>
      </c>
      <c r="F149" t="n">
        <v>0.06839103799243629</v>
      </c>
      <c r="G149" t="n">
        <v>0.0004674150526414997</v>
      </c>
      <c r="H149" t="n">
        <v>20.62071349258198</v>
      </c>
      <c r="I149" t="n">
        <v>20.62071349258198</v>
      </c>
      <c r="L149" t="n">
        <v>1.879377777777778</v>
      </c>
      <c r="M149" t="n">
        <v>0.9012333333333333</v>
      </c>
      <c r="N149" t="inlineStr">
        <is>
          <t>seasonal pattern of Aug/23-Jul/26</t>
        </is>
      </c>
      <c r="O149" t="n">
        <v>13.98320661706685</v>
      </c>
      <c r="P149" t="n">
        <v>13.92045418514743</v>
      </c>
      <c r="Q149" t="n">
        <v>0.1027949318130208</v>
      </c>
      <c r="R149" t="n">
        <v>4.901701794945102</v>
      </c>
      <c r="S149" t="n">
        <v>25.52241528752709</v>
      </c>
      <c r="T149" t="n">
        <v>25.52241528752709</v>
      </c>
      <c r="U149" t="n">
        <v>-11.60196110237965</v>
      </c>
      <c r="V149" t="n">
        <v>-11.60196110237965</v>
      </c>
      <c r="W149" t="n">
        <v>14.82168751848077</v>
      </c>
      <c r="X149" t="n">
        <v>-12.58010554682409</v>
      </c>
      <c r="Y149" t="n">
        <v>-12.58010554682409</v>
      </c>
    </row>
    <row r="150">
      <c r="A150" s="8" t="n">
        <v>48700</v>
      </c>
      <c r="B150" t="inlineStr">
        <is>
          <t>Scenario</t>
        </is>
      </c>
      <c r="C150" t="n">
        <v>1.399527946805214</v>
      </c>
      <c r="D150" t="n">
        <v>3.576779521209271</v>
      </c>
      <c r="E150" t="n">
        <v>0.03118858101275824</v>
      </c>
      <c r="F150" t="n">
        <v>0.06243736737548158</v>
      </c>
      <c r="G150" t="n">
        <v>0.0004747055153737993</v>
      </c>
      <c r="H150" t="n">
        <v>19.29680973435555</v>
      </c>
      <c r="I150" t="n">
        <v>19.29680973435555</v>
      </c>
      <c r="L150" t="n">
        <v>1.901956989247312</v>
      </c>
      <c r="M150" t="n">
        <v>0.6363225806451612</v>
      </c>
      <c r="N150" t="inlineStr">
        <is>
          <t>seasonal pattern of Aug/23-Jul/26</t>
        </is>
      </c>
      <c r="O150" t="n">
        <v>13.98525379166687</v>
      </c>
      <c r="P150" t="n">
        <v>13.92249217264265</v>
      </c>
      <c r="Q150" t="n">
        <v>0.09410065390361362</v>
      </c>
      <c r="R150" t="n">
        <v>5.070408121918099</v>
      </c>
      <c r="S150" t="n">
        <v>24.36721785627365</v>
      </c>
      <c r="T150" t="n">
        <v>24.36721785627365</v>
      </c>
      <c r="U150" t="n">
        <v>-10.444725683631</v>
      </c>
      <c r="V150" t="n">
        <v>-10.444725683631</v>
      </c>
      <c r="W150" t="n">
        <v>14.55881475328781</v>
      </c>
      <c r="X150" t="n">
        <v>-11.71036009223315</v>
      </c>
      <c r="Y150" t="n">
        <v>-11.71036009223315</v>
      </c>
    </row>
    <row r="151">
      <c r="A151" s="8" t="n">
        <v>48731</v>
      </c>
      <c r="B151" t="inlineStr">
        <is>
          <t>Scenario</t>
        </is>
      </c>
      <c r="C151" t="n">
        <v>1.59641434862464</v>
      </c>
      <c r="D151" t="n">
        <v>3.561019068079526</v>
      </c>
      <c r="E151" t="n">
        <v>0.0283398011032291</v>
      </c>
      <c r="F151" t="n">
        <v>0.06145421894380818</v>
      </c>
      <c r="G151" t="n">
        <v>0.0004650482167084318</v>
      </c>
      <c r="H151" t="n">
        <v>18.70903565146297</v>
      </c>
      <c r="I151" t="n">
        <v>18.70903565146297</v>
      </c>
      <c r="L151" t="n">
        <v>1.611388888888889</v>
      </c>
      <c r="M151" t="n">
        <v>0.8488000000000001</v>
      </c>
      <c r="N151" t="inlineStr">
        <is>
          <t>seasonal pattern of Aug/23-Jul/26</t>
        </is>
      </c>
      <c r="O151" t="n">
        <v>13.98730126482583</v>
      </c>
      <c r="P151" t="n">
        <v>13.92453045735696</v>
      </c>
      <c r="Q151" t="n">
        <v>0.09025906826374572</v>
      </c>
      <c r="R151" t="n">
        <v>5.247692484967912</v>
      </c>
      <c r="S151" t="n">
        <v>23.95672813643088</v>
      </c>
      <c r="T151" t="n">
        <v>23.95672813643088</v>
      </c>
      <c r="U151" t="n">
        <v>-10.03219767907392</v>
      </c>
      <c r="V151" t="n">
        <v>-10.03219767907392</v>
      </c>
      <c r="W151" t="n">
        <v>14.77333045735696</v>
      </c>
      <c r="X151" t="n">
        <v>-10.79478656796281</v>
      </c>
      <c r="Y151" t="n">
        <v>-10.79478656796281</v>
      </c>
    </row>
    <row r="152">
      <c r="A152" s="8" t="n">
        <v>48761</v>
      </c>
      <c r="B152" t="inlineStr">
        <is>
          <t>Scenario</t>
        </is>
      </c>
      <c r="C152" t="n">
        <v>1.715223241538189</v>
      </c>
      <c r="D152" t="n">
        <v>3.634614077316023</v>
      </c>
      <c r="E152" t="n">
        <v>0.02524325035018682</v>
      </c>
      <c r="F152" t="n">
        <v>0.05348292180045986</v>
      </c>
      <c r="G152" t="n">
        <v>0.0004723017629377946</v>
      </c>
      <c r="H152" t="n">
        <v>18.76318309027753</v>
      </c>
      <c r="I152" t="n">
        <v>18.76318309027753</v>
      </c>
      <c r="L152" t="n">
        <v>1.232569892473118</v>
      </c>
      <c r="M152" t="n">
        <v>1.100247311827957</v>
      </c>
      <c r="N152" t="inlineStr">
        <is>
          <t>seasonal pattern of Aug/23-Jul/26</t>
        </is>
      </c>
      <c r="O152" t="n">
        <v>13.98934903658727</v>
      </c>
      <c r="P152" t="n">
        <v>13.92656903933371</v>
      </c>
      <c r="Q152" t="n">
        <v>0.07919847391358446</v>
      </c>
      <c r="R152" t="n">
        <v>5.429035792767796</v>
      </c>
      <c r="S152" t="n">
        <v>24.19221888304532</v>
      </c>
      <c r="T152" t="n">
        <v>24.19221888304532</v>
      </c>
      <c r="U152" t="n">
        <v>-10.26564984371161</v>
      </c>
      <c r="V152" t="n">
        <v>-10.26564984371161</v>
      </c>
      <c r="W152" t="n">
        <v>15.02681635116167</v>
      </c>
      <c r="X152" t="n">
        <v>-10.39797242435677</v>
      </c>
      <c r="Y152" t="n">
        <v>-10.39797242435677</v>
      </c>
    </row>
    <row r="153">
      <c r="A153" s="8" t="n">
        <v>48792</v>
      </c>
      <c r="B153" t="inlineStr">
        <is>
          <t>Scenario</t>
        </is>
      </c>
      <c r="C153" t="n">
        <v>1.760378638048779</v>
      </c>
      <c r="D153" t="n">
        <v>3.540122955107355</v>
      </c>
      <c r="E153" t="n">
        <v>0.02355043853126531</v>
      </c>
      <c r="F153" t="n">
        <v>0.05691393347490508</v>
      </c>
      <c r="G153" t="n">
        <v>0.0005094438548232241</v>
      </c>
      <c r="H153" t="n">
        <v>18.80339098570049</v>
      </c>
      <c r="I153" t="n">
        <v>18.80339098570049</v>
      </c>
      <c r="L153" t="n">
        <v>0.9842580645161288</v>
      </c>
      <c r="M153" t="n">
        <v>1.349731182795699</v>
      </c>
      <c r="N153" t="inlineStr">
        <is>
          <t>seasonal pattern of Aug/23-Jul/26</t>
        </is>
      </c>
      <c r="O153" t="n">
        <v>13.99139710699473</v>
      </c>
      <c r="P153" t="n">
        <v>13.92860791861625</v>
      </c>
      <c r="Q153" t="n">
        <v>0.08097381586099361</v>
      </c>
      <c r="R153" t="n">
        <v>5.381475409017128</v>
      </c>
      <c r="S153" t="n">
        <v>24.18486639471762</v>
      </c>
      <c r="T153" t="n">
        <v>24.18486639471762</v>
      </c>
      <c r="U153" t="n">
        <v>-10.25625847610137</v>
      </c>
      <c r="V153" t="n">
        <v>-10.25625847610137</v>
      </c>
      <c r="W153" t="n">
        <v>15.27833910141195</v>
      </c>
      <c r="X153" t="n">
        <v>-9.890785357821796</v>
      </c>
      <c r="Y153" t="n">
        <v>-9.890785357821796</v>
      </c>
    </row>
    <row r="154">
      <c r="A154" s="8" t="n">
        <v>48823</v>
      </c>
      <c r="B154" t="inlineStr">
        <is>
          <t>Scenario</t>
        </is>
      </c>
      <c r="C154" t="n">
        <v>1.445192658858809</v>
      </c>
      <c r="D154" t="n">
        <v>3.503388223855411</v>
      </c>
      <c r="E154" t="n">
        <v>0.0260095518756542</v>
      </c>
      <c r="F154" t="n">
        <v>0.0622046799537169</v>
      </c>
      <c r="G154" t="n">
        <v>0.0005010373633029711</v>
      </c>
      <c r="H154" t="n">
        <v>19.18090506490999</v>
      </c>
      <c r="I154" t="n">
        <v>19.18090506490999</v>
      </c>
      <c r="L154" t="n">
        <v>1.311877777777778</v>
      </c>
      <c r="M154" t="n">
        <v>0.9838444444444444</v>
      </c>
      <c r="N154" t="inlineStr">
        <is>
          <t>seasonal pattern of Aug/23-Jul/26</t>
        </is>
      </c>
      <c r="O154" t="n">
        <v>13.99344547609178</v>
      </c>
      <c r="P154" t="n">
        <v>13.93064709524795</v>
      </c>
      <c r="Q154" t="n">
        <v>0.08871526919267407</v>
      </c>
      <c r="R154" t="n">
        <v>5.037296151906894</v>
      </c>
      <c r="S154" t="n">
        <v>24.21820121681688</v>
      </c>
      <c r="T154" t="n">
        <v>24.21820121681688</v>
      </c>
      <c r="U154" t="n">
        <v>-10.28755412156893</v>
      </c>
      <c r="V154" t="n">
        <v>-10.28755412156893</v>
      </c>
      <c r="W154" t="n">
        <v>14.91449153969239</v>
      </c>
      <c r="X154" t="n">
        <v>-10.61558745490226</v>
      </c>
      <c r="Y154" t="n">
        <v>-10.61558745490226</v>
      </c>
    </row>
    <row r="155">
      <c r="A155" s="8" t="n">
        <v>48853</v>
      </c>
      <c r="B155" t="inlineStr">
        <is>
          <t>Scenario</t>
        </is>
      </c>
      <c r="C155" t="n">
        <v>1.282647340867377</v>
      </c>
      <c r="D155" t="n">
        <v>3.501995447838137</v>
      </c>
      <c r="E155" t="n">
        <v>0.02996749351148256</v>
      </c>
      <c r="F155" t="n">
        <v>0.06845811952819456</v>
      </c>
      <c r="G155" t="n">
        <v>0.0005068641988736306</v>
      </c>
      <c r="H155" t="n">
        <v>20.10895911890998</v>
      </c>
      <c r="I155" t="n">
        <v>20.10895911890998</v>
      </c>
      <c r="L155" t="n">
        <v>1.779247311827957</v>
      </c>
      <c r="M155" t="n">
        <v>0.6070430107526882</v>
      </c>
      <c r="N155" t="inlineStr">
        <is>
          <t>seasonal pattern of Aug/23-Jul/26</t>
        </is>
      </c>
      <c r="O155" t="n">
        <v>13.99549414392196</v>
      </c>
      <c r="P155" t="n">
        <v>13.93268656927216</v>
      </c>
      <c r="Q155" t="n">
        <v>0.09893247723855075</v>
      </c>
      <c r="R155" t="n">
        <v>4.883575265944065</v>
      </c>
      <c r="S155" t="n">
        <v>24.99253438485404</v>
      </c>
      <c r="T155" t="n">
        <v>24.99253438485404</v>
      </c>
      <c r="U155" t="n">
        <v>-11.05984781558189</v>
      </c>
      <c r="V155" t="n">
        <v>-11.05984781558189</v>
      </c>
      <c r="W155" t="n">
        <v>14.53972958002485</v>
      </c>
      <c r="X155" t="n">
        <v>-12.23205211665715</v>
      </c>
      <c r="Y155" t="n">
        <v>-12.23205211665715</v>
      </c>
    </row>
    <row r="156">
      <c r="A156" s="8" t="n">
        <v>48884</v>
      </c>
      <c r="B156" t="inlineStr">
        <is>
          <t>Scenario</t>
        </is>
      </c>
      <c r="C156" t="n">
        <v>1.297151520332135</v>
      </c>
      <c r="D156" t="n">
        <v>3.630889821361106</v>
      </c>
      <c r="E156" t="n">
        <v>0.05399643864902073</v>
      </c>
      <c r="F156" t="n">
        <v>0.085385695623429</v>
      </c>
      <c r="G156" t="n">
        <v>0.0004985002750586508</v>
      </c>
      <c r="H156" t="n">
        <v>21.18746624301015</v>
      </c>
      <c r="I156" t="n">
        <v>21.18746624301015</v>
      </c>
      <c r="L156" t="n">
        <v>1.304466666666667</v>
      </c>
      <c r="M156" t="n">
        <v>0.8570333333333333</v>
      </c>
      <c r="N156" t="inlineStr">
        <is>
          <t>seasonal pattern of Aug/23-Jul/26</t>
        </is>
      </c>
      <c r="O156" t="n">
        <v>13.99754311052886</v>
      </c>
      <c r="P156" t="n">
        <v>13.93472634073226</v>
      </c>
      <c r="Q156" t="n">
        <v>0.1398806345475084</v>
      </c>
      <c r="R156" t="n">
        <v>5.06792197624075</v>
      </c>
      <c r="S156" t="n">
        <v>26.2553882192509</v>
      </c>
      <c r="T156" t="n">
        <v>26.2553882192509</v>
      </c>
      <c r="U156" t="n">
        <v>-12.32066187851864</v>
      </c>
      <c r="V156" t="n">
        <v>-12.32066187851864</v>
      </c>
      <c r="W156" t="n">
        <v>14.79175967406559</v>
      </c>
      <c r="X156" t="n">
        <v>-12.76809521185197</v>
      </c>
      <c r="Y156" t="n">
        <v>-12.76809521185197</v>
      </c>
    </row>
    <row r="157">
      <c r="A157" s="8" t="n">
        <v>48914</v>
      </c>
      <c r="B157" t="inlineStr">
        <is>
          <t>Scenario</t>
        </is>
      </c>
      <c r="C157" t="n">
        <v>1.104527762438332</v>
      </c>
      <c r="D157" t="n">
        <v>3.846342967188149</v>
      </c>
      <c r="E157" t="n">
        <v>0.1005646337734511</v>
      </c>
      <c r="F157" t="n">
        <v>0.1009917803353126</v>
      </c>
      <c r="G157" t="n">
        <v>0.0005042976054524299</v>
      </c>
      <c r="H157" t="n">
        <v>21.78446306941743</v>
      </c>
      <c r="I157" t="n">
        <v>21.78446306941743</v>
      </c>
      <c r="L157" t="n">
        <v>1.143408602150538</v>
      </c>
      <c r="M157" t="n">
        <v>1.674903225806452</v>
      </c>
      <c r="N157" t="inlineStr">
        <is>
          <t>seasonal pattern of Aug/23-Jul/26</t>
        </is>
      </c>
      <c r="O157" t="n">
        <v>13.99959237595603</v>
      </c>
      <c r="P157" t="n">
        <v>13.93676640967163</v>
      </c>
      <c r="Q157" t="n">
        <v>0.2020607117142162</v>
      </c>
      <c r="R157" t="n">
        <v>5.152931441340697</v>
      </c>
      <c r="S157" t="n">
        <v>26.93739451075812</v>
      </c>
      <c r="T157" t="n">
        <v>26.93739451075812</v>
      </c>
      <c r="U157" t="n">
        <v>-13.0006281010865</v>
      </c>
      <c r="V157" t="n">
        <v>-13.0006281010865</v>
      </c>
      <c r="W157" t="n">
        <v>15.61166963547808</v>
      </c>
      <c r="X157" t="n">
        <v>-12.46913347743059</v>
      </c>
      <c r="Y157" t="n">
        <v>-12.46913347743059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M15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s>
  <sheetData>
    <row r="1" ht="75" customHeight="1">
      <c r="A1" s="7" t="inlineStr">
        <is>
          <t>Month</t>
        </is>
      </c>
      <c r="B1" s="7" t="inlineStr">
        <is>
          <t>Type</t>
        </is>
      </c>
      <c r="C1" s="7" t="inlineStr">
        <is>
          <t>Electric power</t>
        </is>
      </c>
      <c r="D1" s="7" t="inlineStr">
        <is>
          <t>Industrial</t>
        </is>
      </c>
      <c r="E1" s="7" t="inlineStr">
        <is>
          <t>Residential, commercial, vehicle fuel</t>
        </is>
      </c>
      <c r="F1" s="7" t="inlineStr">
        <is>
          <t>Pipeline exports to Mexico (Texas)</t>
        </is>
      </c>
      <c r="G1" s="7" t="inlineStr">
        <is>
          <t>Data centres (Texas, BASE added burn)</t>
        </is>
      </c>
      <c r="H1" s="7" t="inlineStr">
        <is>
          <t>LNG feedgas, Texas (base)</t>
        </is>
      </c>
      <c r="I1" s="7" t="inlineStr">
        <is>
          <t>LNG feedgas, Louisiana (base)</t>
        </is>
      </c>
      <c r="J1" s="7" t="inlineStr">
        <is>
          <t>LNG feedgas, Texas (delayed)</t>
        </is>
      </c>
      <c r="K1" s="7" t="inlineStr">
        <is>
          <t>LNG feedgas, Louisiana (delayed)</t>
        </is>
      </c>
      <c r="L1" s="7" t="inlineStr">
        <is>
          <t>LNG feedgas, total (base)</t>
        </is>
      </c>
      <c r="M1" s="7" t="inlineStr">
        <is>
          <t>LNG feedgas, total (delayed)</t>
        </is>
      </c>
      <c r="N1" s="7" t="inlineStr">
        <is>
          <t>Demand excl. LNG</t>
        </is>
      </c>
      <c r="O1" s="7" t="inlineStr">
        <is>
          <t>Demand incl. LNG, base</t>
        </is>
      </c>
      <c r="P1" s="7" t="inlineStr">
        <is>
          <t>Demand incl. LNG, LNG delayed</t>
        </is>
      </c>
      <c r="Q1" s="7" t="inlineStr">
        <is>
          <t>Dry production, Texas (base)</t>
        </is>
      </c>
      <c r="R1" s="7" t="inlineStr">
        <is>
          <t>Dry production, Louisiana</t>
        </is>
      </c>
      <c r="S1" s="7" t="inlineStr">
        <is>
          <t>Dry production, base</t>
        </is>
      </c>
      <c r="T1" s="7" t="inlineStr">
        <is>
          <t>Dry production, takeaway delayed</t>
        </is>
      </c>
      <c r="U1" s="7" t="inlineStr">
        <is>
          <t>Storage injection (demand), Texas</t>
        </is>
      </c>
      <c r="V1" s="7" t="inlineStr">
        <is>
          <t>Storage injection (demand), Louisiana</t>
        </is>
      </c>
      <c r="W1" s="7" t="inlineStr">
        <is>
          <t>Storage injection (demand)</t>
        </is>
      </c>
      <c r="X1" s="7" t="inlineStr">
        <is>
          <t>Storage withdrawal (supply), Texas</t>
        </is>
      </c>
      <c r="Y1" s="7" t="inlineStr">
        <is>
          <t>Storage withdrawal (supply), Louisiana</t>
        </is>
      </c>
      <c r="Z1" s="7" t="inlineStr">
        <is>
          <t>Storage withdrawal (supply)</t>
        </is>
      </c>
      <c r="AA1" s="7" t="inlineStr">
        <is>
          <t>Implied net outflow before storage, base</t>
        </is>
      </c>
      <c r="AB1" s="7" t="inlineStr">
        <is>
          <t>Implied net outflow before storage, delayed</t>
        </is>
      </c>
      <c r="AC1" s="7" t="inlineStr">
        <is>
          <t>Dry production + storage withdrawal, base</t>
        </is>
      </c>
      <c r="AD1" s="7" t="inlineStr">
        <is>
          <t>Dry production + storage withdrawal, takeaway delayed</t>
        </is>
      </c>
      <c r="AE1" s="7" t="inlineStr">
        <is>
          <t>Implied net outflow, base</t>
        </is>
      </c>
      <c r="AF1" s="7" t="inlineStr">
        <is>
          <t>Implied net outflow, delayed</t>
        </is>
      </c>
      <c r="AG1" s="7" t="inlineStr">
        <is>
          <t>Sensitivity layer: Cameron LNG Train 4</t>
        </is>
      </c>
      <c r="AH1" s="7" t="inlineStr">
        <is>
          <t>Sensitivity layer: Woodside Louisiana LNG Phase 2</t>
        </is>
      </c>
      <c r="AI1" s="7" t="inlineStr">
        <is>
          <t>Sensitivity layer: Lake Charles LNG (SUSPENDED)</t>
        </is>
      </c>
      <c r="AJ1" s="7" t="inlineStr">
        <is>
          <t>Sensitivity layer: Delfin FLNG vessels 2-3</t>
        </is>
      </c>
      <c r="AK1" s="7" t="inlineStr">
        <is>
          <t>Sensitivity layers total (illustrative)</t>
        </is>
      </c>
      <c r="AL1" s="7" t="inlineStr">
        <is>
          <t>Gulf demand incl. LNG, base, with all sensitivity layers</t>
        </is>
      </c>
      <c r="AM1" s="7" t="inlineStr">
        <is>
          <t>Implied net outflow, base, with all sensitivity layers</t>
        </is>
      </c>
    </row>
    <row r="2">
      <c r="A2" s="8" t="n">
        <v>44197</v>
      </c>
      <c r="B2" t="inlineStr">
        <is>
          <t>Actual</t>
        </is>
      </c>
      <c r="C2" t="n">
        <v>4.323419354838709</v>
      </c>
      <c r="D2" t="n">
        <v>9.00458064516129</v>
      </c>
      <c r="E2" t="n">
        <v>2.614516129032258</v>
      </c>
      <c r="F2" t="n">
        <v>2.552483870967742</v>
      </c>
      <c r="G2" t="n">
        <v>0</v>
      </c>
      <c r="H2" t="n">
        <v>4.16024870967742</v>
      </c>
      <c r="I2" t="n">
        <v>5.848342258064516</v>
      </c>
      <c r="J2" t="n">
        <v>4.16024870967742</v>
      </c>
      <c r="K2" t="n">
        <v>5.848342258064516</v>
      </c>
      <c r="L2" t="n">
        <v>10.00859096774194</v>
      </c>
      <c r="M2" t="n">
        <v>10.00859096774194</v>
      </c>
      <c r="N2" t="n">
        <v>18.495</v>
      </c>
      <c r="O2" t="n">
        <v>28.50359096774194</v>
      </c>
      <c r="P2" t="n">
        <v>28.50359096774194</v>
      </c>
      <c r="Q2" t="n">
        <v>22.10383870967742</v>
      </c>
      <c r="R2" t="n">
        <v>8.878838709677419</v>
      </c>
      <c r="S2" t="n">
        <v>30.98267741935484</v>
      </c>
      <c r="T2" t="n">
        <v>30.98267741935484</v>
      </c>
      <c r="U2" t="n">
        <v>0.5196451612903226</v>
      </c>
      <c r="V2" t="n">
        <v>0.7892903225806451</v>
      </c>
      <c r="W2" t="n">
        <v>1.308935483870968</v>
      </c>
      <c r="X2" t="n">
        <v>2.56</v>
      </c>
      <c r="Y2" t="n">
        <v>2.780032258064516</v>
      </c>
      <c r="Z2" t="n">
        <v>5.340032258064516</v>
      </c>
      <c r="AA2" t="n">
        <v>2.479086451612901</v>
      </c>
      <c r="AB2" t="n">
        <v>2.479086451612901</v>
      </c>
      <c r="AC2" t="n">
        <v>36.32270967741935</v>
      </c>
      <c r="AD2" t="n">
        <v>36.32270967741935</v>
      </c>
      <c r="AE2" t="n">
        <v>6.51018322580645</v>
      </c>
      <c r="AF2" t="n">
        <v>6.51018322580645</v>
      </c>
      <c r="AG2" t="n">
        <v>0</v>
      </c>
      <c r="AH2" t="n">
        <v>0</v>
      </c>
      <c r="AI2" t="n">
        <v>0</v>
      </c>
      <c r="AJ2" t="n">
        <v>0</v>
      </c>
      <c r="AK2" t="n">
        <v>0</v>
      </c>
      <c r="AL2" t="n">
        <v>28.50359096774194</v>
      </c>
      <c r="AM2" t="n">
        <v>6.51018322580645</v>
      </c>
    </row>
    <row r="3">
      <c r="A3" s="8" t="n">
        <v>44228</v>
      </c>
      <c r="B3" t="inlineStr">
        <is>
          <t>Actual</t>
        </is>
      </c>
      <c r="C3" t="n">
        <v>5.30125</v>
      </c>
      <c r="D3" t="n">
        <v>7.706035714285715</v>
      </c>
      <c r="E3" t="n">
        <v>3.151035714285714</v>
      </c>
      <c r="F3" t="n">
        <v>2.252428571428571</v>
      </c>
      <c r="G3" t="n">
        <v>0</v>
      </c>
      <c r="H3" t="n">
        <v>2.483681785714286</v>
      </c>
      <c r="I3" t="n">
        <v>4.682795714285715</v>
      </c>
      <c r="J3" t="n">
        <v>2.483681785714286</v>
      </c>
      <c r="K3" t="n">
        <v>4.682795714285715</v>
      </c>
      <c r="L3" t="n">
        <v>7.166477500000001</v>
      </c>
      <c r="M3" t="n">
        <v>7.166477500000001</v>
      </c>
      <c r="N3" t="n">
        <v>18.41075</v>
      </c>
      <c r="O3" t="n">
        <v>25.5772275</v>
      </c>
      <c r="P3" t="n">
        <v>25.5772275</v>
      </c>
      <c r="Q3" t="n">
        <v>18.401</v>
      </c>
      <c r="R3" t="n">
        <v>7.909</v>
      </c>
      <c r="S3" t="n">
        <v>26.31</v>
      </c>
      <c r="T3" t="n">
        <v>26.31</v>
      </c>
      <c r="U3" t="n">
        <v>1.272107142857143</v>
      </c>
      <c r="V3" t="n">
        <v>1.078357142857143</v>
      </c>
      <c r="W3" t="n">
        <v>2.350464285714286</v>
      </c>
      <c r="X3" t="n">
        <v>4.41275</v>
      </c>
      <c r="Y3" t="n">
        <v>4.318178571428572</v>
      </c>
      <c r="Z3" t="n">
        <v>8.730928571428571</v>
      </c>
      <c r="AA3" t="n">
        <v>0.7327724999999994</v>
      </c>
      <c r="AB3" t="n">
        <v>0.7327724999999994</v>
      </c>
      <c r="AC3" t="n">
        <v>35.04092857142857</v>
      </c>
      <c r="AD3" t="n">
        <v>35.04092857142857</v>
      </c>
      <c r="AE3" t="n">
        <v>7.113236785714281</v>
      </c>
      <c r="AF3" t="n">
        <v>7.113236785714281</v>
      </c>
      <c r="AG3" t="n">
        <v>0</v>
      </c>
      <c r="AH3" t="n">
        <v>0</v>
      </c>
      <c r="AI3" t="n">
        <v>0</v>
      </c>
      <c r="AJ3" t="n">
        <v>0</v>
      </c>
      <c r="AK3" t="n">
        <v>0</v>
      </c>
      <c r="AL3" t="n">
        <v>25.5772275</v>
      </c>
      <c r="AM3" t="n">
        <v>7.113236785714281</v>
      </c>
    </row>
    <row r="4">
      <c r="A4" s="8" t="n">
        <v>44256</v>
      </c>
      <c r="B4" t="inlineStr">
        <is>
          <t>Actual</t>
        </is>
      </c>
      <c r="C4" t="n">
        <v>3.659387096774193</v>
      </c>
      <c r="D4" t="n">
        <v>7.622</v>
      </c>
      <c r="E4" t="n">
        <v>1.635</v>
      </c>
      <c r="F4" t="n">
        <v>2.643935483870968</v>
      </c>
      <c r="G4" t="n">
        <v>0</v>
      </c>
      <c r="H4" t="n">
        <v>4.437917419354839</v>
      </c>
      <c r="I4" t="n">
        <v>5.767471290322581</v>
      </c>
      <c r="J4" t="n">
        <v>4.437917419354839</v>
      </c>
      <c r="K4" t="n">
        <v>5.767471290322581</v>
      </c>
      <c r="L4" t="n">
        <v>10.20538870967742</v>
      </c>
      <c r="M4" t="n">
        <v>10.20538870967742</v>
      </c>
      <c r="N4" t="n">
        <v>15.56032258064516</v>
      </c>
      <c r="O4" t="n">
        <v>25.76571129032258</v>
      </c>
      <c r="P4" t="n">
        <v>25.76571129032258</v>
      </c>
      <c r="Q4" t="n">
        <v>22.99258064516129</v>
      </c>
      <c r="R4" t="n">
        <v>9.058483870967743</v>
      </c>
      <c r="S4" t="n">
        <v>32.05106451612903</v>
      </c>
      <c r="T4" t="n">
        <v>32.05106451612903</v>
      </c>
      <c r="U4" t="n">
        <v>1.762354838709677</v>
      </c>
      <c r="V4" t="n">
        <v>1.771612903225806</v>
      </c>
      <c r="W4" t="n">
        <v>3.533967741935483</v>
      </c>
      <c r="X4" t="n">
        <v>1.144354838709677</v>
      </c>
      <c r="Y4" t="n">
        <v>0.9381935483870968</v>
      </c>
      <c r="Z4" t="n">
        <v>2.082548387096774</v>
      </c>
      <c r="AA4" t="n">
        <v>6.285353225806453</v>
      </c>
      <c r="AB4" t="n">
        <v>6.285353225806453</v>
      </c>
      <c r="AC4" t="n">
        <v>34.1336129032258</v>
      </c>
      <c r="AD4" t="n">
        <v>34.1336129032258</v>
      </c>
      <c r="AE4" t="n">
        <v>4.833933870967742</v>
      </c>
      <c r="AF4" t="n">
        <v>4.833933870967742</v>
      </c>
      <c r="AG4" t="n">
        <v>0</v>
      </c>
      <c r="AH4" t="n">
        <v>0</v>
      </c>
      <c r="AI4" t="n">
        <v>0</v>
      </c>
      <c r="AJ4" t="n">
        <v>0</v>
      </c>
      <c r="AK4" t="n">
        <v>0</v>
      </c>
      <c r="AL4" t="n">
        <v>25.76571129032258</v>
      </c>
      <c r="AM4" t="n">
        <v>4.833933870967742</v>
      </c>
    </row>
    <row r="5">
      <c r="A5" s="8" t="n">
        <v>44287</v>
      </c>
      <c r="B5" t="inlineStr">
        <is>
          <t>Actual</t>
        </is>
      </c>
      <c r="C5" t="n">
        <v>4.534566666666667</v>
      </c>
      <c r="D5" t="n">
        <v>8.155533333333334</v>
      </c>
      <c r="E5" t="n">
        <v>1.0734</v>
      </c>
      <c r="F5" t="n">
        <v>2.670233333333333</v>
      </c>
      <c r="G5" t="n">
        <v>0</v>
      </c>
      <c r="H5" t="n">
        <v>4.377658</v>
      </c>
      <c r="I5" t="n">
        <v>5.803196333333334</v>
      </c>
      <c r="J5" t="n">
        <v>4.377658</v>
      </c>
      <c r="K5" t="n">
        <v>5.803196333333334</v>
      </c>
      <c r="L5" t="n">
        <v>10.18085433333333</v>
      </c>
      <c r="M5" t="n">
        <v>10.18085433333333</v>
      </c>
      <c r="N5" t="n">
        <v>16.43373333333333</v>
      </c>
      <c r="O5" t="n">
        <v>26.61458766666667</v>
      </c>
      <c r="P5" t="n">
        <v>26.61458766666667</v>
      </c>
      <c r="Q5" t="n">
        <v>23.71223333333333</v>
      </c>
      <c r="R5" t="n">
        <v>9.050000000000001</v>
      </c>
      <c r="S5" t="n">
        <v>32.76223333333333</v>
      </c>
      <c r="T5" t="n">
        <v>32.76223333333333</v>
      </c>
      <c r="U5" t="n">
        <v>1.559</v>
      </c>
      <c r="V5" t="n">
        <v>1.734566666666667</v>
      </c>
      <c r="W5" t="n">
        <v>3.293566666666667</v>
      </c>
      <c r="X5" t="n">
        <v>0.7668666666666667</v>
      </c>
      <c r="Y5" t="n">
        <v>1.191566666666667</v>
      </c>
      <c r="Z5" t="n">
        <v>1.958433333333333</v>
      </c>
      <c r="AA5" t="n">
        <v>6.147645666666662</v>
      </c>
      <c r="AB5" t="n">
        <v>6.147645666666662</v>
      </c>
      <c r="AC5" t="n">
        <v>34.72066666666666</v>
      </c>
      <c r="AD5" t="n">
        <v>34.72066666666666</v>
      </c>
      <c r="AE5" t="n">
        <v>4.812512333333327</v>
      </c>
      <c r="AF5" t="n">
        <v>4.812512333333327</v>
      </c>
      <c r="AG5" t="n">
        <v>0</v>
      </c>
      <c r="AH5" t="n">
        <v>0</v>
      </c>
      <c r="AI5" t="n">
        <v>0</v>
      </c>
      <c r="AJ5" t="n">
        <v>0</v>
      </c>
      <c r="AK5" t="n">
        <v>0</v>
      </c>
      <c r="AL5" t="n">
        <v>26.61458766666667</v>
      </c>
      <c r="AM5" t="n">
        <v>4.812512333333327</v>
      </c>
    </row>
    <row r="6">
      <c r="A6" s="8" t="n">
        <v>44317</v>
      </c>
      <c r="B6" t="inlineStr">
        <is>
          <t>Actual</t>
        </is>
      </c>
      <c r="C6" t="n">
        <v>4.707806451612903</v>
      </c>
      <c r="D6" t="n">
        <v>7.981903225806452</v>
      </c>
      <c r="E6" t="n">
        <v>0.7659354838709678</v>
      </c>
      <c r="F6" t="n">
        <v>2.766322580645161</v>
      </c>
      <c r="G6" t="n">
        <v>0</v>
      </c>
      <c r="H6" t="n">
        <v>4.289044516129033</v>
      </c>
      <c r="I6" t="n">
        <v>5.660651290322581</v>
      </c>
      <c r="J6" t="n">
        <v>4.289044516129033</v>
      </c>
      <c r="K6" t="n">
        <v>5.660651290322581</v>
      </c>
      <c r="L6" t="n">
        <v>9.949695806451615</v>
      </c>
      <c r="M6" t="n">
        <v>9.949695806451615</v>
      </c>
      <c r="N6" t="n">
        <v>16.22196774193548</v>
      </c>
      <c r="O6" t="n">
        <v>26.1716635483871</v>
      </c>
      <c r="P6" t="n">
        <v>26.1716635483871</v>
      </c>
      <c r="Q6" t="n">
        <v>23.58770967741935</v>
      </c>
      <c r="R6" t="n">
        <v>9.07609677419355</v>
      </c>
      <c r="S6" t="n">
        <v>32.6638064516129</v>
      </c>
      <c r="T6" t="n">
        <v>32.6638064516129</v>
      </c>
      <c r="U6" t="n">
        <v>2.060290322580645</v>
      </c>
      <c r="V6" t="n">
        <v>1.861903225806452</v>
      </c>
      <c r="W6" t="n">
        <v>3.922193548387097</v>
      </c>
      <c r="X6" t="n">
        <v>0.3708387096774193</v>
      </c>
      <c r="Y6" t="n">
        <v>0.7690645161290323</v>
      </c>
      <c r="Z6" t="n">
        <v>1.139903225806452</v>
      </c>
      <c r="AA6" t="n">
        <v>6.492142903225801</v>
      </c>
      <c r="AB6" t="n">
        <v>6.492142903225801</v>
      </c>
      <c r="AC6" t="n">
        <v>33.80370967741935</v>
      </c>
      <c r="AD6" t="n">
        <v>33.80370967741935</v>
      </c>
      <c r="AE6" t="n">
        <v>3.709852580645153</v>
      </c>
      <c r="AF6" t="n">
        <v>3.709852580645153</v>
      </c>
      <c r="AG6" t="n">
        <v>0</v>
      </c>
      <c r="AH6" t="n">
        <v>0</v>
      </c>
      <c r="AI6" t="n">
        <v>0</v>
      </c>
      <c r="AJ6" t="n">
        <v>0</v>
      </c>
      <c r="AK6" t="n">
        <v>0</v>
      </c>
      <c r="AL6" t="n">
        <v>26.1716635483871</v>
      </c>
      <c r="AM6" t="n">
        <v>3.709852580645153</v>
      </c>
    </row>
    <row r="7">
      <c r="A7" s="8" t="n">
        <v>44348</v>
      </c>
      <c r="B7" t="inlineStr">
        <is>
          <t>Actual</t>
        </is>
      </c>
      <c r="C7" t="n">
        <v>6.893733333333333</v>
      </c>
      <c r="D7" t="n">
        <v>8.153633333333332</v>
      </c>
      <c r="E7" t="n">
        <v>0.7088000000000001</v>
      </c>
      <c r="F7" t="n">
        <v>2.929933333333334</v>
      </c>
      <c r="G7" t="n">
        <v>0</v>
      </c>
      <c r="H7" t="n">
        <v>4.362725000000001</v>
      </c>
      <c r="I7" t="n">
        <v>4.53549</v>
      </c>
      <c r="J7" t="n">
        <v>4.362725000000001</v>
      </c>
      <c r="K7" t="n">
        <v>4.53549</v>
      </c>
      <c r="L7" t="n">
        <v>8.898215</v>
      </c>
      <c r="M7" t="n">
        <v>8.898215</v>
      </c>
      <c r="N7" t="n">
        <v>18.6861</v>
      </c>
      <c r="O7" t="n">
        <v>27.584315</v>
      </c>
      <c r="P7" t="n">
        <v>27.584315</v>
      </c>
      <c r="Q7" t="n">
        <v>23.52116666666667</v>
      </c>
      <c r="R7" t="n">
        <v>9.133799999999999</v>
      </c>
      <c r="S7" t="n">
        <v>32.65496666666667</v>
      </c>
      <c r="T7" t="n">
        <v>32.65496666666667</v>
      </c>
      <c r="U7" t="n">
        <v>1.1406</v>
      </c>
      <c r="V7" t="n">
        <v>1.2744</v>
      </c>
      <c r="W7" t="n">
        <v>2.415</v>
      </c>
      <c r="X7" t="n">
        <v>1.339333333333333</v>
      </c>
      <c r="Y7" t="n">
        <v>1.159133333333333</v>
      </c>
      <c r="Z7" t="n">
        <v>2.498466666666666</v>
      </c>
      <c r="AA7" t="n">
        <v>5.070651666666667</v>
      </c>
      <c r="AB7" t="n">
        <v>5.070651666666667</v>
      </c>
      <c r="AC7" t="n">
        <v>35.15343333333333</v>
      </c>
      <c r="AD7" t="n">
        <v>35.15343333333333</v>
      </c>
      <c r="AE7" t="n">
        <v>5.154118333333332</v>
      </c>
      <c r="AF7" t="n">
        <v>5.154118333333332</v>
      </c>
      <c r="AG7" t="n">
        <v>0</v>
      </c>
      <c r="AH7" t="n">
        <v>0</v>
      </c>
      <c r="AI7" t="n">
        <v>0</v>
      </c>
      <c r="AJ7" t="n">
        <v>0</v>
      </c>
      <c r="AK7" t="n">
        <v>0</v>
      </c>
      <c r="AL7" t="n">
        <v>27.584315</v>
      </c>
      <c r="AM7" t="n">
        <v>5.154118333333332</v>
      </c>
    </row>
    <row r="8">
      <c r="A8" s="8" t="n">
        <v>44378</v>
      </c>
      <c r="B8" t="inlineStr">
        <is>
          <t>Actual</t>
        </is>
      </c>
      <c r="C8" t="n">
        <v>7.344064516129032</v>
      </c>
      <c r="D8" t="n">
        <v>8.574612903225807</v>
      </c>
      <c r="E8" t="n">
        <v>0.7047741935483872</v>
      </c>
      <c r="F8" t="n">
        <v>2.876193548387096</v>
      </c>
      <c r="G8" t="n">
        <v>0</v>
      </c>
      <c r="H8" t="n">
        <v>4.267807096774193</v>
      </c>
      <c r="I8" t="n">
        <v>5.222225161290323</v>
      </c>
      <c r="J8" t="n">
        <v>4.267807096774193</v>
      </c>
      <c r="K8" t="n">
        <v>5.222225161290323</v>
      </c>
      <c r="L8" t="n">
        <v>9.490032258064517</v>
      </c>
      <c r="M8" t="n">
        <v>9.490032258064517</v>
      </c>
      <c r="N8" t="n">
        <v>19.49964516129032</v>
      </c>
      <c r="O8" t="n">
        <v>28.98967741935484</v>
      </c>
      <c r="P8" t="n">
        <v>28.98967741935484</v>
      </c>
      <c r="Q8" t="n">
        <v>23.99703225806451</v>
      </c>
      <c r="R8" t="n">
        <v>9.603806451612904</v>
      </c>
      <c r="S8" t="n">
        <v>33.60083870967742</v>
      </c>
      <c r="T8" t="n">
        <v>33.60083870967742</v>
      </c>
      <c r="U8" t="n">
        <v>0.9387096774193548</v>
      </c>
      <c r="V8" t="n">
        <v>0.9508709677419355</v>
      </c>
      <c r="W8" t="n">
        <v>1.88958064516129</v>
      </c>
      <c r="X8" t="n">
        <v>1.255870967741935</v>
      </c>
      <c r="Y8" t="n">
        <v>1.447612903225806</v>
      </c>
      <c r="Z8" t="n">
        <v>2.703483870967742</v>
      </c>
      <c r="AA8" t="n">
        <v>4.611161290322578</v>
      </c>
      <c r="AB8" t="n">
        <v>4.611161290322578</v>
      </c>
      <c r="AC8" t="n">
        <v>36.30432258064516</v>
      </c>
      <c r="AD8" t="n">
        <v>36.30432258064516</v>
      </c>
      <c r="AE8" t="n">
        <v>5.425064516129032</v>
      </c>
      <c r="AF8" t="n">
        <v>5.425064516129032</v>
      </c>
      <c r="AG8" t="n">
        <v>0</v>
      </c>
      <c r="AH8" t="n">
        <v>0</v>
      </c>
      <c r="AI8" t="n">
        <v>0</v>
      </c>
      <c r="AJ8" t="n">
        <v>0</v>
      </c>
      <c r="AK8" t="n">
        <v>0</v>
      </c>
      <c r="AL8" t="n">
        <v>28.98967741935484</v>
      </c>
      <c r="AM8" t="n">
        <v>5.425064516129032</v>
      </c>
    </row>
    <row r="9">
      <c r="A9" s="8" t="n">
        <v>44409</v>
      </c>
      <c r="B9" t="inlineStr">
        <is>
          <t>Actual</t>
        </is>
      </c>
      <c r="C9" t="n">
        <v>7.406548387096774</v>
      </c>
      <c r="D9" t="n">
        <v>8.350225806451613</v>
      </c>
      <c r="E9" t="n">
        <v>0.6638709677419355</v>
      </c>
      <c r="F9" t="n">
        <v>2.802806451612903</v>
      </c>
      <c r="G9" t="n">
        <v>0</v>
      </c>
      <c r="H9" t="n">
        <v>4.478669354838711</v>
      </c>
      <c r="I9" t="n">
        <v>4.959781290322582</v>
      </c>
      <c r="J9" t="n">
        <v>4.478669354838711</v>
      </c>
      <c r="K9" t="n">
        <v>4.959781290322582</v>
      </c>
      <c r="L9" t="n">
        <v>9.438450645161293</v>
      </c>
      <c r="M9" t="n">
        <v>9.438450645161293</v>
      </c>
      <c r="N9" t="n">
        <v>19.22345161290323</v>
      </c>
      <c r="O9" t="n">
        <v>28.66190225806452</v>
      </c>
      <c r="P9" t="n">
        <v>28.66190225806452</v>
      </c>
      <c r="Q9" t="n">
        <v>24.04129032258064</v>
      </c>
      <c r="R9" t="n">
        <v>9.372967741935483</v>
      </c>
      <c r="S9" t="n">
        <v>33.41425806451612</v>
      </c>
      <c r="T9" t="n">
        <v>33.41425806451612</v>
      </c>
      <c r="U9" t="n">
        <v>1.041451612903226</v>
      </c>
      <c r="V9" t="n">
        <v>1.001129032258065</v>
      </c>
      <c r="W9" t="n">
        <v>2.042580645161291</v>
      </c>
      <c r="X9" t="n">
        <v>1.687774193548387</v>
      </c>
      <c r="Y9" t="n">
        <v>1.347354838709677</v>
      </c>
      <c r="Z9" t="n">
        <v>3.035129032258064</v>
      </c>
      <c r="AA9" t="n">
        <v>4.7523558064516</v>
      </c>
      <c r="AB9" t="n">
        <v>4.7523558064516</v>
      </c>
      <c r="AC9" t="n">
        <v>36.44938709677418</v>
      </c>
      <c r="AD9" t="n">
        <v>36.44938709677418</v>
      </c>
      <c r="AE9" t="n">
        <v>5.744904193548372</v>
      </c>
      <c r="AF9" t="n">
        <v>5.744904193548372</v>
      </c>
      <c r="AG9" t="n">
        <v>0</v>
      </c>
      <c r="AH9" t="n">
        <v>0</v>
      </c>
      <c r="AI9" t="n">
        <v>0</v>
      </c>
      <c r="AJ9" t="n">
        <v>0</v>
      </c>
      <c r="AK9" t="n">
        <v>0</v>
      </c>
      <c r="AL9" t="n">
        <v>28.66190225806452</v>
      </c>
      <c r="AM9" t="n">
        <v>5.744904193548372</v>
      </c>
    </row>
    <row r="10">
      <c r="A10" s="8" t="n">
        <v>44440</v>
      </c>
      <c r="B10" t="inlineStr">
        <is>
          <t>Actual</t>
        </is>
      </c>
      <c r="C10" t="n">
        <v>6.0249</v>
      </c>
      <c r="D10" t="n">
        <v>8.011066666666666</v>
      </c>
      <c r="E10" t="n">
        <v>0.7059666666666669</v>
      </c>
      <c r="F10" t="n">
        <v>2.6138</v>
      </c>
      <c r="G10" t="n">
        <v>0</v>
      </c>
      <c r="H10" t="n">
        <v>4.103632</v>
      </c>
      <c r="I10" t="n">
        <v>5.538035666666667</v>
      </c>
      <c r="J10" t="n">
        <v>4.103632</v>
      </c>
      <c r="K10" t="n">
        <v>5.538035666666667</v>
      </c>
      <c r="L10" t="n">
        <v>9.641667666666667</v>
      </c>
      <c r="M10" t="n">
        <v>9.641667666666667</v>
      </c>
      <c r="N10" t="n">
        <v>17.35573333333333</v>
      </c>
      <c r="O10" t="n">
        <v>26.997401</v>
      </c>
      <c r="P10" t="n">
        <v>26.997401</v>
      </c>
      <c r="Q10" t="n">
        <v>24.82143333333334</v>
      </c>
      <c r="R10" t="n">
        <v>9.614433333333332</v>
      </c>
      <c r="S10" t="n">
        <v>34.43586666666667</v>
      </c>
      <c r="T10" t="n">
        <v>34.43586666666667</v>
      </c>
      <c r="U10" t="n">
        <v>2.160866666666667</v>
      </c>
      <c r="V10" t="n">
        <v>1.545533333333333</v>
      </c>
      <c r="W10" t="n">
        <v>3.7064</v>
      </c>
      <c r="X10" t="n">
        <v>0.6753333333333333</v>
      </c>
      <c r="Y10" t="n">
        <v>0.6167</v>
      </c>
      <c r="Z10" t="n">
        <v>1.292033333333333</v>
      </c>
      <c r="AA10" t="n">
        <v>7.438465666666669</v>
      </c>
      <c r="AB10" t="n">
        <v>7.438465666666669</v>
      </c>
      <c r="AC10" t="n">
        <v>35.72790000000001</v>
      </c>
      <c r="AD10" t="n">
        <v>35.72790000000001</v>
      </c>
      <c r="AE10" t="n">
        <v>5.024099000000005</v>
      </c>
      <c r="AF10" t="n">
        <v>5.024099000000005</v>
      </c>
      <c r="AG10" t="n">
        <v>0</v>
      </c>
      <c r="AH10" t="n">
        <v>0</v>
      </c>
      <c r="AI10" t="n">
        <v>0</v>
      </c>
      <c r="AJ10" t="n">
        <v>0</v>
      </c>
      <c r="AK10" t="n">
        <v>0</v>
      </c>
      <c r="AL10" t="n">
        <v>26.997401</v>
      </c>
      <c r="AM10" t="n">
        <v>5.024099000000005</v>
      </c>
    </row>
    <row r="11">
      <c r="A11" s="8" t="n">
        <v>44470</v>
      </c>
      <c r="B11" t="inlineStr">
        <is>
          <t>Actual</t>
        </is>
      </c>
      <c r="C11" t="n">
        <v>5.286064516129033</v>
      </c>
      <c r="D11" t="n">
        <v>8.228193548387097</v>
      </c>
      <c r="E11" t="n">
        <v>0.7774838709677421</v>
      </c>
      <c r="F11" t="n">
        <v>2.767870967741935</v>
      </c>
      <c r="G11" t="n">
        <v>0</v>
      </c>
      <c r="H11" t="n">
        <v>4.390695806451614</v>
      </c>
      <c r="I11" t="n">
        <v>5.413361935483872</v>
      </c>
      <c r="J11" t="n">
        <v>4.390695806451614</v>
      </c>
      <c r="K11" t="n">
        <v>5.413361935483872</v>
      </c>
      <c r="L11" t="n">
        <v>9.804057741935486</v>
      </c>
      <c r="M11" t="n">
        <v>9.804057741935486</v>
      </c>
      <c r="N11" t="n">
        <v>17.05961290322581</v>
      </c>
      <c r="O11" t="n">
        <v>26.86367064516129</v>
      </c>
      <c r="P11" t="n">
        <v>26.86367064516129</v>
      </c>
      <c r="Q11" t="n">
        <v>24.74848387096774</v>
      </c>
      <c r="R11" t="n">
        <v>9.853387096774194</v>
      </c>
      <c r="S11" t="n">
        <v>34.60187096774193</v>
      </c>
      <c r="T11" t="n">
        <v>34.60187096774193</v>
      </c>
      <c r="U11" t="n">
        <v>2.154032258064516</v>
      </c>
      <c r="V11" t="n">
        <v>1.905483870967742</v>
      </c>
      <c r="W11" t="n">
        <v>4.059516129032258</v>
      </c>
      <c r="X11" t="n">
        <v>0.5892903225806452</v>
      </c>
      <c r="Y11" t="n">
        <v>0.5323548387096775</v>
      </c>
      <c r="Z11" t="n">
        <v>1.121645161290323</v>
      </c>
      <c r="AA11" t="n">
        <v>7.738200322580639</v>
      </c>
      <c r="AB11" t="n">
        <v>7.738200322580639</v>
      </c>
      <c r="AC11" t="n">
        <v>35.72351612903226</v>
      </c>
      <c r="AD11" t="n">
        <v>35.72351612903226</v>
      </c>
      <c r="AE11" t="n">
        <v>4.800329354838705</v>
      </c>
      <c r="AF11" t="n">
        <v>4.800329354838705</v>
      </c>
      <c r="AG11" t="n">
        <v>0</v>
      </c>
      <c r="AH11" t="n">
        <v>0</v>
      </c>
      <c r="AI11" t="n">
        <v>0</v>
      </c>
      <c r="AJ11" t="n">
        <v>0</v>
      </c>
      <c r="AK11" t="n">
        <v>0</v>
      </c>
      <c r="AL11" t="n">
        <v>26.86367064516129</v>
      </c>
      <c r="AM11" t="n">
        <v>4.800329354838705</v>
      </c>
    </row>
    <row r="12">
      <c r="A12" s="8" t="n">
        <v>44501</v>
      </c>
      <c r="B12" t="inlineStr">
        <is>
          <t>Actual</t>
        </is>
      </c>
      <c r="C12" t="n">
        <v>4.301566666666666</v>
      </c>
      <c r="D12" t="n">
        <v>8.884533333333334</v>
      </c>
      <c r="E12" t="n">
        <v>1.256466666666666</v>
      </c>
      <c r="F12" t="n">
        <v>2.557566666666667</v>
      </c>
      <c r="G12" t="n">
        <v>0</v>
      </c>
      <c r="H12" t="n">
        <v>3.903508</v>
      </c>
      <c r="I12" t="n">
        <v>6.209294000000002</v>
      </c>
      <c r="J12" t="n">
        <v>3.903508</v>
      </c>
      <c r="K12" t="n">
        <v>6.209294000000002</v>
      </c>
      <c r="L12" t="n">
        <v>10.112802</v>
      </c>
      <c r="M12" t="n">
        <v>10.112802</v>
      </c>
      <c r="N12" t="n">
        <v>17.00013333333333</v>
      </c>
      <c r="O12" t="n">
        <v>27.11293533333334</v>
      </c>
      <c r="P12" t="n">
        <v>27.11293533333334</v>
      </c>
      <c r="Q12" t="n">
        <v>24.64196666666667</v>
      </c>
      <c r="R12" t="n">
        <v>10.27236666666667</v>
      </c>
      <c r="S12" t="n">
        <v>34.91433333333333</v>
      </c>
      <c r="T12" t="n">
        <v>34.91433333333333</v>
      </c>
      <c r="U12" t="n">
        <v>1.294366666666667</v>
      </c>
      <c r="V12" t="n">
        <v>0.7987333333333333</v>
      </c>
      <c r="W12" t="n">
        <v>2.0931</v>
      </c>
      <c r="X12" t="n">
        <v>1.114866666666666</v>
      </c>
      <c r="Y12" t="n">
        <v>1.215066666666667</v>
      </c>
      <c r="Z12" t="n">
        <v>2.329933333333333</v>
      </c>
      <c r="AA12" t="n">
        <v>7.801397999999995</v>
      </c>
      <c r="AB12" t="n">
        <v>7.801397999999995</v>
      </c>
      <c r="AC12" t="n">
        <v>37.24426666666666</v>
      </c>
      <c r="AD12" t="n">
        <v>37.24426666666666</v>
      </c>
      <c r="AE12" t="n">
        <v>8.038231333333325</v>
      </c>
      <c r="AF12" t="n">
        <v>8.038231333333325</v>
      </c>
      <c r="AG12" t="n">
        <v>0</v>
      </c>
      <c r="AH12" t="n">
        <v>0</v>
      </c>
      <c r="AI12" t="n">
        <v>0</v>
      </c>
      <c r="AJ12" t="n">
        <v>0</v>
      </c>
      <c r="AK12" t="n">
        <v>0</v>
      </c>
      <c r="AL12" t="n">
        <v>27.11293533333334</v>
      </c>
      <c r="AM12" t="n">
        <v>8.038231333333325</v>
      </c>
    </row>
    <row r="13">
      <c r="A13" s="8" t="n">
        <v>44531</v>
      </c>
      <c r="B13" t="inlineStr">
        <is>
          <t>Actual</t>
        </is>
      </c>
      <c r="C13" t="n">
        <v>4.13267741935484</v>
      </c>
      <c r="D13" t="n">
        <v>9.043903225806451</v>
      </c>
      <c r="E13" t="n">
        <v>1.294193548387097</v>
      </c>
      <c r="F13" t="n">
        <v>2.405741935483871</v>
      </c>
      <c r="G13" t="n">
        <v>0</v>
      </c>
      <c r="H13" t="n">
        <v>4.614497419354839</v>
      </c>
      <c r="I13" t="n">
        <v>6.344503225806452</v>
      </c>
      <c r="J13" t="n">
        <v>4.614497419354839</v>
      </c>
      <c r="K13" t="n">
        <v>6.344503225806452</v>
      </c>
      <c r="L13" t="n">
        <v>10.95900064516129</v>
      </c>
      <c r="M13" t="n">
        <v>10.95900064516129</v>
      </c>
      <c r="N13" t="n">
        <v>16.87651612903226</v>
      </c>
      <c r="O13" t="n">
        <v>27.83551677419355</v>
      </c>
      <c r="P13" t="n">
        <v>27.83551677419355</v>
      </c>
      <c r="Q13" t="n">
        <v>24.995</v>
      </c>
      <c r="R13" t="n">
        <v>10.41529032258065</v>
      </c>
      <c r="S13" t="n">
        <v>35.41029032258065</v>
      </c>
      <c r="T13" t="n">
        <v>35.41029032258065</v>
      </c>
      <c r="U13" t="n">
        <v>1.387967741935484</v>
      </c>
      <c r="V13" t="n">
        <v>1.300709677419355</v>
      </c>
      <c r="W13" t="n">
        <v>2.688677419354839</v>
      </c>
      <c r="X13" t="n">
        <v>1.367516129032258</v>
      </c>
      <c r="Y13" t="n">
        <v>1.549548387096774</v>
      </c>
      <c r="Z13" t="n">
        <v>2.917064516129032</v>
      </c>
      <c r="AA13" t="n">
        <v>7.5747735483871</v>
      </c>
      <c r="AB13" t="n">
        <v>7.5747735483871</v>
      </c>
      <c r="AC13" t="n">
        <v>38.32735483870968</v>
      </c>
      <c r="AD13" t="n">
        <v>38.32735483870968</v>
      </c>
      <c r="AE13" t="n">
        <v>7.803160645161292</v>
      </c>
      <c r="AF13" t="n">
        <v>7.803160645161292</v>
      </c>
      <c r="AG13" t="n">
        <v>0</v>
      </c>
      <c r="AH13" t="n">
        <v>0</v>
      </c>
      <c r="AI13" t="n">
        <v>0</v>
      </c>
      <c r="AJ13" t="n">
        <v>0</v>
      </c>
      <c r="AK13" t="n">
        <v>0</v>
      </c>
      <c r="AL13" t="n">
        <v>27.83551677419355</v>
      </c>
      <c r="AM13" t="n">
        <v>7.803160645161292</v>
      </c>
    </row>
    <row r="14">
      <c r="A14" s="8" t="n">
        <v>44562</v>
      </c>
      <c r="B14" t="inlineStr">
        <is>
          <t>Actual</t>
        </is>
      </c>
      <c r="C14" t="n">
        <v>5.021354838709677</v>
      </c>
      <c r="D14" t="n">
        <v>9.07374193548387</v>
      </c>
      <c r="E14" t="n">
        <v>2.447645161290323</v>
      </c>
      <c r="F14" t="n">
        <v>2.562612903225807</v>
      </c>
      <c r="G14" t="n">
        <v>0</v>
      </c>
      <c r="H14" t="n">
        <v>4.595369677419354</v>
      </c>
      <c r="I14" t="n">
        <v>6.72624935483871</v>
      </c>
      <c r="J14" t="n">
        <v>4.595369677419354</v>
      </c>
      <c r="K14" t="n">
        <v>6.72624935483871</v>
      </c>
      <c r="L14" t="n">
        <v>11.32161903225806</v>
      </c>
      <c r="M14" t="n">
        <v>11.32161903225806</v>
      </c>
      <c r="N14" t="n">
        <v>19.10535483870968</v>
      </c>
      <c r="O14" t="n">
        <v>30.42697387096774</v>
      </c>
      <c r="P14" t="n">
        <v>30.42697387096774</v>
      </c>
      <c r="Q14" t="n">
        <v>23.17987096774193</v>
      </c>
      <c r="R14" t="n">
        <v>10.23783870967742</v>
      </c>
      <c r="S14" t="n">
        <v>33.41770967741935</v>
      </c>
      <c r="T14" t="n">
        <v>33.41770967741935</v>
      </c>
      <c r="U14" t="n">
        <v>0.5149677419354839</v>
      </c>
      <c r="V14" t="n">
        <v>0.7069354838709677</v>
      </c>
      <c r="W14" t="n">
        <v>1.221903225806451</v>
      </c>
      <c r="X14" t="n">
        <v>4.000612903225806</v>
      </c>
      <c r="Y14" t="n">
        <v>4.060741935483871</v>
      </c>
      <c r="Z14" t="n">
        <v>8.061354838709677</v>
      </c>
      <c r="AA14" t="n">
        <v>2.99073580645161</v>
      </c>
      <c r="AB14" t="n">
        <v>2.99073580645161</v>
      </c>
      <c r="AC14" t="n">
        <v>41.47906451612903</v>
      </c>
      <c r="AD14" t="n">
        <v>41.47906451612903</v>
      </c>
      <c r="AE14" t="n">
        <v>9.830187419354834</v>
      </c>
      <c r="AF14" t="n">
        <v>9.830187419354834</v>
      </c>
      <c r="AG14" t="n">
        <v>0</v>
      </c>
      <c r="AH14" t="n">
        <v>0</v>
      </c>
      <c r="AI14" t="n">
        <v>0</v>
      </c>
      <c r="AJ14" t="n">
        <v>0</v>
      </c>
      <c r="AK14" t="n">
        <v>0</v>
      </c>
      <c r="AL14" t="n">
        <v>30.42697387096774</v>
      </c>
      <c r="AM14" t="n">
        <v>9.830187419354834</v>
      </c>
    </row>
    <row r="15">
      <c r="A15" s="8" t="n">
        <v>44593</v>
      </c>
      <c r="B15" t="inlineStr">
        <is>
          <t>Actual</t>
        </is>
      </c>
      <c r="C15" t="n">
        <v>5.004785714285713</v>
      </c>
      <c r="D15" t="n">
        <v>8.851714285714287</v>
      </c>
      <c r="E15" t="n">
        <v>2.82225</v>
      </c>
      <c r="F15" t="n">
        <v>2.727035714285714</v>
      </c>
      <c r="G15" t="n">
        <v>0</v>
      </c>
      <c r="H15" t="n">
        <v>4.697160357142858</v>
      </c>
      <c r="I15" t="n">
        <v>6.433725000000001</v>
      </c>
      <c r="J15" t="n">
        <v>4.697160357142858</v>
      </c>
      <c r="K15" t="n">
        <v>6.433725000000001</v>
      </c>
      <c r="L15" t="n">
        <v>11.13088535714286</v>
      </c>
      <c r="M15" t="n">
        <v>11.13088535714286</v>
      </c>
      <c r="N15" t="n">
        <v>19.40578571428571</v>
      </c>
      <c r="O15" t="n">
        <v>30.53667107142857</v>
      </c>
      <c r="P15" t="n">
        <v>30.53667107142857</v>
      </c>
      <c r="Q15" t="n">
        <v>24.34007142857143</v>
      </c>
      <c r="R15" t="n">
        <v>10.3425</v>
      </c>
      <c r="S15" t="n">
        <v>34.68257142857143</v>
      </c>
      <c r="T15" t="n">
        <v>34.68257142857143</v>
      </c>
      <c r="U15" t="n">
        <v>0.7398571428571429</v>
      </c>
      <c r="V15" t="n">
        <v>0.778</v>
      </c>
      <c r="W15" t="n">
        <v>1.517857142857143</v>
      </c>
      <c r="X15" t="n">
        <v>3.681178571428572</v>
      </c>
      <c r="Y15" t="n">
        <v>3.243714285714286</v>
      </c>
      <c r="Z15" t="n">
        <v>6.924892857142858</v>
      </c>
      <c r="AA15" t="n">
        <v>4.145900357142857</v>
      </c>
      <c r="AB15" t="n">
        <v>4.145900357142857</v>
      </c>
      <c r="AC15" t="n">
        <v>41.60746428571429</v>
      </c>
      <c r="AD15" t="n">
        <v>41.60746428571429</v>
      </c>
      <c r="AE15" t="n">
        <v>9.552936071428572</v>
      </c>
      <c r="AF15" t="n">
        <v>9.552936071428572</v>
      </c>
      <c r="AG15" t="n">
        <v>0</v>
      </c>
      <c r="AH15" t="n">
        <v>0</v>
      </c>
      <c r="AI15" t="n">
        <v>0</v>
      </c>
      <c r="AJ15" t="n">
        <v>0</v>
      </c>
      <c r="AK15" t="n">
        <v>0</v>
      </c>
      <c r="AL15" t="n">
        <v>30.53667107142857</v>
      </c>
      <c r="AM15" t="n">
        <v>9.552936071428572</v>
      </c>
    </row>
    <row r="16">
      <c r="A16" s="8" t="n">
        <v>44621</v>
      </c>
      <c r="B16" t="inlineStr">
        <is>
          <t>Actual</t>
        </is>
      </c>
      <c r="C16" t="n">
        <v>3.630193548387097</v>
      </c>
      <c r="D16" t="n">
        <v>8.826967741935484</v>
      </c>
      <c r="E16" t="n">
        <v>1.872548387096774</v>
      </c>
      <c r="F16" t="n">
        <v>2.667935483870968</v>
      </c>
      <c r="G16" t="n">
        <v>0</v>
      </c>
      <c r="H16" t="n">
        <v>4.382503225806452</v>
      </c>
      <c r="I16" t="n">
        <v>7.350573225806453</v>
      </c>
      <c r="J16" t="n">
        <v>4.382503225806452</v>
      </c>
      <c r="K16" t="n">
        <v>7.350573225806453</v>
      </c>
      <c r="L16" t="n">
        <v>11.73307645161291</v>
      </c>
      <c r="M16" t="n">
        <v>11.73307645161291</v>
      </c>
      <c r="N16" t="n">
        <v>16.99764516129032</v>
      </c>
      <c r="O16" t="n">
        <v>28.73072161290323</v>
      </c>
      <c r="P16" t="n">
        <v>28.73072161290323</v>
      </c>
      <c r="Q16" t="n">
        <v>24.87987096774194</v>
      </c>
      <c r="R16" t="n">
        <v>10.27567741935484</v>
      </c>
      <c r="S16" t="n">
        <v>35.15554838709678</v>
      </c>
      <c r="T16" t="n">
        <v>35.15554838709678</v>
      </c>
      <c r="U16" t="n">
        <v>1.433064516129032</v>
      </c>
      <c r="V16" t="n">
        <v>1.611612903225806</v>
      </c>
      <c r="W16" t="n">
        <v>3.044677419354839</v>
      </c>
      <c r="X16" t="n">
        <v>1.425935483870968</v>
      </c>
      <c r="Y16" t="n">
        <v>1.301129032258065</v>
      </c>
      <c r="Z16" t="n">
        <v>2.727064516129032</v>
      </c>
      <c r="AA16" t="n">
        <v>6.424826774193551</v>
      </c>
      <c r="AB16" t="n">
        <v>6.424826774193551</v>
      </c>
      <c r="AC16" t="n">
        <v>37.88261290322581</v>
      </c>
      <c r="AD16" t="n">
        <v>37.88261290322581</v>
      </c>
      <c r="AE16" t="n">
        <v>6.107213870967746</v>
      </c>
      <c r="AF16" t="n">
        <v>6.107213870967746</v>
      </c>
      <c r="AG16" t="n">
        <v>0</v>
      </c>
      <c r="AH16" t="n">
        <v>0</v>
      </c>
      <c r="AI16" t="n">
        <v>0</v>
      </c>
      <c r="AJ16" t="n">
        <v>0</v>
      </c>
      <c r="AK16" t="n">
        <v>0</v>
      </c>
      <c r="AL16" t="n">
        <v>28.73072161290323</v>
      </c>
      <c r="AM16" t="n">
        <v>6.107213870967746</v>
      </c>
    </row>
    <row r="17">
      <c r="A17" s="8" t="n">
        <v>44652</v>
      </c>
      <c r="B17" t="inlineStr">
        <is>
          <t>Actual</t>
        </is>
      </c>
      <c r="C17" t="n">
        <v>4.189033333333333</v>
      </c>
      <c r="D17" t="n">
        <v>8.749866666666666</v>
      </c>
      <c r="E17" t="n">
        <v>1.068166666666667</v>
      </c>
      <c r="F17" t="n">
        <v>2.7244</v>
      </c>
      <c r="G17" t="n">
        <v>0</v>
      </c>
      <c r="H17" t="n">
        <v>3.544462</v>
      </c>
      <c r="I17" t="n">
        <v>7.265031666666667</v>
      </c>
      <c r="J17" t="n">
        <v>3.544462</v>
      </c>
      <c r="K17" t="n">
        <v>7.265031666666667</v>
      </c>
      <c r="L17" t="n">
        <v>10.80949366666667</v>
      </c>
      <c r="M17" t="n">
        <v>10.80949366666667</v>
      </c>
      <c r="N17" t="n">
        <v>16.73146666666667</v>
      </c>
      <c r="O17" t="n">
        <v>27.54096033333333</v>
      </c>
      <c r="P17" t="n">
        <v>27.54096033333333</v>
      </c>
      <c r="Q17" t="n">
        <v>25.36933333333333</v>
      </c>
      <c r="R17" t="n">
        <v>10.76263333333333</v>
      </c>
      <c r="S17" t="n">
        <v>36.13196666666666</v>
      </c>
      <c r="T17" t="n">
        <v>36.13196666666666</v>
      </c>
      <c r="U17" t="n">
        <v>2.011033333333333</v>
      </c>
      <c r="V17" t="n">
        <v>2.4075</v>
      </c>
      <c r="W17" t="n">
        <v>4.418533333333333</v>
      </c>
      <c r="X17" t="n">
        <v>0.5206000000000001</v>
      </c>
      <c r="Y17" t="n">
        <v>0.6063</v>
      </c>
      <c r="Z17" t="n">
        <v>1.1269</v>
      </c>
      <c r="AA17" t="n">
        <v>8.591006333333329</v>
      </c>
      <c r="AB17" t="n">
        <v>8.591006333333329</v>
      </c>
      <c r="AC17" t="n">
        <v>37.25886666666666</v>
      </c>
      <c r="AD17" t="n">
        <v>37.25886666666666</v>
      </c>
      <c r="AE17" t="n">
        <v>5.299372999999995</v>
      </c>
      <c r="AF17" t="n">
        <v>5.299372999999995</v>
      </c>
      <c r="AG17" t="n">
        <v>0</v>
      </c>
      <c r="AH17" t="n">
        <v>0</v>
      </c>
      <c r="AI17" t="n">
        <v>0</v>
      </c>
      <c r="AJ17" t="n">
        <v>0</v>
      </c>
      <c r="AK17" t="n">
        <v>0</v>
      </c>
      <c r="AL17" t="n">
        <v>27.54096033333333</v>
      </c>
      <c r="AM17" t="n">
        <v>5.299372999999995</v>
      </c>
    </row>
    <row r="18">
      <c r="A18" s="8" t="n">
        <v>44682</v>
      </c>
      <c r="B18" t="inlineStr">
        <is>
          <t>Actual</t>
        </is>
      </c>
      <c r="C18" t="n">
        <v>5.993516129032258</v>
      </c>
      <c r="D18" t="n">
        <v>8.428000000000001</v>
      </c>
      <c r="E18" t="n">
        <v>0.7367741935483871</v>
      </c>
      <c r="F18" t="n">
        <v>2.805161290322581</v>
      </c>
      <c r="G18" t="n">
        <v>0</v>
      </c>
      <c r="H18" t="n">
        <v>4.411511290322581</v>
      </c>
      <c r="I18" t="n">
        <v>6.90922870967742</v>
      </c>
      <c r="J18" t="n">
        <v>4.411511290322581</v>
      </c>
      <c r="K18" t="n">
        <v>6.90922870967742</v>
      </c>
      <c r="L18" t="n">
        <v>11.32074</v>
      </c>
      <c r="M18" t="n">
        <v>11.32074</v>
      </c>
      <c r="N18" t="n">
        <v>17.96345161290323</v>
      </c>
      <c r="O18" t="n">
        <v>29.28419161290323</v>
      </c>
      <c r="P18" t="n">
        <v>29.28419161290323</v>
      </c>
      <c r="Q18" t="n">
        <v>24.7518064516129</v>
      </c>
      <c r="R18" t="n">
        <v>11.18154838709678</v>
      </c>
      <c r="S18" t="n">
        <v>35.93335483870968</v>
      </c>
      <c r="T18" t="n">
        <v>35.93335483870968</v>
      </c>
      <c r="U18" t="n">
        <v>1.664612903225806</v>
      </c>
      <c r="V18" t="n">
        <v>1.907806451612903</v>
      </c>
      <c r="W18" t="n">
        <v>3.57241935483871</v>
      </c>
      <c r="X18" t="n">
        <v>0.6686129032258065</v>
      </c>
      <c r="Y18" t="n">
        <v>0.6745806451612903</v>
      </c>
      <c r="Z18" t="n">
        <v>1.343193548387097</v>
      </c>
      <c r="AA18" t="n">
        <v>6.649163225806447</v>
      </c>
      <c r="AB18" t="n">
        <v>6.649163225806447</v>
      </c>
      <c r="AC18" t="n">
        <v>37.27654838709677</v>
      </c>
      <c r="AD18" t="n">
        <v>37.27654838709677</v>
      </c>
      <c r="AE18" t="n">
        <v>4.419937419354836</v>
      </c>
      <c r="AF18" t="n">
        <v>4.419937419354836</v>
      </c>
      <c r="AG18" t="n">
        <v>0</v>
      </c>
      <c r="AH18" t="n">
        <v>0</v>
      </c>
      <c r="AI18" t="n">
        <v>0</v>
      </c>
      <c r="AJ18" t="n">
        <v>0</v>
      </c>
      <c r="AK18" t="n">
        <v>0</v>
      </c>
      <c r="AL18" t="n">
        <v>29.28419161290323</v>
      </c>
      <c r="AM18" t="n">
        <v>4.419937419354836</v>
      </c>
    </row>
    <row r="19">
      <c r="A19" s="8" t="n">
        <v>44713</v>
      </c>
      <c r="B19" t="inlineStr">
        <is>
          <t>Actual</t>
        </is>
      </c>
      <c r="C19" t="n">
        <v>7.540633333333333</v>
      </c>
      <c r="D19" t="n">
        <v>8.471466666666666</v>
      </c>
      <c r="E19" t="n">
        <v>0.6917333333333332</v>
      </c>
      <c r="F19" t="n">
        <v>2.674066666666667</v>
      </c>
      <c r="G19" t="n">
        <v>0</v>
      </c>
      <c r="H19" t="n">
        <v>2.944598666666666</v>
      </c>
      <c r="I19" t="n">
        <v>6.867000000000001</v>
      </c>
      <c r="J19" t="n">
        <v>2.944598666666666</v>
      </c>
      <c r="K19" t="n">
        <v>6.867000000000001</v>
      </c>
      <c r="L19" t="n">
        <v>9.811598666666667</v>
      </c>
      <c r="M19" t="n">
        <v>9.811598666666667</v>
      </c>
      <c r="N19" t="n">
        <v>19.3779</v>
      </c>
      <c r="O19" t="n">
        <v>29.18949866666667</v>
      </c>
      <c r="P19" t="n">
        <v>29.18949866666667</v>
      </c>
      <c r="Q19" t="n">
        <v>24.54246666666667</v>
      </c>
      <c r="R19" t="n">
        <v>11.21076666666667</v>
      </c>
      <c r="S19" t="n">
        <v>35.75323333333333</v>
      </c>
      <c r="T19" t="n">
        <v>35.75323333333333</v>
      </c>
      <c r="U19" t="n">
        <v>1.453166666666667</v>
      </c>
      <c r="V19" t="n">
        <v>1.3559</v>
      </c>
      <c r="W19" t="n">
        <v>2.809066666666667</v>
      </c>
      <c r="X19" t="n">
        <v>0.7817999999999999</v>
      </c>
      <c r="Y19" t="n">
        <v>0.7397333333333334</v>
      </c>
      <c r="Z19" t="n">
        <v>1.521533333333333</v>
      </c>
      <c r="AA19" t="n">
        <v>6.563734666666669</v>
      </c>
      <c r="AB19" t="n">
        <v>6.563734666666669</v>
      </c>
      <c r="AC19" t="n">
        <v>37.27476666666666</v>
      </c>
      <c r="AD19" t="n">
        <v>37.27476666666666</v>
      </c>
      <c r="AE19" t="n">
        <v>5.276201333333333</v>
      </c>
      <c r="AF19" t="n">
        <v>5.276201333333333</v>
      </c>
      <c r="AG19" t="n">
        <v>0</v>
      </c>
      <c r="AH19" t="n">
        <v>0</v>
      </c>
      <c r="AI19" t="n">
        <v>0</v>
      </c>
      <c r="AJ19" t="n">
        <v>0</v>
      </c>
      <c r="AK19" t="n">
        <v>0</v>
      </c>
      <c r="AL19" t="n">
        <v>29.18949866666667</v>
      </c>
      <c r="AM19" t="n">
        <v>5.276201333333333</v>
      </c>
    </row>
    <row r="20">
      <c r="A20" s="8" t="n">
        <v>44743</v>
      </c>
      <c r="B20" t="inlineStr">
        <is>
          <t>Actual</t>
        </is>
      </c>
      <c r="C20" t="n">
        <v>8.741677419354838</v>
      </c>
      <c r="D20" t="n">
        <v>8.400645161290322</v>
      </c>
      <c r="E20" t="n">
        <v>0.6818709677419356</v>
      </c>
      <c r="F20" t="n">
        <v>2.817677419354839</v>
      </c>
      <c r="G20" t="n">
        <v>0</v>
      </c>
      <c r="H20" t="n">
        <v>2.218009354838709</v>
      </c>
      <c r="I20" t="n">
        <v>7.165202903225808</v>
      </c>
      <c r="J20" t="n">
        <v>2.218009354838709</v>
      </c>
      <c r="K20" t="n">
        <v>7.165202903225808</v>
      </c>
      <c r="L20" t="n">
        <v>9.383212258064518</v>
      </c>
      <c r="M20" t="n">
        <v>9.383212258064518</v>
      </c>
      <c r="N20" t="n">
        <v>20.64187096774194</v>
      </c>
      <c r="O20" t="n">
        <v>30.02508322580645</v>
      </c>
      <c r="P20" t="n">
        <v>30.02508322580645</v>
      </c>
      <c r="Q20" t="n">
        <v>24.48077419354838</v>
      </c>
      <c r="R20" t="n">
        <v>11.27409677419355</v>
      </c>
      <c r="S20" t="n">
        <v>35.75487096774193</v>
      </c>
      <c r="T20" t="n">
        <v>35.75487096774193</v>
      </c>
      <c r="U20" t="n">
        <v>1.202129032258065</v>
      </c>
      <c r="V20" t="n">
        <v>1.14058064516129</v>
      </c>
      <c r="W20" t="n">
        <v>2.342709677419355</v>
      </c>
      <c r="X20" t="n">
        <v>1.388</v>
      </c>
      <c r="Y20" t="n">
        <v>1.543677419354839</v>
      </c>
      <c r="Z20" t="n">
        <v>2.931677419354838</v>
      </c>
      <c r="AA20" t="n">
        <v>5.729787741935475</v>
      </c>
      <c r="AB20" t="n">
        <v>5.729787741935475</v>
      </c>
      <c r="AC20" t="n">
        <v>38.68654838709677</v>
      </c>
      <c r="AD20" t="n">
        <v>38.68654838709677</v>
      </c>
      <c r="AE20" t="n">
        <v>6.318755483870961</v>
      </c>
      <c r="AF20" t="n">
        <v>6.318755483870961</v>
      </c>
      <c r="AG20" t="n">
        <v>0</v>
      </c>
      <c r="AH20" t="n">
        <v>0</v>
      </c>
      <c r="AI20" t="n">
        <v>0</v>
      </c>
      <c r="AJ20" t="n">
        <v>0</v>
      </c>
      <c r="AK20" t="n">
        <v>0</v>
      </c>
      <c r="AL20" t="n">
        <v>30.02508322580645</v>
      </c>
      <c r="AM20" t="n">
        <v>6.318755483870961</v>
      </c>
    </row>
    <row r="21">
      <c r="A21" s="8" t="n">
        <v>44774</v>
      </c>
      <c r="B21" t="inlineStr">
        <is>
          <t>Actual</t>
        </is>
      </c>
      <c r="C21" t="n">
        <v>8.276612903225807</v>
      </c>
      <c r="D21" t="n">
        <v>8.388064516129031</v>
      </c>
      <c r="E21" t="n">
        <v>0.645516129032258</v>
      </c>
      <c r="F21" t="n">
        <v>2.790903225806451</v>
      </c>
      <c r="G21" t="n">
        <v>0</v>
      </c>
      <c r="H21" t="n">
        <v>2.229507096774194</v>
      </c>
      <c r="I21" t="n">
        <v>7.23963935483871</v>
      </c>
      <c r="J21" t="n">
        <v>2.229507096774194</v>
      </c>
      <c r="K21" t="n">
        <v>7.23963935483871</v>
      </c>
      <c r="L21" t="n">
        <v>9.469146451612904</v>
      </c>
      <c r="M21" t="n">
        <v>9.469146451612904</v>
      </c>
      <c r="N21" t="n">
        <v>20.10109677419355</v>
      </c>
      <c r="O21" t="n">
        <v>29.57024322580645</v>
      </c>
      <c r="P21" t="n">
        <v>29.57024322580645</v>
      </c>
      <c r="Q21" t="n">
        <v>25.02229032258064</v>
      </c>
      <c r="R21" t="n">
        <v>11.52206451612903</v>
      </c>
      <c r="S21" t="n">
        <v>36.54435483870967</v>
      </c>
      <c r="T21" t="n">
        <v>36.54435483870967</v>
      </c>
      <c r="U21" t="n">
        <v>1.73141935483871</v>
      </c>
      <c r="V21" t="n">
        <v>1.008129032258064</v>
      </c>
      <c r="W21" t="n">
        <v>2.739548387096774</v>
      </c>
      <c r="X21" t="n">
        <v>1.743612903225806</v>
      </c>
      <c r="Y21" t="n">
        <v>1.174612903225806</v>
      </c>
      <c r="Z21" t="n">
        <v>2.918225806451613</v>
      </c>
      <c r="AA21" t="n">
        <v>6.974111612903219</v>
      </c>
      <c r="AB21" t="n">
        <v>6.974111612903219</v>
      </c>
      <c r="AC21" t="n">
        <v>39.46258064516128</v>
      </c>
      <c r="AD21" t="n">
        <v>39.46258064516128</v>
      </c>
      <c r="AE21" t="n">
        <v>7.152789032258053</v>
      </c>
      <c r="AF21" t="n">
        <v>7.152789032258053</v>
      </c>
      <c r="AG21" t="n">
        <v>0</v>
      </c>
      <c r="AH21" t="n">
        <v>0</v>
      </c>
      <c r="AI21" t="n">
        <v>0</v>
      </c>
      <c r="AJ21" t="n">
        <v>0</v>
      </c>
      <c r="AK21" t="n">
        <v>0</v>
      </c>
      <c r="AL21" t="n">
        <v>29.57024322580645</v>
      </c>
      <c r="AM21" t="n">
        <v>7.152789032258053</v>
      </c>
    </row>
    <row r="22">
      <c r="A22" s="8" t="n">
        <v>44805</v>
      </c>
      <c r="B22" t="inlineStr">
        <is>
          <t>Actual</t>
        </is>
      </c>
      <c r="C22" t="n">
        <v>6.977566666666667</v>
      </c>
      <c r="D22" t="n">
        <v>8.3498</v>
      </c>
      <c r="E22" t="n">
        <v>0.6764666666666668</v>
      </c>
      <c r="F22" t="n">
        <v>2.759933333333333</v>
      </c>
      <c r="G22" t="n">
        <v>0</v>
      </c>
      <c r="H22" t="n">
        <v>2.173133</v>
      </c>
      <c r="I22" t="n">
        <v>7.511553333333334</v>
      </c>
      <c r="J22" t="n">
        <v>2.173133</v>
      </c>
      <c r="K22" t="n">
        <v>7.511553333333334</v>
      </c>
      <c r="L22" t="n">
        <v>9.684686333333334</v>
      </c>
      <c r="M22" t="n">
        <v>9.684686333333334</v>
      </c>
      <c r="N22" t="n">
        <v>18.76376666666667</v>
      </c>
      <c r="O22" t="n">
        <v>28.448453</v>
      </c>
      <c r="P22" t="n">
        <v>28.448453</v>
      </c>
      <c r="Q22" t="n">
        <v>25.65153333333333</v>
      </c>
      <c r="R22" t="n">
        <v>11.7806</v>
      </c>
      <c r="S22" t="n">
        <v>37.43213333333333</v>
      </c>
      <c r="T22" t="n">
        <v>37.43213333333333</v>
      </c>
      <c r="U22" t="n">
        <v>2.6006</v>
      </c>
      <c r="V22" t="n">
        <v>1.651</v>
      </c>
      <c r="W22" t="n">
        <v>4.2516</v>
      </c>
      <c r="X22" t="n">
        <v>1.136133333333333</v>
      </c>
      <c r="Y22" t="n">
        <v>0.9509666666666667</v>
      </c>
      <c r="Z22" t="n">
        <v>2.0871</v>
      </c>
      <c r="AA22" t="n">
        <v>8.983680333333325</v>
      </c>
      <c r="AB22" t="n">
        <v>8.983680333333325</v>
      </c>
      <c r="AC22" t="n">
        <v>39.51923333333333</v>
      </c>
      <c r="AD22" t="n">
        <v>39.51923333333333</v>
      </c>
      <c r="AE22" t="n">
        <v>6.819180333333325</v>
      </c>
      <c r="AF22" t="n">
        <v>6.819180333333325</v>
      </c>
      <c r="AG22" t="n">
        <v>0</v>
      </c>
      <c r="AH22" t="n">
        <v>0</v>
      </c>
      <c r="AI22" t="n">
        <v>0</v>
      </c>
      <c r="AJ22" t="n">
        <v>0</v>
      </c>
      <c r="AK22" t="n">
        <v>0</v>
      </c>
      <c r="AL22" t="n">
        <v>28.448453</v>
      </c>
      <c r="AM22" t="n">
        <v>6.819180333333325</v>
      </c>
    </row>
    <row r="23">
      <c r="A23" s="8" t="n">
        <v>44835</v>
      </c>
      <c r="B23" t="inlineStr">
        <is>
          <t>Actual</t>
        </is>
      </c>
      <c r="C23" t="n">
        <v>5.281741935483871</v>
      </c>
      <c r="D23" t="n">
        <v>8.225</v>
      </c>
      <c r="E23" t="n">
        <v>0.8663548387096774</v>
      </c>
      <c r="F23" t="n">
        <v>2.740677419354839</v>
      </c>
      <c r="G23" t="n">
        <v>0</v>
      </c>
      <c r="H23" t="n">
        <v>2.348281935483871</v>
      </c>
      <c r="I23" t="n">
        <v>8.27267806451613</v>
      </c>
      <c r="J23" t="n">
        <v>2.348281935483871</v>
      </c>
      <c r="K23" t="n">
        <v>8.27267806451613</v>
      </c>
      <c r="L23" t="n">
        <v>10.62096</v>
      </c>
      <c r="M23" t="n">
        <v>10.62096</v>
      </c>
      <c r="N23" t="n">
        <v>17.11377419354839</v>
      </c>
      <c r="O23" t="n">
        <v>27.73473419354839</v>
      </c>
      <c r="P23" t="n">
        <v>27.73473419354839</v>
      </c>
      <c r="Q23" t="n">
        <v>25.33190322580645</v>
      </c>
      <c r="R23" t="n">
        <v>12.0358064516129</v>
      </c>
      <c r="S23" t="n">
        <v>37.36770967741936</v>
      </c>
      <c r="T23" t="n">
        <v>37.36770967741936</v>
      </c>
      <c r="U23" t="n">
        <v>2.467064516129032</v>
      </c>
      <c r="V23" t="n">
        <v>2.212612903225806</v>
      </c>
      <c r="W23" t="n">
        <v>4.679677419354839</v>
      </c>
      <c r="X23" t="n">
        <v>0.4530645161290323</v>
      </c>
      <c r="Y23" t="n">
        <v>0.5782903225806452</v>
      </c>
      <c r="Z23" t="n">
        <v>1.031354838709677</v>
      </c>
      <c r="AA23" t="n">
        <v>9.632975483870965</v>
      </c>
      <c r="AB23" t="n">
        <v>9.632975483870965</v>
      </c>
      <c r="AC23" t="n">
        <v>38.39906451612903</v>
      </c>
      <c r="AD23" t="n">
        <v>38.39906451612903</v>
      </c>
      <c r="AE23" t="n">
        <v>5.9846529032258</v>
      </c>
      <c r="AF23" t="n">
        <v>5.9846529032258</v>
      </c>
      <c r="AG23" t="n">
        <v>0</v>
      </c>
      <c r="AH23" t="n">
        <v>0</v>
      </c>
      <c r="AI23" t="n">
        <v>0</v>
      </c>
      <c r="AJ23" t="n">
        <v>0</v>
      </c>
      <c r="AK23" t="n">
        <v>0</v>
      </c>
      <c r="AL23" t="n">
        <v>27.73473419354839</v>
      </c>
      <c r="AM23" t="n">
        <v>5.9846529032258</v>
      </c>
    </row>
    <row r="24">
      <c r="A24" s="8" t="n">
        <v>44866</v>
      </c>
      <c r="B24" t="inlineStr">
        <is>
          <t>Actual</t>
        </is>
      </c>
      <c r="C24" t="n">
        <v>5.1263</v>
      </c>
      <c r="D24" t="n">
        <v>8.797233333333335</v>
      </c>
      <c r="E24" t="n">
        <v>1.783266666666667</v>
      </c>
      <c r="F24" t="n">
        <v>2.750966666666667</v>
      </c>
      <c r="G24" t="n">
        <v>0</v>
      </c>
      <c r="H24" t="n">
        <v>2.072017333333333</v>
      </c>
      <c r="I24" t="n">
        <v>7.782091333333334</v>
      </c>
      <c r="J24" t="n">
        <v>2.072017333333333</v>
      </c>
      <c r="K24" t="n">
        <v>7.782091333333334</v>
      </c>
      <c r="L24" t="n">
        <v>9.854108666666667</v>
      </c>
      <c r="M24" t="n">
        <v>9.854108666666667</v>
      </c>
      <c r="N24" t="n">
        <v>18.45776666666667</v>
      </c>
      <c r="O24" t="n">
        <v>28.31187533333333</v>
      </c>
      <c r="P24" t="n">
        <v>28.31187533333333</v>
      </c>
      <c r="Q24" t="n">
        <v>25.37643333333333</v>
      </c>
      <c r="R24" t="n">
        <v>12.1315</v>
      </c>
      <c r="S24" t="n">
        <v>37.50793333333333</v>
      </c>
      <c r="T24" t="n">
        <v>37.50793333333333</v>
      </c>
      <c r="U24" t="n">
        <v>1.554566666666667</v>
      </c>
      <c r="V24" t="n">
        <v>1.6076</v>
      </c>
      <c r="W24" t="n">
        <v>3.162166666666667</v>
      </c>
      <c r="X24" t="n">
        <v>1.4176</v>
      </c>
      <c r="Y24" t="n">
        <v>1.167233333333333</v>
      </c>
      <c r="Z24" t="n">
        <v>2.584833333333333</v>
      </c>
      <c r="AA24" t="n">
        <v>9.196058000000001</v>
      </c>
      <c r="AB24" t="n">
        <v>9.196058000000001</v>
      </c>
      <c r="AC24" t="n">
        <v>40.09276666666667</v>
      </c>
      <c r="AD24" t="n">
        <v>40.09276666666667</v>
      </c>
      <c r="AE24" t="n">
        <v>8.618724666666669</v>
      </c>
      <c r="AF24" t="n">
        <v>8.618724666666669</v>
      </c>
      <c r="AG24" t="n">
        <v>0</v>
      </c>
      <c r="AH24" t="n">
        <v>0</v>
      </c>
      <c r="AI24" t="n">
        <v>0</v>
      </c>
      <c r="AJ24" t="n">
        <v>0</v>
      </c>
      <c r="AK24" t="n">
        <v>0</v>
      </c>
      <c r="AL24" t="n">
        <v>28.31187533333333</v>
      </c>
      <c r="AM24" t="n">
        <v>8.618724666666669</v>
      </c>
    </row>
    <row r="25">
      <c r="A25" s="8" t="n">
        <v>44896</v>
      </c>
      <c r="B25" t="inlineStr">
        <is>
          <t>Actual</t>
        </is>
      </c>
      <c r="C25" t="n">
        <v>5.473967741935484</v>
      </c>
      <c r="D25" t="n">
        <v>8.473967741935484</v>
      </c>
      <c r="E25" t="n">
        <v>2.191806451612904</v>
      </c>
      <c r="F25" t="n">
        <v>2.523516129032258</v>
      </c>
      <c r="G25" t="n">
        <v>0</v>
      </c>
      <c r="H25" t="n">
        <v>2.254506774193549</v>
      </c>
      <c r="I25" t="n">
        <v>8.308788709677421</v>
      </c>
      <c r="J25" t="n">
        <v>2.254506774193549</v>
      </c>
      <c r="K25" t="n">
        <v>8.308788709677421</v>
      </c>
      <c r="L25" t="n">
        <v>10.56329548387097</v>
      </c>
      <c r="M25" t="n">
        <v>10.56329548387097</v>
      </c>
      <c r="N25" t="n">
        <v>18.66325806451613</v>
      </c>
      <c r="O25" t="n">
        <v>29.2265535483871</v>
      </c>
      <c r="P25" t="n">
        <v>29.2265535483871</v>
      </c>
      <c r="Q25" t="n">
        <v>25.55032258064516</v>
      </c>
      <c r="R25" t="n">
        <v>11.88264516129032</v>
      </c>
      <c r="S25" t="n">
        <v>37.43296774193549</v>
      </c>
      <c r="T25" t="n">
        <v>37.43296774193549</v>
      </c>
      <c r="U25" t="n">
        <v>1.395903225806452</v>
      </c>
      <c r="V25" t="n">
        <v>1.216612903225806</v>
      </c>
      <c r="W25" t="n">
        <v>2.612516129032258</v>
      </c>
      <c r="X25" t="n">
        <v>2.284096774193548</v>
      </c>
      <c r="Y25" t="n">
        <v>2.626612903225806</v>
      </c>
      <c r="Z25" t="n">
        <v>4.910709677419355</v>
      </c>
      <c r="AA25" t="n">
        <v>8.206414193548383</v>
      </c>
      <c r="AB25" t="n">
        <v>8.206414193548383</v>
      </c>
      <c r="AC25" t="n">
        <v>42.34367741935484</v>
      </c>
      <c r="AD25" t="n">
        <v>42.34367741935484</v>
      </c>
      <c r="AE25" t="n">
        <v>10.50460774193548</v>
      </c>
      <c r="AF25" t="n">
        <v>10.50460774193548</v>
      </c>
      <c r="AG25" t="n">
        <v>0</v>
      </c>
      <c r="AH25" t="n">
        <v>0</v>
      </c>
      <c r="AI25" t="n">
        <v>0</v>
      </c>
      <c r="AJ25" t="n">
        <v>0</v>
      </c>
      <c r="AK25" t="n">
        <v>0</v>
      </c>
      <c r="AL25" t="n">
        <v>29.2265535483871</v>
      </c>
      <c r="AM25" t="n">
        <v>10.50460774193548</v>
      </c>
    </row>
    <row r="26">
      <c r="A26" s="8" t="n">
        <v>44927</v>
      </c>
      <c r="B26" t="inlineStr">
        <is>
          <t>Actual</t>
        </is>
      </c>
      <c r="C26" t="n">
        <v>4.750612903225806</v>
      </c>
      <c r="D26" t="n">
        <v>8.673516129032258</v>
      </c>
      <c r="E26" t="n">
        <v>2.271548387096774</v>
      </c>
      <c r="F26" t="n">
        <v>2.707741935483871</v>
      </c>
      <c r="G26" t="n">
        <v>0</v>
      </c>
      <c r="H26" t="n">
        <v>2.199971612903226</v>
      </c>
      <c r="I26" t="n">
        <v>8.582202903225808</v>
      </c>
      <c r="J26" t="n">
        <v>2.199971612903226</v>
      </c>
      <c r="K26" t="n">
        <v>8.582202903225808</v>
      </c>
      <c r="L26" t="n">
        <v>10.78217451612903</v>
      </c>
      <c r="M26" t="n">
        <v>10.78217451612903</v>
      </c>
      <c r="N26" t="n">
        <v>18.40341935483871</v>
      </c>
      <c r="O26" t="n">
        <v>29.18559387096774</v>
      </c>
      <c r="P26" t="n">
        <v>29.18559387096774</v>
      </c>
      <c r="Q26" t="n">
        <v>25.18170967741936</v>
      </c>
      <c r="R26" t="n">
        <v>12.00441935483871</v>
      </c>
      <c r="S26" t="n">
        <v>37.18612903225807</v>
      </c>
      <c r="T26" t="n">
        <v>37.18612903225807</v>
      </c>
      <c r="U26" t="n">
        <v>1.189967741935484</v>
      </c>
      <c r="V26" t="n">
        <v>1.299064516129032</v>
      </c>
      <c r="W26" t="n">
        <v>2.489032258064516</v>
      </c>
      <c r="X26" t="n">
        <v>1.932354838709677</v>
      </c>
      <c r="Y26" t="n">
        <v>1.674225806451613</v>
      </c>
      <c r="Z26" t="n">
        <v>3.60658064516129</v>
      </c>
      <c r="AA26" t="n">
        <v>8.000535161290323</v>
      </c>
      <c r="AB26" t="n">
        <v>8.000535161290323</v>
      </c>
      <c r="AC26" t="n">
        <v>40.79270967741935</v>
      </c>
      <c r="AD26" t="n">
        <v>40.79270967741935</v>
      </c>
      <c r="AE26" t="n">
        <v>9.118083548387094</v>
      </c>
      <c r="AF26" t="n">
        <v>9.118083548387094</v>
      </c>
      <c r="AG26" t="n">
        <v>0</v>
      </c>
      <c r="AH26" t="n">
        <v>0</v>
      </c>
      <c r="AI26" t="n">
        <v>0</v>
      </c>
      <c r="AJ26" t="n">
        <v>0</v>
      </c>
      <c r="AK26" t="n">
        <v>0</v>
      </c>
      <c r="AL26" t="n">
        <v>29.18559387096774</v>
      </c>
      <c r="AM26" t="n">
        <v>9.118083548387094</v>
      </c>
    </row>
    <row r="27">
      <c r="A27" s="8" t="n">
        <v>44958</v>
      </c>
      <c r="B27" t="inlineStr">
        <is>
          <t>Actual</t>
        </is>
      </c>
      <c r="C27" t="n">
        <v>5.138392857142858</v>
      </c>
      <c r="D27" t="n">
        <v>8.819464285714286</v>
      </c>
      <c r="E27" t="n">
        <v>2.295</v>
      </c>
      <c r="F27" t="n">
        <v>2.707571428571429</v>
      </c>
      <c r="G27" t="n">
        <v>0</v>
      </c>
      <c r="H27" t="n">
        <v>2.945725</v>
      </c>
      <c r="I27" t="n">
        <v>8.575652857142858</v>
      </c>
      <c r="J27" t="n">
        <v>2.945725</v>
      </c>
      <c r="K27" t="n">
        <v>8.575652857142858</v>
      </c>
      <c r="L27" t="n">
        <v>11.52137785714286</v>
      </c>
      <c r="M27" t="n">
        <v>11.52137785714286</v>
      </c>
      <c r="N27" t="n">
        <v>18.96042857142858</v>
      </c>
      <c r="O27" t="n">
        <v>30.48180642857143</v>
      </c>
      <c r="P27" t="n">
        <v>30.48180642857143</v>
      </c>
      <c r="Q27" t="n">
        <v>25.22707142857143</v>
      </c>
      <c r="R27" t="n">
        <v>12.40339285714286</v>
      </c>
      <c r="S27" t="n">
        <v>37.63046428571429</v>
      </c>
      <c r="T27" t="n">
        <v>37.63046428571429</v>
      </c>
      <c r="U27" t="n">
        <v>1.318821428571429</v>
      </c>
      <c r="V27" t="n">
        <v>1.072214285714286</v>
      </c>
      <c r="W27" t="n">
        <v>2.391035714285715</v>
      </c>
      <c r="X27" t="n">
        <v>1.893642857142857</v>
      </c>
      <c r="Y27" t="n">
        <v>1.698857142857143</v>
      </c>
      <c r="Z27" t="n">
        <v>3.5925</v>
      </c>
      <c r="AA27" t="n">
        <v>7.148657857142858</v>
      </c>
      <c r="AB27" t="n">
        <v>7.148657857142858</v>
      </c>
      <c r="AC27" t="n">
        <v>41.22296428571429</v>
      </c>
      <c r="AD27" t="n">
        <v>41.22296428571429</v>
      </c>
      <c r="AE27" t="n">
        <v>8.350122142857145</v>
      </c>
      <c r="AF27" t="n">
        <v>8.350122142857145</v>
      </c>
      <c r="AG27" t="n">
        <v>0</v>
      </c>
      <c r="AH27" t="n">
        <v>0</v>
      </c>
      <c r="AI27" t="n">
        <v>0</v>
      </c>
      <c r="AJ27" t="n">
        <v>0</v>
      </c>
      <c r="AK27" t="n">
        <v>0</v>
      </c>
      <c r="AL27" t="n">
        <v>30.48180642857143</v>
      </c>
      <c r="AM27" t="n">
        <v>8.350122142857145</v>
      </c>
    </row>
    <row r="28">
      <c r="A28" s="8" t="n">
        <v>44986</v>
      </c>
      <c r="B28" t="inlineStr">
        <is>
          <t>Actual</t>
        </is>
      </c>
      <c r="C28" t="n">
        <v>4.781580645161291</v>
      </c>
      <c r="D28" t="n">
        <v>8.643193548387096</v>
      </c>
      <c r="E28" t="n">
        <v>1.511548387096774</v>
      </c>
      <c r="F28" t="n">
        <v>2.856064516129032</v>
      </c>
      <c r="G28" t="n">
        <v>0</v>
      </c>
      <c r="H28" t="n">
        <v>3.379808709677419</v>
      </c>
      <c r="I28" t="n">
        <v>8.121519677419355</v>
      </c>
      <c r="J28" t="n">
        <v>3.379808709677419</v>
      </c>
      <c r="K28" t="n">
        <v>8.121519677419355</v>
      </c>
      <c r="L28" t="n">
        <v>11.50132838709677</v>
      </c>
      <c r="M28" t="n">
        <v>11.50132838709677</v>
      </c>
      <c r="N28" t="n">
        <v>17.79238709677419</v>
      </c>
      <c r="O28" t="n">
        <v>29.29371548387097</v>
      </c>
      <c r="P28" t="n">
        <v>29.29371548387097</v>
      </c>
      <c r="Q28" t="n">
        <v>26.69438709677419</v>
      </c>
      <c r="R28" t="n">
        <v>12.00077419354839</v>
      </c>
      <c r="S28" t="n">
        <v>38.69516129032257</v>
      </c>
      <c r="T28" t="n">
        <v>38.69516129032257</v>
      </c>
      <c r="U28" t="n">
        <v>1.539709677419355</v>
      </c>
      <c r="V28" t="n">
        <v>1.372548387096774</v>
      </c>
      <c r="W28" t="n">
        <v>2.912258064516129</v>
      </c>
      <c r="X28" t="n">
        <v>1.019161290322581</v>
      </c>
      <c r="Y28" t="n">
        <v>1.445290322580645</v>
      </c>
      <c r="Z28" t="n">
        <v>2.464451612903225</v>
      </c>
      <c r="AA28" t="n">
        <v>9.401445806451608</v>
      </c>
      <c r="AB28" t="n">
        <v>9.401445806451608</v>
      </c>
      <c r="AC28" t="n">
        <v>41.1596129032258</v>
      </c>
      <c r="AD28" t="n">
        <v>41.1596129032258</v>
      </c>
      <c r="AE28" t="n">
        <v>8.953639354838705</v>
      </c>
      <c r="AF28" t="n">
        <v>8.953639354838705</v>
      </c>
      <c r="AG28" t="n">
        <v>0</v>
      </c>
      <c r="AH28" t="n">
        <v>0</v>
      </c>
      <c r="AI28" t="n">
        <v>0</v>
      </c>
      <c r="AJ28" t="n">
        <v>0</v>
      </c>
      <c r="AK28" t="n">
        <v>0</v>
      </c>
      <c r="AL28" t="n">
        <v>29.29371548387097</v>
      </c>
      <c r="AM28" t="n">
        <v>8.953639354838705</v>
      </c>
    </row>
    <row r="29">
      <c r="A29" s="8" t="n">
        <v>45017</v>
      </c>
      <c r="B29" t="inlineStr">
        <is>
          <t>Actual</t>
        </is>
      </c>
      <c r="C29" t="n">
        <v>4.891733333333334</v>
      </c>
      <c r="D29" t="n">
        <v>8.730866666666666</v>
      </c>
      <c r="E29" t="n">
        <v>0.9866666666666668</v>
      </c>
      <c r="F29" t="n">
        <v>2.752766666666667</v>
      </c>
      <c r="G29" t="n">
        <v>0</v>
      </c>
      <c r="H29" t="n">
        <v>4.289840333333332</v>
      </c>
      <c r="I29" t="n">
        <v>8.410512666666667</v>
      </c>
      <c r="J29" t="n">
        <v>4.289840333333332</v>
      </c>
      <c r="K29" t="n">
        <v>8.410512666666667</v>
      </c>
      <c r="L29" t="n">
        <v>12.700353</v>
      </c>
      <c r="M29" t="n">
        <v>12.700353</v>
      </c>
      <c r="N29" t="n">
        <v>17.36203333333333</v>
      </c>
      <c r="O29" t="n">
        <v>30.06238633333333</v>
      </c>
      <c r="P29" t="n">
        <v>30.06238633333333</v>
      </c>
      <c r="Q29" t="n">
        <v>26.09276666666667</v>
      </c>
      <c r="R29" t="n">
        <v>12.08916666666667</v>
      </c>
      <c r="S29" t="n">
        <v>38.18193333333333</v>
      </c>
      <c r="T29" t="n">
        <v>38.18193333333333</v>
      </c>
      <c r="U29" t="n">
        <v>1.441633333333334</v>
      </c>
      <c r="V29" t="n">
        <v>1.4105</v>
      </c>
      <c r="W29" t="n">
        <v>2.852133333333334</v>
      </c>
      <c r="X29" t="n">
        <v>0.6953333333333334</v>
      </c>
      <c r="Y29" t="n">
        <v>1.134666666666667</v>
      </c>
      <c r="Z29" t="n">
        <v>1.83</v>
      </c>
      <c r="AA29" t="n">
        <v>8.119547000000001</v>
      </c>
      <c r="AB29" t="n">
        <v>8.119547000000001</v>
      </c>
      <c r="AC29" t="n">
        <v>40.01193333333333</v>
      </c>
      <c r="AD29" t="n">
        <v>40.01193333333333</v>
      </c>
      <c r="AE29" t="n">
        <v>7.097413666666665</v>
      </c>
      <c r="AF29" t="n">
        <v>7.097413666666665</v>
      </c>
      <c r="AG29" t="n">
        <v>0</v>
      </c>
      <c r="AH29" t="n">
        <v>0</v>
      </c>
      <c r="AI29" t="n">
        <v>0</v>
      </c>
      <c r="AJ29" t="n">
        <v>0</v>
      </c>
      <c r="AK29" t="n">
        <v>0</v>
      </c>
      <c r="AL29" t="n">
        <v>30.06238633333333</v>
      </c>
      <c r="AM29" t="n">
        <v>7.097413666666665</v>
      </c>
    </row>
    <row r="30">
      <c r="A30" s="8" t="n">
        <v>45047</v>
      </c>
      <c r="B30" t="inlineStr">
        <is>
          <t>Actual</t>
        </is>
      </c>
      <c r="C30" t="n">
        <v>6.70458064516129</v>
      </c>
      <c r="D30" t="n">
        <v>8.436838709677419</v>
      </c>
      <c r="E30" t="n">
        <v>0.7660645161290323</v>
      </c>
      <c r="F30" t="n">
        <v>2.939967741935484</v>
      </c>
      <c r="G30" t="n">
        <v>0</v>
      </c>
      <c r="H30" t="n">
        <v>4.435456129032257</v>
      </c>
      <c r="I30" t="n">
        <v>7.274554516129033</v>
      </c>
      <c r="J30" t="n">
        <v>4.435456129032257</v>
      </c>
      <c r="K30" t="n">
        <v>7.274554516129033</v>
      </c>
      <c r="L30" t="n">
        <v>11.71001064516129</v>
      </c>
      <c r="M30" t="n">
        <v>11.71001064516129</v>
      </c>
      <c r="N30" t="n">
        <v>18.84745161290322</v>
      </c>
      <c r="O30" t="n">
        <v>30.55746225806451</v>
      </c>
      <c r="P30" t="n">
        <v>30.55746225806451</v>
      </c>
      <c r="Q30" t="n">
        <v>26.302</v>
      </c>
      <c r="R30" t="n">
        <v>12.48722580645161</v>
      </c>
      <c r="S30" t="n">
        <v>38.78922580645161</v>
      </c>
      <c r="T30" t="n">
        <v>38.78922580645161</v>
      </c>
      <c r="U30" t="n">
        <v>1.817225806451613</v>
      </c>
      <c r="V30" t="n">
        <v>1.873677419354839</v>
      </c>
      <c r="W30" t="n">
        <v>3.690903225806451</v>
      </c>
      <c r="X30" t="n">
        <v>0.7054838709677419</v>
      </c>
      <c r="Y30" t="n">
        <v>0.8789032258064516</v>
      </c>
      <c r="Z30" t="n">
        <v>1.584387096774194</v>
      </c>
      <c r="AA30" t="n">
        <v>8.231763548387097</v>
      </c>
      <c r="AB30" t="n">
        <v>8.231763548387097</v>
      </c>
      <c r="AC30" t="n">
        <v>40.3736129032258</v>
      </c>
      <c r="AD30" t="n">
        <v>40.3736129032258</v>
      </c>
      <c r="AE30" t="n">
        <v>6.125247419354839</v>
      </c>
      <c r="AF30" t="n">
        <v>6.125247419354839</v>
      </c>
      <c r="AG30" t="n">
        <v>0</v>
      </c>
      <c r="AH30" t="n">
        <v>0</v>
      </c>
      <c r="AI30" t="n">
        <v>0</v>
      </c>
      <c r="AJ30" t="n">
        <v>0</v>
      </c>
      <c r="AK30" t="n">
        <v>0</v>
      </c>
      <c r="AL30" t="n">
        <v>30.55746225806451</v>
      </c>
      <c r="AM30" t="n">
        <v>6.125247419354839</v>
      </c>
    </row>
    <row r="31">
      <c r="A31" s="8" t="n">
        <v>45078</v>
      </c>
      <c r="B31" t="inlineStr">
        <is>
          <t>Actual</t>
        </is>
      </c>
      <c r="C31" t="n">
        <v>8.359766666666665</v>
      </c>
      <c r="D31" t="n">
        <v>8.447533333333332</v>
      </c>
      <c r="E31" t="n">
        <v>0.7346666666666667</v>
      </c>
      <c r="F31" t="n">
        <v>3.368</v>
      </c>
      <c r="G31" t="n">
        <v>0</v>
      </c>
      <c r="H31" t="n">
        <v>4.568444333333334</v>
      </c>
      <c r="I31" t="n">
        <v>6.023376333333334</v>
      </c>
      <c r="J31" t="n">
        <v>4.568444333333334</v>
      </c>
      <c r="K31" t="n">
        <v>6.023376333333334</v>
      </c>
      <c r="L31" t="n">
        <v>10.59182066666667</v>
      </c>
      <c r="M31" t="n">
        <v>10.59182066666667</v>
      </c>
      <c r="N31" t="n">
        <v>20.90996666666666</v>
      </c>
      <c r="O31" t="n">
        <v>31.50178733333333</v>
      </c>
      <c r="P31" t="n">
        <v>31.50178733333333</v>
      </c>
      <c r="Q31" t="n">
        <v>25.9884</v>
      </c>
      <c r="R31" t="n">
        <v>11.70366666666667</v>
      </c>
      <c r="S31" t="n">
        <v>37.69206666666666</v>
      </c>
      <c r="T31" t="n">
        <v>37.69206666666666</v>
      </c>
      <c r="U31" t="n">
        <v>1.372766666666667</v>
      </c>
      <c r="V31" t="n">
        <v>1.526533333333333</v>
      </c>
      <c r="W31" t="n">
        <v>2.8993</v>
      </c>
      <c r="X31" t="n">
        <v>1.0153</v>
      </c>
      <c r="Y31" t="n">
        <v>1.057866666666667</v>
      </c>
      <c r="Z31" t="n">
        <v>2.073166666666666</v>
      </c>
      <c r="AA31" t="n">
        <v>6.190279333333333</v>
      </c>
      <c r="AB31" t="n">
        <v>6.190279333333333</v>
      </c>
      <c r="AC31" t="n">
        <v>39.76523333333333</v>
      </c>
      <c r="AD31" t="n">
        <v>39.76523333333333</v>
      </c>
      <c r="AE31" t="n">
        <v>5.364145999999998</v>
      </c>
      <c r="AF31" t="n">
        <v>5.364145999999998</v>
      </c>
      <c r="AG31" t="n">
        <v>0</v>
      </c>
      <c r="AH31" t="n">
        <v>0</v>
      </c>
      <c r="AI31" t="n">
        <v>0</v>
      </c>
      <c r="AJ31" t="n">
        <v>0</v>
      </c>
      <c r="AK31" t="n">
        <v>0</v>
      </c>
      <c r="AL31" t="n">
        <v>31.50178733333333</v>
      </c>
      <c r="AM31" t="n">
        <v>5.364145999999998</v>
      </c>
    </row>
    <row r="32">
      <c r="A32" s="8" t="n">
        <v>45108</v>
      </c>
      <c r="B32" t="inlineStr">
        <is>
          <t>Actual</t>
        </is>
      </c>
      <c r="C32" t="n">
        <v>8.899612903225806</v>
      </c>
      <c r="D32" t="n">
        <v>8.460096774193548</v>
      </c>
      <c r="E32" t="n">
        <v>0.7147096774193549</v>
      </c>
      <c r="F32" t="n">
        <v>3.123096774193549</v>
      </c>
      <c r="G32" t="n">
        <v>0</v>
      </c>
      <c r="H32" t="n">
        <v>4.154693225806451</v>
      </c>
      <c r="I32" t="n">
        <v>7.097587741935484</v>
      </c>
      <c r="J32" t="n">
        <v>4.154693225806451</v>
      </c>
      <c r="K32" t="n">
        <v>7.097587741935484</v>
      </c>
      <c r="L32" t="n">
        <v>11.25228096774194</v>
      </c>
      <c r="M32" t="n">
        <v>11.25228096774194</v>
      </c>
      <c r="N32" t="n">
        <v>21.19751612903226</v>
      </c>
      <c r="O32" t="n">
        <v>32.44979709677419</v>
      </c>
      <c r="P32" t="n">
        <v>32.44979709677419</v>
      </c>
      <c r="Q32" t="n">
        <v>26.24264516129032</v>
      </c>
      <c r="R32" t="n">
        <v>11.8548064516129</v>
      </c>
      <c r="S32" t="n">
        <v>38.09745161290322</v>
      </c>
      <c r="T32" t="n">
        <v>38.09745161290322</v>
      </c>
      <c r="U32" t="n">
        <v>0.9224516129032259</v>
      </c>
      <c r="V32" t="n">
        <v>1.063387096774194</v>
      </c>
      <c r="W32" t="n">
        <v>1.985838709677419</v>
      </c>
      <c r="X32" t="n">
        <v>1.486451612903226</v>
      </c>
      <c r="Y32" t="n">
        <v>1.400967741935484</v>
      </c>
      <c r="Z32" t="n">
        <v>2.88741935483871</v>
      </c>
      <c r="AA32" t="n">
        <v>5.64765451612903</v>
      </c>
      <c r="AB32" t="n">
        <v>5.64765451612903</v>
      </c>
      <c r="AC32" t="n">
        <v>40.98487096774193</v>
      </c>
      <c r="AD32" t="n">
        <v>40.98487096774193</v>
      </c>
      <c r="AE32" t="n">
        <v>6.549235161290324</v>
      </c>
      <c r="AF32" t="n">
        <v>6.549235161290324</v>
      </c>
      <c r="AG32" t="n">
        <v>0</v>
      </c>
      <c r="AH32" t="n">
        <v>0</v>
      </c>
      <c r="AI32" t="n">
        <v>0</v>
      </c>
      <c r="AJ32" t="n">
        <v>0</v>
      </c>
      <c r="AK32" t="n">
        <v>0</v>
      </c>
      <c r="AL32" t="n">
        <v>32.44979709677419</v>
      </c>
      <c r="AM32" t="n">
        <v>6.549235161290324</v>
      </c>
    </row>
    <row r="33">
      <c r="A33" s="8" t="n">
        <v>45139</v>
      </c>
      <c r="B33" t="inlineStr">
        <is>
          <t>Actual</t>
        </is>
      </c>
      <c r="C33" t="n">
        <v>10.10229032258064</v>
      </c>
      <c r="D33" t="n">
        <v>8.531193548387098</v>
      </c>
      <c r="E33" t="n">
        <v>0.6671290322580645</v>
      </c>
      <c r="F33" t="n">
        <v>3.173225806451613</v>
      </c>
      <c r="G33" t="n">
        <v>0</v>
      </c>
      <c r="H33" t="n">
        <v>4.355429032258064</v>
      </c>
      <c r="I33" t="n">
        <v>7.180568387096775</v>
      </c>
      <c r="J33" t="n">
        <v>4.355429032258064</v>
      </c>
      <c r="K33" t="n">
        <v>7.180568387096775</v>
      </c>
      <c r="L33" t="n">
        <v>11.53599741935484</v>
      </c>
      <c r="M33" t="n">
        <v>11.53599741935484</v>
      </c>
      <c r="N33" t="n">
        <v>22.47383870967742</v>
      </c>
      <c r="O33" t="n">
        <v>34.00983612903226</v>
      </c>
      <c r="P33" t="n">
        <v>34.00983612903226</v>
      </c>
      <c r="Q33" t="n">
        <v>26.59361290322581</v>
      </c>
      <c r="R33" t="n">
        <v>11.90012903225806</v>
      </c>
      <c r="S33" t="n">
        <v>38.49374193548388</v>
      </c>
      <c r="T33" t="n">
        <v>38.49374193548388</v>
      </c>
      <c r="U33" t="n">
        <v>1.958129032258065</v>
      </c>
      <c r="V33" t="n">
        <v>0.9764838709677419</v>
      </c>
      <c r="W33" t="n">
        <v>2.934612903225807</v>
      </c>
      <c r="X33" t="n">
        <v>3.372032258064516</v>
      </c>
      <c r="Y33" t="n">
        <v>1.683161290322581</v>
      </c>
      <c r="Z33" t="n">
        <v>5.055193548387097</v>
      </c>
      <c r="AA33" t="n">
        <v>4.483905806451617</v>
      </c>
      <c r="AB33" t="n">
        <v>4.483905806451617</v>
      </c>
      <c r="AC33" t="n">
        <v>43.54893548387097</v>
      </c>
      <c r="AD33" t="n">
        <v>43.54893548387097</v>
      </c>
      <c r="AE33" t="n">
        <v>6.604486451612905</v>
      </c>
      <c r="AF33" t="n">
        <v>6.604486451612905</v>
      </c>
      <c r="AG33" t="n">
        <v>0</v>
      </c>
      <c r="AH33" t="n">
        <v>0</v>
      </c>
      <c r="AI33" t="n">
        <v>0</v>
      </c>
      <c r="AJ33" t="n">
        <v>0</v>
      </c>
      <c r="AK33" t="n">
        <v>0</v>
      </c>
      <c r="AL33" t="n">
        <v>34.00983612903226</v>
      </c>
      <c r="AM33" t="n">
        <v>6.604486451612905</v>
      </c>
    </row>
    <row r="34">
      <c r="A34" s="8" t="n">
        <v>45170</v>
      </c>
      <c r="B34" t="inlineStr">
        <is>
          <t>Actual</t>
        </is>
      </c>
      <c r="C34" t="n">
        <v>8.270299999999999</v>
      </c>
      <c r="D34" t="n">
        <v>8.6015</v>
      </c>
      <c r="E34" t="n">
        <v>0.6543333333333333</v>
      </c>
      <c r="F34" t="n">
        <v>3.124733333333333</v>
      </c>
      <c r="G34" t="n">
        <v>0</v>
      </c>
      <c r="H34" t="n">
        <v>4.119473333333334</v>
      </c>
      <c r="I34" t="n">
        <v>7.403207333333334</v>
      </c>
      <c r="J34" t="n">
        <v>4.119473333333334</v>
      </c>
      <c r="K34" t="n">
        <v>7.403207333333334</v>
      </c>
      <c r="L34" t="n">
        <v>11.52268066666667</v>
      </c>
      <c r="M34" t="n">
        <v>11.52268066666667</v>
      </c>
      <c r="N34" t="n">
        <v>20.65086666666667</v>
      </c>
      <c r="O34" t="n">
        <v>32.17354733333333</v>
      </c>
      <c r="P34" t="n">
        <v>32.17354733333333</v>
      </c>
      <c r="Q34" t="n">
        <v>26.9492</v>
      </c>
      <c r="R34" t="n">
        <v>11.81526666666667</v>
      </c>
      <c r="S34" t="n">
        <v>38.76446666666666</v>
      </c>
      <c r="T34" t="n">
        <v>38.76446666666666</v>
      </c>
      <c r="U34" t="n">
        <v>3.023566666666667</v>
      </c>
      <c r="V34" t="n">
        <v>1.516833333333333</v>
      </c>
      <c r="W34" t="n">
        <v>4.5404</v>
      </c>
      <c r="X34" t="n">
        <v>2.7875</v>
      </c>
      <c r="Y34" t="n">
        <v>0.9531000000000001</v>
      </c>
      <c r="Z34" t="n">
        <v>3.7406</v>
      </c>
      <c r="AA34" t="n">
        <v>6.590919333333332</v>
      </c>
      <c r="AB34" t="n">
        <v>6.590919333333332</v>
      </c>
      <c r="AC34" t="n">
        <v>42.50506666666666</v>
      </c>
      <c r="AD34" t="n">
        <v>42.50506666666666</v>
      </c>
      <c r="AE34" t="n">
        <v>5.791119333333333</v>
      </c>
      <c r="AF34" t="n">
        <v>5.791119333333333</v>
      </c>
      <c r="AG34" t="n">
        <v>0</v>
      </c>
      <c r="AH34" t="n">
        <v>0</v>
      </c>
      <c r="AI34" t="n">
        <v>0</v>
      </c>
      <c r="AJ34" t="n">
        <v>0</v>
      </c>
      <c r="AK34" t="n">
        <v>0</v>
      </c>
      <c r="AL34" t="n">
        <v>32.17354733333333</v>
      </c>
      <c r="AM34" t="n">
        <v>5.791119333333333</v>
      </c>
    </row>
    <row r="35">
      <c r="A35" s="8" t="n">
        <v>45200</v>
      </c>
      <c r="B35" t="inlineStr">
        <is>
          <t>Actual</t>
        </is>
      </c>
      <c r="C35" t="n">
        <v>5.871451612903225</v>
      </c>
      <c r="D35" t="n">
        <v>8.737032258064517</v>
      </c>
      <c r="E35" t="n">
        <v>0.9027096774193549</v>
      </c>
      <c r="F35" t="n">
        <v>3.054387096774194</v>
      </c>
      <c r="G35" t="n">
        <v>0</v>
      </c>
      <c r="H35" t="n">
        <v>4.477333225806452</v>
      </c>
      <c r="I35" t="n">
        <v>8.432732258064517</v>
      </c>
      <c r="J35" t="n">
        <v>4.477333225806452</v>
      </c>
      <c r="K35" t="n">
        <v>8.432732258064517</v>
      </c>
      <c r="L35" t="n">
        <v>12.91006548387097</v>
      </c>
      <c r="M35" t="n">
        <v>12.91006548387097</v>
      </c>
      <c r="N35" t="n">
        <v>18.56558064516129</v>
      </c>
      <c r="O35" t="n">
        <v>31.47564612903226</v>
      </c>
      <c r="P35" t="n">
        <v>31.47564612903226</v>
      </c>
      <c r="Q35" t="n">
        <v>26.96512903225807</v>
      </c>
      <c r="R35" t="n">
        <v>11.65961290322581</v>
      </c>
      <c r="S35" t="n">
        <v>38.62474193548388</v>
      </c>
      <c r="T35" t="n">
        <v>38.62474193548388</v>
      </c>
      <c r="U35" t="n">
        <v>2.598548387096774</v>
      </c>
      <c r="V35" t="n">
        <v>1.867935483870968</v>
      </c>
      <c r="W35" t="n">
        <v>4.466483870967743</v>
      </c>
      <c r="X35" t="n">
        <v>1.050774193548387</v>
      </c>
      <c r="Y35" t="n">
        <v>0.6557419354838709</v>
      </c>
      <c r="Z35" t="n">
        <v>1.706516129032258</v>
      </c>
      <c r="AA35" t="n">
        <v>7.149095806451616</v>
      </c>
      <c r="AB35" t="n">
        <v>7.149095806451616</v>
      </c>
      <c r="AC35" t="n">
        <v>40.33125806451613</v>
      </c>
      <c r="AD35" t="n">
        <v>40.33125806451613</v>
      </c>
      <c r="AE35" t="n">
        <v>4.389128064516132</v>
      </c>
      <c r="AF35" t="n">
        <v>4.389128064516132</v>
      </c>
      <c r="AG35" t="n">
        <v>0</v>
      </c>
      <c r="AH35" t="n">
        <v>0</v>
      </c>
      <c r="AI35" t="n">
        <v>0</v>
      </c>
      <c r="AJ35" t="n">
        <v>0</v>
      </c>
      <c r="AK35" t="n">
        <v>0</v>
      </c>
      <c r="AL35" t="n">
        <v>31.47564612903226</v>
      </c>
      <c r="AM35" t="n">
        <v>4.389128064516132</v>
      </c>
    </row>
    <row r="36">
      <c r="A36" s="8" t="n">
        <v>45231</v>
      </c>
      <c r="B36" t="inlineStr">
        <is>
          <t>Actual</t>
        </is>
      </c>
      <c r="C36" t="n">
        <v>5.6573</v>
      </c>
      <c r="D36" t="n">
        <v>9.037199999999999</v>
      </c>
      <c r="E36" t="n">
        <v>1.5167</v>
      </c>
      <c r="F36" t="n">
        <v>2.908766666666667</v>
      </c>
      <c r="G36" t="n">
        <v>0</v>
      </c>
      <c r="H36" t="n">
        <v>4.525462000000001</v>
      </c>
      <c r="I36" t="n">
        <v>8.451060666666667</v>
      </c>
      <c r="J36" t="n">
        <v>4.525462000000001</v>
      </c>
      <c r="K36" t="n">
        <v>8.451060666666667</v>
      </c>
      <c r="L36" t="n">
        <v>12.97652266666667</v>
      </c>
      <c r="M36" t="n">
        <v>12.97652266666667</v>
      </c>
      <c r="N36" t="n">
        <v>19.11996666666667</v>
      </c>
      <c r="O36" t="n">
        <v>32.09648933333334</v>
      </c>
      <c r="P36" t="n">
        <v>32.09648933333334</v>
      </c>
      <c r="Q36" t="n">
        <v>27.1668</v>
      </c>
      <c r="R36" t="n">
        <v>11.48056666666667</v>
      </c>
      <c r="S36" t="n">
        <v>38.64736666666667</v>
      </c>
      <c r="T36" t="n">
        <v>38.64736666666667</v>
      </c>
      <c r="U36" t="n">
        <v>1.747533333333333</v>
      </c>
      <c r="V36" t="n">
        <v>1.4079</v>
      </c>
      <c r="W36" t="n">
        <v>3.155433333333334</v>
      </c>
      <c r="X36" t="n">
        <v>1.378966666666667</v>
      </c>
      <c r="Y36" t="n">
        <v>0.9396</v>
      </c>
      <c r="Z36" t="n">
        <v>2.318566666666666</v>
      </c>
      <c r="AA36" t="n">
        <v>6.550877333333332</v>
      </c>
      <c r="AB36" t="n">
        <v>6.550877333333332</v>
      </c>
      <c r="AC36" t="n">
        <v>40.96593333333334</v>
      </c>
      <c r="AD36" t="n">
        <v>40.96593333333334</v>
      </c>
      <c r="AE36" t="n">
        <v>5.714010666666668</v>
      </c>
      <c r="AF36" t="n">
        <v>5.714010666666668</v>
      </c>
      <c r="AG36" t="n">
        <v>0</v>
      </c>
      <c r="AH36" t="n">
        <v>0</v>
      </c>
      <c r="AI36" t="n">
        <v>0</v>
      </c>
      <c r="AJ36" t="n">
        <v>0</v>
      </c>
      <c r="AK36" t="n">
        <v>0</v>
      </c>
      <c r="AL36" t="n">
        <v>32.09648933333334</v>
      </c>
      <c r="AM36" t="n">
        <v>5.714010666666668</v>
      </c>
    </row>
    <row r="37">
      <c r="A37" s="8" t="n">
        <v>45261</v>
      </c>
      <c r="B37" t="inlineStr">
        <is>
          <t>Actual</t>
        </is>
      </c>
      <c r="C37" t="n">
        <v>5.254451612903226</v>
      </c>
      <c r="D37" t="n">
        <v>9.372354838709677</v>
      </c>
      <c r="E37" t="n">
        <v>2.018838709677419</v>
      </c>
      <c r="F37" t="n">
        <v>2.73416129032258</v>
      </c>
      <c r="G37" t="n">
        <v>0</v>
      </c>
      <c r="H37" t="n">
        <v>4.761295806451613</v>
      </c>
      <c r="I37" t="n">
        <v>8.897494193548388</v>
      </c>
      <c r="J37" t="n">
        <v>4.761295806451613</v>
      </c>
      <c r="K37" t="n">
        <v>8.897494193548388</v>
      </c>
      <c r="L37" t="n">
        <v>13.65879</v>
      </c>
      <c r="M37" t="n">
        <v>13.65879</v>
      </c>
      <c r="N37" t="n">
        <v>19.3798064516129</v>
      </c>
      <c r="O37" t="n">
        <v>33.0385964516129</v>
      </c>
      <c r="P37" t="n">
        <v>33.0385964516129</v>
      </c>
      <c r="Q37" t="n">
        <v>27.04570967741936</v>
      </c>
      <c r="R37" t="n">
        <v>11.03251612903226</v>
      </c>
      <c r="S37" t="n">
        <v>38.07822580645162</v>
      </c>
      <c r="T37" t="n">
        <v>38.07822580645162</v>
      </c>
      <c r="U37" t="n">
        <v>1.347290322580645</v>
      </c>
      <c r="V37" t="n">
        <v>1.131612903225806</v>
      </c>
      <c r="W37" t="n">
        <v>2.478903225806452</v>
      </c>
      <c r="X37" t="n">
        <v>1.436451612903226</v>
      </c>
      <c r="Y37" t="n">
        <v>1.384677419354839</v>
      </c>
      <c r="Z37" t="n">
        <v>2.821129032258065</v>
      </c>
      <c r="AA37" t="n">
        <v>5.039629354838716</v>
      </c>
      <c r="AB37" t="n">
        <v>5.039629354838716</v>
      </c>
      <c r="AC37" t="n">
        <v>40.89935483870968</v>
      </c>
      <c r="AD37" t="n">
        <v>40.89935483870968</v>
      </c>
      <c r="AE37" t="n">
        <v>5.381855161290328</v>
      </c>
      <c r="AF37" t="n">
        <v>5.381855161290328</v>
      </c>
      <c r="AG37" t="n">
        <v>0</v>
      </c>
      <c r="AH37" t="n">
        <v>0</v>
      </c>
      <c r="AI37" t="n">
        <v>0</v>
      </c>
      <c r="AJ37" t="n">
        <v>0</v>
      </c>
      <c r="AK37" t="n">
        <v>0</v>
      </c>
      <c r="AL37" t="n">
        <v>33.0385964516129</v>
      </c>
      <c r="AM37" t="n">
        <v>5.381855161290328</v>
      </c>
    </row>
    <row r="38">
      <c r="A38" s="8" t="n">
        <v>45292</v>
      </c>
      <c r="B38" t="inlineStr">
        <is>
          <t>Actual</t>
        </is>
      </c>
      <c r="C38" t="n">
        <v>6.614</v>
      </c>
      <c r="D38" t="n">
        <v>8.895032258064516</v>
      </c>
      <c r="E38" t="n">
        <v>3.035290322580645</v>
      </c>
      <c r="F38" t="n">
        <v>3.045290322580645</v>
      </c>
      <c r="G38" t="n">
        <v>0</v>
      </c>
      <c r="H38" t="n">
        <v>4.002901935483871</v>
      </c>
      <c r="I38" t="n">
        <v>8.80829</v>
      </c>
      <c r="J38" t="n">
        <v>4.002901935483871</v>
      </c>
      <c r="K38" t="n">
        <v>8.80829</v>
      </c>
      <c r="L38" t="n">
        <v>12.81119193548387</v>
      </c>
      <c r="M38" t="n">
        <v>12.81119193548387</v>
      </c>
      <c r="N38" t="n">
        <v>21.5896129032258</v>
      </c>
      <c r="O38" t="n">
        <v>34.40080483870967</v>
      </c>
      <c r="P38" t="n">
        <v>34.40080483870967</v>
      </c>
      <c r="Q38" t="n">
        <v>25.127</v>
      </c>
      <c r="R38" t="n">
        <v>10.91803225806452</v>
      </c>
      <c r="S38" t="n">
        <v>36.04503225806452</v>
      </c>
      <c r="T38" t="n">
        <v>36.04503225806452</v>
      </c>
      <c r="U38" t="n">
        <v>0.917741935483871</v>
      </c>
      <c r="V38" t="n">
        <v>0.9245806451612903</v>
      </c>
      <c r="W38" t="n">
        <v>1.842322580645161</v>
      </c>
      <c r="X38" t="n">
        <v>3.95441935483871</v>
      </c>
      <c r="Y38" t="n">
        <v>3.587322580645162</v>
      </c>
      <c r="Z38" t="n">
        <v>7.541741935483872</v>
      </c>
      <c r="AA38" t="n">
        <v>1.644227419354841</v>
      </c>
      <c r="AB38" t="n">
        <v>1.644227419354841</v>
      </c>
      <c r="AC38" t="n">
        <v>43.58677419354839</v>
      </c>
      <c r="AD38" t="n">
        <v>43.58677419354839</v>
      </c>
      <c r="AE38" t="n">
        <v>7.34364677419355</v>
      </c>
      <c r="AF38" t="n">
        <v>7.34364677419355</v>
      </c>
      <c r="AG38" t="n">
        <v>0</v>
      </c>
      <c r="AH38" t="n">
        <v>0</v>
      </c>
      <c r="AI38" t="n">
        <v>0</v>
      </c>
      <c r="AJ38" t="n">
        <v>0</v>
      </c>
      <c r="AK38" t="n">
        <v>0</v>
      </c>
      <c r="AL38" t="n">
        <v>34.40080483870967</v>
      </c>
      <c r="AM38" t="n">
        <v>7.34364677419355</v>
      </c>
    </row>
    <row r="39">
      <c r="A39" s="8" t="n">
        <v>45323</v>
      </c>
      <c r="B39" t="inlineStr">
        <is>
          <t>Actual</t>
        </is>
      </c>
      <c r="C39" t="n">
        <v>4.760103448275862</v>
      </c>
      <c r="D39" t="n">
        <v>8.449586206896551</v>
      </c>
      <c r="E39" t="n">
        <v>2.125344827586207</v>
      </c>
      <c r="F39" t="n">
        <v>2.881137931034483</v>
      </c>
      <c r="G39" t="n">
        <v>0</v>
      </c>
      <c r="H39" t="n">
        <v>3.654431724137932</v>
      </c>
      <c r="I39" t="n">
        <v>8.718045517241379</v>
      </c>
      <c r="J39" t="n">
        <v>3.654431724137932</v>
      </c>
      <c r="K39" t="n">
        <v>8.718045517241379</v>
      </c>
      <c r="L39" t="n">
        <v>12.37247724137931</v>
      </c>
      <c r="M39" t="n">
        <v>12.37247724137931</v>
      </c>
      <c r="N39" t="n">
        <v>18.2161724137931</v>
      </c>
      <c r="O39" t="n">
        <v>30.58864965517241</v>
      </c>
      <c r="P39" t="n">
        <v>30.58864965517241</v>
      </c>
      <c r="Q39" t="n">
        <v>26.47165517241379</v>
      </c>
      <c r="R39" t="n">
        <v>11.32286206896552</v>
      </c>
      <c r="S39" t="n">
        <v>37.79451724137931</v>
      </c>
      <c r="T39" t="n">
        <v>37.79451724137931</v>
      </c>
      <c r="U39" t="n">
        <v>2.00796551724138</v>
      </c>
      <c r="V39" t="n">
        <v>1.579551724137931</v>
      </c>
      <c r="W39" t="n">
        <v>3.58751724137931</v>
      </c>
      <c r="X39" t="n">
        <v>1.601103448275862</v>
      </c>
      <c r="Y39" t="n">
        <v>1.068620689655172</v>
      </c>
      <c r="Z39" t="n">
        <v>2.669724137931035</v>
      </c>
      <c r="AA39" t="n">
        <v>7.205867586206896</v>
      </c>
      <c r="AB39" t="n">
        <v>7.205867586206896</v>
      </c>
      <c r="AC39" t="n">
        <v>40.46424137931034</v>
      </c>
      <c r="AD39" t="n">
        <v>40.46424137931034</v>
      </c>
      <c r="AE39" t="n">
        <v>6.28807448275862</v>
      </c>
      <c r="AF39" t="n">
        <v>6.28807448275862</v>
      </c>
      <c r="AG39" t="n">
        <v>0</v>
      </c>
      <c r="AH39" t="n">
        <v>0</v>
      </c>
      <c r="AI39" t="n">
        <v>0</v>
      </c>
      <c r="AJ39" t="n">
        <v>0</v>
      </c>
      <c r="AK39" t="n">
        <v>0</v>
      </c>
      <c r="AL39" t="n">
        <v>30.58864965517241</v>
      </c>
      <c r="AM39" t="n">
        <v>6.28807448275862</v>
      </c>
    </row>
    <row r="40">
      <c r="A40" s="8" t="n">
        <v>45352</v>
      </c>
      <c r="B40" t="inlineStr">
        <is>
          <t>Actual</t>
        </is>
      </c>
      <c r="C40" t="n">
        <v>5.381258064516129</v>
      </c>
      <c r="D40" t="n">
        <v>8.634612903225806</v>
      </c>
      <c r="E40" t="n">
        <v>1.353645161290323</v>
      </c>
      <c r="F40" t="n">
        <v>2.966548387096774</v>
      </c>
      <c r="G40" t="n">
        <v>0</v>
      </c>
      <c r="H40" t="n">
        <v>3.077456774193548</v>
      </c>
      <c r="I40" t="n">
        <v>8.588250645161292</v>
      </c>
      <c r="J40" t="n">
        <v>3.077456774193548</v>
      </c>
      <c r="K40" t="n">
        <v>8.588250645161292</v>
      </c>
      <c r="L40" t="n">
        <v>11.66570741935484</v>
      </c>
      <c r="M40" t="n">
        <v>11.66570741935484</v>
      </c>
      <c r="N40" t="n">
        <v>18.33606451612903</v>
      </c>
      <c r="O40" t="n">
        <v>30.00177193548387</v>
      </c>
      <c r="P40" t="n">
        <v>30.00177193548387</v>
      </c>
      <c r="Q40" t="n">
        <v>26.71183870967742</v>
      </c>
      <c r="R40" t="n">
        <v>10.6818064516129</v>
      </c>
      <c r="S40" t="n">
        <v>37.39364516129032</v>
      </c>
      <c r="T40" t="n">
        <v>37.39364516129032</v>
      </c>
      <c r="U40" t="n">
        <v>2.315548387096774</v>
      </c>
      <c r="V40" t="n">
        <v>1.678677419354839</v>
      </c>
      <c r="W40" t="n">
        <v>3.994225806451613</v>
      </c>
      <c r="X40" t="n">
        <v>1.130161290322581</v>
      </c>
      <c r="Y40" t="n">
        <v>1.081741935483871</v>
      </c>
      <c r="Z40" t="n">
        <v>2.211903225806452</v>
      </c>
      <c r="AA40" t="n">
        <v>7.391873225806449</v>
      </c>
      <c r="AB40" t="n">
        <v>7.391873225806449</v>
      </c>
      <c r="AC40" t="n">
        <v>39.60554838709677</v>
      </c>
      <c r="AD40" t="n">
        <v>39.60554838709677</v>
      </c>
      <c r="AE40" t="n">
        <v>5.609550645161288</v>
      </c>
      <c r="AF40" t="n">
        <v>5.609550645161288</v>
      </c>
      <c r="AG40" t="n">
        <v>0</v>
      </c>
      <c r="AH40" t="n">
        <v>0</v>
      </c>
      <c r="AI40" t="n">
        <v>0</v>
      </c>
      <c r="AJ40" t="n">
        <v>0</v>
      </c>
      <c r="AK40" t="n">
        <v>0</v>
      </c>
      <c r="AL40" t="n">
        <v>30.00177193548387</v>
      </c>
      <c r="AM40" t="n">
        <v>5.609550645161288</v>
      </c>
    </row>
    <row r="41">
      <c r="A41" s="8" t="n">
        <v>45383</v>
      </c>
      <c r="B41" t="inlineStr">
        <is>
          <t>Actual</t>
        </is>
      </c>
      <c r="C41" t="n">
        <v>5.489333333333334</v>
      </c>
      <c r="D41" t="n">
        <v>8.8005</v>
      </c>
      <c r="E41" t="n">
        <v>0.9083999999999999</v>
      </c>
      <c r="F41" t="n">
        <v>3.1878</v>
      </c>
      <c r="G41" t="n">
        <v>0</v>
      </c>
      <c r="H41" t="n">
        <v>2.211428333333334</v>
      </c>
      <c r="I41" t="n">
        <v>7.679849333333333</v>
      </c>
      <c r="J41" t="n">
        <v>2.211428333333334</v>
      </c>
      <c r="K41" t="n">
        <v>7.679849333333333</v>
      </c>
      <c r="L41" t="n">
        <v>9.891277666666667</v>
      </c>
      <c r="M41" t="n">
        <v>9.891277666666667</v>
      </c>
      <c r="N41" t="n">
        <v>18.38603333333333</v>
      </c>
      <c r="O41" t="n">
        <v>28.277311</v>
      </c>
      <c r="P41" t="n">
        <v>28.277311</v>
      </c>
      <c r="Q41" t="n">
        <v>26.68763333333333</v>
      </c>
      <c r="R41" t="n">
        <v>9.994633333333333</v>
      </c>
      <c r="S41" t="n">
        <v>36.68226666666666</v>
      </c>
      <c r="T41" t="n">
        <v>36.68226666666666</v>
      </c>
      <c r="U41" t="n">
        <v>2.3053</v>
      </c>
      <c r="V41" t="n">
        <v>1.6405</v>
      </c>
      <c r="W41" t="n">
        <v>3.9458</v>
      </c>
      <c r="X41" t="n">
        <v>1.326766666666667</v>
      </c>
      <c r="Y41" t="n">
        <v>1.005433333333333</v>
      </c>
      <c r="Z41" t="n">
        <v>2.3322</v>
      </c>
      <c r="AA41" t="n">
        <v>8.404955666666662</v>
      </c>
      <c r="AB41" t="n">
        <v>8.404955666666662</v>
      </c>
      <c r="AC41" t="n">
        <v>39.01446666666666</v>
      </c>
      <c r="AD41" t="n">
        <v>39.01446666666666</v>
      </c>
      <c r="AE41" t="n">
        <v>6.791355666666663</v>
      </c>
      <c r="AF41" t="n">
        <v>6.791355666666663</v>
      </c>
      <c r="AG41" t="n">
        <v>0</v>
      </c>
      <c r="AH41" t="n">
        <v>0</v>
      </c>
      <c r="AI41" t="n">
        <v>0</v>
      </c>
      <c r="AJ41" t="n">
        <v>0</v>
      </c>
      <c r="AK41" t="n">
        <v>0</v>
      </c>
      <c r="AL41" t="n">
        <v>28.277311</v>
      </c>
      <c r="AM41" t="n">
        <v>6.791355666666663</v>
      </c>
    </row>
    <row r="42">
      <c r="A42" s="8" t="n">
        <v>45413</v>
      </c>
      <c r="B42" t="inlineStr">
        <is>
          <t>Actual</t>
        </is>
      </c>
      <c r="C42" t="n">
        <v>7.239290322580644</v>
      </c>
      <c r="D42" t="n">
        <v>8.493096774193548</v>
      </c>
      <c r="E42" t="n">
        <v>0.7798709677419355</v>
      </c>
      <c r="F42" t="n">
        <v>3.257677419354839</v>
      </c>
      <c r="G42" t="n">
        <v>0</v>
      </c>
      <c r="H42" t="n">
        <v>4.104940000000001</v>
      </c>
      <c r="I42" t="n">
        <v>7.73042064516129</v>
      </c>
      <c r="J42" t="n">
        <v>4.104940000000001</v>
      </c>
      <c r="K42" t="n">
        <v>7.73042064516129</v>
      </c>
      <c r="L42" t="n">
        <v>11.83536064516129</v>
      </c>
      <c r="M42" t="n">
        <v>11.83536064516129</v>
      </c>
      <c r="N42" t="n">
        <v>19.76993548387097</v>
      </c>
      <c r="O42" t="n">
        <v>31.60529612903226</v>
      </c>
      <c r="P42" t="n">
        <v>31.60529612903226</v>
      </c>
      <c r="Q42" t="n">
        <v>27.57170967741936</v>
      </c>
      <c r="R42" t="n">
        <v>9.452967741935483</v>
      </c>
      <c r="S42" t="n">
        <v>37.02467741935484</v>
      </c>
      <c r="T42" t="n">
        <v>37.02467741935484</v>
      </c>
      <c r="U42" t="n">
        <v>1.905258064516129</v>
      </c>
      <c r="V42" t="n">
        <v>1.474096774193548</v>
      </c>
      <c r="W42" t="n">
        <v>3.379354838709677</v>
      </c>
      <c r="X42" t="n">
        <v>1.243225806451613</v>
      </c>
      <c r="Y42" t="n">
        <v>0.9017419354838709</v>
      </c>
      <c r="Z42" t="n">
        <v>2.144967741935484</v>
      </c>
      <c r="AA42" t="n">
        <v>5.419381290322587</v>
      </c>
      <c r="AB42" t="n">
        <v>5.419381290322587</v>
      </c>
      <c r="AC42" t="n">
        <v>39.16964516129033</v>
      </c>
      <c r="AD42" t="n">
        <v>39.16964516129033</v>
      </c>
      <c r="AE42" t="n">
        <v>4.184994193548391</v>
      </c>
      <c r="AF42" t="n">
        <v>4.184994193548391</v>
      </c>
      <c r="AG42" t="n">
        <v>0</v>
      </c>
      <c r="AH42" t="n">
        <v>0</v>
      </c>
      <c r="AI42" t="n">
        <v>0</v>
      </c>
      <c r="AJ42" t="n">
        <v>0</v>
      </c>
      <c r="AK42" t="n">
        <v>0</v>
      </c>
      <c r="AL42" t="n">
        <v>31.60529612903226</v>
      </c>
      <c r="AM42" t="n">
        <v>4.184994193548391</v>
      </c>
    </row>
    <row r="43">
      <c r="A43" s="8" t="n">
        <v>45444</v>
      </c>
      <c r="B43" t="inlineStr">
        <is>
          <t>Actual</t>
        </is>
      </c>
      <c r="C43" t="n">
        <v>8.302866666666667</v>
      </c>
      <c r="D43" t="n">
        <v>8.704966666666667</v>
      </c>
      <c r="E43" t="n">
        <v>0.7698999999999999</v>
      </c>
      <c r="F43" t="n">
        <v>3.117133333333333</v>
      </c>
      <c r="G43" t="n">
        <v>0</v>
      </c>
      <c r="H43" t="n">
        <v>4.706075</v>
      </c>
      <c r="I43" t="n">
        <v>7.312083333333334</v>
      </c>
      <c r="J43" t="n">
        <v>4.706075</v>
      </c>
      <c r="K43" t="n">
        <v>7.312083333333334</v>
      </c>
      <c r="L43" t="n">
        <v>12.01815833333333</v>
      </c>
      <c r="M43" t="n">
        <v>12.01815833333333</v>
      </c>
      <c r="N43" t="n">
        <v>20.89486666666667</v>
      </c>
      <c r="O43" t="n">
        <v>32.913025</v>
      </c>
      <c r="P43" t="n">
        <v>32.913025</v>
      </c>
      <c r="Q43" t="n">
        <v>27.7913</v>
      </c>
      <c r="R43" t="n">
        <v>9.393666666666666</v>
      </c>
      <c r="S43" t="n">
        <v>37.18496666666667</v>
      </c>
      <c r="T43" t="n">
        <v>37.18496666666667</v>
      </c>
      <c r="U43" t="n">
        <v>1.550366666666667</v>
      </c>
      <c r="V43" t="n">
        <v>1.3514</v>
      </c>
      <c r="W43" t="n">
        <v>2.901766666666667</v>
      </c>
      <c r="X43" t="n">
        <v>1.3302</v>
      </c>
      <c r="Y43" t="n">
        <v>1.071233333333333</v>
      </c>
      <c r="Z43" t="n">
        <v>2.401433333333333</v>
      </c>
      <c r="AA43" t="n">
        <v>4.27194166666667</v>
      </c>
      <c r="AB43" t="n">
        <v>4.27194166666667</v>
      </c>
      <c r="AC43" t="n">
        <v>39.5864</v>
      </c>
      <c r="AD43" t="n">
        <v>39.5864</v>
      </c>
      <c r="AE43" t="n">
        <v>3.771608333333333</v>
      </c>
      <c r="AF43" t="n">
        <v>3.771608333333333</v>
      </c>
      <c r="AG43" t="n">
        <v>0</v>
      </c>
      <c r="AH43" t="n">
        <v>0</v>
      </c>
      <c r="AI43" t="n">
        <v>0</v>
      </c>
      <c r="AJ43" t="n">
        <v>0</v>
      </c>
      <c r="AK43" t="n">
        <v>0</v>
      </c>
      <c r="AL43" t="n">
        <v>32.913025</v>
      </c>
      <c r="AM43" t="n">
        <v>3.771608333333333</v>
      </c>
    </row>
    <row r="44">
      <c r="A44" s="8" t="n">
        <v>45474</v>
      </c>
      <c r="B44" t="inlineStr">
        <is>
          <t>Actual</t>
        </is>
      </c>
      <c r="C44" t="n">
        <v>8.676419354838709</v>
      </c>
      <c r="D44" t="n">
        <v>8.879806451612904</v>
      </c>
      <c r="E44" t="n">
        <v>0.7533225806451612</v>
      </c>
      <c r="F44" t="n">
        <v>3.147096774193549</v>
      </c>
      <c r="G44" t="n">
        <v>0</v>
      </c>
      <c r="H44" t="n">
        <v>2.888535161290323</v>
      </c>
      <c r="I44" t="n">
        <v>7.408097096774194</v>
      </c>
      <c r="J44" t="n">
        <v>2.888535161290323</v>
      </c>
      <c r="K44" t="n">
        <v>7.408097096774194</v>
      </c>
      <c r="L44" t="n">
        <v>10.29663225806452</v>
      </c>
      <c r="M44" t="n">
        <v>10.29663225806452</v>
      </c>
      <c r="N44" t="n">
        <v>21.45664516129033</v>
      </c>
      <c r="O44" t="n">
        <v>31.75327741935484</v>
      </c>
      <c r="P44" t="n">
        <v>31.75327741935484</v>
      </c>
      <c r="Q44" t="n">
        <v>27.72906451612904</v>
      </c>
      <c r="R44" t="n">
        <v>9.856548387096774</v>
      </c>
      <c r="S44" t="n">
        <v>37.58561290322582</v>
      </c>
      <c r="T44" t="n">
        <v>37.58561290322582</v>
      </c>
      <c r="U44" t="n">
        <v>1.135903225806452</v>
      </c>
      <c r="V44" t="n">
        <v>1.037870967741935</v>
      </c>
      <c r="W44" t="n">
        <v>2.173774193548387</v>
      </c>
      <c r="X44" t="n">
        <v>1.670774193548387</v>
      </c>
      <c r="Y44" t="n">
        <v>1.078096774193548</v>
      </c>
      <c r="Z44" t="n">
        <v>2.748870967741936</v>
      </c>
      <c r="AA44" t="n">
        <v>5.832335483870974</v>
      </c>
      <c r="AB44" t="n">
        <v>5.832335483870974</v>
      </c>
      <c r="AC44" t="n">
        <v>40.33448387096775</v>
      </c>
      <c r="AD44" t="n">
        <v>40.33448387096775</v>
      </c>
      <c r="AE44" t="n">
        <v>6.407432258064524</v>
      </c>
      <c r="AF44" t="n">
        <v>6.407432258064524</v>
      </c>
      <c r="AG44" t="n">
        <v>0</v>
      </c>
      <c r="AH44" t="n">
        <v>0</v>
      </c>
      <c r="AI44" t="n">
        <v>0</v>
      </c>
      <c r="AJ44" t="n">
        <v>0</v>
      </c>
      <c r="AK44" t="n">
        <v>0</v>
      </c>
      <c r="AL44" t="n">
        <v>31.75327741935484</v>
      </c>
      <c r="AM44" t="n">
        <v>6.407432258064524</v>
      </c>
    </row>
    <row r="45">
      <c r="A45" s="8" t="n">
        <v>45505</v>
      </c>
      <c r="B45" t="inlineStr">
        <is>
          <t>Actual</t>
        </is>
      </c>
      <c r="C45" t="n">
        <v>9.841612903225807</v>
      </c>
      <c r="D45" t="n">
        <v>9.001032258064516</v>
      </c>
      <c r="E45" t="n">
        <v>0.7092258064516128</v>
      </c>
      <c r="F45" t="n">
        <v>3.193548387096774</v>
      </c>
      <c r="G45" t="n">
        <v>0</v>
      </c>
      <c r="H45" t="n">
        <v>4.445793548387096</v>
      </c>
      <c r="I45" t="n">
        <v>7.142383225806452</v>
      </c>
      <c r="J45" t="n">
        <v>4.445793548387096</v>
      </c>
      <c r="K45" t="n">
        <v>7.142383225806452</v>
      </c>
      <c r="L45" t="n">
        <v>11.58817677419355</v>
      </c>
      <c r="M45" t="n">
        <v>11.58817677419355</v>
      </c>
      <c r="N45" t="n">
        <v>22.74541935483871</v>
      </c>
      <c r="O45" t="n">
        <v>34.33359612903226</v>
      </c>
      <c r="P45" t="n">
        <v>34.33359612903226</v>
      </c>
      <c r="Q45" t="n">
        <v>27.9198064516129</v>
      </c>
      <c r="R45" t="n">
        <v>9.661516129032258</v>
      </c>
      <c r="S45" t="n">
        <v>37.58132258064516</v>
      </c>
      <c r="T45" t="n">
        <v>37.58132258064516</v>
      </c>
      <c r="U45" t="n">
        <v>1.875322580645161</v>
      </c>
      <c r="V45" t="n">
        <v>0.8859677419354839</v>
      </c>
      <c r="W45" t="n">
        <v>2.761290322580645</v>
      </c>
      <c r="X45" t="n">
        <v>3.474741935483871</v>
      </c>
      <c r="Y45" t="n">
        <v>1.348645161290323</v>
      </c>
      <c r="Z45" t="n">
        <v>4.823387096774193</v>
      </c>
      <c r="AA45" t="n">
        <v>3.247726451612898</v>
      </c>
      <c r="AB45" t="n">
        <v>3.247726451612898</v>
      </c>
      <c r="AC45" t="n">
        <v>42.40470967741935</v>
      </c>
      <c r="AD45" t="n">
        <v>42.40470967741935</v>
      </c>
      <c r="AE45" t="n">
        <v>5.309823225806444</v>
      </c>
      <c r="AF45" t="n">
        <v>5.309823225806444</v>
      </c>
      <c r="AG45" t="n">
        <v>0</v>
      </c>
      <c r="AH45" t="n">
        <v>0</v>
      </c>
      <c r="AI45" t="n">
        <v>0</v>
      </c>
      <c r="AJ45" t="n">
        <v>0</v>
      </c>
      <c r="AK45" t="n">
        <v>0</v>
      </c>
      <c r="AL45" t="n">
        <v>34.33359612903226</v>
      </c>
      <c r="AM45" t="n">
        <v>5.309823225806444</v>
      </c>
    </row>
    <row r="46">
      <c r="A46" s="8" t="n">
        <v>45536</v>
      </c>
      <c r="B46" t="inlineStr">
        <is>
          <t>Actual</t>
        </is>
      </c>
      <c r="C46" t="n">
        <v>8.003566666666666</v>
      </c>
      <c r="D46" t="n">
        <v>8.692533333333333</v>
      </c>
      <c r="E46" t="n">
        <v>0.7463</v>
      </c>
      <c r="F46" t="n">
        <v>3.0912</v>
      </c>
      <c r="G46" t="n">
        <v>0</v>
      </c>
      <c r="H46" t="n">
        <v>4.636932666666667</v>
      </c>
      <c r="I46" t="n">
        <v>7.555189666666667</v>
      </c>
      <c r="J46" t="n">
        <v>4.636932666666667</v>
      </c>
      <c r="K46" t="n">
        <v>7.555189666666667</v>
      </c>
      <c r="L46" t="n">
        <v>12.19212233333333</v>
      </c>
      <c r="M46" t="n">
        <v>12.19212233333333</v>
      </c>
      <c r="N46" t="n">
        <v>20.5336</v>
      </c>
      <c r="O46" t="n">
        <v>32.72572233333334</v>
      </c>
      <c r="P46" t="n">
        <v>32.72572233333334</v>
      </c>
      <c r="Q46" t="n">
        <v>28.2645</v>
      </c>
      <c r="R46" t="n">
        <v>9.1631</v>
      </c>
      <c r="S46" t="n">
        <v>37.4276</v>
      </c>
      <c r="T46" t="n">
        <v>37.4276</v>
      </c>
      <c r="U46" t="n">
        <v>2.5233</v>
      </c>
      <c r="V46" t="n">
        <v>1.326166666666667</v>
      </c>
      <c r="W46" t="n">
        <v>3.849466666666667</v>
      </c>
      <c r="X46" t="n">
        <v>2.227366666666667</v>
      </c>
      <c r="Y46" t="n">
        <v>0.9736</v>
      </c>
      <c r="Z46" t="n">
        <v>3.200966666666667</v>
      </c>
      <c r="AA46" t="n">
        <v>4.701877666666661</v>
      </c>
      <c r="AB46" t="n">
        <v>4.701877666666661</v>
      </c>
      <c r="AC46" t="n">
        <v>40.62856666666666</v>
      </c>
      <c r="AD46" t="n">
        <v>40.62856666666666</v>
      </c>
      <c r="AE46" t="n">
        <v>4.05337766666666</v>
      </c>
      <c r="AF46" t="n">
        <v>4.05337766666666</v>
      </c>
      <c r="AG46" t="n">
        <v>0</v>
      </c>
      <c r="AH46" t="n">
        <v>0</v>
      </c>
      <c r="AI46" t="n">
        <v>0</v>
      </c>
      <c r="AJ46" t="n">
        <v>0</v>
      </c>
      <c r="AK46" t="n">
        <v>0</v>
      </c>
      <c r="AL46" t="n">
        <v>32.72572233333334</v>
      </c>
      <c r="AM46" t="n">
        <v>4.05337766666666</v>
      </c>
    </row>
    <row r="47">
      <c r="A47" s="8" t="n">
        <v>45566</v>
      </c>
      <c r="B47" t="inlineStr">
        <is>
          <t>Actual</t>
        </is>
      </c>
      <c r="C47" t="n">
        <v>6.975</v>
      </c>
      <c r="D47" t="n">
        <v>8.500032258064516</v>
      </c>
      <c r="E47" t="n">
        <v>0.8021612903225807</v>
      </c>
      <c r="F47" t="n">
        <v>2.869387096774194</v>
      </c>
      <c r="G47" t="n">
        <v>0</v>
      </c>
      <c r="H47" t="n">
        <v>4.775289999999999</v>
      </c>
      <c r="I47" t="n">
        <v>7.775497419354839</v>
      </c>
      <c r="J47" t="n">
        <v>4.775289999999999</v>
      </c>
      <c r="K47" t="n">
        <v>7.775497419354839</v>
      </c>
      <c r="L47" t="n">
        <v>12.55078741935484</v>
      </c>
      <c r="M47" t="n">
        <v>12.55078741935484</v>
      </c>
      <c r="N47" t="n">
        <v>19.14658064516129</v>
      </c>
      <c r="O47" t="n">
        <v>31.69736806451613</v>
      </c>
      <c r="P47" t="n">
        <v>31.69736806451613</v>
      </c>
      <c r="Q47" t="n">
        <v>28.559</v>
      </c>
      <c r="R47" t="n">
        <v>9.240935483870969</v>
      </c>
      <c r="S47" t="n">
        <v>37.79993548387097</v>
      </c>
      <c r="T47" t="n">
        <v>37.79993548387097</v>
      </c>
      <c r="U47" t="n">
        <v>2.784935483870968</v>
      </c>
      <c r="V47" t="n">
        <v>1.740064516129032</v>
      </c>
      <c r="W47" t="n">
        <v>4.525</v>
      </c>
      <c r="X47" t="n">
        <v>0.9893548387096774</v>
      </c>
      <c r="Y47" t="n">
        <v>0.5116129032258064</v>
      </c>
      <c r="Z47" t="n">
        <v>1.500967741935484</v>
      </c>
      <c r="AA47" t="n">
        <v>6.102567419354841</v>
      </c>
      <c r="AB47" t="n">
        <v>6.102567419354841</v>
      </c>
      <c r="AC47" t="n">
        <v>39.30090322580645</v>
      </c>
      <c r="AD47" t="n">
        <v>39.30090322580645</v>
      </c>
      <c r="AE47" t="n">
        <v>3.078535161290324</v>
      </c>
      <c r="AF47" t="n">
        <v>3.078535161290324</v>
      </c>
      <c r="AG47" t="n">
        <v>0</v>
      </c>
      <c r="AH47" t="n">
        <v>0</v>
      </c>
      <c r="AI47" t="n">
        <v>0</v>
      </c>
      <c r="AJ47" t="n">
        <v>0</v>
      </c>
      <c r="AK47" t="n">
        <v>0</v>
      </c>
      <c r="AL47" t="n">
        <v>31.69736806451613</v>
      </c>
      <c r="AM47" t="n">
        <v>3.078535161290324</v>
      </c>
    </row>
    <row r="48">
      <c r="A48" s="8" t="n">
        <v>45597</v>
      </c>
      <c r="B48" t="inlineStr">
        <is>
          <t>Actual</t>
        </is>
      </c>
      <c r="C48" t="n">
        <v>5.8355</v>
      </c>
      <c r="D48" t="n">
        <v>8.972233333333334</v>
      </c>
      <c r="E48" t="n">
        <v>1.0966</v>
      </c>
      <c r="F48" t="n">
        <v>2.7428</v>
      </c>
      <c r="G48" t="n">
        <v>0</v>
      </c>
      <c r="H48" t="n">
        <v>4.40033</v>
      </c>
      <c r="I48" t="n">
        <v>8.210788333333333</v>
      </c>
      <c r="J48" t="n">
        <v>4.40033</v>
      </c>
      <c r="K48" t="n">
        <v>8.210788333333333</v>
      </c>
      <c r="L48" t="n">
        <v>12.61111833333333</v>
      </c>
      <c r="M48" t="n">
        <v>12.61111833333333</v>
      </c>
      <c r="N48" t="n">
        <v>18.64713333333333</v>
      </c>
      <c r="O48" t="n">
        <v>31.25825166666667</v>
      </c>
      <c r="P48" t="n">
        <v>31.25825166666667</v>
      </c>
      <c r="Q48" t="n">
        <v>28.28536666666666</v>
      </c>
      <c r="R48" t="n">
        <v>9.164733333333334</v>
      </c>
      <c r="S48" t="n">
        <v>37.45009999999999</v>
      </c>
      <c r="T48" t="n">
        <v>37.45009999999999</v>
      </c>
      <c r="U48" t="n">
        <v>1.816766666666667</v>
      </c>
      <c r="V48" t="n">
        <v>1.2597</v>
      </c>
      <c r="W48" t="n">
        <v>3.076466666666667</v>
      </c>
      <c r="X48" t="n">
        <v>1.256833333333333</v>
      </c>
      <c r="Y48" t="n">
        <v>0.8722000000000001</v>
      </c>
      <c r="Z48" t="n">
        <v>2.129033333333333</v>
      </c>
      <c r="AA48" t="n">
        <v>6.191848333333326</v>
      </c>
      <c r="AB48" t="n">
        <v>6.191848333333326</v>
      </c>
      <c r="AC48" t="n">
        <v>39.57913333333332</v>
      </c>
      <c r="AD48" t="n">
        <v>39.57913333333332</v>
      </c>
      <c r="AE48" t="n">
        <v>5.244414999999991</v>
      </c>
      <c r="AF48" t="n">
        <v>5.244414999999991</v>
      </c>
      <c r="AG48" t="n">
        <v>0</v>
      </c>
      <c r="AH48" t="n">
        <v>0</v>
      </c>
      <c r="AI48" t="n">
        <v>0</v>
      </c>
      <c r="AJ48" t="n">
        <v>0</v>
      </c>
      <c r="AK48" t="n">
        <v>0</v>
      </c>
      <c r="AL48" t="n">
        <v>31.25825166666667</v>
      </c>
      <c r="AM48" t="n">
        <v>5.244414999999991</v>
      </c>
    </row>
    <row r="49">
      <c r="A49" s="8" t="n">
        <v>45627</v>
      </c>
      <c r="B49" t="inlineStr">
        <is>
          <t>Actual</t>
        </is>
      </c>
      <c r="C49" t="n">
        <v>5.542290322580644</v>
      </c>
      <c r="D49" t="n">
        <v>9.558419354838708</v>
      </c>
      <c r="E49" t="n">
        <v>1.833096774193548</v>
      </c>
      <c r="F49" t="n">
        <v>2.697645161290323</v>
      </c>
      <c r="G49" t="n">
        <v>0</v>
      </c>
      <c r="H49" t="n">
        <v>4.759608064516129</v>
      </c>
      <c r="I49" t="n">
        <v>8.471620645161291</v>
      </c>
      <c r="J49" t="n">
        <v>4.759608064516129</v>
      </c>
      <c r="K49" t="n">
        <v>8.471620645161291</v>
      </c>
      <c r="L49" t="n">
        <v>13.23122870967742</v>
      </c>
      <c r="M49" t="n">
        <v>13.23122870967742</v>
      </c>
      <c r="N49" t="n">
        <v>19.63145161290323</v>
      </c>
      <c r="O49" t="n">
        <v>32.86268032258064</v>
      </c>
      <c r="P49" t="n">
        <v>32.86268032258064</v>
      </c>
      <c r="Q49" t="n">
        <v>28.49945161290323</v>
      </c>
      <c r="R49" t="n">
        <v>9.163129032258064</v>
      </c>
      <c r="S49" t="n">
        <v>37.66258064516129</v>
      </c>
      <c r="T49" t="n">
        <v>37.66258064516129</v>
      </c>
      <c r="U49" t="n">
        <v>1.449032258064516</v>
      </c>
      <c r="V49" t="n">
        <v>1.070516129032258</v>
      </c>
      <c r="W49" t="n">
        <v>2.519548387096774</v>
      </c>
      <c r="X49" t="n">
        <v>1.874064516129032</v>
      </c>
      <c r="Y49" t="n">
        <v>1.701064516129032</v>
      </c>
      <c r="Z49" t="n">
        <v>3.575129032258064</v>
      </c>
      <c r="AA49" t="n">
        <v>4.799900322580648</v>
      </c>
      <c r="AB49" t="n">
        <v>4.799900322580648</v>
      </c>
      <c r="AC49" t="n">
        <v>41.23770967741935</v>
      </c>
      <c r="AD49" t="n">
        <v>41.23770967741935</v>
      </c>
      <c r="AE49" t="n">
        <v>5.855480967741935</v>
      </c>
      <c r="AF49" t="n">
        <v>5.855480967741935</v>
      </c>
      <c r="AG49" t="n">
        <v>0</v>
      </c>
      <c r="AH49" t="n">
        <v>0</v>
      </c>
      <c r="AI49" t="n">
        <v>0</v>
      </c>
      <c r="AJ49" t="n">
        <v>0</v>
      </c>
      <c r="AK49" t="n">
        <v>0</v>
      </c>
      <c r="AL49" t="n">
        <v>32.86268032258064</v>
      </c>
      <c r="AM49" t="n">
        <v>5.855480967741935</v>
      </c>
    </row>
    <row r="50">
      <c r="A50" s="8" t="n">
        <v>45658</v>
      </c>
      <c r="B50" t="inlineStr">
        <is>
          <t>Actual</t>
        </is>
      </c>
      <c r="C50" t="n">
        <v>6.819064516129032</v>
      </c>
      <c r="D50" t="n">
        <v>9.346516129032258</v>
      </c>
      <c r="E50" t="n">
        <v>3.542322580645161</v>
      </c>
      <c r="F50" t="n">
        <v>3.12958064516129</v>
      </c>
      <c r="G50" t="n">
        <v>0</v>
      </c>
      <c r="H50" t="n">
        <v>4.154271290322582</v>
      </c>
      <c r="I50" t="n">
        <v>9.178081290322581</v>
      </c>
      <c r="J50" t="n">
        <v>4.154271290322582</v>
      </c>
      <c r="K50" t="n">
        <v>9.178081290322581</v>
      </c>
      <c r="L50" t="n">
        <v>13.33235258064516</v>
      </c>
      <c r="M50" t="n">
        <v>13.33235258064516</v>
      </c>
      <c r="N50" t="n">
        <v>22.83748387096774</v>
      </c>
      <c r="O50" t="n">
        <v>36.16983645161291</v>
      </c>
      <c r="P50" t="n">
        <v>36.16983645161291</v>
      </c>
      <c r="Q50" t="n">
        <v>28.24405679752158</v>
      </c>
      <c r="R50" t="n">
        <v>9.155148586604295</v>
      </c>
      <c r="S50" t="n">
        <v>37.39920538412588</v>
      </c>
      <c r="T50" t="n">
        <v>37.39920538412588</v>
      </c>
      <c r="U50" t="n">
        <v>1.033096774193548</v>
      </c>
      <c r="V50" t="n">
        <v>0.6349354838709677</v>
      </c>
      <c r="W50" t="n">
        <v>1.668032258064516</v>
      </c>
      <c r="X50" t="n">
        <v>4.680032258064516</v>
      </c>
      <c r="Y50" t="n">
        <v>4.16483870967742</v>
      </c>
      <c r="Z50" t="n">
        <v>8.844870967741937</v>
      </c>
      <c r="AA50" t="n">
        <v>1.229368932512969</v>
      </c>
      <c r="AB50" t="n">
        <v>1.229368932512969</v>
      </c>
      <c r="AC50" t="n">
        <v>46.24407635186782</v>
      </c>
      <c r="AD50" t="n">
        <v>46.24407635186782</v>
      </c>
      <c r="AE50" t="n">
        <v>8.406207642190394</v>
      </c>
      <c r="AF50" t="n">
        <v>8.406207642190394</v>
      </c>
      <c r="AG50" t="n">
        <v>0</v>
      </c>
      <c r="AH50" t="n">
        <v>0</v>
      </c>
      <c r="AI50" t="n">
        <v>0</v>
      </c>
      <c r="AJ50" t="n">
        <v>0</v>
      </c>
      <c r="AK50" t="n">
        <v>0</v>
      </c>
      <c r="AL50" t="n">
        <v>36.16983645161291</v>
      </c>
      <c r="AM50" t="n">
        <v>8.406207642190394</v>
      </c>
    </row>
    <row r="51">
      <c r="A51" s="8" t="n">
        <v>45689</v>
      </c>
      <c r="B51" t="inlineStr">
        <is>
          <t>Actual</t>
        </is>
      </c>
      <c r="C51" t="n">
        <v>6.170357142857143</v>
      </c>
      <c r="D51" t="n">
        <v>9.102250000000002</v>
      </c>
      <c r="E51" t="n">
        <v>2.846</v>
      </c>
      <c r="F51" t="n">
        <v>3.037857142857143</v>
      </c>
      <c r="G51" t="n">
        <v>0</v>
      </c>
      <c r="H51" t="n">
        <v>4.985854642857143</v>
      </c>
      <c r="I51" t="n">
        <v>9.572107500000001</v>
      </c>
      <c r="J51" t="n">
        <v>4.985854642857143</v>
      </c>
      <c r="K51" t="n">
        <v>9.572107500000001</v>
      </c>
      <c r="L51" t="n">
        <v>14.55796214285714</v>
      </c>
      <c r="M51" t="n">
        <v>14.55796214285714</v>
      </c>
      <c r="N51" t="n">
        <v>21.15646428571429</v>
      </c>
      <c r="O51" t="n">
        <v>35.71442642857143</v>
      </c>
      <c r="P51" t="n">
        <v>35.71442642857143</v>
      </c>
      <c r="Q51" t="n">
        <v>28.33351354931359</v>
      </c>
      <c r="R51" t="n">
        <v>9.39571619840204</v>
      </c>
      <c r="S51" t="n">
        <v>37.72922974771563</v>
      </c>
      <c r="T51" t="n">
        <v>37.72922974771563</v>
      </c>
      <c r="U51" t="n">
        <v>1.292535714285714</v>
      </c>
      <c r="V51" t="n">
        <v>0.9550714285714286</v>
      </c>
      <c r="W51" t="n">
        <v>2.247607142857142</v>
      </c>
      <c r="X51" t="n">
        <v>4.061928571428572</v>
      </c>
      <c r="Y51" t="n">
        <v>3.354357142857143</v>
      </c>
      <c r="Z51" t="n">
        <v>7.416285714285715</v>
      </c>
      <c r="AA51" t="n">
        <v>2.0148033191442</v>
      </c>
      <c r="AB51" t="n">
        <v>2.0148033191442</v>
      </c>
      <c r="AC51" t="n">
        <v>45.14551546200134</v>
      </c>
      <c r="AD51" t="n">
        <v>45.14551546200134</v>
      </c>
      <c r="AE51" t="n">
        <v>7.183481890572771</v>
      </c>
      <c r="AF51" t="n">
        <v>7.183481890572771</v>
      </c>
      <c r="AG51" t="n">
        <v>0</v>
      </c>
      <c r="AH51" t="n">
        <v>0</v>
      </c>
      <c r="AI51" t="n">
        <v>0</v>
      </c>
      <c r="AJ51" t="n">
        <v>0</v>
      </c>
      <c r="AK51" t="n">
        <v>0</v>
      </c>
      <c r="AL51" t="n">
        <v>35.71442642857143</v>
      </c>
      <c r="AM51" t="n">
        <v>7.183481890572771</v>
      </c>
    </row>
    <row r="52">
      <c r="A52" s="8" t="n">
        <v>45717</v>
      </c>
      <c r="B52" t="inlineStr">
        <is>
          <t>Actual</t>
        </is>
      </c>
      <c r="C52" t="n">
        <v>4.460322580645162</v>
      </c>
      <c r="D52" t="n">
        <v>8.936193548387097</v>
      </c>
      <c r="E52" t="n">
        <v>1.194387096774194</v>
      </c>
      <c r="F52" t="n">
        <v>2.864387096774194</v>
      </c>
      <c r="G52" t="n">
        <v>0</v>
      </c>
      <c r="H52" t="n">
        <v>4.598463870967743</v>
      </c>
      <c r="I52" t="n">
        <v>10.28608387096774</v>
      </c>
      <c r="J52" t="n">
        <v>4.598463870967743</v>
      </c>
      <c r="K52" t="n">
        <v>10.28608387096774</v>
      </c>
      <c r="L52" t="n">
        <v>14.88454774193549</v>
      </c>
      <c r="M52" t="n">
        <v>14.88454774193549</v>
      </c>
      <c r="N52" t="n">
        <v>17.45529032258064</v>
      </c>
      <c r="O52" t="n">
        <v>32.33983806451613</v>
      </c>
      <c r="P52" t="n">
        <v>32.33983806451613</v>
      </c>
      <c r="Q52" t="n">
        <v>28.42087368859537</v>
      </c>
      <c r="R52" t="n">
        <v>10.96518262837849</v>
      </c>
      <c r="S52" t="n">
        <v>39.38605631697386</v>
      </c>
      <c r="T52" t="n">
        <v>39.38605631697386</v>
      </c>
      <c r="U52" t="n">
        <v>2.661516129032258</v>
      </c>
      <c r="V52" t="n">
        <v>2.002258064516129</v>
      </c>
      <c r="W52" t="n">
        <v>4.663774193548387</v>
      </c>
      <c r="X52" t="n">
        <v>1.247129032258065</v>
      </c>
      <c r="Y52" t="n">
        <v>0.8719354838709676</v>
      </c>
      <c r="Z52" t="n">
        <v>2.119064516129032</v>
      </c>
      <c r="AA52" t="n">
        <v>7.046218252457734</v>
      </c>
      <c r="AB52" t="n">
        <v>7.046218252457734</v>
      </c>
      <c r="AC52" t="n">
        <v>41.50512083310289</v>
      </c>
      <c r="AD52" t="n">
        <v>41.50512083310289</v>
      </c>
      <c r="AE52" t="n">
        <v>4.501508575038376</v>
      </c>
      <c r="AF52" t="n">
        <v>4.501508575038376</v>
      </c>
      <c r="AG52" t="n">
        <v>0</v>
      </c>
      <c r="AH52" t="n">
        <v>0</v>
      </c>
      <c r="AI52" t="n">
        <v>0</v>
      </c>
      <c r="AJ52" t="n">
        <v>0</v>
      </c>
      <c r="AK52" t="n">
        <v>0</v>
      </c>
      <c r="AL52" t="n">
        <v>32.33983806451613</v>
      </c>
      <c r="AM52" t="n">
        <v>4.501508575038376</v>
      </c>
    </row>
    <row r="53">
      <c r="A53" s="8" t="n">
        <v>45748</v>
      </c>
      <c r="B53" t="inlineStr">
        <is>
          <t>Actual</t>
        </is>
      </c>
      <c r="C53" t="n">
        <v>5.1703</v>
      </c>
      <c r="D53" t="n">
        <v>8.803333333333333</v>
      </c>
      <c r="E53" t="n">
        <v>1.0895</v>
      </c>
      <c r="F53" t="n">
        <v>3.252</v>
      </c>
      <c r="G53" t="n">
        <v>0</v>
      </c>
      <c r="H53" t="n">
        <v>4.818890000000001</v>
      </c>
      <c r="I53" t="n">
        <v>10.44256333333333</v>
      </c>
      <c r="J53" t="n">
        <v>4.818890000000001</v>
      </c>
      <c r="K53" t="n">
        <v>10.44256333333333</v>
      </c>
      <c r="L53" t="n">
        <v>15.26145333333334</v>
      </c>
      <c r="M53" t="n">
        <v>15.26145333333334</v>
      </c>
      <c r="N53" t="n">
        <v>18.31513333333333</v>
      </c>
      <c r="O53" t="n">
        <v>33.57658666666667</v>
      </c>
      <c r="P53" t="n">
        <v>33.57658666666667</v>
      </c>
      <c r="Q53" t="n">
        <v>28.66872758850139</v>
      </c>
      <c r="R53" t="n">
        <v>10.54851470163298</v>
      </c>
      <c r="S53" t="n">
        <v>39.21724229013437</v>
      </c>
      <c r="T53" t="n">
        <v>39.21724229013437</v>
      </c>
      <c r="U53" t="n">
        <v>2.422766666666667</v>
      </c>
      <c r="V53" t="n">
        <v>2.1286</v>
      </c>
      <c r="W53" t="n">
        <v>4.551366666666667</v>
      </c>
      <c r="X53" t="n">
        <v>1.021366666666667</v>
      </c>
      <c r="Y53" t="n">
        <v>0.8767333333333334</v>
      </c>
      <c r="Z53" t="n">
        <v>1.8981</v>
      </c>
      <c r="AA53" t="n">
        <v>5.640655623467701</v>
      </c>
      <c r="AB53" t="n">
        <v>5.640655623467701</v>
      </c>
      <c r="AC53" t="n">
        <v>41.11534229013437</v>
      </c>
      <c r="AD53" t="n">
        <v>41.11534229013437</v>
      </c>
      <c r="AE53" t="n">
        <v>2.987388956801034</v>
      </c>
      <c r="AF53" t="n">
        <v>2.987388956801034</v>
      </c>
      <c r="AG53" t="n">
        <v>0</v>
      </c>
      <c r="AH53" t="n">
        <v>0</v>
      </c>
      <c r="AI53" t="n">
        <v>0</v>
      </c>
      <c r="AJ53" t="n">
        <v>0</v>
      </c>
      <c r="AK53" t="n">
        <v>0</v>
      </c>
      <c r="AL53" t="n">
        <v>33.57658666666667</v>
      </c>
      <c r="AM53" t="n">
        <v>2.987388956801034</v>
      </c>
    </row>
    <row r="54">
      <c r="A54" s="8" t="n">
        <v>45778</v>
      </c>
      <c r="B54" t="inlineStr">
        <is>
          <t>Actual</t>
        </is>
      </c>
      <c r="C54" t="n">
        <v>6.845290322580645</v>
      </c>
      <c r="D54" t="n">
        <v>8.830580645161291</v>
      </c>
      <c r="E54" t="n">
        <v>0.8225806451612903</v>
      </c>
      <c r="F54" t="n">
        <v>3.523838709677419</v>
      </c>
      <c r="G54" t="n">
        <v>0</v>
      </c>
      <c r="H54" t="n">
        <v>4.495722580645161</v>
      </c>
      <c r="I54" t="n">
        <v>9.596746774193548</v>
      </c>
      <c r="J54" t="n">
        <v>4.495722580645161</v>
      </c>
      <c r="K54" t="n">
        <v>9.596746774193548</v>
      </c>
      <c r="L54" t="n">
        <v>14.09246935483871</v>
      </c>
      <c r="M54" t="n">
        <v>14.09246935483871</v>
      </c>
      <c r="N54" t="n">
        <v>20.02229032258065</v>
      </c>
      <c r="O54" t="n">
        <v>34.11475967741936</v>
      </c>
      <c r="P54" t="n">
        <v>34.11475967741936</v>
      </c>
      <c r="Q54" t="n">
        <v>28.39991141756023</v>
      </c>
      <c r="R54" t="n">
        <v>10.78451320252118</v>
      </c>
      <c r="S54" t="n">
        <v>39.18442462008141</v>
      </c>
      <c r="T54" t="n">
        <v>39.18442462008141</v>
      </c>
      <c r="U54" t="n">
        <v>2.441677419354839</v>
      </c>
      <c r="V54" t="n">
        <v>2.077935483870968</v>
      </c>
      <c r="W54" t="n">
        <v>4.519612903225807</v>
      </c>
      <c r="X54" t="n">
        <v>0.8430322580645161</v>
      </c>
      <c r="Y54" t="n">
        <v>0.5091612903225806</v>
      </c>
      <c r="Z54" t="n">
        <v>1.352193548387097</v>
      </c>
      <c r="AA54" t="n">
        <v>5.069664942662051</v>
      </c>
      <c r="AB54" t="n">
        <v>5.069664942662051</v>
      </c>
      <c r="AC54" t="n">
        <v>40.53661816846851</v>
      </c>
      <c r="AD54" t="n">
        <v>40.53661816846851</v>
      </c>
      <c r="AE54" t="n">
        <v>1.902245587823344</v>
      </c>
      <c r="AF54" t="n">
        <v>1.902245587823344</v>
      </c>
      <c r="AG54" t="n">
        <v>0</v>
      </c>
      <c r="AH54" t="n">
        <v>0</v>
      </c>
      <c r="AI54" t="n">
        <v>0</v>
      </c>
      <c r="AJ54" t="n">
        <v>0</v>
      </c>
      <c r="AK54" t="n">
        <v>0</v>
      </c>
      <c r="AL54" t="n">
        <v>34.11475967741936</v>
      </c>
      <c r="AM54" t="n">
        <v>1.902245587823344</v>
      </c>
    </row>
    <row r="55">
      <c r="A55" s="8" t="n">
        <v>45809</v>
      </c>
      <c r="B55" t="inlineStr">
        <is>
          <t>Actual</t>
        </is>
      </c>
      <c r="C55" t="n">
        <v>7.689399999999999</v>
      </c>
      <c r="D55" t="n">
        <v>8.682700000000001</v>
      </c>
      <c r="E55" t="n">
        <v>0.7652666666666667</v>
      </c>
      <c r="F55" t="n">
        <v>3.446133333333333</v>
      </c>
      <c r="G55" t="n">
        <v>0</v>
      </c>
      <c r="H55" t="n">
        <v>4.700261666666668</v>
      </c>
      <c r="I55" t="n">
        <v>8.772283666666667</v>
      </c>
      <c r="J55" t="n">
        <v>4.700261666666668</v>
      </c>
      <c r="K55" t="n">
        <v>8.772283666666667</v>
      </c>
      <c r="L55" t="n">
        <v>13.47254533333333</v>
      </c>
      <c r="M55" t="n">
        <v>13.47254533333333</v>
      </c>
      <c r="N55" t="n">
        <v>20.5835</v>
      </c>
      <c r="O55" t="n">
        <v>34.05604533333333</v>
      </c>
      <c r="P55" t="n">
        <v>34.05604533333333</v>
      </c>
      <c r="Q55" t="n">
        <v>28.79030246552894</v>
      </c>
      <c r="R55" t="n">
        <v>9.970088871406151</v>
      </c>
      <c r="S55" t="n">
        <v>38.76039133693509</v>
      </c>
      <c r="T55" t="n">
        <v>38.76039133693509</v>
      </c>
      <c r="U55" t="n">
        <v>2.011666666666667</v>
      </c>
      <c r="V55" t="n">
        <v>1.604333333333333</v>
      </c>
      <c r="W55" t="n">
        <v>3.616</v>
      </c>
      <c r="X55" t="n">
        <v>0.7972</v>
      </c>
      <c r="Y55" t="n">
        <v>0.8182</v>
      </c>
      <c r="Z55" t="n">
        <v>1.6154</v>
      </c>
      <c r="AA55" t="n">
        <v>4.704346003601756</v>
      </c>
      <c r="AB55" t="n">
        <v>4.704346003601756</v>
      </c>
      <c r="AC55" t="n">
        <v>40.37579133693509</v>
      </c>
      <c r="AD55" t="n">
        <v>40.37579133693509</v>
      </c>
      <c r="AE55" t="n">
        <v>2.703746003601758</v>
      </c>
      <c r="AF55" t="n">
        <v>2.703746003601758</v>
      </c>
      <c r="AG55" t="n">
        <v>0</v>
      </c>
      <c r="AH55" t="n">
        <v>0</v>
      </c>
      <c r="AI55" t="n">
        <v>0</v>
      </c>
      <c r="AJ55" t="n">
        <v>0</v>
      </c>
      <c r="AK55" t="n">
        <v>0</v>
      </c>
      <c r="AL55" t="n">
        <v>34.05604533333333</v>
      </c>
      <c r="AM55" t="n">
        <v>2.703746003601758</v>
      </c>
    </row>
    <row r="56">
      <c r="A56" s="8" t="n">
        <v>45839</v>
      </c>
      <c r="B56" t="inlineStr">
        <is>
          <t>Actual</t>
        </is>
      </c>
      <c r="C56" t="n">
        <v>8.472483870967741</v>
      </c>
      <c r="D56" t="n">
        <v>8.820451612903225</v>
      </c>
      <c r="E56" t="n">
        <v>0.7136129032258063</v>
      </c>
      <c r="F56" t="n">
        <v>3.09458064516129</v>
      </c>
      <c r="G56" t="n">
        <v>0</v>
      </c>
      <c r="H56" t="n">
        <v>4.49719935483871</v>
      </c>
      <c r="I56" t="n">
        <v>9.927087096774194</v>
      </c>
      <c r="J56" t="n">
        <v>4.49719935483871</v>
      </c>
      <c r="K56" t="n">
        <v>9.927087096774194</v>
      </c>
      <c r="L56" t="n">
        <v>14.4242864516129</v>
      </c>
      <c r="M56" t="n">
        <v>14.4242864516129</v>
      </c>
      <c r="N56" t="n">
        <v>21.10112903225806</v>
      </c>
      <c r="O56" t="n">
        <v>35.52541548387097</v>
      </c>
      <c r="P56" t="n">
        <v>35.52541548387097</v>
      </c>
      <c r="Q56" t="n">
        <v>29.17521868269277</v>
      </c>
      <c r="R56" t="n">
        <v>10.39141429709647</v>
      </c>
      <c r="S56" t="n">
        <v>39.56663297978925</v>
      </c>
      <c r="T56" t="n">
        <v>39.56663297978925</v>
      </c>
      <c r="U56" t="n">
        <v>1.676290322580645</v>
      </c>
      <c r="V56" t="n">
        <v>1.273677419354839</v>
      </c>
      <c r="W56" t="n">
        <v>2.949967741935484</v>
      </c>
      <c r="X56" t="n">
        <v>1.450903225806452</v>
      </c>
      <c r="Y56" t="n">
        <v>1.166677419354839</v>
      </c>
      <c r="Z56" t="n">
        <v>2.61758064516129</v>
      </c>
      <c r="AA56" t="n">
        <v>4.041217495918282</v>
      </c>
      <c r="AB56" t="n">
        <v>4.041217495918282</v>
      </c>
      <c r="AC56" t="n">
        <v>42.18421362495054</v>
      </c>
      <c r="AD56" t="n">
        <v>42.18421362495054</v>
      </c>
      <c r="AE56" t="n">
        <v>3.708830399144088</v>
      </c>
      <c r="AF56" t="n">
        <v>3.708830399144088</v>
      </c>
      <c r="AG56" t="n">
        <v>0</v>
      </c>
      <c r="AH56" t="n">
        <v>0</v>
      </c>
      <c r="AI56" t="n">
        <v>0</v>
      </c>
      <c r="AJ56" t="n">
        <v>0</v>
      </c>
      <c r="AK56" t="n">
        <v>0</v>
      </c>
      <c r="AL56" t="n">
        <v>35.52541548387097</v>
      </c>
      <c r="AM56" t="n">
        <v>3.708830399144088</v>
      </c>
    </row>
    <row r="57">
      <c r="A57" s="8" t="n">
        <v>45870</v>
      </c>
      <c r="B57" t="inlineStr">
        <is>
          <t>Actual</t>
        </is>
      </c>
      <c r="C57" t="n">
        <v>8.993870967741936</v>
      </c>
      <c r="D57" t="n">
        <v>8.910580645161289</v>
      </c>
      <c r="E57" t="n">
        <v>0.6606451612903226</v>
      </c>
      <c r="F57" t="n">
        <v>3.350290322580645</v>
      </c>
      <c r="G57" t="n">
        <v>0</v>
      </c>
      <c r="H57" t="n">
        <v>4.468156129032257</v>
      </c>
      <c r="I57" t="n">
        <v>10.35774258064516</v>
      </c>
      <c r="J57" t="n">
        <v>4.468156129032257</v>
      </c>
      <c r="K57" t="n">
        <v>10.35774258064516</v>
      </c>
      <c r="L57" t="n">
        <v>14.82589870967742</v>
      </c>
      <c r="M57" t="n">
        <v>14.82589870967742</v>
      </c>
      <c r="N57" t="n">
        <v>21.91538709677419</v>
      </c>
      <c r="O57" t="n">
        <v>36.74128580645161</v>
      </c>
      <c r="P57" t="n">
        <v>36.74128580645161</v>
      </c>
      <c r="Q57" t="n">
        <v>29.48895130800512</v>
      </c>
      <c r="R57" t="n">
        <v>10.77510400561819</v>
      </c>
      <c r="S57" t="n">
        <v>40.26405531362332</v>
      </c>
      <c r="T57" t="n">
        <v>40.26405531362332</v>
      </c>
      <c r="U57" t="n">
        <v>1.391838709677419</v>
      </c>
      <c r="V57" t="n">
        <v>1.090322580645161</v>
      </c>
      <c r="W57" t="n">
        <v>2.482161290322581</v>
      </c>
      <c r="X57" t="n">
        <v>1.803870967741935</v>
      </c>
      <c r="Y57" t="n">
        <v>1.017387096774194</v>
      </c>
      <c r="Z57" t="n">
        <v>2.821258064516129</v>
      </c>
      <c r="AA57" t="n">
        <v>3.522769507171709</v>
      </c>
      <c r="AB57" t="n">
        <v>3.522769507171709</v>
      </c>
      <c r="AC57" t="n">
        <v>43.08531337813945</v>
      </c>
      <c r="AD57" t="n">
        <v>43.08531337813945</v>
      </c>
      <c r="AE57" t="n">
        <v>3.861866281365258</v>
      </c>
      <c r="AF57" t="n">
        <v>3.861866281365258</v>
      </c>
      <c r="AG57" t="n">
        <v>0</v>
      </c>
      <c r="AH57" t="n">
        <v>0</v>
      </c>
      <c r="AI57" t="n">
        <v>0</v>
      </c>
      <c r="AJ57" t="n">
        <v>0</v>
      </c>
      <c r="AK57" t="n">
        <v>0</v>
      </c>
      <c r="AL57" t="n">
        <v>36.74128580645161</v>
      </c>
      <c r="AM57" t="n">
        <v>3.861866281365258</v>
      </c>
    </row>
    <row r="58">
      <c r="A58" s="8" t="n">
        <v>45901</v>
      </c>
      <c r="B58" t="inlineStr">
        <is>
          <t>Actual</t>
        </is>
      </c>
      <c r="C58" t="n">
        <v>8.144299999999999</v>
      </c>
      <c r="D58" t="n">
        <v>8.9526</v>
      </c>
      <c r="E58" t="n">
        <v>0.6876333333333333</v>
      </c>
      <c r="F58" t="n">
        <v>2.949933333333334</v>
      </c>
      <c r="G58" t="n">
        <v>0</v>
      </c>
      <c r="H58" t="n">
        <v>4.724750333333333</v>
      </c>
      <c r="I58" t="n">
        <v>10.655186</v>
      </c>
      <c r="J58" t="n">
        <v>4.724750333333333</v>
      </c>
      <c r="K58" t="n">
        <v>10.655186</v>
      </c>
      <c r="L58" t="n">
        <v>15.37993633333333</v>
      </c>
      <c r="M58" t="n">
        <v>15.37993633333333</v>
      </c>
      <c r="N58" t="n">
        <v>20.73446666666667</v>
      </c>
      <c r="O58" t="n">
        <v>36.114403</v>
      </c>
      <c r="P58" t="n">
        <v>36.114403</v>
      </c>
      <c r="Q58" t="n">
        <v>29.45501958725445</v>
      </c>
      <c r="R58" t="n">
        <v>10.32449125031858</v>
      </c>
      <c r="S58" t="n">
        <v>39.77951083757303</v>
      </c>
      <c r="T58" t="n">
        <v>39.77951083757303</v>
      </c>
      <c r="U58" t="n">
        <v>1.689533333333333</v>
      </c>
      <c r="V58" t="n">
        <v>1.092633333333333</v>
      </c>
      <c r="W58" t="n">
        <v>2.782166666666667</v>
      </c>
      <c r="X58" t="n">
        <v>1.2997</v>
      </c>
      <c r="Y58" t="n">
        <v>1.024833333333333</v>
      </c>
      <c r="Z58" t="n">
        <v>2.324533333333333</v>
      </c>
      <c r="AA58" t="n">
        <v>3.665107837573032</v>
      </c>
      <c r="AB58" t="n">
        <v>3.665107837573032</v>
      </c>
      <c r="AC58" t="n">
        <v>42.10404417090636</v>
      </c>
      <c r="AD58" t="n">
        <v>42.10404417090636</v>
      </c>
      <c r="AE58" t="n">
        <v>3.2074745042397</v>
      </c>
      <c r="AF58" t="n">
        <v>3.2074745042397</v>
      </c>
      <c r="AG58" t="n">
        <v>0</v>
      </c>
      <c r="AH58" t="n">
        <v>0</v>
      </c>
      <c r="AI58" t="n">
        <v>0</v>
      </c>
      <c r="AJ58" t="n">
        <v>0</v>
      </c>
      <c r="AK58" t="n">
        <v>0</v>
      </c>
      <c r="AL58" t="n">
        <v>36.114403</v>
      </c>
      <c r="AM58" t="n">
        <v>3.2074745042397</v>
      </c>
    </row>
    <row r="59">
      <c r="A59" s="8" t="n">
        <v>45931</v>
      </c>
      <c r="B59" t="inlineStr">
        <is>
          <t>Actual</t>
        </is>
      </c>
      <c r="C59" t="n">
        <v>6.693548387096774</v>
      </c>
      <c r="D59" t="n">
        <v>8.544096774193548</v>
      </c>
      <c r="E59" t="n">
        <v>0.7671612903225806</v>
      </c>
      <c r="F59" t="n">
        <v>2.833483870967742</v>
      </c>
      <c r="G59" t="n">
        <v>0</v>
      </c>
      <c r="H59" t="n">
        <v>5.143850645161292</v>
      </c>
      <c r="I59" t="n">
        <v>11.63072193548387</v>
      </c>
      <c r="J59" t="n">
        <v>5.143850645161292</v>
      </c>
      <c r="K59" t="n">
        <v>11.63072193548387</v>
      </c>
      <c r="L59" t="n">
        <v>16.77457258064516</v>
      </c>
      <c r="M59" t="n">
        <v>16.77457258064516</v>
      </c>
      <c r="N59" t="n">
        <v>18.83829032258065</v>
      </c>
      <c r="O59" t="n">
        <v>35.61286290322581</v>
      </c>
      <c r="P59" t="n">
        <v>35.61286290322581</v>
      </c>
      <c r="Q59" t="n">
        <v>29.14146861697209</v>
      </c>
      <c r="R59" t="n">
        <v>10.27782955496044</v>
      </c>
      <c r="S59" t="n">
        <v>39.41929817193254</v>
      </c>
      <c r="T59" t="n">
        <v>39.41929817193254</v>
      </c>
      <c r="U59" t="n">
        <v>2.187</v>
      </c>
      <c r="V59" t="n">
        <v>1.729741935483871</v>
      </c>
      <c r="W59" t="n">
        <v>3.916741935483871</v>
      </c>
      <c r="X59" t="n">
        <v>1.130225806451613</v>
      </c>
      <c r="Y59" t="n">
        <v>0.6537741935483871</v>
      </c>
      <c r="Z59" t="n">
        <v>1.784</v>
      </c>
      <c r="AA59" t="n">
        <v>3.806435268706728</v>
      </c>
      <c r="AB59" t="n">
        <v>3.806435268706728</v>
      </c>
      <c r="AC59" t="n">
        <v>41.20329817193254</v>
      </c>
      <c r="AD59" t="n">
        <v>41.20329817193254</v>
      </c>
      <c r="AE59" t="n">
        <v>1.673693333222857</v>
      </c>
      <c r="AF59" t="n">
        <v>1.673693333222857</v>
      </c>
      <c r="AG59" t="n">
        <v>0</v>
      </c>
      <c r="AH59" t="n">
        <v>0</v>
      </c>
      <c r="AI59" t="n">
        <v>0</v>
      </c>
      <c r="AJ59" t="n">
        <v>0</v>
      </c>
      <c r="AK59" t="n">
        <v>0</v>
      </c>
      <c r="AL59" t="n">
        <v>35.61286290322581</v>
      </c>
      <c r="AM59" t="n">
        <v>1.673693333222857</v>
      </c>
    </row>
    <row r="60">
      <c r="A60" s="8" t="n">
        <v>45962</v>
      </c>
      <c r="B60" t="inlineStr">
        <is>
          <t>Actual</t>
        </is>
      </c>
      <c r="C60" t="n">
        <v>5.677266666666666</v>
      </c>
      <c r="D60" t="n">
        <v>9.2516</v>
      </c>
      <c r="E60" t="n">
        <v>1.0994</v>
      </c>
      <c r="F60" t="n">
        <v>2.9201</v>
      </c>
      <c r="G60" t="n">
        <v>0</v>
      </c>
      <c r="H60" t="n">
        <v>5.420533666666667</v>
      </c>
      <c r="I60" t="n">
        <v>12.56635566666667</v>
      </c>
      <c r="J60" t="n">
        <v>5.420533666666667</v>
      </c>
      <c r="K60" t="n">
        <v>12.56635566666667</v>
      </c>
      <c r="L60" t="n">
        <v>17.98688933333334</v>
      </c>
      <c r="M60" t="n">
        <v>17.98688933333334</v>
      </c>
      <c r="N60" t="n">
        <v>18.94836666666667</v>
      </c>
      <c r="O60" t="n">
        <v>36.93525600000001</v>
      </c>
      <c r="P60" t="n">
        <v>36.93525600000001</v>
      </c>
      <c r="Q60" t="n">
        <v>29.76337540353552</v>
      </c>
      <c r="R60" t="n">
        <v>11.03999912429889</v>
      </c>
      <c r="S60" t="n">
        <v>40.80337452783441</v>
      </c>
      <c r="T60" t="n">
        <v>40.80337452783441</v>
      </c>
      <c r="U60" t="n">
        <v>2.081066666666667</v>
      </c>
      <c r="V60" t="n">
        <v>1.2458</v>
      </c>
      <c r="W60" t="n">
        <v>3.326866666666667</v>
      </c>
      <c r="X60" t="n">
        <v>1.227233333333333</v>
      </c>
      <c r="Y60" t="n">
        <v>0.7593</v>
      </c>
      <c r="Z60" t="n">
        <v>1.986533333333333</v>
      </c>
      <c r="AA60" t="n">
        <v>3.868118527834405</v>
      </c>
      <c r="AB60" t="n">
        <v>3.868118527834405</v>
      </c>
      <c r="AC60" t="n">
        <v>42.78990786116775</v>
      </c>
      <c r="AD60" t="n">
        <v>42.78990786116775</v>
      </c>
      <c r="AE60" t="n">
        <v>2.527785194501072</v>
      </c>
      <c r="AF60" t="n">
        <v>2.527785194501072</v>
      </c>
      <c r="AG60" t="n">
        <v>0</v>
      </c>
      <c r="AH60" t="n">
        <v>0</v>
      </c>
      <c r="AI60" t="n">
        <v>0</v>
      </c>
      <c r="AJ60" t="n">
        <v>0</v>
      </c>
      <c r="AK60" t="n">
        <v>0</v>
      </c>
      <c r="AL60" t="n">
        <v>36.93525600000001</v>
      </c>
      <c r="AM60" t="n">
        <v>2.527785194501072</v>
      </c>
    </row>
    <row r="61">
      <c r="A61" s="8" t="n">
        <v>45992</v>
      </c>
      <c r="B61" t="inlineStr">
        <is>
          <t>Actual</t>
        </is>
      </c>
      <c r="C61" t="n">
        <v>5.743322580645161</v>
      </c>
      <c r="D61" t="n">
        <v>9.491129032258064</v>
      </c>
      <c r="E61" t="n">
        <v>1.903806451612903</v>
      </c>
      <c r="F61" t="n">
        <v>2.764451612903226</v>
      </c>
      <c r="G61" t="n">
        <v>0</v>
      </c>
      <c r="H61" t="n">
        <v>5.626580000000001</v>
      </c>
      <c r="I61" t="n">
        <v>12.86555129032258</v>
      </c>
      <c r="J61" t="n">
        <v>5.626580000000001</v>
      </c>
      <c r="K61" t="n">
        <v>12.86555129032258</v>
      </c>
      <c r="L61" t="n">
        <v>18.49213129032258</v>
      </c>
      <c r="M61" t="n">
        <v>18.49213129032258</v>
      </c>
      <c r="N61" t="n">
        <v>19.90270967741936</v>
      </c>
      <c r="O61" t="n">
        <v>38.39484096774194</v>
      </c>
      <c r="P61" t="n">
        <v>38.39484096774194</v>
      </c>
      <c r="Q61" t="n">
        <v>30.07883555019745</v>
      </c>
      <c r="R61" t="n">
        <v>11.1121009759251</v>
      </c>
      <c r="S61" t="n">
        <v>41.19093652612255</v>
      </c>
      <c r="T61" t="n">
        <v>41.19093652612255</v>
      </c>
      <c r="U61" t="n">
        <v>1.341290322580645</v>
      </c>
      <c r="V61" t="n">
        <v>1.228096774193548</v>
      </c>
      <c r="W61" t="n">
        <v>2.569387096774193</v>
      </c>
      <c r="X61" t="n">
        <v>3.165806451612903</v>
      </c>
      <c r="Y61" t="n">
        <v>1.938967741935484</v>
      </c>
      <c r="Z61" t="n">
        <v>5.104774193548387</v>
      </c>
      <c r="AA61" t="n">
        <v>2.796095558380607</v>
      </c>
      <c r="AB61" t="n">
        <v>2.796095558380607</v>
      </c>
      <c r="AC61" t="n">
        <v>46.29571071967094</v>
      </c>
      <c r="AD61" t="n">
        <v>46.29571071967094</v>
      </c>
      <c r="AE61" t="n">
        <v>5.331482655154801</v>
      </c>
      <c r="AF61" t="n">
        <v>5.331482655154801</v>
      </c>
      <c r="AG61" t="n">
        <v>0</v>
      </c>
      <c r="AH61" t="n">
        <v>0</v>
      </c>
      <c r="AI61" t="n">
        <v>0</v>
      </c>
      <c r="AJ61" t="n">
        <v>0</v>
      </c>
      <c r="AK61" t="n">
        <v>0</v>
      </c>
      <c r="AL61" t="n">
        <v>38.39484096774194</v>
      </c>
      <c r="AM61" t="n">
        <v>5.331482655154801</v>
      </c>
    </row>
    <row r="62">
      <c r="A62" s="8" t="n">
        <v>46023</v>
      </c>
      <c r="B62" t="inlineStr">
        <is>
          <t>Actual</t>
        </is>
      </c>
      <c r="C62" t="n">
        <v>6.444645161290322</v>
      </c>
      <c r="D62" t="n">
        <v>9.186741935483871</v>
      </c>
      <c r="E62" t="n">
        <v>2.744397849462366</v>
      </c>
      <c r="F62" t="n">
        <v>2.873354838709677</v>
      </c>
      <c r="G62" t="n">
        <v>0</v>
      </c>
      <c r="H62" t="n">
        <v>5.1775</v>
      </c>
      <c r="I62" t="n">
        <v>12.63619419354839</v>
      </c>
      <c r="J62" t="n">
        <v>5.1775</v>
      </c>
      <c r="K62" t="n">
        <v>12.63619419354839</v>
      </c>
      <c r="L62" t="n">
        <v>17.81369419354839</v>
      </c>
      <c r="M62" t="n">
        <v>17.81369419354839</v>
      </c>
      <c r="N62" t="n">
        <v>21.24913978494624</v>
      </c>
      <c r="O62" t="n">
        <v>39.06283397849462</v>
      </c>
      <c r="P62" t="n">
        <v>39.06283397849462</v>
      </c>
      <c r="Q62" t="n">
        <v>29.03649539097756</v>
      </c>
      <c r="R62" t="n">
        <v>10.52901978764013</v>
      </c>
      <c r="S62" t="n">
        <v>39.56551517861769</v>
      </c>
      <c r="T62" t="n">
        <v>39.56551517861769</v>
      </c>
      <c r="U62" t="n">
        <v>1.035096774193548</v>
      </c>
      <c r="V62" t="n">
        <v>0.6324838709677419</v>
      </c>
      <c r="W62" t="n">
        <v>1.66758064516129</v>
      </c>
      <c r="X62" t="n">
        <v>4.671580645161291</v>
      </c>
      <c r="Y62" t="n">
        <v>3.943548387096774</v>
      </c>
      <c r="Z62" t="n">
        <v>8.615129032258064</v>
      </c>
      <c r="AA62" t="n">
        <v>0.5026812001230638</v>
      </c>
      <c r="AB62" t="n">
        <v>0.5026812001230638</v>
      </c>
      <c r="AC62" t="n">
        <v>48.18064421087576</v>
      </c>
      <c r="AD62" t="n">
        <v>48.18064421087576</v>
      </c>
      <c r="AE62" t="n">
        <v>7.450229587219841</v>
      </c>
      <c r="AF62" t="n">
        <v>7.450229587219841</v>
      </c>
      <c r="AG62" t="n">
        <v>0</v>
      </c>
      <c r="AH62" t="n">
        <v>0</v>
      </c>
      <c r="AI62" t="n">
        <v>0</v>
      </c>
      <c r="AJ62" t="n">
        <v>0</v>
      </c>
      <c r="AK62" t="n">
        <v>0</v>
      </c>
      <c r="AL62" t="n">
        <v>39.06283397849462</v>
      </c>
      <c r="AM62" t="n">
        <v>7.450229587219841</v>
      </c>
    </row>
    <row r="63">
      <c r="A63" s="8" t="n">
        <v>46054</v>
      </c>
      <c r="B63" t="inlineStr">
        <is>
          <t>Actual</t>
        </is>
      </c>
      <c r="C63" t="n">
        <v>5.539142857142857</v>
      </c>
      <c r="D63" t="n">
        <v>8.947285714285714</v>
      </c>
      <c r="E63" t="n">
        <v>1.83890514592934</v>
      </c>
      <c r="F63" t="n">
        <v>2.989107142857143</v>
      </c>
      <c r="G63" t="n">
        <v>0</v>
      </c>
      <c r="H63" t="n">
        <v>5.757808214285714</v>
      </c>
      <c r="I63" t="n">
        <v>12.46882142857143</v>
      </c>
      <c r="J63" t="n">
        <v>5.757808214285714</v>
      </c>
      <c r="K63" t="n">
        <v>12.46882142857143</v>
      </c>
      <c r="L63" t="n">
        <v>18.22662964285714</v>
      </c>
      <c r="M63" t="n">
        <v>18.22662964285714</v>
      </c>
      <c r="N63" t="n">
        <v>19.31444086021505</v>
      </c>
      <c r="O63" t="n">
        <v>37.54107050307219</v>
      </c>
      <c r="P63" t="n">
        <v>37.54107050307219</v>
      </c>
      <c r="Q63" t="n">
        <v>29.89721649149912</v>
      </c>
      <c r="R63" t="n">
        <v>11.06903015919001</v>
      </c>
      <c r="S63" t="n">
        <v>40.96624665068913</v>
      </c>
      <c r="T63" t="n">
        <v>40.96624665068913</v>
      </c>
      <c r="U63" t="n">
        <v>1.613321428571429</v>
      </c>
      <c r="V63" t="n">
        <v>0.7897142857142857</v>
      </c>
      <c r="W63" t="n">
        <v>2.403035714285714</v>
      </c>
      <c r="X63" t="n">
        <v>2.895678571428572</v>
      </c>
      <c r="Y63" t="n">
        <v>3.143107142857143</v>
      </c>
      <c r="Z63" t="n">
        <v>6.038785714285714</v>
      </c>
      <c r="AA63" t="n">
        <v>3.425176147616938</v>
      </c>
      <c r="AB63" t="n">
        <v>3.425176147616938</v>
      </c>
      <c r="AC63" t="n">
        <v>47.00503236497484</v>
      </c>
      <c r="AD63" t="n">
        <v>47.00503236497484</v>
      </c>
      <c r="AE63" t="n">
        <v>7.060926147616939</v>
      </c>
      <c r="AF63" t="n">
        <v>7.060926147616939</v>
      </c>
      <c r="AG63" t="n">
        <v>0</v>
      </c>
      <c r="AH63" t="n">
        <v>0</v>
      </c>
      <c r="AI63" t="n">
        <v>0</v>
      </c>
      <c r="AJ63" t="n">
        <v>0</v>
      </c>
      <c r="AK63" t="n">
        <v>0</v>
      </c>
      <c r="AL63" t="n">
        <v>37.54107050307219</v>
      </c>
      <c r="AM63" t="n">
        <v>7.060926147616939</v>
      </c>
    </row>
    <row r="64">
      <c r="A64" s="8" t="n">
        <v>46082</v>
      </c>
      <c r="B64" t="inlineStr">
        <is>
          <t>Actual</t>
        </is>
      </c>
      <c r="C64" t="n">
        <v>4.979129032258064</v>
      </c>
      <c r="D64" t="n">
        <v>8.944193548387098</v>
      </c>
      <c r="E64" t="n">
        <v>1.248870967741935</v>
      </c>
      <c r="F64" t="n">
        <v>2.768580645161291</v>
      </c>
      <c r="G64" t="n">
        <v>0</v>
      </c>
      <c r="H64" t="n">
        <v>5.815642258064516</v>
      </c>
      <c r="I64" t="n">
        <v>13.02732838709677</v>
      </c>
      <c r="J64" t="n">
        <v>5.815642258064516</v>
      </c>
      <c r="K64" t="n">
        <v>13.02732838709677</v>
      </c>
      <c r="L64" t="n">
        <v>18.84297064516129</v>
      </c>
      <c r="M64" t="n">
        <v>18.84297064516129</v>
      </c>
      <c r="N64" t="n">
        <v>17.94077419354839</v>
      </c>
      <c r="O64" t="n">
        <v>36.78374483870968</v>
      </c>
      <c r="P64" t="n">
        <v>36.78374483870968</v>
      </c>
      <c r="Q64" t="n">
        <v>30.04411425956394</v>
      </c>
      <c r="R64" t="n">
        <v>11.36518589330539</v>
      </c>
      <c r="S64" t="n">
        <v>41.40930015286933</v>
      </c>
      <c r="T64" t="n">
        <v>41.40930015286933</v>
      </c>
      <c r="U64" t="n">
        <v>2.199451612903226</v>
      </c>
      <c r="V64" t="n">
        <v>1.828258064516129</v>
      </c>
      <c r="W64" t="n">
        <v>4.027709677419355</v>
      </c>
      <c r="X64" t="n">
        <v>1.184516129032258</v>
      </c>
      <c r="Y64" t="n">
        <v>1.164451612903226</v>
      </c>
      <c r="Z64" t="n">
        <v>2.348967741935484</v>
      </c>
      <c r="AA64" t="n">
        <v>4.625555314159648</v>
      </c>
      <c r="AB64" t="n">
        <v>4.625555314159648</v>
      </c>
      <c r="AC64" t="n">
        <v>43.75826789480481</v>
      </c>
      <c r="AD64" t="n">
        <v>43.75826789480481</v>
      </c>
      <c r="AE64" t="n">
        <v>2.946813378675775</v>
      </c>
      <c r="AF64" t="n">
        <v>2.946813378675775</v>
      </c>
      <c r="AG64" t="n">
        <v>0</v>
      </c>
      <c r="AH64" t="n">
        <v>0</v>
      </c>
      <c r="AI64" t="n">
        <v>0</v>
      </c>
      <c r="AJ64" t="n">
        <v>0</v>
      </c>
      <c r="AK64" t="n">
        <v>0</v>
      </c>
      <c r="AL64" t="n">
        <v>36.78374483870968</v>
      </c>
      <c r="AM64" t="n">
        <v>2.946813378675775</v>
      </c>
    </row>
    <row r="65">
      <c r="A65" s="8" t="n">
        <v>46113</v>
      </c>
      <c r="B65" t="inlineStr">
        <is>
          <t>Actual</t>
        </is>
      </c>
      <c r="C65" t="n">
        <v>5.823266666666667</v>
      </c>
      <c r="D65" t="n">
        <v>9.137533333333334</v>
      </c>
      <c r="E65" t="n">
        <v>0.9259469534050179</v>
      </c>
      <c r="F65" t="n">
        <v>2.837666666666667</v>
      </c>
      <c r="G65" t="n">
        <v>0</v>
      </c>
      <c r="H65" t="n">
        <v>5.796038666666668</v>
      </c>
      <c r="I65" t="n">
        <v>12.521157</v>
      </c>
      <c r="J65" t="n">
        <v>5.796038666666668</v>
      </c>
      <c r="K65" t="n">
        <v>12.521157</v>
      </c>
      <c r="L65" t="n">
        <v>18.31719566666667</v>
      </c>
      <c r="M65" t="n">
        <v>18.31719566666667</v>
      </c>
      <c r="N65" t="n">
        <v>18.72441362007169</v>
      </c>
      <c r="O65" t="n">
        <v>37.04160928673835</v>
      </c>
      <c r="P65" t="n">
        <v>37.04160928673835</v>
      </c>
      <c r="Q65" t="n">
        <v>30.27805446331141</v>
      </c>
      <c r="R65" t="n">
        <v>11.63495045871096</v>
      </c>
      <c r="S65" t="n">
        <v>41.91300492202237</v>
      </c>
      <c r="T65" t="n">
        <v>41.91300492202237</v>
      </c>
      <c r="U65" t="n">
        <v>2.0877</v>
      </c>
      <c r="V65" t="n">
        <v>1.869033333333333</v>
      </c>
      <c r="W65" t="n">
        <v>3.956733333333333</v>
      </c>
      <c r="X65" t="n">
        <v>1.130866666666666</v>
      </c>
      <c r="Y65" t="n">
        <v>0.8215333333333333</v>
      </c>
      <c r="Z65" t="n">
        <v>1.9524</v>
      </c>
      <c r="AA65" t="n">
        <v>4.871395635284024</v>
      </c>
      <c r="AB65" t="n">
        <v>4.871395635284024</v>
      </c>
      <c r="AC65" t="n">
        <v>43.86540492202237</v>
      </c>
      <c r="AD65" t="n">
        <v>43.86540492202237</v>
      </c>
      <c r="AE65" t="n">
        <v>2.867062301950688</v>
      </c>
      <c r="AF65" t="n">
        <v>2.867062301950688</v>
      </c>
      <c r="AG65" t="n">
        <v>0</v>
      </c>
      <c r="AH65" t="n">
        <v>0</v>
      </c>
      <c r="AI65" t="n">
        <v>0</v>
      </c>
      <c r="AJ65" t="n">
        <v>0</v>
      </c>
      <c r="AK65" t="n">
        <v>0</v>
      </c>
      <c r="AL65" t="n">
        <v>37.04160928673835</v>
      </c>
      <c r="AM65" t="n">
        <v>2.867062301950688</v>
      </c>
    </row>
    <row r="66">
      <c r="A66" s="8" t="n">
        <v>46143</v>
      </c>
      <c r="B66" t="inlineStr">
        <is>
          <t>Actual</t>
        </is>
      </c>
      <c r="C66" t="n">
        <v>6.823580645161289</v>
      </c>
      <c r="D66" t="n">
        <v>8.941225806451612</v>
      </c>
      <c r="E66" t="n">
        <v>0.7194342402879762</v>
      </c>
      <c r="F66" t="n">
        <v>3.316451612903226</v>
      </c>
      <c r="G66" t="n">
        <v>0</v>
      </c>
      <c r="H66" t="n">
        <v>5.236957741935484</v>
      </c>
      <c r="I66" t="n">
        <v>11.31602838709678</v>
      </c>
      <c r="J66" t="n">
        <v>5.236957741935484</v>
      </c>
      <c r="K66" t="n">
        <v>11.31602838709678</v>
      </c>
      <c r="L66" t="n">
        <v>16.55298612903226</v>
      </c>
      <c r="M66" t="n">
        <v>16.55298612903226</v>
      </c>
      <c r="N66" t="n">
        <v>19.80069230480411</v>
      </c>
      <c r="O66" t="n">
        <v>36.35367843383636</v>
      </c>
      <c r="P66" t="n">
        <v>36.35367843383636</v>
      </c>
      <c r="Q66" t="n">
        <v>30.03561604157672</v>
      </c>
      <c r="R66" t="n">
        <v>11.27302072227615</v>
      </c>
      <c r="S66" t="n">
        <v>41.30863676385287</v>
      </c>
      <c r="T66" t="n">
        <v>41.30863676385287</v>
      </c>
      <c r="U66" t="n">
        <v>2.190806451612903</v>
      </c>
      <c r="V66" t="n">
        <v>2.153838709677419</v>
      </c>
      <c r="W66" t="n">
        <v>4.344645161290323</v>
      </c>
      <c r="X66" t="n">
        <v>1.282838709677419</v>
      </c>
      <c r="Y66" t="n">
        <v>0.4980645161290322</v>
      </c>
      <c r="Z66" t="n">
        <v>1.780903225806451</v>
      </c>
      <c r="AA66" t="n">
        <v>4.954958330016503</v>
      </c>
      <c r="AB66" t="n">
        <v>4.954958330016503</v>
      </c>
      <c r="AC66" t="n">
        <v>43.08953998965932</v>
      </c>
      <c r="AD66" t="n">
        <v>43.08953998965932</v>
      </c>
      <c r="AE66" t="n">
        <v>2.391216394532634</v>
      </c>
      <c r="AF66" t="n">
        <v>2.391216394532634</v>
      </c>
      <c r="AG66" t="n">
        <v>0</v>
      </c>
      <c r="AH66" t="n">
        <v>0</v>
      </c>
      <c r="AI66" t="n">
        <v>0</v>
      </c>
      <c r="AJ66" t="n">
        <v>0</v>
      </c>
      <c r="AK66" t="n">
        <v>0</v>
      </c>
      <c r="AL66" t="n">
        <v>36.35367843383636</v>
      </c>
      <c r="AM66" t="n">
        <v>2.391216394532634</v>
      </c>
    </row>
    <row r="67">
      <c r="A67" s="8" t="n">
        <v>46174</v>
      </c>
      <c r="B67" t="inlineStr">
        <is>
          <t>Actual</t>
        </is>
      </c>
      <c r="C67" t="n">
        <v>8.072666666666667</v>
      </c>
      <c r="D67" t="n">
        <v>8.993433333333332</v>
      </c>
      <c r="E67" t="n">
        <v>0.7417414226299642</v>
      </c>
      <c r="F67" t="n">
        <v>3.3545</v>
      </c>
      <c r="G67" t="n">
        <v>0</v>
      </c>
      <c r="H67" t="n">
        <v>5.555875333333335</v>
      </c>
      <c r="I67" t="n">
        <v>12.02142833333333</v>
      </c>
      <c r="J67" t="n">
        <v>5.555875333333335</v>
      </c>
      <c r="K67" t="n">
        <v>12.02142833333333</v>
      </c>
      <c r="L67" t="n">
        <v>17.57730366666667</v>
      </c>
      <c r="M67" t="n">
        <v>17.57730366666667</v>
      </c>
      <c r="N67" t="n">
        <v>21.16234142262996</v>
      </c>
      <c r="O67" t="n">
        <v>38.73964508929663</v>
      </c>
      <c r="P67" t="n">
        <v>38.73964508929663</v>
      </c>
      <c r="Q67" t="n">
        <v>30.44816450679276</v>
      </c>
      <c r="R67" t="n">
        <v>11.69139600613887</v>
      </c>
      <c r="S67" t="n">
        <v>42.13956051293163</v>
      </c>
      <c r="T67" t="n">
        <v>42.13956051293163</v>
      </c>
      <c r="U67" t="n">
        <v>1.944366666666667</v>
      </c>
      <c r="V67" t="n">
        <v>1.878433333333333</v>
      </c>
      <c r="W67" t="n">
        <v>3.8228</v>
      </c>
      <c r="X67" t="n">
        <v>1.320233333333333</v>
      </c>
      <c r="Y67" t="n">
        <v>0.6569666666666667</v>
      </c>
      <c r="Z67" t="n">
        <v>1.9772</v>
      </c>
      <c r="AA67" t="n">
        <v>3.399915423635001</v>
      </c>
      <c r="AB67" t="n">
        <v>3.399915423635001</v>
      </c>
      <c r="AC67" t="n">
        <v>44.11676051293163</v>
      </c>
      <c r="AD67" t="n">
        <v>44.11676051293163</v>
      </c>
      <c r="AE67" t="n">
        <v>1.554315423635004</v>
      </c>
      <c r="AF67" t="n">
        <v>1.554315423635004</v>
      </c>
      <c r="AG67" t="n">
        <v>0</v>
      </c>
      <c r="AH67" t="n">
        <v>0</v>
      </c>
      <c r="AI67" t="n">
        <v>0</v>
      </c>
      <c r="AJ67" t="n">
        <v>0</v>
      </c>
      <c r="AK67" t="n">
        <v>0</v>
      </c>
      <c r="AL67" t="n">
        <v>38.73964508929663</v>
      </c>
      <c r="AM67" t="n">
        <v>1.554315423635004</v>
      </c>
    </row>
    <row r="68">
      <c r="A68" s="8" t="n">
        <v>46204</v>
      </c>
      <c r="B68" t="inlineStr">
        <is>
          <t>Actual</t>
        </is>
      </c>
      <c r="C68" t="n">
        <v>8.987903225806452</v>
      </c>
      <c r="D68" t="n">
        <v>8.82258064516129</v>
      </c>
      <c r="E68" t="n">
        <v>0.6849519872199111</v>
      </c>
      <c r="F68" t="n">
        <v>3.236774193548387</v>
      </c>
      <c r="G68" t="n">
        <v>0</v>
      </c>
      <c r="H68" t="n">
        <v>5.482489032258066</v>
      </c>
      <c r="I68" t="n">
        <v>11.38448741935484</v>
      </c>
      <c r="J68" t="n">
        <v>5.482489032258066</v>
      </c>
      <c r="K68" t="n">
        <v>11.38448741935484</v>
      </c>
      <c r="L68" t="n">
        <v>16.86697645161291</v>
      </c>
      <c r="M68" t="n">
        <v>16.86697645161291</v>
      </c>
      <c r="N68" t="n">
        <v>21.73221005173604</v>
      </c>
      <c r="O68" t="n">
        <v>38.59918650334895</v>
      </c>
      <c r="P68" t="n">
        <v>38.59918650334895</v>
      </c>
      <c r="Q68" t="n">
        <v>31.2355644213723</v>
      </c>
      <c r="R68" t="n">
        <v>11.84967925055908</v>
      </c>
      <c r="S68" t="n">
        <v>43.08524367193138</v>
      </c>
      <c r="T68" t="n">
        <v>43.08524367193138</v>
      </c>
      <c r="U68" t="n">
        <v>1.523032258064516</v>
      </c>
      <c r="V68" t="n">
        <v>1.386161290322581</v>
      </c>
      <c r="W68" t="n">
        <v>2.909193548387097</v>
      </c>
      <c r="X68" t="n">
        <v>1.442483870967742</v>
      </c>
      <c r="Y68" t="n">
        <v>1.055967741935484</v>
      </c>
      <c r="Z68" t="n">
        <v>2.498451612903226</v>
      </c>
      <c r="AA68" t="n">
        <v>4.486057168582434</v>
      </c>
      <c r="AB68" t="n">
        <v>4.486057168582434</v>
      </c>
      <c r="AC68" t="n">
        <v>45.5836952848346</v>
      </c>
      <c r="AD68" t="n">
        <v>45.5836952848346</v>
      </c>
      <c r="AE68" t="n">
        <v>4.075315233098562</v>
      </c>
      <c r="AF68" t="n">
        <v>4.075315233098562</v>
      </c>
      <c r="AG68" t="n">
        <v>0</v>
      </c>
      <c r="AH68" t="n">
        <v>0</v>
      </c>
      <c r="AI68" t="n">
        <v>0</v>
      </c>
      <c r="AJ68" t="n">
        <v>0</v>
      </c>
      <c r="AK68" t="n">
        <v>0</v>
      </c>
      <c r="AL68" t="n">
        <v>38.59918650334895</v>
      </c>
      <c r="AM68" t="n">
        <v>4.075315233098562</v>
      </c>
    </row>
    <row r="69">
      <c r="A69" s="8" t="n">
        <v>46235</v>
      </c>
      <c r="B69" t="inlineStr">
        <is>
          <t>Forecast</t>
        </is>
      </c>
      <c r="C69" t="n">
        <v>9.666152140714427</v>
      </c>
      <c r="D69" t="n">
        <v>8.955665814798916</v>
      </c>
      <c r="E69" t="n">
        <v>0.6335046453459757</v>
      </c>
      <c r="F69" t="n">
        <v>3.173172980830327</v>
      </c>
      <c r="G69" t="n">
        <v>0.008863725805226097</v>
      </c>
      <c r="H69" t="n">
        <v>5.887831766063428</v>
      </c>
      <c r="I69" t="n">
        <v>11.05856866678018</v>
      </c>
      <c r="J69" t="n">
        <v>5.887831766063428</v>
      </c>
      <c r="K69" t="n">
        <v>11.05856866678018</v>
      </c>
      <c r="L69" t="n">
        <v>16.94640043284361</v>
      </c>
      <c r="M69" t="n">
        <v>16.94640043284361</v>
      </c>
      <c r="N69" t="n">
        <v>22.43735930749487</v>
      </c>
      <c r="O69" t="n">
        <v>39.38375974033848</v>
      </c>
      <c r="P69" t="n">
        <v>39.38375974033848</v>
      </c>
      <c r="Q69" t="n">
        <v>31.28109757745621</v>
      </c>
      <c r="R69" t="n">
        <v>11.97421381513221</v>
      </c>
      <c r="S69" t="n">
        <v>43.25531139258842</v>
      </c>
      <c r="T69" t="n">
        <v>42.85010826541679</v>
      </c>
      <c r="U69" t="n">
        <v>1.741763440860215</v>
      </c>
      <c r="V69" t="n">
        <v>0.9842580645161288</v>
      </c>
      <c r="W69" t="n">
        <v>2.726021505376344</v>
      </c>
      <c r="X69" t="n">
        <v>2.883548387096774</v>
      </c>
      <c r="Y69" t="n">
        <v>1.349731182795699</v>
      </c>
      <c r="Z69" t="n">
        <v>4.233279569892473</v>
      </c>
      <c r="AA69" t="n">
        <v>3.871551652249941</v>
      </c>
      <c r="AB69" t="n">
        <v>3.46634852507831</v>
      </c>
      <c r="AC69" t="n">
        <v>47.4885909624809</v>
      </c>
      <c r="AD69" t="n">
        <v>47.08338783530927</v>
      </c>
      <c r="AE69" t="n">
        <v>5.378809716766072</v>
      </c>
      <c r="AF69" t="n">
        <v>4.97360658959444</v>
      </c>
      <c r="AG69" t="n">
        <v>0</v>
      </c>
      <c r="AH69" t="n">
        <v>0</v>
      </c>
      <c r="AI69" t="n">
        <v>0</v>
      </c>
      <c r="AJ69" t="n">
        <v>0</v>
      </c>
      <c r="AK69" t="n">
        <v>0</v>
      </c>
      <c r="AL69" t="n">
        <v>39.38375974033848</v>
      </c>
      <c r="AM69" t="n">
        <v>5.378809716766072</v>
      </c>
    </row>
    <row r="70">
      <c r="A70" s="8" t="n">
        <v>46266</v>
      </c>
      <c r="B70" t="inlineStr">
        <is>
          <t>Forecast</t>
        </is>
      </c>
      <c r="C70" t="n">
        <v>8.154888601897735</v>
      </c>
      <c r="D70" t="n">
        <v>8.896038818827874</v>
      </c>
      <c r="E70" t="n">
        <v>0.6479569337529568</v>
      </c>
      <c r="F70" t="n">
        <v>2.987072935842461</v>
      </c>
      <c r="G70" t="n">
        <v>0.01772745161045225</v>
      </c>
      <c r="H70" t="n">
        <v>6.196107924570369</v>
      </c>
      <c r="I70" t="n">
        <v>11.28059060797097</v>
      </c>
      <c r="J70" t="n">
        <v>6.196107924570369</v>
      </c>
      <c r="K70" t="n">
        <v>11.28059060797097</v>
      </c>
      <c r="L70" t="n">
        <v>17.47669853254133</v>
      </c>
      <c r="M70" t="n">
        <v>17.47669853254133</v>
      </c>
      <c r="N70" t="n">
        <v>20.70368474193148</v>
      </c>
      <c r="O70" t="n">
        <v>38.18038327447282</v>
      </c>
      <c r="P70" t="n">
        <v>38.18038327447282</v>
      </c>
      <c r="Q70" t="n">
        <v>31.31724698954871</v>
      </c>
      <c r="R70" t="n">
        <v>12.05177274292108</v>
      </c>
      <c r="S70" t="n">
        <v>43.36901973246979</v>
      </c>
      <c r="T70" t="n">
        <v>42.96381660529816</v>
      </c>
      <c r="U70" t="n">
        <v>2.412133333333333</v>
      </c>
      <c r="V70" t="n">
        <v>1.311877777777778</v>
      </c>
      <c r="W70" t="n">
        <v>3.724011111111111</v>
      </c>
      <c r="X70" t="n">
        <v>2.104855555555555</v>
      </c>
      <c r="Y70" t="n">
        <v>0.9838444444444444</v>
      </c>
      <c r="Z70" t="n">
        <v>3.0887</v>
      </c>
      <c r="AA70" t="n">
        <v>5.188636457996971</v>
      </c>
      <c r="AB70" t="n">
        <v>4.783433330825346</v>
      </c>
      <c r="AC70" t="n">
        <v>46.45771973246979</v>
      </c>
      <c r="AD70" t="n">
        <v>46.05251660529817</v>
      </c>
      <c r="AE70" t="n">
        <v>4.553325346885862</v>
      </c>
      <c r="AF70" t="n">
        <v>4.148122219714238</v>
      </c>
      <c r="AG70" t="n">
        <v>0</v>
      </c>
      <c r="AH70" t="n">
        <v>0</v>
      </c>
      <c r="AI70" t="n">
        <v>0</v>
      </c>
      <c r="AJ70" t="n">
        <v>0</v>
      </c>
      <c r="AK70" t="n">
        <v>0</v>
      </c>
      <c r="AL70" t="n">
        <v>38.18038327447282</v>
      </c>
      <c r="AM70" t="n">
        <v>4.553325346885862</v>
      </c>
    </row>
    <row r="71">
      <c r="A71" s="8" t="n">
        <v>46296</v>
      </c>
      <c r="B71" t="inlineStr">
        <is>
          <t>Forecast</t>
        </is>
      </c>
      <c r="C71" t="n">
        <v>6.528474776004843</v>
      </c>
      <c r="D71" t="n">
        <v>8.747293375354793</v>
      </c>
      <c r="E71" t="n">
        <v>0.7623972559083163</v>
      </c>
      <c r="F71" t="n">
        <v>2.849358403364501</v>
      </c>
      <c r="G71" t="n">
        <v>0.02659117741567835</v>
      </c>
      <c r="H71" t="n">
        <v>6.396777187440785</v>
      </c>
      <c r="I71" t="n">
        <v>11.82639372882546</v>
      </c>
      <c r="J71" t="n">
        <v>6.396777187440785</v>
      </c>
      <c r="K71" t="n">
        <v>11.82639372882546</v>
      </c>
      <c r="L71" t="n">
        <v>18.22317091626625</v>
      </c>
      <c r="M71" t="n">
        <v>18.22317091626625</v>
      </c>
      <c r="N71" t="n">
        <v>18.91411498804813</v>
      </c>
      <c r="O71" t="n">
        <v>37.13728590431438</v>
      </c>
      <c r="P71" t="n">
        <v>37.13728590431438</v>
      </c>
      <c r="Q71" t="n">
        <v>31.53641690756494</v>
      </c>
      <c r="R71" t="n">
        <v>12.09905331043615</v>
      </c>
      <c r="S71" t="n">
        <v>43.63547021800109</v>
      </c>
      <c r="T71" t="n">
        <v>43.04377263590179</v>
      </c>
      <c r="U71" t="n">
        <v>2.523494623655914</v>
      </c>
      <c r="V71" t="n">
        <v>1.779247311827957</v>
      </c>
      <c r="W71" t="n">
        <v>4.302741935483871</v>
      </c>
      <c r="X71" t="n">
        <v>1.056784946236559</v>
      </c>
      <c r="Y71" t="n">
        <v>0.6070430107526882</v>
      </c>
      <c r="Z71" t="n">
        <v>1.663827956989247</v>
      </c>
      <c r="AA71" t="n">
        <v>6.498184313686707</v>
      </c>
      <c r="AB71" t="n">
        <v>5.906486731587407</v>
      </c>
      <c r="AC71" t="n">
        <v>45.29929817499033</v>
      </c>
      <c r="AD71" t="n">
        <v>44.70760059289103</v>
      </c>
      <c r="AE71" t="n">
        <v>3.859270335192081</v>
      </c>
      <c r="AF71" t="n">
        <v>3.267572753092781</v>
      </c>
      <c r="AG71" t="n">
        <v>0</v>
      </c>
      <c r="AH71" t="n">
        <v>0</v>
      </c>
      <c r="AI71" t="n">
        <v>0</v>
      </c>
      <c r="AJ71" t="n">
        <v>0</v>
      </c>
      <c r="AK71" t="n">
        <v>0</v>
      </c>
      <c r="AL71" t="n">
        <v>37.13728590431438</v>
      </c>
      <c r="AM71" t="n">
        <v>3.859270335192081</v>
      </c>
    </row>
    <row r="72">
      <c r="A72" s="8" t="n">
        <v>46327</v>
      </c>
      <c r="B72" t="inlineStr">
        <is>
          <t>Forecast</t>
        </is>
      </c>
      <c r="C72" t="n">
        <v>5.742763136376913</v>
      </c>
      <c r="D72" t="n">
        <v>9.253264744849719</v>
      </c>
      <c r="E72" t="n">
        <v>1.136688411484317</v>
      </c>
      <c r="F72" t="n">
        <v>2.784950506332339</v>
      </c>
      <c r="G72" t="n">
        <v>0.0354549032209045</v>
      </c>
      <c r="H72" t="n">
        <v>6.56437371390203</v>
      </c>
      <c r="I72" t="n">
        <v>12.4606806560368</v>
      </c>
      <c r="J72" t="n">
        <v>6.56437371390203</v>
      </c>
      <c r="K72" t="n">
        <v>12.4606806560368</v>
      </c>
      <c r="L72" t="n">
        <v>19.02505436993883</v>
      </c>
      <c r="M72" t="n">
        <v>19.02505436993883</v>
      </c>
      <c r="N72" t="n">
        <v>18.95312170226419</v>
      </c>
      <c r="O72" t="n">
        <v>37.97817607220303</v>
      </c>
      <c r="P72" t="n">
        <v>37.97817607220303</v>
      </c>
      <c r="Q72" t="n">
        <v>31.64860220599815</v>
      </c>
      <c r="R72" t="n">
        <v>12.10575222619338</v>
      </c>
      <c r="S72" t="n">
        <v>43.75435443219153</v>
      </c>
      <c r="T72" t="n">
        <v>43.07648792411862</v>
      </c>
      <c r="U72" t="n">
        <v>1.881788888888889</v>
      </c>
      <c r="V72" t="n">
        <v>1.304466666666667</v>
      </c>
      <c r="W72" t="n">
        <v>3.186255555555555</v>
      </c>
      <c r="X72" t="n">
        <v>1.287677777777778</v>
      </c>
      <c r="Y72" t="n">
        <v>0.8570333333333333</v>
      </c>
      <c r="Z72" t="n">
        <v>2.144711111111111</v>
      </c>
      <c r="AA72" t="n">
        <v>5.776178359988499</v>
      </c>
      <c r="AB72" t="n">
        <v>5.098311851915597</v>
      </c>
      <c r="AC72" t="n">
        <v>45.89906554330264</v>
      </c>
      <c r="AD72" t="n">
        <v>45.22119903522974</v>
      </c>
      <c r="AE72" t="n">
        <v>4.734633915544058</v>
      </c>
      <c r="AF72" t="n">
        <v>4.056767407471155</v>
      </c>
      <c r="AG72" t="n">
        <v>0</v>
      </c>
      <c r="AH72" t="n">
        <v>0</v>
      </c>
      <c r="AI72" t="n">
        <v>0</v>
      </c>
      <c r="AJ72" t="n">
        <v>0</v>
      </c>
      <c r="AK72" t="n">
        <v>0</v>
      </c>
      <c r="AL72" t="n">
        <v>37.97817607220303</v>
      </c>
      <c r="AM72" t="n">
        <v>4.734633915544058</v>
      </c>
    </row>
    <row r="73">
      <c r="A73" s="8" t="n">
        <v>46357</v>
      </c>
      <c r="B73" t="inlineStr">
        <is>
          <t>Forecast</t>
        </is>
      </c>
      <c r="C73" t="n">
        <v>5.528507288484666</v>
      </c>
      <c r="D73" t="n">
        <v>9.65442691930981</v>
      </c>
      <c r="E73" t="n">
        <v>1.744599010299023</v>
      </c>
      <c r="F73" t="n">
        <v>2.658115350636674</v>
      </c>
      <c r="G73" t="n">
        <v>0.0443186290261306</v>
      </c>
      <c r="H73" t="n">
        <v>6.644037038101144</v>
      </c>
      <c r="I73" t="n">
        <v>12.81178383756908</v>
      </c>
      <c r="J73" t="n">
        <v>6.506765360995336</v>
      </c>
      <c r="K73" t="n">
        <v>12.81178383756908</v>
      </c>
      <c r="L73" t="n">
        <v>19.45582087567022</v>
      </c>
      <c r="M73" t="n">
        <v>19.31854919856441</v>
      </c>
      <c r="N73" t="n">
        <v>19.6299671977563</v>
      </c>
      <c r="O73" t="n">
        <v>39.08578807342652</v>
      </c>
      <c r="P73" t="n">
        <v>38.94851639632071</v>
      </c>
      <c r="Q73" t="n">
        <v>31.82203171238674</v>
      </c>
      <c r="R73" t="n">
        <v>12.2635660535194</v>
      </c>
      <c r="S73" t="n">
        <v>44.08559776590614</v>
      </c>
      <c r="T73" t="n">
        <v>43.31635407834544</v>
      </c>
      <c r="U73" t="n">
        <v>1.379204301075269</v>
      </c>
      <c r="V73" t="n">
        <v>1.143408602150538</v>
      </c>
      <c r="W73" t="n">
        <v>2.522612903225806</v>
      </c>
      <c r="X73" t="n">
        <v>2.158774193548387</v>
      </c>
      <c r="Y73" t="n">
        <v>1.674903225806452</v>
      </c>
      <c r="Z73" t="n">
        <v>3.833677419354839</v>
      </c>
      <c r="AA73" t="n">
        <v>4.999809692479623</v>
      </c>
      <c r="AB73" t="n">
        <v>4.367837682024728</v>
      </c>
      <c r="AC73" t="n">
        <v>47.91927518526099</v>
      </c>
      <c r="AD73" t="n">
        <v>47.15003149770028</v>
      </c>
      <c r="AE73" t="n">
        <v>6.310874208608659</v>
      </c>
      <c r="AF73" t="n">
        <v>5.678902198153764</v>
      </c>
      <c r="AG73" t="n">
        <v>0</v>
      </c>
      <c r="AH73" t="n">
        <v>0</v>
      </c>
      <c r="AI73" t="n">
        <v>0</v>
      </c>
      <c r="AJ73" t="n">
        <v>0</v>
      </c>
      <c r="AK73" t="n">
        <v>0</v>
      </c>
      <c r="AL73" t="n">
        <v>39.08578807342652</v>
      </c>
      <c r="AM73" t="n">
        <v>6.310874208608659</v>
      </c>
    </row>
    <row r="74">
      <c r="A74" s="8" t="n">
        <v>46388</v>
      </c>
      <c r="B74" t="inlineStr">
        <is>
          <t>Forecast</t>
        </is>
      </c>
      <c r="C74" t="n">
        <v>6.642350060349594</v>
      </c>
      <c r="D74" t="n">
        <v>9.321189094001687</v>
      </c>
      <c r="E74" t="n">
        <v>2.800517572106278</v>
      </c>
      <c r="F74" t="n">
        <v>2.928315042689603</v>
      </c>
      <c r="G74" t="n">
        <v>0.05318235483135669</v>
      </c>
      <c r="H74" t="n">
        <v>6.474365214734835</v>
      </c>
      <c r="I74" t="n">
        <v>12.80304511027049</v>
      </c>
      <c r="J74" t="n">
        <v>6.287332068646613</v>
      </c>
      <c r="K74" t="n">
        <v>12.80304511027049</v>
      </c>
      <c r="L74" t="n">
        <v>19.27741032500532</v>
      </c>
      <c r="M74" t="n">
        <v>19.0903771789171</v>
      </c>
      <c r="N74" t="n">
        <v>21.74555412397852</v>
      </c>
      <c r="O74" t="n">
        <v>41.02296444898384</v>
      </c>
      <c r="P74" t="n">
        <v>40.83593130289562</v>
      </c>
      <c r="Q74" t="n">
        <v>31.34480261369272</v>
      </c>
      <c r="R74" t="n">
        <v>12.10511641239741</v>
      </c>
      <c r="S74" t="n">
        <v>43.44991902609013</v>
      </c>
      <c r="T74" t="n">
        <v>43.39182560823602</v>
      </c>
      <c r="U74" t="n">
        <v>0.9953118279569892</v>
      </c>
      <c r="V74" t="n">
        <v>0.7306666666666666</v>
      </c>
      <c r="W74" t="n">
        <v>1.725978494623656</v>
      </c>
      <c r="X74" t="n">
        <v>4.435344086021505</v>
      </c>
      <c r="Y74" t="n">
        <v>3.898569892473118</v>
      </c>
      <c r="Z74" t="n">
        <v>8.333913978494623</v>
      </c>
      <c r="AA74" t="n">
        <v>2.426954577106287</v>
      </c>
      <c r="AB74" t="n">
        <v>2.555894305340395</v>
      </c>
      <c r="AC74" t="n">
        <v>51.78383300458475</v>
      </c>
      <c r="AD74" t="n">
        <v>51.72573958673064</v>
      </c>
      <c r="AE74" t="n">
        <v>9.034890060977252</v>
      </c>
      <c r="AF74" t="n">
        <v>9.163829789211361</v>
      </c>
      <c r="AG74" t="n">
        <v>0</v>
      </c>
      <c r="AH74" t="n">
        <v>0</v>
      </c>
      <c r="AI74" t="n">
        <v>0</v>
      </c>
      <c r="AJ74" t="n">
        <v>0</v>
      </c>
      <c r="AK74" t="n">
        <v>0</v>
      </c>
      <c r="AL74" t="n">
        <v>41.02296444898384</v>
      </c>
      <c r="AM74" t="n">
        <v>9.034890060977252</v>
      </c>
    </row>
    <row r="75">
      <c r="A75" s="8" t="n">
        <v>46419</v>
      </c>
      <c r="B75" t="inlineStr">
        <is>
          <t>Forecast</t>
        </is>
      </c>
      <c r="C75" t="n">
        <v>5.505256424949263</v>
      </c>
      <c r="D75" t="n">
        <v>9.009931854514866</v>
      </c>
      <c r="E75" t="n">
        <v>2.035507205568881</v>
      </c>
      <c r="F75" t="n">
        <v>2.878761529187785</v>
      </c>
      <c r="G75" t="n">
        <v>0.06204608063658285</v>
      </c>
      <c r="H75" t="n">
        <v>6.457224532049643</v>
      </c>
      <c r="I75" t="n">
        <v>12.77374570662752</v>
      </c>
      <c r="J75" t="n">
        <v>6.218926987892429</v>
      </c>
      <c r="K75" t="n">
        <v>12.77374570662752</v>
      </c>
      <c r="L75" t="n">
        <v>19.23097023867716</v>
      </c>
      <c r="M75" t="n">
        <v>18.99267269451995</v>
      </c>
      <c r="N75" t="n">
        <v>19.49150309485738</v>
      </c>
      <c r="O75" t="n">
        <v>38.72247333353454</v>
      </c>
      <c r="P75" t="n">
        <v>38.48417578937732</v>
      </c>
      <c r="Q75" t="n">
        <v>32.14974562843171</v>
      </c>
      <c r="R75" t="n">
        <v>12.26843729032526</v>
      </c>
      <c r="S75" t="n">
        <v>44.41818291875697</v>
      </c>
      <c r="T75" t="n">
        <v>43.77692079061847</v>
      </c>
      <c r="U75" t="n">
        <v>1.637940886699507</v>
      </c>
      <c r="V75" t="n">
        <v>1.108112479474548</v>
      </c>
      <c r="W75" t="n">
        <v>2.746053366174056</v>
      </c>
      <c r="X75" t="n">
        <v>2.852903530377668</v>
      </c>
      <c r="Y75" t="n">
        <v>2.522028325123153</v>
      </c>
      <c r="Z75" t="n">
        <v>5.374931855500821</v>
      </c>
      <c r="AA75" t="n">
        <v>5.695709585222431</v>
      </c>
      <c r="AB75" t="n">
        <v>5.292745001241144</v>
      </c>
      <c r="AC75" t="n">
        <v>49.79311477425779</v>
      </c>
      <c r="AD75" t="n">
        <v>49.15185264611929</v>
      </c>
      <c r="AE75" t="n">
        <v>8.324588074549194</v>
      </c>
      <c r="AF75" t="n">
        <v>7.921623490567907</v>
      </c>
      <c r="AG75" t="n">
        <v>0</v>
      </c>
      <c r="AH75" t="n">
        <v>0</v>
      </c>
      <c r="AI75" t="n">
        <v>0</v>
      </c>
      <c r="AJ75" t="n">
        <v>0</v>
      </c>
      <c r="AK75" t="n">
        <v>0</v>
      </c>
      <c r="AL75" t="n">
        <v>38.72247333353454</v>
      </c>
      <c r="AM75" t="n">
        <v>8.324588074549194</v>
      </c>
    </row>
    <row r="76">
      <c r="A76" s="8" t="n">
        <v>46447</v>
      </c>
      <c r="B76" t="inlineStr">
        <is>
          <t>Forecast</t>
        </is>
      </c>
      <c r="C76" t="n">
        <v>4.958722356593817</v>
      </c>
      <c r="D76" t="n">
        <v>9.023104459591682</v>
      </c>
      <c r="E76" t="n">
        <v>1.146927293428262</v>
      </c>
      <c r="F76" t="n">
        <v>2.774088603050509</v>
      </c>
      <c r="G76" t="n">
        <v>0.07090980644180894</v>
      </c>
      <c r="H76" t="n">
        <v>6.475045955188901</v>
      </c>
      <c r="I76" t="n">
        <v>12.67293913912476</v>
      </c>
      <c r="J76" t="n">
        <v>6.055831364461786</v>
      </c>
      <c r="K76" t="n">
        <v>12.67293913912476</v>
      </c>
      <c r="L76" t="n">
        <v>19.14798509431366</v>
      </c>
      <c r="M76" t="n">
        <v>18.72877050358655</v>
      </c>
      <c r="N76" t="n">
        <v>17.97375251910608</v>
      </c>
      <c r="O76" t="n">
        <v>37.12173761341974</v>
      </c>
      <c r="P76" t="n">
        <v>36.70252302269262</v>
      </c>
      <c r="Q76" t="n">
        <v>32.3263064166282</v>
      </c>
      <c r="R76" t="n">
        <v>12.2736140508516</v>
      </c>
      <c r="S76" t="n">
        <v>44.59992046747979</v>
      </c>
      <c r="T76" t="n">
        <v>43.81138691443826</v>
      </c>
      <c r="U76" t="n">
        <v>2.392172043010753</v>
      </c>
      <c r="V76" t="n">
        <v>1.836397849462366</v>
      </c>
      <c r="W76" t="n">
        <v>4.228569892473119</v>
      </c>
      <c r="X76" t="n">
        <v>1.187268817204301</v>
      </c>
      <c r="Y76" t="n">
        <v>1.039376344086022</v>
      </c>
      <c r="Z76" t="n">
        <v>2.226645161290323</v>
      </c>
      <c r="AA76" t="n">
        <v>7.478182854060051</v>
      </c>
      <c r="AB76" t="n">
        <v>7.108863891745635</v>
      </c>
      <c r="AC76" t="n">
        <v>46.82656562877011</v>
      </c>
      <c r="AD76" t="n">
        <v>46.03803207572858</v>
      </c>
      <c r="AE76" t="n">
        <v>5.476258122877254</v>
      </c>
      <c r="AF76" t="n">
        <v>5.106939160562837</v>
      </c>
      <c r="AG76" t="n">
        <v>0</v>
      </c>
      <c r="AH76" t="n">
        <v>0</v>
      </c>
      <c r="AI76" t="n">
        <v>0</v>
      </c>
      <c r="AJ76" t="n">
        <v>0</v>
      </c>
      <c r="AK76" t="n">
        <v>0</v>
      </c>
      <c r="AL76" t="n">
        <v>37.12173761341974</v>
      </c>
      <c r="AM76" t="n">
        <v>5.476258122877254</v>
      </c>
    </row>
    <row r="77">
      <c r="A77" s="8" t="n">
        <v>46478</v>
      </c>
      <c r="B77" t="inlineStr">
        <is>
          <t>Forecast</t>
        </is>
      </c>
      <c r="C77" t="n">
        <v>5.516235508061194</v>
      </c>
      <c r="D77" t="n">
        <v>9.107623283071195</v>
      </c>
      <c r="E77" t="n">
        <v>0.8821343775656999</v>
      </c>
      <c r="F77" t="n">
        <v>2.986666029480983</v>
      </c>
      <c r="G77" t="n">
        <v>0.07977353224703504</v>
      </c>
      <c r="H77" t="n">
        <v>6.537792984935101</v>
      </c>
      <c r="I77" t="n">
        <v>12.12736448915697</v>
      </c>
      <c r="J77" t="n">
        <v>5.876437039759936</v>
      </c>
      <c r="K77" t="n">
        <v>12.12736448915697</v>
      </c>
      <c r="L77" t="n">
        <v>18.66515747409207</v>
      </c>
      <c r="M77" t="n">
        <v>18.00380152891691</v>
      </c>
      <c r="N77" t="n">
        <v>18.57243273042611</v>
      </c>
      <c r="O77" t="n">
        <v>37.23759020451818</v>
      </c>
      <c r="P77" t="n">
        <v>36.57623425934302</v>
      </c>
      <c r="Q77" t="n">
        <v>32.51242239218128</v>
      </c>
      <c r="R77" t="n">
        <v>12.28133840799094</v>
      </c>
      <c r="S77" t="n">
        <v>44.79376080017222</v>
      </c>
      <c r="T77" t="n">
        <v>44.79376080017222</v>
      </c>
      <c r="U77" t="n">
        <v>2.271922222222222</v>
      </c>
      <c r="V77" t="n">
        <v>1.879377777777778</v>
      </c>
      <c r="W77" t="n">
        <v>4.151300000000001</v>
      </c>
      <c r="X77" t="n">
        <v>1.159666666666667</v>
      </c>
      <c r="Y77" t="n">
        <v>0.9012333333333333</v>
      </c>
      <c r="Z77" t="n">
        <v>2.0609</v>
      </c>
      <c r="AA77" t="n">
        <v>7.556170595654031</v>
      </c>
      <c r="AB77" t="n">
        <v>8.217526540829198</v>
      </c>
      <c r="AC77" t="n">
        <v>46.85466080017221</v>
      </c>
      <c r="AD77" t="n">
        <v>46.85466080017221</v>
      </c>
      <c r="AE77" t="n">
        <v>5.465770595654027</v>
      </c>
      <c r="AF77" t="n">
        <v>6.127126540829194</v>
      </c>
      <c r="AG77" t="n">
        <v>0</v>
      </c>
      <c r="AH77" t="n">
        <v>0</v>
      </c>
      <c r="AI77" t="n">
        <v>0</v>
      </c>
      <c r="AJ77" t="n">
        <v>0</v>
      </c>
      <c r="AK77" t="n">
        <v>0</v>
      </c>
      <c r="AL77" t="n">
        <v>37.23759020451818</v>
      </c>
      <c r="AM77" t="n">
        <v>5.465770595654027</v>
      </c>
    </row>
    <row r="78">
      <c r="A78" s="8" t="n">
        <v>46508</v>
      </c>
      <c r="B78" t="inlineStr">
        <is>
          <t>Forecast</t>
        </is>
      </c>
      <c r="C78" t="n">
        <v>6.993895217764203</v>
      </c>
      <c r="D78" t="n">
        <v>8.950665019082464</v>
      </c>
      <c r="E78" t="n">
        <v>0.7035327105751802</v>
      </c>
      <c r="F78" t="n">
        <v>3.246131765669218</v>
      </c>
      <c r="G78" t="n">
        <v>0.08863725805226119</v>
      </c>
      <c r="H78" t="n">
        <v>6.990937874296153</v>
      </c>
      <c r="I78" t="n">
        <v>11.34875595893553</v>
      </c>
      <c r="J78" t="n">
        <v>6.085505681462548</v>
      </c>
      <c r="K78" t="n">
        <v>11.34875595893553</v>
      </c>
      <c r="L78" t="n">
        <v>18.33969383323169</v>
      </c>
      <c r="M78" t="n">
        <v>17.43426164039808</v>
      </c>
      <c r="N78" t="n">
        <v>19.98286197114333</v>
      </c>
      <c r="O78" t="n">
        <v>38.32255580437501</v>
      </c>
      <c r="P78" t="n">
        <v>37.41712361154141</v>
      </c>
      <c r="Q78" t="n">
        <v>32.71624278042914</v>
      </c>
      <c r="R78" t="n">
        <v>12.2912458210671</v>
      </c>
      <c r="S78" t="n">
        <v>45.00748860149624</v>
      </c>
      <c r="T78" t="n">
        <v>45.00748860149624</v>
      </c>
      <c r="U78" t="n">
        <v>2.179247311827957</v>
      </c>
      <c r="V78" t="n">
        <v>1.901956989247312</v>
      </c>
      <c r="W78" t="n">
        <v>4.081204301075269</v>
      </c>
      <c r="X78" t="n">
        <v>1.123032258064516</v>
      </c>
      <c r="Y78" t="n">
        <v>0.6363225806451612</v>
      </c>
      <c r="Z78" t="n">
        <v>1.759354838709677</v>
      </c>
      <c r="AA78" t="n">
        <v>6.684932797121228</v>
      </c>
      <c r="AB78" t="n">
        <v>7.590364989954836</v>
      </c>
      <c r="AC78" t="n">
        <v>46.76684344020592</v>
      </c>
      <c r="AD78" t="n">
        <v>46.76684344020592</v>
      </c>
      <c r="AE78" t="n">
        <v>4.363083334755634</v>
      </c>
      <c r="AF78" t="n">
        <v>5.268515527589242</v>
      </c>
      <c r="AG78" t="n">
        <v>0</v>
      </c>
      <c r="AH78" t="n">
        <v>0</v>
      </c>
      <c r="AI78" t="n">
        <v>0</v>
      </c>
      <c r="AJ78" t="n">
        <v>0</v>
      </c>
      <c r="AK78" t="n">
        <v>0</v>
      </c>
      <c r="AL78" t="n">
        <v>38.32255580437501</v>
      </c>
      <c r="AM78" t="n">
        <v>4.363083334755634</v>
      </c>
    </row>
    <row r="79">
      <c r="A79" s="8" t="n">
        <v>46539</v>
      </c>
      <c r="B79" t="inlineStr">
        <is>
          <t>Forecast</t>
        </is>
      </c>
      <c r="C79" t="n">
        <v>8.050649522716082</v>
      </c>
      <c r="D79" t="n">
        <v>8.997280139696436</v>
      </c>
      <c r="E79" t="n">
        <v>0.6910917534795176</v>
      </c>
      <c r="F79" t="n">
        <v>3.183163621523248</v>
      </c>
      <c r="G79" t="n">
        <v>0.09750098385748729</v>
      </c>
      <c r="H79" t="n">
        <v>7.317293769208743</v>
      </c>
      <c r="I79" t="n">
        <v>11.00307681727622</v>
      </c>
      <c r="J79" t="n">
        <v>6.30325612059886</v>
      </c>
      <c r="K79" t="n">
        <v>11.00307681727622</v>
      </c>
      <c r="L79" t="n">
        <v>18.32037058648496</v>
      </c>
      <c r="M79" t="n">
        <v>17.30633293787508</v>
      </c>
      <c r="N79" t="n">
        <v>21.01968602127277</v>
      </c>
      <c r="O79" t="n">
        <v>39.34005660775773</v>
      </c>
      <c r="P79" t="n">
        <v>38.32601895914785</v>
      </c>
      <c r="Q79" t="n">
        <v>32.93451173619186</v>
      </c>
      <c r="R79" t="n">
        <v>12.30297308040386</v>
      </c>
      <c r="S79" t="n">
        <v>45.23748481659572</v>
      </c>
      <c r="T79" t="n">
        <v>45.23748481659572</v>
      </c>
      <c r="U79" t="n">
        <v>1.835466666666667</v>
      </c>
      <c r="V79" t="n">
        <v>1.611388888888889</v>
      </c>
      <c r="W79" t="n">
        <v>3.446855555555556</v>
      </c>
      <c r="X79" t="n">
        <v>1.149211111111111</v>
      </c>
      <c r="Y79" t="n">
        <v>0.8488000000000001</v>
      </c>
      <c r="Z79" t="n">
        <v>1.998011111111111</v>
      </c>
      <c r="AA79" t="n">
        <v>5.897428208837987</v>
      </c>
      <c r="AB79" t="n">
        <v>6.911465857447865</v>
      </c>
      <c r="AC79" t="n">
        <v>47.23549592770683</v>
      </c>
      <c r="AD79" t="n">
        <v>47.23549592770683</v>
      </c>
      <c r="AE79" t="n">
        <v>4.448583764393542</v>
      </c>
      <c r="AF79" t="n">
        <v>5.462621413003421</v>
      </c>
      <c r="AG79" t="n">
        <v>0</v>
      </c>
      <c r="AH79" t="n">
        <v>0</v>
      </c>
      <c r="AI79" t="n">
        <v>0</v>
      </c>
      <c r="AJ79" t="n">
        <v>0</v>
      </c>
      <c r="AK79" t="n">
        <v>0</v>
      </c>
      <c r="AL79" t="n">
        <v>39.34005660775773</v>
      </c>
      <c r="AM79" t="n">
        <v>4.448583764393542</v>
      </c>
    </row>
    <row r="80">
      <c r="A80" s="8" t="n">
        <v>46569</v>
      </c>
      <c r="B80" t="inlineStr">
        <is>
          <t>Forecast</t>
        </is>
      </c>
      <c r="C80" t="n">
        <v>8.743205706451954</v>
      </c>
      <c r="D80" t="n">
        <v>9.053350945574556</v>
      </c>
      <c r="E80" t="n">
        <v>0.6486891365770854</v>
      </c>
      <c r="F80" t="n">
        <v>3.037684824395356</v>
      </c>
      <c r="G80" t="n">
        <v>0.1063647096627134</v>
      </c>
      <c r="H80" t="n">
        <v>7.490755317494781</v>
      </c>
      <c r="I80" t="n">
        <v>11.03492177389689</v>
      </c>
      <c r="J80" t="n">
        <v>6.212198295643518</v>
      </c>
      <c r="K80" t="n">
        <v>11.03492177389689</v>
      </c>
      <c r="L80" t="n">
        <v>18.52567709139167</v>
      </c>
      <c r="M80" t="n">
        <v>17.24712006954041</v>
      </c>
      <c r="N80" t="n">
        <v>21.58929532266167</v>
      </c>
      <c r="O80" t="n">
        <v>40.11497241405334</v>
      </c>
      <c r="P80" t="n">
        <v>38.83641539220207</v>
      </c>
      <c r="Q80" t="n">
        <v>33.16438630289471</v>
      </c>
      <c r="R80" t="n">
        <v>12.32464058879449</v>
      </c>
      <c r="S80" t="n">
        <v>45.48902689168921</v>
      </c>
      <c r="T80" t="n">
        <v>45.48902689168921</v>
      </c>
      <c r="U80" t="n">
        <v>1.445075268817204</v>
      </c>
      <c r="V80" t="n">
        <v>1.232569892473118</v>
      </c>
      <c r="W80" t="n">
        <v>2.677645161290322</v>
      </c>
      <c r="X80" t="n">
        <v>1.521387096774194</v>
      </c>
      <c r="Y80" t="n">
        <v>1.100247311827957</v>
      </c>
      <c r="Z80" t="n">
        <v>2.621634408602151</v>
      </c>
      <c r="AA80" t="n">
        <v>5.374054477635866</v>
      </c>
      <c r="AB80" t="n">
        <v>6.652611499487136</v>
      </c>
      <c r="AC80" t="n">
        <v>48.11066130029135</v>
      </c>
      <c r="AD80" t="n">
        <v>48.11066130029135</v>
      </c>
      <c r="AE80" t="n">
        <v>5.318043724947692</v>
      </c>
      <c r="AF80" t="n">
        <v>6.596600746798962</v>
      </c>
      <c r="AG80" t="n">
        <v>0</v>
      </c>
      <c r="AH80" t="n">
        <v>0</v>
      </c>
      <c r="AI80" t="n">
        <v>0</v>
      </c>
      <c r="AJ80" t="n">
        <v>0</v>
      </c>
      <c r="AK80" t="n">
        <v>0</v>
      </c>
      <c r="AL80" t="n">
        <v>40.11497241405334</v>
      </c>
      <c r="AM80" t="n">
        <v>5.318043724947692</v>
      </c>
    </row>
    <row r="81">
      <c r="A81" s="8" t="n">
        <v>46600</v>
      </c>
      <c r="B81" t="inlineStr">
        <is>
          <t>Forecast</t>
        </is>
      </c>
      <c r="C81" t="n">
        <v>9.675680089688059</v>
      </c>
      <c r="D81" t="n">
        <v>9.028878648759912</v>
      </c>
      <c r="E81" t="n">
        <v>0.6159038080456432</v>
      </c>
      <c r="F81" t="n">
        <v>3.108901705501792</v>
      </c>
      <c r="G81" t="n">
        <v>0.1152284354679395</v>
      </c>
      <c r="H81" t="n">
        <v>7.99559592769987</v>
      </c>
      <c r="I81" t="n">
        <v>11.05856866678018</v>
      </c>
      <c r="J81" t="n">
        <v>6.457477979402537</v>
      </c>
      <c r="K81" t="n">
        <v>11.05856866678018</v>
      </c>
      <c r="L81" t="n">
        <v>19.05416459448005</v>
      </c>
      <c r="M81" t="n">
        <v>17.51604664618272</v>
      </c>
      <c r="N81" t="n">
        <v>22.54459268746335</v>
      </c>
      <c r="O81" t="n">
        <v>41.59875728194341</v>
      </c>
      <c r="P81" t="n">
        <v>40.06063933364607</v>
      </c>
      <c r="Q81" t="n">
        <v>33.39840372909472</v>
      </c>
      <c r="R81" t="n">
        <v>12.35597985358508</v>
      </c>
      <c r="S81" t="n">
        <v>45.75438358267979</v>
      </c>
      <c r="T81" t="n">
        <v>45.75438358267979</v>
      </c>
      <c r="U81" t="n">
        <v>1.741763440860215</v>
      </c>
      <c r="V81" t="n">
        <v>0.9842580645161288</v>
      </c>
      <c r="W81" t="n">
        <v>2.726021505376344</v>
      </c>
      <c r="X81" t="n">
        <v>2.883548387096774</v>
      </c>
      <c r="Y81" t="n">
        <v>1.349731182795699</v>
      </c>
      <c r="Z81" t="n">
        <v>4.233279569892473</v>
      </c>
      <c r="AA81" t="n">
        <v>4.155626300736387</v>
      </c>
      <c r="AB81" t="n">
        <v>5.69374424903372</v>
      </c>
      <c r="AC81" t="n">
        <v>49.98766315257227</v>
      </c>
      <c r="AD81" t="n">
        <v>49.98766315257227</v>
      </c>
      <c r="AE81" t="n">
        <v>5.662884365252517</v>
      </c>
      <c r="AF81" t="n">
        <v>7.201002313549851</v>
      </c>
      <c r="AG81" t="n">
        <v>0</v>
      </c>
      <c r="AH81" t="n">
        <v>0</v>
      </c>
      <c r="AI81" t="n">
        <v>0</v>
      </c>
      <c r="AJ81" t="n">
        <v>0</v>
      </c>
      <c r="AK81" t="n">
        <v>0</v>
      </c>
      <c r="AL81" t="n">
        <v>41.59875728194341</v>
      </c>
      <c r="AM81" t="n">
        <v>5.662884365252517</v>
      </c>
    </row>
    <row r="82">
      <c r="A82" s="8" t="n">
        <v>46631</v>
      </c>
      <c r="B82" t="inlineStr">
        <is>
          <t>Forecast</t>
        </is>
      </c>
      <c r="C82" t="n">
        <v>8.161845942394233</v>
      </c>
      <c r="D82" t="n">
        <v>8.968755829000028</v>
      </c>
      <c r="E82" t="n">
        <v>0.6300530723916201</v>
      </c>
      <c r="F82" t="n">
        <v>2.926571038137624</v>
      </c>
      <c r="G82" t="n">
        <v>0.1240921612731656</v>
      </c>
      <c r="H82" t="n">
        <v>8.695339501376306</v>
      </c>
      <c r="I82" t="n">
        <v>11.28059060797097</v>
      </c>
      <c r="J82" t="n">
        <v>6.990823893421982</v>
      </c>
      <c r="K82" t="n">
        <v>11.28059060797097</v>
      </c>
      <c r="L82" t="n">
        <v>19.97593010934727</v>
      </c>
      <c r="M82" t="n">
        <v>18.27141450139295</v>
      </c>
      <c r="N82" t="n">
        <v>20.81131804319667</v>
      </c>
      <c r="O82" t="n">
        <v>40.78724815254395</v>
      </c>
      <c r="P82" t="n">
        <v>39.08273254458962</v>
      </c>
      <c r="Q82" t="n">
        <v>33.63099851262336</v>
      </c>
      <c r="R82" t="n">
        <v>12.38678648843411</v>
      </c>
      <c r="S82" t="n">
        <v>46.01778500105747</v>
      </c>
      <c r="T82" t="n">
        <v>46.01778500105747</v>
      </c>
      <c r="U82" t="n">
        <v>2.412133333333333</v>
      </c>
      <c r="V82" t="n">
        <v>1.311877777777778</v>
      </c>
      <c r="W82" t="n">
        <v>3.724011111111111</v>
      </c>
      <c r="X82" t="n">
        <v>2.104855555555555</v>
      </c>
      <c r="Y82" t="n">
        <v>0.9838444444444444</v>
      </c>
      <c r="Z82" t="n">
        <v>3.0887</v>
      </c>
      <c r="AA82" t="n">
        <v>5.230536848513523</v>
      </c>
      <c r="AB82" t="n">
        <v>6.935052456467851</v>
      </c>
      <c r="AC82" t="n">
        <v>49.10648500105747</v>
      </c>
      <c r="AD82" t="n">
        <v>49.10648500105747</v>
      </c>
      <c r="AE82" t="n">
        <v>4.595225737402415</v>
      </c>
      <c r="AF82" t="n">
        <v>6.299741345356742</v>
      </c>
      <c r="AG82" t="n">
        <v>0</v>
      </c>
      <c r="AH82" t="n">
        <v>0</v>
      </c>
      <c r="AI82" t="n">
        <v>0</v>
      </c>
      <c r="AJ82" t="n">
        <v>0</v>
      </c>
      <c r="AK82" t="n">
        <v>0</v>
      </c>
      <c r="AL82" t="n">
        <v>40.78724815254395</v>
      </c>
      <c r="AM82" t="n">
        <v>4.595225737402415</v>
      </c>
    </row>
    <row r="83">
      <c r="A83" s="8" t="n">
        <v>46661</v>
      </c>
      <c r="B83" t="inlineStr">
        <is>
          <t>Forecast</t>
        </is>
      </c>
      <c r="C83" t="n">
        <v>6.537444588533633</v>
      </c>
      <c r="D83" t="n">
        <v>8.818830891251078</v>
      </c>
      <c r="E83" t="n">
        <v>0.7412144830926277</v>
      </c>
      <c r="F83" t="n">
        <v>2.791645855212021</v>
      </c>
      <c r="G83" t="n">
        <v>0.1329558870783917</v>
      </c>
      <c r="H83" t="n">
        <v>9.396864497151915</v>
      </c>
      <c r="I83" t="n">
        <v>12.28980723930454</v>
      </c>
      <c r="J83" t="n">
        <v>7.500412653304693</v>
      </c>
      <c r="K83" t="n">
        <v>11.82639372882546</v>
      </c>
      <c r="L83" t="n">
        <v>21.68667173645646</v>
      </c>
      <c r="M83" t="n">
        <v>19.32680638213015</v>
      </c>
      <c r="N83" t="n">
        <v>19.02209170516775</v>
      </c>
      <c r="O83" t="n">
        <v>40.70876344162421</v>
      </c>
      <c r="P83" t="n">
        <v>38.34889808729791</v>
      </c>
      <c r="Q83" t="n">
        <v>33.86432455900134</v>
      </c>
      <c r="R83" t="n">
        <v>12.42216859935765</v>
      </c>
      <c r="S83" t="n">
        <v>46.28649315835899</v>
      </c>
      <c r="T83" t="n">
        <v>46.28649315835899</v>
      </c>
      <c r="U83" t="n">
        <v>2.523494623655914</v>
      </c>
      <c r="V83" t="n">
        <v>1.779247311827957</v>
      </c>
      <c r="W83" t="n">
        <v>4.302741935483871</v>
      </c>
      <c r="X83" t="n">
        <v>1.056784946236559</v>
      </c>
      <c r="Y83" t="n">
        <v>0.6070430107526882</v>
      </c>
      <c r="Z83" t="n">
        <v>1.663827956989247</v>
      </c>
      <c r="AA83" t="n">
        <v>5.57772971673478</v>
      </c>
      <c r="AB83" t="n">
        <v>7.937595071061082</v>
      </c>
      <c r="AC83" t="n">
        <v>47.95032111534824</v>
      </c>
      <c r="AD83" t="n">
        <v>47.95032111534824</v>
      </c>
      <c r="AE83" t="n">
        <v>2.938815738240153</v>
      </c>
      <c r="AF83" t="n">
        <v>5.298681092566456</v>
      </c>
      <c r="AG83" t="n">
        <v>0</v>
      </c>
      <c r="AH83" t="n">
        <v>0</v>
      </c>
      <c r="AI83" t="n">
        <v>0</v>
      </c>
      <c r="AJ83" t="n">
        <v>0</v>
      </c>
      <c r="AK83" t="n">
        <v>0</v>
      </c>
      <c r="AL83" t="n">
        <v>40.70876344162421</v>
      </c>
      <c r="AM83" t="n">
        <v>2.938815738240153</v>
      </c>
    </row>
    <row r="84">
      <c r="A84" s="8" t="n">
        <v>46692</v>
      </c>
      <c r="B84" t="inlineStr">
        <is>
          <t>Forecast</t>
        </is>
      </c>
      <c r="C84" t="n">
        <v>5.755221805443956</v>
      </c>
      <c r="D84" t="n">
        <v>9.328893370812469</v>
      </c>
      <c r="E84" t="n">
        <v>1.104694577293822</v>
      </c>
      <c r="F84" t="n">
        <v>2.728542512866445</v>
      </c>
      <c r="G84" t="n">
        <v>0.1418196128836179</v>
      </c>
      <c r="H84" t="n">
        <v>10.02482796884667</v>
      </c>
      <c r="I84" t="n">
        <v>13.16595643039863</v>
      </c>
      <c r="J84" t="n">
        <v>7.939695001545404</v>
      </c>
      <c r="K84" t="n">
        <v>12.4606806560368</v>
      </c>
      <c r="L84" t="n">
        <v>23.1907843992453</v>
      </c>
      <c r="M84" t="n">
        <v>20.40037565758221</v>
      </c>
      <c r="N84" t="n">
        <v>19.05917187930031</v>
      </c>
      <c r="O84" t="n">
        <v>42.24995627854561</v>
      </c>
      <c r="P84" t="n">
        <v>39.45954753688252</v>
      </c>
      <c r="Q84" t="n">
        <v>34.0936053442197</v>
      </c>
      <c r="R84" t="n">
        <v>12.46210172661848</v>
      </c>
      <c r="S84" t="n">
        <v>46.55570707083817</v>
      </c>
      <c r="T84" t="n">
        <v>46.55570707083817</v>
      </c>
      <c r="U84" t="n">
        <v>1.881788888888889</v>
      </c>
      <c r="V84" t="n">
        <v>1.304466666666667</v>
      </c>
      <c r="W84" t="n">
        <v>3.186255555555555</v>
      </c>
      <c r="X84" t="n">
        <v>1.287677777777778</v>
      </c>
      <c r="Y84" t="n">
        <v>0.8570333333333333</v>
      </c>
      <c r="Z84" t="n">
        <v>2.144711111111111</v>
      </c>
      <c r="AA84" t="n">
        <v>4.305750792292564</v>
      </c>
      <c r="AB84" t="n">
        <v>7.09615953395565</v>
      </c>
      <c r="AC84" t="n">
        <v>48.70041818194929</v>
      </c>
      <c r="AD84" t="n">
        <v>48.70041818194929</v>
      </c>
      <c r="AE84" t="n">
        <v>3.264206347848122</v>
      </c>
      <c r="AF84" t="n">
        <v>6.054615089511208</v>
      </c>
      <c r="AG84" t="n">
        <v>0</v>
      </c>
      <c r="AH84" t="n">
        <v>0</v>
      </c>
      <c r="AI84" t="n">
        <v>0</v>
      </c>
      <c r="AJ84" t="n">
        <v>0</v>
      </c>
      <c r="AK84" t="n">
        <v>0</v>
      </c>
      <c r="AL84" t="n">
        <v>42.24995627854561</v>
      </c>
      <c r="AM84" t="n">
        <v>3.264206347848122</v>
      </c>
    </row>
    <row r="85">
      <c r="A85" s="8" t="n">
        <v>46722</v>
      </c>
      <c r="B85" t="inlineStr">
        <is>
          <t>Forecast</t>
        </is>
      </c>
      <c r="C85" t="n">
        <v>5.536599432195294</v>
      </c>
      <c r="D85" t="n">
        <v>9.733371225467472</v>
      </c>
      <c r="E85" t="n">
        <v>1.694752924780184</v>
      </c>
      <c r="F85" t="n">
        <v>2.604276349552317</v>
      </c>
      <c r="G85" t="n">
        <v>0.150683338688844</v>
      </c>
      <c r="H85" t="n">
        <v>10.18260905034924</v>
      </c>
      <c r="I85" t="n">
        <v>13.76005462555457</v>
      </c>
      <c r="J85" t="n">
        <v>8.077895689745533</v>
      </c>
      <c r="K85" t="n">
        <v>12.81178383756908</v>
      </c>
      <c r="L85" t="n">
        <v>23.94266367590381</v>
      </c>
      <c r="M85" t="n">
        <v>20.88967952731461</v>
      </c>
      <c r="N85" t="n">
        <v>19.71968327068411</v>
      </c>
      <c r="O85" t="n">
        <v>43.66234694658792</v>
      </c>
      <c r="P85" t="n">
        <v>40.60936279799873</v>
      </c>
      <c r="Q85" t="n">
        <v>34.31354508796161</v>
      </c>
      <c r="R85" t="n">
        <v>12.50058336011149</v>
      </c>
      <c r="S85" t="n">
        <v>46.8141284480731</v>
      </c>
      <c r="T85" t="n">
        <v>46.8141284480731</v>
      </c>
      <c r="U85" t="n">
        <v>1.379204301075269</v>
      </c>
      <c r="V85" t="n">
        <v>1.143408602150538</v>
      </c>
      <c r="W85" t="n">
        <v>2.522612903225806</v>
      </c>
      <c r="X85" t="n">
        <v>2.158774193548387</v>
      </c>
      <c r="Y85" t="n">
        <v>1.674903225806452</v>
      </c>
      <c r="Z85" t="n">
        <v>3.833677419354839</v>
      </c>
      <c r="AA85" t="n">
        <v>3.151781501485175</v>
      </c>
      <c r="AB85" t="n">
        <v>6.204765650074371</v>
      </c>
      <c r="AC85" t="n">
        <v>50.64780586742793</v>
      </c>
      <c r="AD85" t="n">
        <v>50.64780586742793</v>
      </c>
      <c r="AE85" t="n">
        <v>4.462846017614204</v>
      </c>
      <c r="AF85" t="n">
        <v>7.515830166203401</v>
      </c>
      <c r="AG85" t="n">
        <v>0</v>
      </c>
      <c r="AH85" t="n">
        <v>0</v>
      </c>
      <c r="AI85" t="n">
        <v>0</v>
      </c>
      <c r="AJ85" t="n">
        <v>0</v>
      </c>
      <c r="AK85" t="n">
        <v>0</v>
      </c>
      <c r="AL85" t="n">
        <v>43.66234694658792</v>
      </c>
      <c r="AM85" t="n">
        <v>4.462846017614204</v>
      </c>
    </row>
    <row r="86">
      <c r="A86" s="8" t="n">
        <v>46753</v>
      </c>
      <c r="B86" t="inlineStr">
        <is>
          <t>Forecast</t>
        </is>
      </c>
      <c r="C86" t="n">
        <v>6.65059872592723</v>
      </c>
      <c r="D86" t="n">
        <v>9.397361220112231</v>
      </c>
      <c r="E86" t="n">
        <v>2.719717818309598</v>
      </c>
      <c r="F86" t="n">
        <v>2.869003261234769</v>
      </c>
      <c r="G86" t="n">
        <v>0.1595470644940701</v>
      </c>
      <c r="H86" t="n">
        <v>9.933882743400591</v>
      </c>
      <c r="I86" t="n">
        <v>13.97363944663128</v>
      </c>
      <c r="J86" t="n">
        <v>8.136494845443632</v>
      </c>
      <c r="K86" t="n">
        <v>12.80304511027049</v>
      </c>
      <c r="L86" t="n">
        <v>23.90752219003187</v>
      </c>
      <c r="M86" t="n">
        <v>20.93953995571412</v>
      </c>
      <c r="N86" t="n">
        <v>21.7962280900779</v>
      </c>
      <c r="O86" t="n">
        <v>45.70375028010977</v>
      </c>
      <c r="P86" t="n">
        <v>42.73576804579201</v>
      </c>
      <c r="Q86" t="n">
        <v>33.73408061239353</v>
      </c>
      <c r="R86" t="n">
        <v>12.78658683740744</v>
      </c>
      <c r="S86" t="n">
        <v>46.52066744980097</v>
      </c>
      <c r="T86" t="n">
        <v>46.52066744980097</v>
      </c>
      <c r="U86" t="n">
        <v>0.9953118279569892</v>
      </c>
      <c r="V86" t="n">
        <v>0.7306666666666666</v>
      </c>
      <c r="W86" t="n">
        <v>1.725978494623656</v>
      </c>
      <c r="X86" t="n">
        <v>4.435344086021505</v>
      </c>
      <c r="Y86" t="n">
        <v>3.898569892473118</v>
      </c>
      <c r="Z86" t="n">
        <v>8.333913978494623</v>
      </c>
      <c r="AA86" t="n">
        <v>0.8169171696911945</v>
      </c>
      <c r="AB86" t="n">
        <v>3.784899404008954</v>
      </c>
      <c r="AC86" t="n">
        <v>54.85458142829559</v>
      </c>
      <c r="AD86" t="n">
        <v>54.85458142829559</v>
      </c>
      <c r="AE86" t="n">
        <v>7.42485265356216</v>
      </c>
      <c r="AF86" t="n">
        <v>10.39283488787992</v>
      </c>
      <c r="AG86" t="n">
        <v>0</v>
      </c>
      <c r="AH86" t="n">
        <v>0</v>
      </c>
      <c r="AI86" t="n">
        <v>0</v>
      </c>
      <c r="AJ86" t="n">
        <v>0</v>
      </c>
      <c r="AK86" t="n">
        <v>0</v>
      </c>
      <c r="AL86" t="n">
        <v>45.70375028010977</v>
      </c>
      <c r="AM86" t="n">
        <v>7.42485265356216</v>
      </c>
    </row>
    <row r="87">
      <c r="A87" s="8" t="n">
        <v>46784</v>
      </c>
      <c r="B87" t="inlineStr">
        <is>
          <t>Forecast</t>
        </is>
      </c>
      <c r="C87" t="n">
        <v>5.513777882820569</v>
      </c>
      <c r="D87" t="n">
        <v>9.083509903026535</v>
      </c>
      <c r="E87" t="n">
        <v>1.977002781033452</v>
      </c>
      <c r="F87" t="n">
        <v>2.820453433169897</v>
      </c>
      <c r="G87" t="n">
        <v>0.1684107902992963</v>
      </c>
      <c r="H87" t="n">
        <v>10.05862295544212</v>
      </c>
      <c r="I87" t="n">
        <v>14.16412125972599</v>
      </c>
      <c r="J87" t="n">
        <v>8.296523437905869</v>
      </c>
      <c r="K87" t="n">
        <v>12.77374570662752</v>
      </c>
      <c r="L87" t="n">
        <v>24.22274421516811</v>
      </c>
      <c r="M87" t="n">
        <v>21.07026914453339</v>
      </c>
      <c r="N87" t="n">
        <v>19.56315479034975</v>
      </c>
      <c r="O87" t="n">
        <v>43.78589900551786</v>
      </c>
      <c r="P87" t="n">
        <v>40.63342393488314</v>
      </c>
      <c r="Q87" t="n">
        <v>34.59969540182533</v>
      </c>
      <c r="R87" t="n">
        <v>12.95906141177073</v>
      </c>
      <c r="S87" t="n">
        <v>47.55875681359606</v>
      </c>
      <c r="T87" t="n">
        <v>47.55875681359606</v>
      </c>
      <c r="U87" t="n">
        <v>1.637940886699507</v>
      </c>
      <c r="V87" t="n">
        <v>1.108112479474548</v>
      </c>
      <c r="W87" t="n">
        <v>2.746053366174056</v>
      </c>
      <c r="X87" t="n">
        <v>2.852903530377668</v>
      </c>
      <c r="Y87" t="n">
        <v>2.522028325123153</v>
      </c>
      <c r="Z87" t="n">
        <v>5.374931855500821</v>
      </c>
      <c r="AA87" t="n">
        <v>3.772857808078193</v>
      </c>
      <c r="AB87" t="n">
        <v>6.925332878712915</v>
      </c>
      <c r="AC87" t="n">
        <v>52.93368866909687</v>
      </c>
      <c r="AD87" t="n">
        <v>52.93368866909687</v>
      </c>
      <c r="AE87" t="n">
        <v>6.401736297404955</v>
      </c>
      <c r="AF87" t="n">
        <v>9.554211368039677</v>
      </c>
      <c r="AG87" t="n">
        <v>0</v>
      </c>
      <c r="AH87" t="n">
        <v>0</v>
      </c>
      <c r="AI87" t="n">
        <v>0</v>
      </c>
      <c r="AJ87" t="n">
        <v>0</v>
      </c>
      <c r="AK87" t="n">
        <v>0</v>
      </c>
      <c r="AL87" t="n">
        <v>43.78589900551786</v>
      </c>
      <c r="AM87" t="n">
        <v>6.401736297404955</v>
      </c>
    </row>
    <row r="88">
      <c r="A88" s="8" t="n">
        <v>46813</v>
      </c>
      <c r="B88" t="inlineStr">
        <is>
          <t>Forecast</t>
        </is>
      </c>
      <c r="C88" t="n">
        <v>4.96810209565738</v>
      </c>
      <c r="D88" t="n">
        <v>9.096813894197409</v>
      </c>
      <c r="E88" t="n">
        <v>1.114450004788705</v>
      </c>
      <c r="F88" t="n">
        <v>2.717900612837081</v>
      </c>
      <c r="G88" t="n">
        <v>0.1772745161045224</v>
      </c>
      <c r="H88" t="n">
        <v>9.974197376981069</v>
      </c>
      <c r="I88" t="n">
        <v>14.27304676587438</v>
      </c>
      <c r="J88" t="n">
        <v>8.318737297851872</v>
      </c>
      <c r="K88" t="n">
        <v>12.67293913912476</v>
      </c>
      <c r="L88" t="n">
        <v>24.24724414285545</v>
      </c>
      <c r="M88" t="n">
        <v>20.99167643697663</v>
      </c>
      <c r="N88" t="n">
        <v>18.0745411235851</v>
      </c>
      <c r="O88" t="n">
        <v>42.32178526644054</v>
      </c>
      <c r="P88" t="n">
        <v>39.06621756056173</v>
      </c>
      <c r="Q88" t="n">
        <v>34.79017118914386</v>
      </c>
      <c r="R88" t="n">
        <v>12.96452831581685</v>
      </c>
      <c r="S88" t="n">
        <v>47.75469950496071</v>
      </c>
      <c r="T88" t="n">
        <v>47.75469950496071</v>
      </c>
      <c r="U88" t="n">
        <v>2.392172043010753</v>
      </c>
      <c r="V88" t="n">
        <v>1.836397849462366</v>
      </c>
      <c r="W88" t="n">
        <v>4.228569892473119</v>
      </c>
      <c r="X88" t="n">
        <v>1.187268817204301</v>
      </c>
      <c r="Y88" t="n">
        <v>1.039376344086022</v>
      </c>
      <c r="Z88" t="n">
        <v>2.226645161290323</v>
      </c>
      <c r="AA88" t="n">
        <v>5.432914238520169</v>
      </c>
      <c r="AB88" t="n">
        <v>8.688481944398987</v>
      </c>
      <c r="AC88" t="n">
        <v>49.98134466625103</v>
      </c>
      <c r="AD88" t="n">
        <v>49.98134466625103</v>
      </c>
      <c r="AE88" t="n">
        <v>3.430989507337372</v>
      </c>
      <c r="AF88" t="n">
        <v>6.686557213216189</v>
      </c>
      <c r="AG88" t="n">
        <v>0</v>
      </c>
      <c r="AH88" t="n">
        <v>0</v>
      </c>
      <c r="AI88" t="n">
        <v>0</v>
      </c>
      <c r="AJ88" t="n">
        <v>0</v>
      </c>
      <c r="AK88" t="n">
        <v>0</v>
      </c>
      <c r="AL88" t="n">
        <v>42.32178526644054</v>
      </c>
      <c r="AM88" t="n">
        <v>3.430989507337372</v>
      </c>
    </row>
    <row r="89">
      <c r="A89" s="8" t="n">
        <v>46844</v>
      </c>
      <c r="B89" t="inlineStr">
        <is>
          <t>Forecast</t>
        </is>
      </c>
      <c r="C89" t="n">
        <v>5.527660574636847</v>
      </c>
      <c r="D89" t="n">
        <v>9.182102856618908</v>
      </c>
      <c r="E89" t="n">
        <v>0.8573470152073261</v>
      </c>
      <c r="F89" t="n">
        <v>2.926172373492231</v>
      </c>
      <c r="G89" t="n">
        <v>0.1861382419097485</v>
      </c>
      <c r="H89" t="n">
        <v>9.851180955530085</v>
      </c>
      <c r="I89" t="n">
        <v>13.86978999028831</v>
      </c>
      <c r="J89" t="n">
        <v>8.421173993027676</v>
      </c>
      <c r="K89" t="n">
        <v>12.60257144401097</v>
      </c>
      <c r="L89" t="n">
        <v>23.72097094581839</v>
      </c>
      <c r="M89" t="n">
        <v>21.02374543703865</v>
      </c>
      <c r="N89" t="n">
        <v>18.67942106186506</v>
      </c>
      <c r="O89" t="n">
        <v>42.40039200768345</v>
      </c>
      <c r="P89" t="n">
        <v>39.70316649890371</v>
      </c>
      <c r="Q89" t="n">
        <v>34.99107076113182</v>
      </c>
      <c r="R89" t="n">
        <v>12.97268560242184</v>
      </c>
      <c r="S89" t="n">
        <v>47.96375636355367</v>
      </c>
      <c r="T89" t="n">
        <v>47.96375636355367</v>
      </c>
      <c r="U89" t="n">
        <v>2.271922222222222</v>
      </c>
      <c r="V89" t="n">
        <v>1.879377777777778</v>
      </c>
      <c r="W89" t="n">
        <v>4.151300000000001</v>
      </c>
      <c r="X89" t="n">
        <v>1.159666666666667</v>
      </c>
      <c r="Y89" t="n">
        <v>0.9012333333333333</v>
      </c>
      <c r="Z89" t="n">
        <v>2.0609</v>
      </c>
      <c r="AA89" t="n">
        <v>5.56336435587022</v>
      </c>
      <c r="AB89" t="n">
        <v>8.260589864649958</v>
      </c>
      <c r="AC89" t="n">
        <v>50.02465636355367</v>
      </c>
      <c r="AD89" t="n">
        <v>50.02465636355367</v>
      </c>
      <c r="AE89" t="n">
        <v>3.472964355870223</v>
      </c>
      <c r="AF89" t="n">
        <v>6.170189864649961</v>
      </c>
      <c r="AG89" t="n">
        <v>0</v>
      </c>
      <c r="AH89" t="n">
        <v>0</v>
      </c>
      <c r="AI89" t="n">
        <v>0</v>
      </c>
      <c r="AJ89" t="n">
        <v>0</v>
      </c>
      <c r="AK89" t="n">
        <v>0</v>
      </c>
      <c r="AL89" t="n">
        <v>42.40039200768345</v>
      </c>
      <c r="AM89" t="n">
        <v>3.472964355870223</v>
      </c>
    </row>
    <row r="90">
      <c r="A90" s="8" t="n">
        <v>46874</v>
      </c>
      <c r="B90" t="inlineStr">
        <is>
          <t>Forecast</t>
        </is>
      </c>
      <c r="C90" t="n">
        <v>7.00529574525538</v>
      </c>
      <c r="D90" t="n">
        <v>9.023881096205125</v>
      </c>
      <c r="E90" t="n">
        <v>0.6839574385355199</v>
      </c>
      <c r="F90" t="n">
        <v>3.180382741041686</v>
      </c>
      <c r="G90" t="n">
        <v>0.1950019677149746</v>
      </c>
      <c r="H90" t="n">
        <v>10.37861337246806</v>
      </c>
      <c r="I90" t="n">
        <v>13.17695648402449</v>
      </c>
      <c r="J90" t="n">
        <v>9.038091287529499</v>
      </c>
      <c r="K90" t="n">
        <v>11.99109668396678</v>
      </c>
      <c r="L90" t="n">
        <v>23.55556985649255</v>
      </c>
      <c r="M90" t="n">
        <v>21.02918797149628</v>
      </c>
      <c r="N90" t="n">
        <v>20.08851898875269</v>
      </c>
      <c r="O90" t="n">
        <v>43.64408884524524</v>
      </c>
      <c r="P90" t="n">
        <v>41.11770696024897</v>
      </c>
      <c r="Q90" t="n">
        <v>35.21107507190299</v>
      </c>
      <c r="R90" t="n">
        <v>12.98314829938401</v>
      </c>
      <c r="S90" t="n">
        <v>48.194223371287</v>
      </c>
      <c r="T90" t="n">
        <v>48.194223371287</v>
      </c>
      <c r="U90" t="n">
        <v>2.179247311827957</v>
      </c>
      <c r="V90" t="n">
        <v>1.901956989247312</v>
      </c>
      <c r="W90" t="n">
        <v>4.081204301075269</v>
      </c>
      <c r="X90" t="n">
        <v>1.123032258064516</v>
      </c>
      <c r="Y90" t="n">
        <v>0.6363225806451612</v>
      </c>
      <c r="Z90" t="n">
        <v>1.759354838709677</v>
      </c>
      <c r="AA90" t="n">
        <v>4.550134526041766</v>
      </c>
      <c r="AB90" t="n">
        <v>7.076516411038035</v>
      </c>
      <c r="AC90" t="n">
        <v>49.95357820999668</v>
      </c>
      <c r="AD90" t="n">
        <v>49.95357820999668</v>
      </c>
      <c r="AE90" t="n">
        <v>2.228285063676173</v>
      </c>
      <c r="AF90" t="n">
        <v>4.754666948672442</v>
      </c>
      <c r="AG90" t="n">
        <v>0</v>
      </c>
      <c r="AH90" t="n">
        <v>0</v>
      </c>
      <c r="AI90" t="n">
        <v>0</v>
      </c>
      <c r="AJ90" t="n">
        <v>0</v>
      </c>
      <c r="AK90" t="n">
        <v>0</v>
      </c>
      <c r="AL90" t="n">
        <v>43.64408884524524</v>
      </c>
      <c r="AM90" t="n">
        <v>2.228285063676173</v>
      </c>
    </row>
    <row r="91">
      <c r="A91" s="8" t="n">
        <v>46905</v>
      </c>
      <c r="B91" t="inlineStr">
        <is>
          <t>Forecast</t>
        </is>
      </c>
      <c r="C91" t="n">
        <v>8.06336678515347</v>
      </c>
      <c r="D91" t="n">
        <v>9.070855471019376</v>
      </c>
      <c r="E91" t="n">
        <v>0.6718656073679865</v>
      </c>
      <c r="F91" t="n">
        <v>3.118689989997127</v>
      </c>
      <c r="G91" t="n">
        <v>0.2038656935202007</v>
      </c>
      <c r="H91" t="n">
        <v>10.77479381700417</v>
      </c>
      <c r="I91" t="n">
        <v>12.96721414721974</v>
      </c>
      <c r="J91" t="n">
        <v>9.401343619032692</v>
      </c>
      <c r="K91" t="n">
        <v>11.81747522237475</v>
      </c>
      <c r="L91" t="n">
        <v>23.74200796422391</v>
      </c>
      <c r="M91" t="n">
        <v>21.21881884140745</v>
      </c>
      <c r="N91" t="n">
        <v>21.12864354705816</v>
      </c>
      <c r="O91" t="n">
        <v>44.87065151128208</v>
      </c>
      <c r="P91" t="n">
        <v>42.34746238846561</v>
      </c>
      <c r="Q91" t="n">
        <v>35.44668340469384</v>
      </c>
      <c r="R91" t="n">
        <v>12.99553284010053</v>
      </c>
      <c r="S91" t="n">
        <v>48.44221624479437</v>
      </c>
      <c r="T91" t="n">
        <v>48.44221624479437</v>
      </c>
      <c r="U91" t="n">
        <v>1.835466666666667</v>
      </c>
      <c r="V91" t="n">
        <v>1.611388888888889</v>
      </c>
      <c r="W91" t="n">
        <v>3.446855555555556</v>
      </c>
      <c r="X91" t="n">
        <v>1.149211111111111</v>
      </c>
      <c r="Y91" t="n">
        <v>0.8488000000000001</v>
      </c>
      <c r="Z91" t="n">
        <v>1.998011111111111</v>
      </c>
      <c r="AA91" t="n">
        <v>3.57156473351229</v>
      </c>
      <c r="AB91" t="n">
        <v>6.094753856328758</v>
      </c>
      <c r="AC91" t="n">
        <v>50.44022735590548</v>
      </c>
      <c r="AD91" t="n">
        <v>50.44022735590548</v>
      </c>
      <c r="AE91" t="n">
        <v>2.122720289067845</v>
      </c>
      <c r="AF91" t="n">
        <v>4.645909411884314</v>
      </c>
      <c r="AG91" t="n">
        <v>0</v>
      </c>
      <c r="AH91" t="n">
        <v>0</v>
      </c>
      <c r="AI91" t="n">
        <v>0</v>
      </c>
      <c r="AJ91" t="n">
        <v>0</v>
      </c>
      <c r="AK91" t="n">
        <v>0</v>
      </c>
      <c r="AL91" t="n">
        <v>44.87065151128208</v>
      </c>
      <c r="AM91" t="n">
        <v>2.122720289067845</v>
      </c>
    </row>
    <row r="92">
      <c r="A92" s="8" t="n">
        <v>46935</v>
      </c>
      <c r="B92" t="inlineStr">
        <is>
          <t>Forecast</t>
        </is>
      </c>
      <c r="C92" t="n">
        <v>8.756501296848677</v>
      </c>
      <c r="D92" t="n">
        <v>9.127417764521731</v>
      </c>
      <c r="E92" t="n">
        <v>0.6305396453184171</v>
      </c>
      <c r="F92" t="n">
        <v>2.976157804314989</v>
      </c>
      <c r="G92" t="n">
        <v>0.2127294193254269</v>
      </c>
      <c r="H92" t="n">
        <v>10.78008861771616</v>
      </c>
      <c r="I92" t="n">
        <v>13.19692143091807</v>
      </c>
      <c r="J92" t="n">
        <v>9.2793339875364</v>
      </c>
      <c r="K92" t="n">
        <v>12.04385494717344</v>
      </c>
      <c r="L92" t="n">
        <v>23.97701004863423</v>
      </c>
      <c r="M92" t="n">
        <v>21.32318893470984</v>
      </c>
      <c r="N92" t="n">
        <v>21.70334593032924</v>
      </c>
      <c r="O92" t="n">
        <v>45.68035597896347</v>
      </c>
      <c r="P92" t="n">
        <v>43.02653486503908</v>
      </c>
      <c r="Q92" t="n">
        <v>35.69475987330169</v>
      </c>
      <c r="R92" t="n">
        <v>13.01841475412525</v>
      </c>
      <c r="S92" t="n">
        <v>48.71317462742694</v>
      </c>
      <c r="T92" t="n">
        <v>48.71317462742694</v>
      </c>
      <c r="U92" t="n">
        <v>1.445075268817204</v>
      </c>
      <c r="V92" t="n">
        <v>1.232569892473118</v>
      </c>
      <c r="W92" t="n">
        <v>2.677645161290322</v>
      </c>
      <c r="X92" t="n">
        <v>1.521387096774194</v>
      </c>
      <c r="Y92" t="n">
        <v>1.100247311827957</v>
      </c>
      <c r="Z92" t="n">
        <v>2.621634408602151</v>
      </c>
      <c r="AA92" t="n">
        <v>3.032818648463476</v>
      </c>
      <c r="AB92" t="n">
        <v>5.686639762387863</v>
      </c>
      <c r="AC92" t="n">
        <v>51.33480903602909</v>
      </c>
      <c r="AD92" t="n">
        <v>51.33480903602909</v>
      </c>
      <c r="AE92" t="n">
        <v>2.976807895775301</v>
      </c>
      <c r="AF92" t="n">
        <v>5.630629009699688</v>
      </c>
      <c r="AG92" t="n">
        <v>0</v>
      </c>
      <c r="AH92" t="n">
        <v>0</v>
      </c>
      <c r="AI92" t="n">
        <v>0</v>
      </c>
      <c r="AJ92" t="n">
        <v>0</v>
      </c>
      <c r="AK92" t="n">
        <v>0</v>
      </c>
      <c r="AL92" t="n">
        <v>45.68035597896347</v>
      </c>
      <c r="AM92" t="n">
        <v>2.976807895775301</v>
      </c>
    </row>
    <row r="93">
      <c r="A93" s="8" t="n">
        <v>46966</v>
      </c>
      <c r="B93" t="inlineStr">
        <is>
          <t>Forecast</t>
        </is>
      </c>
      <c r="C93" t="n">
        <v>9.686557947864491</v>
      </c>
      <c r="D93" t="n">
        <v>9.102690953879762</v>
      </c>
      <c r="E93" t="n">
        <v>0.5988219910382293</v>
      </c>
      <c r="F93" t="n">
        <v>3.045932217645074</v>
      </c>
      <c r="G93" t="n">
        <v>0.221593145130653</v>
      </c>
      <c r="H93" t="n">
        <v>11.27506783682496</v>
      </c>
      <c r="I93" t="n">
        <v>13.4177908717757</v>
      </c>
      <c r="J93" t="n">
        <v>9.796097482933424</v>
      </c>
      <c r="K93" t="n">
        <v>12.26225346524729</v>
      </c>
      <c r="L93" t="n">
        <v>24.69285870860066</v>
      </c>
      <c r="M93" t="n">
        <v>22.05835094818071</v>
      </c>
      <c r="N93" t="n">
        <v>22.65559625555821</v>
      </c>
      <c r="O93" t="n">
        <v>47.34845496415888</v>
      </c>
      <c r="P93" t="n">
        <v>44.71394720373892</v>
      </c>
      <c r="Q93" t="n">
        <v>35.94722820096002</v>
      </c>
      <c r="R93" t="n">
        <v>13.05151050051233</v>
      </c>
      <c r="S93" t="n">
        <v>48.99873870147235</v>
      </c>
      <c r="T93" t="n">
        <v>48.99873870147235</v>
      </c>
      <c r="U93" t="n">
        <v>1.741763440860215</v>
      </c>
      <c r="V93" t="n">
        <v>0.9842580645161288</v>
      </c>
      <c r="W93" t="n">
        <v>2.726021505376344</v>
      </c>
      <c r="X93" t="n">
        <v>2.883548387096774</v>
      </c>
      <c r="Y93" t="n">
        <v>1.349731182795699</v>
      </c>
      <c r="Z93" t="n">
        <v>4.233279569892473</v>
      </c>
      <c r="AA93" t="n">
        <v>1.650283737313472</v>
      </c>
      <c r="AB93" t="n">
        <v>4.28479149773343</v>
      </c>
      <c r="AC93" t="n">
        <v>53.23201827136482</v>
      </c>
      <c r="AD93" t="n">
        <v>53.23201827136482</v>
      </c>
      <c r="AE93" t="n">
        <v>3.157541801829603</v>
      </c>
      <c r="AF93" t="n">
        <v>5.79204956224956</v>
      </c>
      <c r="AG93" t="n">
        <v>0</v>
      </c>
      <c r="AH93" t="n">
        <v>0</v>
      </c>
      <c r="AI93" t="n">
        <v>0</v>
      </c>
      <c r="AJ93" t="n">
        <v>0</v>
      </c>
      <c r="AK93" t="n">
        <v>0</v>
      </c>
      <c r="AL93" t="n">
        <v>47.34845496415888</v>
      </c>
      <c r="AM93" t="n">
        <v>3.157541801829603</v>
      </c>
    </row>
    <row r="94">
      <c r="A94" s="8" t="n">
        <v>46997</v>
      </c>
      <c r="B94" t="inlineStr">
        <is>
          <t>Forecast</t>
        </is>
      </c>
      <c r="C94" t="n">
        <v>8.169914906086893</v>
      </c>
      <c r="D94" t="n">
        <v>9.042068180725233</v>
      </c>
      <c r="E94" t="n">
        <v>0.6126764849520919</v>
      </c>
      <c r="F94" t="n">
        <v>2.867294580756646</v>
      </c>
      <c r="G94" t="n">
        <v>0.2304568709358791</v>
      </c>
      <c r="H94" t="n">
        <v>12.09451430971443</v>
      </c>
      <c r="I94" t="n">
        <v>13.88363488832788</v>
      </c>
      <c r="J94" t="n">
        <v>10.49639681199225</v>
      </c>
      <c r="K94" t="n">
        <v>12.70489785571343</v>
      </c>
      <c r="L94" t="n">
        <v>25.97814919804231</v>
      </c>
      <c r="M94" t="n">
        <v>23.20129466770568</v>
      </c>
      <c r="N94" t="n">
        <v>20.92241102345674</v>
      </c>
      <c r="O94" t="n">
        <v>46.90056022149905</v>
      </c>
      <c r="P94" t="n">
        <v>44.12370569116243</v>
      </c>
      <c r="Q94" t="n">
        <v>36.1981811852821</v>
      </c>
      <c r="R94" t="n">
        <v>13.08404376448057</v>
      </c>
      <c r="S94" t="n">
        <v>49.28222494976268</v>
      </c>
      <c r="T94" t="n">
        <v>49.28222494976268</v>
      </c>
      <c r="U94" t="n">
        <v>2.412133333333333</v>
      </c>
      <c r="V94" t="n">
        <v>1.311877777777778</v>
      </c>
      <c r="W94" t="n">
        <v>3.724011111111111</v>
      </c>
      <c r="X94" t="n">
        <v>2.104855555555555</v>
      </c>
      <c r="Y94" t="n">
        <v>0.9838444444444444</v>
      </c>
      <c r="Z94" t="n">
        <v>3.0887</v>
      </c>
      <c r="AA94" t="n">
        <v>2.38166472826363</v>
      </c>
      <c r="AB94" t="n">
        <v>5.158519258600251</v>
      </c>
      <c r="AC94" t="n">
        <v>52.37092494976268</v>
      </c>
      <c r="AD94" t="n">
        <v>52.37092494976268</v>
      </c>
      <c r="AE94" t="n">
        <v>1.746353617152521</v>
      </c>
      <c r="AF94" t="n">
        <v>4.523208147489142</v>
      </c>
      <c r="AG94" t="n">
        <v>0</v>
      </c>
      <c r="AH94" t="n">
        <v>0</v>
      </c>
      <c r="AI94" t="n">
        <v>0</v>
      </c>
      <c r="AJ94" t="n">
        <v>0</v>
      </c>
      <c r="AK94" t="n">
        <v>0</v>
      </c>
      <c r="AL94" t="n">
        <v>46.90056022149905</v>
      </c>
      <c r="AM94" t="n">
        <v>1.746353617152521</v>
      </c>
    </row>
    <row r="95">
      <c r="A95" s="8" t="n">
        <v>47027</v>
      </c>
      <c r="B95" t="inlineStr">
        <is>
          <t>Forecast</t>
        </is>
      </c>
      <c r="C95" t="n">
        <v>6.547389981511079</v>
      </c>
      <c r="D95" t="n">
        <v>8.890954395170803</v>
      </c>
      <c r="E95" t="n">
        <v>0.7206563621337674</v>
      </c>
      <c r="F95" t="n">
        <v>2.73510225028912</v>
      </c>
      <c r="G95" t="n">
        <v>0.2393205967411053</v>
      </c>
      <c r="H95" t="n">
        <v>12.69228003083021</v>
      </c>
      <c r="I95" t="n">
        <v>14.76134596185965</v>
      </c>
      <c r="J95" t="n">
        <v>11.02796803524681</v>
      </c>
      <c r="K95" t="n">
        <v>13.5255766005821</v>
      </c>
      <c r="L95" t="n">
        <v>27.45362599268987</v>
      </c>
      <c r="M95" t="n">
        <v>24.55354463582891</v>
      </c>
      <c r="N95" t="n">
        <v>19.13342358584588</v>
      </c>
      <c r="O95" t="n">
        <v>46.58704957853574</v>
      </c>
      <c r="P95" t="n">
        <v>43.68696822167478</v>
      </c>
      <c r="Q95" t="n">
        <v>36.4497772919081</v>
      </c>
      <c r="R95" t="n">
        <v>13.12140894766497</v>
      </c>
      <c r="S95" t="n">
        <v>49.57118623957307</v>
      </c>
      <c r="T95" t="n">
        <v>49.57118623957307</v>
      </c>
      <c r="U95" t="n">
        <v>2.523494623655914</v>
      </c>
      <c r="V95" t="n">
        <v>1.779247311827957</v>
      </c>
      <c r="W95" t="n">
        <v>4.302741935483871</v>
      </c>
      <c r="X95" t="n">
        <v>1.056784946236559</v>
      </c>
      <c r="Y95" t="n">
        <v>0.6070430107526882</v>
      </c>
      <c r="Z95" t="n">
        <v>1.663827956989247</v>
      </c>
      <c r="AA95" t="n">
        <v>2.984136661037333</v>
      </c>
      <c r="AB95" t="n">
        <v>5.884218017898291</v>
      </c>
      <c r="AC95" t="n">
        <v>51.23501419656232</v>
      </c>
      <c r="AD95" t="n">
        <v>51.23501419656232</v>
      </c>
      <c r="AE95" t="n">
        <v>0.3452226825427065</v>
      </c>
      <c r="AF95" t="n">
        <v>3.245304039403665</v>
      </c>
      <c r="AG95" t="n">
        <v>0</v>
      </c>
      <c r="AH95" t="n">
        <v>0</v>
      </c>
      <c r="AI95" t="n">
        <v>0</v>
      </c>
      <c r="AJ95" t="n">
        <v>0</v>
      </c>
      <c r="AK95" t="n">
        <v>0</v>
      </c>
      <c r="AL95" t="n">
        <v>46.58704957853574</v>
      </c>
      <c r="AM95" t="n">
        <v>0.3452226825427065</v>
      </c>
    </row>
    <row r="96">
      <c r="A96" s="8" t="n">
        <v>47058</v>
      </c>
      <c r="B96" t="inlineStr">
        <is>
          <t>Forecast</t>
        </is>
      </c>
      <c r="C96" t="n">
        <v>5.768653736996765</v>
      </c>
      <c r="D96" t="n">
        <v>9.405141106166965</v>
      </c>
      <c r="E96" t="n">
        <v>1.073647048549002</v>
      </c>
      <c r="F96" t="n">
        <v>2.67327703942725</v>
      </c>
      <c r="G96" t="n">
        <v>0.2481843225463314</v>
      </c>
      <c r="H96" t="n">
        <v>13.09400310968609</v>
      </c>
      <c r="I96" t="n">
        <v>15.55304366670018</v>
      </c>
      <c r="J96" t="n">
        <v>11.51170200700679</v>
      </c>
      <c r="K96" t="n">
        <v>14.46800401383584</v>
      </c>
      <c r="L96" t="n">
        <v>28.64704677638627</v>
      </c>
      <c r="M96" t="n">
        <v>25.97970602084262</v>
      </c>
      <c r="N96" t="n">
        <v>19.16890325368632</v>
      </c>
      <c r="O96" t="n">
        <v>47.81595003007259</v>
      </c>
      <c r="P96" t="n">
        <v>45.14860927452894</v>
      </c>
      <c r="Q96" t="n">
        <v>36.69687435930132</v>
      </c>
      <c r="R96" t="n">
        <v>13.16358021942577</v>
      </c>
      <c r="S96" t="n">
        <v>49.86045457872709</v>
      </c>
      <c r="T96" t="n">
        <v>49.86045457872709</v>
      </c>
      <c r="U96" t="n">
        <v>1.881788888888889</v>
      </c>
      <c r="V96" t="n">
        <v>1.304466666666667</v>
      </c>
      <c r="W96" t="n">
        <v>3.186255555555555</v>
      </c>
      <c r="X96" t="n">
        <v>1.287677777777778</v>
      </c>
      <c r="Y96" t="n">
        <v>0.8570333333333333</v>
      </c>
      <c r="Z96" t="n">
        <v>2.144711111111111</v>
      </c>
      <c r="AA96" t="n">
        <v>2.044504548654501</v>
      </c>
      <c r="AB96" t="n">
        <v>4.71184530419815</v>
      </c>
      <c r="AC96" t="n">
        <v>52.0051656898382</v>
      </c>
      <c r="AD96" t="n">
        <v>52.0051656898382</v>
      </c>
      <c r="AE96" t="n">
        <v>1.00296010421006</v>
      </c>
      <c r="AF96" t="n">
        <v>3.670300859753708</v>
      </c>
      <c r="AG96" t="n">
        <v>0</v>
      </c>
      <c r="AH96" t="n">
        <v>0</v>
      </c>
      <c r="AI96" t="n">
        <v>0</v>
      </c>
      <c r="AJ96" t="n">
        <v>0</v>
      </c>
      <c r="AK96" t="n">
        <v>0</v>
      </c>
      <c r="AL96" t="n">
        <v>47.81595003007259</v>
      </c>
      <c r="AM96" t="n">
        <v>1.00296010421006</v>
      </c>
    </row>
    <row r="97">
      <c r="A97" s="8" t="n">
        <v>47088</v>
      </c>
      <c r="B97" t="inlineStr">
        <is>
          <t>Forecast</t>
        </is>
      </c>
      <c r="C97" t="n">
        <v>5.545530228640029</v>
      </c>
      <c r="D97" t="n">
        <v>9.812962091444904</v>
      </c>
      <c r="E97" t="n">
        <v>1.646386243078595</v>
      </c>
      <c r="F97" t="n">
        <v>2.551527834641582</v>
      </c>
      <c r="G97" t="n">
        <v>0.2570480483515575</v>
      </c>
      <c r="H97" t="n">
        <v>13.04702460392214</v>
      </c>
      <c r="I97" t="n">
        <v>15.99128000904985</v>
      </c>
      <c r="J97" t="n">
        <v>11.67019497240357</v>
      </c>
      <c r="K97" t="n">
        <v>15.09878985565174</v>
      </c>
      <c r="L97" t="n">
        <v>29.03830461297199</v>
      </c>
      <c r="M97" t="n">
        <v>26.76898482805531</v>
      </c>
      <c r="N97" t="n">
        <v>19.81345444615667</v>
      </c>
      <c r="O97" t="n">
        <v>48.85175905912865</v>
      </c>
      <c r="P97" t="n">
        <v>46.58243927421198</v>
      </c>
      <c r="Q97" t="n">
        <v>36.93394943284404</v>
      </c>
      <c r="R97" t="n">
        <v>13.20421864509259</v>
      </c>
      <c r="S97" t="n">
        <v>50.13816807793663</v>
      </c>
      <c r="T97" t="n">
        <v>50.13816807793663</v>
      </c>
      <c r="U97" t="n">
        <v>1.379204301075269</v>
      </c>
      <c r="V97" t="n">
        <v>1.143408602150538</v>
      </c>
      <c r="W97" t="n">
        <v>2.522612903225806</v>
      </c>
      <c r="X97" t="n">
        <v>2.158774193548387</v>
      </c>
      <c r="Y97" t="n">
        <v>1.674903225806452</v>
      </c>
      <c r="Z97" t="n">
        <v>3.833677419354839</v>
      </c>
      <c r="AA97" t="n">
        <v>1.286409018807973</v>
      </c>
      <c r="AB97" t="n">
        <v>3.555728803724648</v>
      </c>
      <c r="AC97" t="n">
        <v>53.97184549729147</v>
      </c>
      <c r="AD97" t="n">
        <v>53.97184549729147</v>
      </c>
      <c r="AE97" t="n">
        <v>2.597473534937009</v>
      </c>
      <c r="AF97" t="n">
        <v>4.866793319853684</v>
      </c>
      <c r="AG97" t="n">
        <v>0</v>
      </c>
      <c r="AH97" t="n">
        <v>0</v>
      </c>
      <c r="AI97" t="n">
        <v>0</v>
      </c>
      <c r="AJ97" t="n">
        <v>0</v>
      </c>
      <c r="AK97" t="n">
        <v>0</v>
      </c>
      <c r="AL97" t="n">
        <v>48.85175905912865</v>
      </c>
      <c r="AM97" t="n">
        <v>2.597473534937009</v>
      </c>
    </row>
    <row r="98">
      <c r="A98" s="8" t="n">
        <v>47119</v>
      </c>
      <c r="B98" t="inlineStr">
        <is>
          <t>Scenario</t>
        </is>
      </c>
      <c r="C98" t="n">
        <v>6.681806447686583</v>
      </c>
      <c r="D98" t="n">
        <v>9.474156807618703</v>
      </c>
      <c r="E98" t="n">
        <v>2.641321436577481</v>
      </c>
      <c r="F98" t="n">
        <v>2.810892814802997</v>
      </c>
      <c r="G98" t="n">
        <v>0.2659117741567836</v>
      </c>
      <c r="H98" t="n">
        <v>12.67205817734582</v>
      </c>
      <c r="I98" t="n">
        <v>15.98037259467834</v>
      </c>
      <c r="J98" t="n">
        <v>11.54049810424927</v>
      </c>
      <c r="K98" t="n">
        <v>15.31146154532932</v>
      </c>
      <c r="L98" t="n">
        <v>28.65243077202416</v>
      </c>
      <c r="M98" t="n">
        <v>26.85195964957859</v>
      </c>
      <c r="N98" t="n">
        <v>21.87408928084255</v>
      </c>
      <c r="O98" t="n">
        <v>50.52652005286672</v>
      </c>
      <c r="P98" t="n">
        <v>48.72604893042114</v>
      </c>
      <c r="Q98" t="n">
        <v>37.04951749580509</v>
      </c>
      <c r="R98" t="n">
        <v>13.23478928944815</v>
      </c>
      <c r="S98" t="n">
        <v>50.28430678525324</v>
      </c>
      <c r="T98" t="n">
        <v>50.28430678525324</v>
      </c>
      <c r="U98" t="n">
        <v>0.9953118279569892</v>
      </c>
      <c r="V98" t="n">
        <v>0.7306666666666666</v>
      </c>
      <c r="W98" t="n">
        <v>1.725978494623656</v>
      </c>
      <c r="X98" t="n">
        <v>4.435344086021505</v>
      </c>
      <c r="Y98" t="n">
        <v>3.898569892473118</v>
      </c>
      <c r="Z98" t="n">
        <v>8.333913978494623</v>
      </c>
      <c r="AA98" t="n">
        <v>-0.2422132676134723</v>
      </c>
      <c r="AB98" t="n">
        <v>1.5582578548321</v>
      </c>
      <c r="AC98" t="n">
        <v>58.61822076374786</v>
      </c>
      <c r="AD98" t="n">
        <v>58.61822076374786</v>
      </c>
      <c r="AE98" t="n">
        <v>6.365722216257494</v>
      </c>
      <c r="AF98" t="n">
        <v>8.166193338703065</v>
      </c>
      <c r="AG98" t="n">
        <v>0</v>
      </c>
      <c r="AH98" t="n">
        <v>0</v>
      </c>
      <c r="AI98" t="n">
        <v>0</v>
      </c>
      <c r="AJ98" t="n">
        <v>0</v>
      </c>
      <c r="AK98" t="n">
        <v>0</v>
      </c>
      <c r="AL98" t="n">
        <v>50.52652005286672</v>
      </c>
      <c r="AM98" t="n">
        <v>6.365722216257494</v>
      </c>
    </row>
    <row r="99">
      <c r="A99" s="8" t="n">
        <v>47150</v>
      </c>
      <c r="B99" t="inlineStr">
        <is>
          <t>Scenario</t>
        </is>
      </c>
      <c r="C99" t="n">
        <v>5.541170557383547</v>
      </c>
      <c r="D99" t="n">
        <v>9.157689759576485</v>
      </c>
      <c r="E99" t="n">
        <v>1.920237068633452</v>
      </c>
      <c r="F99" t="n">
        <v>2.763326342951468</v>
      </c>
      <c r="G99" t="n">
        <v>0.2747754999620097</v>
      </c>
      <c r="H99" t="n">
        <v>12.56022123652036</v>
      </c>
      <c r="I99" t="n">
        <v>15.94380196769204</v>
      </c>
      <c r="J99" t="n">
        <v>11.57722821411672</v>
      </c>
      <c r="K99" t="n">
        <v>15.49888179070053</v>
      </c>
      <c r="L99" t="n">
        <v>28.50402320421241</v>
      </c>
      <c r="M99" t="n">
        <v>27.07611000481725</v>
      </c>
      <c r="N99" t="n">
        <v>19.65719922850696</v>
      </c>
      <c r="O99" t="n">
        <v>48.16122243271937</v>
      </c>
      <c r="P99" t="n">
        <v>46.73330923332422</v>
      </c>
      <c r="Q99" t="n">
        <v>37.16545071279388</v>
      </c>
      <c r="R99" t="n">
        <v>13.26543042469464</v>
      </c>
      <c r="S99" t="n">
        <v>50.43088113748851</v>
      </c>
      <c r="T99" t="n">
        <v>50.43088113748851</v>
      </c>
      <c r="U99" t="n">
        <v>1.637940886699507</v>
      </c>
      <c r="V99" t="n">
        <v>1.108112479474548</v>
      </c>
      <c r="W99" t="n">
        <v>2.746053366174056</v>
      </c>
      <c r="X99" t="n">
        <v>2.852903530377668</v>
      </c>
      <c r="Y99" t="n">
        <v>2.522028325123153</v>
      </c>
      <c r="Z99" t="n">
        <v>5.374931855500821</v>
      </c>
      <c r="AA99" t="n">
        <v>2.269658704769142</v>
      </c>
      <c r="AB99" t="n">
        <v>3.697571904164292</v>
      </c>
      <c r="AC99" t="n">
        <v>55.80581299298933</v>
      </c>
      <c r="AD99" t="n">
        <v>55.80581299298933</v>
      </c>
      <c r="AE99" t="n">
        <v>4.898537194095905</v>
      </c>
      <c r="AF99" t="n">
        <v>6.326450393491054</v>
      </c>
      <c r="AG99" t="n">
        <v>0</v>
      </c>
      <c r="AH99" t="n">
        <v>0</v>
      </c>
      <c r="AI99" t="n">
        <v>0</v>
      </c>
      <c r="AJ99" t="n">
        <v>0</v>
      </c>
      <c r="AK99" t="n">
        <v>0</v>
      </c>
      <c r="AL99" t="n">
        <v>48.16122243271937</v>
      </c>
      <c r="AM99" t="n">
        <v>4.898537194095905</v>
      </c>
    </row>
    <row r="100">
      <c r="A100" s="8" t="n">
        <v>47178</v>
      </c>
      <c r="B100" t="inlineStr">
        <is>
          <t>Scenario</t>
        </is>
      </c>
      <c r="C100" t="n">
        <v>4.994320286332644</v>
      </c>
      <c r="D100" t="n">
        <v>9.17112641016217</v>
      </c>
      <c r="E100" t="n">
        <v>1.082934655642286</v>
      </c>
      <c r="F100" t="n">
        <v>2.662850686577613</v>
      </c>
      <c r="G100" t="n">
        <v>0.2836392257672359</v>
      </c>
      <c r="H100" t="n">
        <v>12.25593655124702</v>
      </c>
      <c r="I100" t="n">
        <v>15.81797826756367</v>
      </c>
      <c r="J100" t="n">
        <v>11.49280796682429</v>
      </c>
      <c r="K100" t="n">
        <v>15.59727376732234</v>
      </c>
      <c r="L100" t="n">
        <v>28.07391481881069</v>
      </c>
      <c r="M100" t="n">
        <v>27.09008173414663</v>
      </c>
      <c r="N100" t="n">
        <v>18.19487126448195</v>
      </c>
      <c r="O100" t="n">
        <v>46.26878608329264</v>
      </c>
      <c r="P100" t="n">
        <v>45.28495299862858</v>
      </c>
      <c r="Q100" t="n">
        <v>37.28175027274523</v>
      </c>
      <c r="R100" t="n">
        <v>13.29614221337248</v>
      </c>
      <c r="S100" t="n">
        <v>50.5778924861177</v>
      </c>
      <c r="T100" t="n">
        <v>50.5778924861177</v>
      </c>
      <c r="U100" t="n">
        <v>2.392172043010753</v>
      </c>
      <c r="V100" t="n">
        <v>1.836397849462366</v>
      </c>
      <c r="W100" t="n">
        <v>4.228569892473119</v>
      </c>
      <c r="X100" t="n">
        <v>1.187268817204301</v>
      </c>
      <c r="Y100" t="n">
        <v>1.039376344086022</v>
      </c>
      <c r="Z100" t="n">
        <v>2.226645161290323</v>
      </c>
      <c r="AA100" t="n">
        <v>4.309106402825066</v>
      </c>
      <c r="AB100" t="n">
        <v>5.292939487489122</v>
      </c>
      <c r="AC100" t="n">
        <v>52.80453764740803</v>
      </c>
      <c r="AD100" t="n">
        <v>52.80453764740803</v>
      </c>
      <c r="AE100" t="n">
        <v>2.307181671642268</v>
      </c>
      <c r="AF100" t="n">
        <v>3.291014756306324</v>
      </c>
      <c r="AG100" t="n">
        <v>0</v>
      </c>
      <c r="AH100" t="n">
        <v>0</v>
      </c>
      <c r="AI100" t="n">
        <v>0</v>
      </c>
      <c r="AJ100" t="n">
        <v>0</v>
      </c>
      <c r="AK100" t="n">
        <v>0</v>
      </c>
      <c r="AL100" t="n">
        <v>46.26878608329264</v>
      </c>
      <c r="AM100" t="n">
        <v>2.307181671642268</v>
      </c>
    </row>
    <row r="101">
      <c r="A101" s="8" t="n">
        <v>47209</v>
      </c>
      <c r="B101" t="inlineStr">
        <is>
          <t>Scenario</t>
        </is>
      </c>
      <c r="C101" t="n">
        <v>5.557724630213094</v>
      </c>
      <c r="D101" t="n">
        <v>9.257192477516844</v>
      </c>
      <c r="E101" t="n">
        <v>0.8332925223914077</v>
      </c>
      <c r="F101" t="n">
        <v>2.866903990894866</v>
      </c>
      <c r="G101" t="n">
        <v>0.292502951572462</v>
      </c>
      <c r="H101" t="n">
        <v>11.8381445387415</v>
      </c>
      <c r="I101" t="n">
        <v>15.31978044227872</v>
      </c>
      <c r="J101" t="n">
        <v>11.33789533324224</v>
      </c>
      <c r="K101" t="n">
        <v>15.13700853656565</v>
      </c>
      <c r="L101" t="n">
        <v>27.15792498102023</v>
      </c>
      <c r="M101" t="n">
        <v>26.47490386980789</v>
      </c>
      <c r="N101" t="n">
        <v>18.80761657258867</v>
      </c>
      <c r="O101" t="n">
        <v>45.9655415536089</v>
      </c>
      <c r="P101" t="n">
        <v>45.28252044239656</v>
      </c>
      <c r="Q101" t="n">
        <v>37.39841736854674</v>
      </c>
      <c r="R101" t="n">
        <v>13.3269248183969</v>
      </c>
      <c r="S101" t="n">
        <v>50.72534218694364</v>
      </c>
      <c r="T101" t="n">
        <v>50.72534218694364</v>
      </c>
      <c r="U101" t="n">
        <v>2.271922222222222</v>
      </c>
      <c r="V101" t="n">
        <v>1.879377777777778</v>
      </c>
      <c r="W101" t="n">
        <v>4.151300000000001</v>
      </c>
      <c r="X101" t="n">
        <v>1.159666666666667</v>
      </c>
      <c r="Y101" t="n">
        <v>0.9012333333333333</v>
      </c>
      <c r="Z101" t="n">
        <v>2.0609</v>
      </c>
      <c r="AA101" t="n">
        <v>4.759800633334734</v>
      </c>
      <c r="AB101" t="n">
        <v>5.442821744547075</v>
      </c>
      <c r="AC101" t="n">
        <v>52.78624218694364</v>
      </c>
      <c r="AD101" t="n">
        <v>52.78624218694364</v>
      </c>
      <c r="AE101" t="n">
        <v>2.669400633334737</v>
      </c>
      <c r="AF101" t="n">
        <v>3.352421744547078</v>
      </c>
      <c r="AG101" t="n">
        <v>0</v>
      </c>
      <c r="AH101" t="n">
        <v>0</v>
      </c>
      <c r="AI101" t="n">
        <v>0</v>
      </c>
      <c r="AJ101" t="n">
        <v>0</v>
      </c>
      <c r="AK101" t="n">
        <v>0</v>
      </c>
      <c r="AL101" t="n">
        <v>45.9655415536089</v>
      </c>
      <c r="AM101" t="n">
        <v>2.669400633334737</v>
      </c>
    </row>
    <row r="102">
      <c r="A102" s="8" t="n">
        <v>47239</v>
      </c>
      <c r="B102" t="inlineStr">
        <is>
          <t>Scenario</t>
        </is>
      </c>
      <c r="C102" t="n">
        <v>7.040616585871298</v>
      </c>
      <c r="D102" t="n">
        <v>9.097697038797511</v>
      </c>
      <c r="E102" t="n">
        <v>0.664959609268158</v>
      </c>
      <c r="F102" t="n">
        <v>3.115965435072403</v>
      </c>
      <c r="G102" t="n">
        <v>0.3013666773776881</v>
      </c>
      <c r="H102" t="n">
        <v>12.20315815805368</v>
      </c>
      <c r="I102" t="n">
        <v>14.45023543600952</v>
      </c>
      <c r="J102" t="n">
        <v>11.80516970389002</v>
      </c>
      <c r="K102" t="n">
        <v>14.16517298407257</v>
      </c>
      <c r="L102" t="n">
        <v>26.6533935940632</v>
      </c>
      <c r="M102" t="n">
        <v>25.97034268796259</v>
      </c>
      <c r="N102" t="n">
        <v>20.22060534638706</v>
      </c>
      <c r="O102" t="n">
        <v>46.87399894045026</v>
      </c>
      <c r="P102" t="n">
        <v>46.19094803434965</v>
      </c>
      <c r="Q102" t="n">
        <v>37.51545319705213</v>
      </c>
      <c r="R102" t="n">
        <v>13.35777840305877</v>
      </c>
      <c r="S102" t="n">
        <v>50.8732316001109</v>
      </c>
      <c r="T102" t="n">
        <v>50.8732316001109</v>
      </c>
      <c r="U102" t="n">
        <v>2.179247311827957</v>
      </c>
      <c r="V102" t="n">
        <v>1.901956989247312</v>
      </c>
      <c r="W102" t="n">
        <v>4.081204301075269</v>
      </c>
      <c r="X102" t="n">
        <v>1.123032258064516</v>
      </c>
      <c r="Y102" t="n">
        <v>0.6363225806451612</v>
      </c>
      <c r="Z102" t="n">
        <v>1.759354838709677</v>
      </c>
      <c r="AA102" t="n">
        <v>3.999232659660635</v>
      </c>
      <c r="AB102" t="n">
        <v>4.682283565761253</v>
      </c>
      <c r="AC102" t="n">
        <v>52.63258643882057</v>
      </c>
      <c r="AD102" t="n">
        <v>52.63258643882057</v>
      </c>
      <c r="AE102" t="n">
        <v>1.677383197295041</v>
      </c>
      <c r="AF102" t="n">
        <v>2.36043410339566</v>
      </c>
      <c r="AG102" t="n">
        <v>0</v>
      </c>
      <c r="AH102" t="n">
        <v>0</v>
      </c>
      <c r="AI102" t="n">
        <v>0</v>
      </c>
      <c r="AJ102" t="n">
        <v>0</v>
      </c>
      <c r="AK102" t="n">
        <v>0</v>
      </c>
      <c r="AL102" t="n">
        <v>46.87399894045026</v>
      </c>
      <c r="AM102" t="n">
        <v>1.677383197295041</v>
      </c>
    </row>
    <row r="103">
      <c r="A103" s="8" t="n">
        <v>47270</v>
      </c>
      <c r="B103" t="inlineStr">
        <is>
          <t>Scenario</t>
        </is>
      </c>
      <c r="C103" t="n">
        <v>8.10365658207639</v>
      </c>
      <c r="D103" t="n">
        <v>9.145033427501591</v>
      </c>
      <c r="E103" t="n">
        <v>0.6532065848055395</v>
      </c>
      <c r="F103" t="n">
        <v>3.055522244581936</v>
      </c>
      <c r="G103" t="n">
        <v>0.3102304031829142</v>
      </c>
      <c r="H103" t="n">
        <v>12.32918349618877</v>
      </c>
      <c r="I103" t="n">
        <v>14.12063813272129</v>
      </c>
      <c r="J103" t="n">
        <v>12.045985552518</v>
      </c>
      <c r="K103" t="n">
        <v>13.73370676378307</v>
      </c>
      <c r="L103" t="n">
        <v>26.44982162891006</v>
      </c>
      <c r="M103" t="n">
        <v>25.77969231630107</v>
      </c>
      <c r="N103" t="n">
        <v>21.26764924214837</v>
      </c>
      <c r="O103" t="n">
        <v>47.71747087105842</v>
      </c>
      <c r="P103" t="n">
        <v>47.04734155844943</v>
      </c>
      <c r="Q103" t="n">
        <v>37.63285895909468</v>
      </c>
      <c r="R103" t="n">
        <v>13.3887031310255</v>
      </c>
      <c r="S103" t="n">
        <v>51.02156209012018</v>
      </c>
      <c r="T103" t="n">
        <v>51.02156209012018</v>
      </c>
      <c r="U103" t="n">
        <v>1.835466666666667</v>
      </c>
      <c r="V103" t="n">
        <v>1.611388888888889</v>
      </c>
      <c r="W103" t="n">
        <v>3.446855555555556</v>
      </c>
      <c r="X103" t="n">
        <v>1.149211111111111</v>
      </c>
      <c r="Y103" t="n">
        <v>0.8488000000000001</v>
      </c>
      <c r="Z103" t="n">
        <v>1.998011111111111</v>
      </c>
      <c r="AA103" t="n">
        <v>3.304091219061753</v>
      </c>
      <c r="AB103" t="n">
        <v>3.974220531670746</v>
      </c>
      <c r="AC103" t="n">
        <v>53.01957320123129</v>
      </c>
      <c r="AD103" t="n">
        <v>53.01957320123129</v>
      </c>
      <c r="AE103" t="n">
        <v>1.855246774617309</v>
      </c>
      <c r="AF103" t="n">
        <v>2.525376087226301</v>
      </c>
      <c r="AG103" t="n">
        <v>0</v>
      </c>
      <c r="AH103" t="n">
        <v>0</v>
      </c>
      <c r="AI103" t="n">
        <v>0</v>
      </c>
      <c r="AJ103" t="n">
        <v>0</v>
      </c>
      <c r="AK103" t="n">
        <v>0</v>
      </c>
      <c r="AL103" t="n">
        <v>47.71747087105842</v>
      </c>
      <c r="AM103" t="n">
        <v>1.855246774617309</v>
      </c>
    </row>
    <row r="104">
      <c r="A104" s="8" t="n">
        <v>47300</v>
      </c>
      <c r="B104" t="inlineStr">
        <is>
          <t>Scenario</t>
        </is>
      </c>
      <c r="C104" t="n">
        <v>8.799789554774062</v>
      </c>
      <c r="D104" t="n">
        <v>9.202091508888227</v>
      </c>
      <c r="E104" t="n">
        <v>0.612926231081127</v>
      </c>
      <c r="F104" t="n">
        <v>2.915876987978199</v>
      </c>
      <c r="G104" t="n">
        <v>0.3190941289881403</v>
      </c>
      <c r="H104" t="n">
        <v>11.99695972456145</v>
      </c>
      <c r="I104" t="n">
        <v>14.50687355059762</v>
      </c>
      <c r="J104" t="n">
        <v>11.83708960277404</v>
      </c>
      <c r="K104" t="n">
        <v>13.77345467279039</v>
      </c>
      <c r="L104" t="n">
        <v>26.50383327515907</v>
      </c>
      <c r="M104" t="n">
        <v>25.61054427556443</v>
      </c>
      <c r="N104" t="n">
        <v>21.84977841170975</v>
      </c>
      <c r="O104" t="n">
        <v>48.35361168686883</v>
      </c>
      <c r="P104" t="n">
        <v>47.46032268727419</v>
      </c>
      <c r="Q104" t="n">
        <v>37.75063585950051</v>
      </c>
      <c r="R104" t="n">
        <v>13.41969916634187</v>
      </c>
      <c r="S104" t="n">
        <v>51.17033502584238</v>
      </c>
      <c r="T104" t="n">
        <v>51.17033502584238</v>
      </c>
      <c r="U104" t="n">
        <v>1.445075268817204</v>
      </c>
      <c r="V104" t="n">
        <v>1.232569892473118</v>
      </c>
      <c r="W104" t="n">
        <v>2.677645161290322</v>
      </c>
      <c r="X104" t="n">
        <v>1.521387096774194</v>
      </c>
      <c r="Y104" t="n">
        <v>1.100247311827957</v>
      </c>
      <c r="Z104" t="n">
        <v>2.621634408602151</v>
      </c>
      <c r="AA104" t="n">
        <v>2.816723338973546</v>
      </c>
      <c r="AB104" t="n">
        <v>3.710012338568191</v>
      </c>
      <c r="AC104" t="n">
        <v>53.79196943444452</v>
      </c>
      <c r="AD104" t="n">
        <v>53.79196943444452</v>
      </c>
      <c r="AE104" t="n">
        <v>2.760712586285371</v>
      </c>
      <c r="AF104" t="n">
        <v>3.654001585880017</v>
      </c>
      <c r="AG104" t="n">
        <v>0</v>
      </c>
      <c r="AH104" t="n">
        <v>0</v>
      </c>
      <c r="AI104" t="n">
        <v>0</v>
      </c>
      <c r="AJ104" t="n">
        <v>0</v>
      </c>
      <c r="AK104" t="n">
        <v>0</v>
      </c>
      <c r="AL104" t="n">
        <v>48.35361168686883</v>
      </c>
      <c r="AM104" t="n">
        <v>2.760712586285371</v>
      </c>
    </row>
    <row r="105">
      <c r="A105" s="8" t="n">
        <v>47331</v>
      </c>
      <c r="B105" t="inlineStr">
        <is>
          <t>Scenario</t>
        </is>
      </c>
      <c r="C105" t="n">
        <v>9.730985823306439</v>
      </c>
      <c r="D105" t="n">
        <v>9.177107646616571</v>
      </c>
      <c r="E105" t="n">
        <v>0.5822436814567213</v>
      </c>
      <c r="F105" t="n">
        <v>2.98423815010606</v>
      </c>
      <c r="G105" t="n">
        <v>0.3279578547933664</v>
      </c>
      <c r="H105" t="n">
        <v>12.31445570816869</v>
      </c>
      <c r="I105" t="n">
        <v>14.76004136439691</v>
      </c>
      <c r="J105" t="n">
        <v>12.23240518957855</v>
      </c>
      <c r="K105" t="n">
        <v>13.80297000728518</v>
      </c>
      <c r="L105" t="n">
        <v>27.0744970725656</v>
      </c>
      <c r="M105" t="n">
        <v>26.03537519686373</v>
      </c>
      <c r="N105" t="n">
        <v>22.80253315627916</v>
      </c>
      <c r="O105" t="n">
        <v>49.87703022884476</v>
      </c>
      <c r="P105" t="n">
        <v>48.83790835314288</v>
      </c>
      <c r="Q105" t="n">
        <v>37.86878510710218</v>
      </c>
      <c r="R105" t="n">
        <v>13.45076667343094</v>
      </c>
      <c r="S105" t="n">
        <v>51.31955178053312</v>
      </c>
      <c r="T105" t="n">
        <v>51.31955178053312</v>
      </c>
      <c r="U105" t="n">
        <v>1.741763440860215</v>
      </c>
      <c r="V105" t="n">
        <v>0.9842580645161288</v>
      </c>
      <c r="W105" t="n">
        <v>2.726021505376344</v>
      </c>
      <c r="X105" t="n">
        <v>2.883548387096774</v>
      </c>
      <c r="Y105" t="n">
        <v>1.349731182795699</v>
      </c>
      <c r="Z105" t="n">
        <v>4.233279569892473</v>
      </c>
      <c r="AA105" t="n">
        <v>1.442521551688358</v>
      </c>
      <c r="AB105" t="n">
        <v>2.481643427390239</v>
      </c>
      <c r="AC105" t="n">
        <v>55.55283135042559</v>
      </c>
      <c r="AD105" t="n">
        <v>55.55283135042559</v>
      </c>
      <c r="AE105" t="n">
        <v>2.949779616204489</v>
      </c>
      <c r="AF105" t="n">
        <v>3.988901491906369</v>
      </c>
      <c r="AG105" t="n">
        <v>0</v>
      </c>
      <c r="AH105" t="n">
        <v>0</v>
      </c>
      <c r="AI105" t="n">
        <v>0</v>
      </c>
      <c r="AJ105" t="n">
        <v>0</v>
      </c>
      <c r="AK105" t="n">
        <v>0</v>
      </c>
      <c r="AL105" t="n">
        <v>49.87703022884476</v>
      </c>
      <c r="AM105" t="n">
        <v>2.949779616204489</v>
      </c>
    </row>
    <row r="106">
      <c r="A106" s="8" t="n">
        <v>47362</v>
      </c>
      <c r="B106" t="inlineStr">
        <is>
          <t>Scenario</t>
        </is>
      </c>
      <c r="C106" t="n">
        <v>8.206388218162846</v>
      </c>
      <c r="D106" t="n">
        <v>9.115980756012775</v>
      </c>
      <c r="E106" t="n">
        <v>0.5958114163261953</v>
      </c>
      <c r="F106" t="n">
        <v>2.80921874292457</v>
      </c>
      <c r="G106" t="n">
        <v>0.3368215805985925</v>
      </c>
      <c r="H106" t="n">
        <v>12.89759651652548</v>
      </c>
      <c r="I106" t="n">
        <v>15.28291698089712</v>
      </c>
      <c r="J106" t="n">
        <v>12.89759651652548</v>
      </c>
      <c r="K106" t="n">
        <v>14.08009106043028</v>
      </c>
      <c r="L106" t="n">
        <v>28.1805134974226</v>
      </c>
      <c r="M106" t="n">
        <v>26.97768757695576</v>
      </c>
      <c r="N106" t="n">
        <v>21.06422071402498</v>
      </c>
      <c r="O106" t="n">
        <v>49.24473421144758</v>
      </c>
      <c r="P106" t="n">
        <v>48.04190829098074</v>
      </c>
      <c r="Q106" t="n">
        <v>37.98730791475212</v>
      </c>
      <c r="R106" t="n">
        <v>13.48190581709489</v>
      </c>
      <c r="S106" t="n">
        <v>51.46921373184701</v>
      </c>
      <c r="T106" t="n">
        <v>51.46921373184701</v>
      </c>
      <c r="U106" t="n">
        <v>2.412133333333333</v>
      </c>
      <c r="V106" t="n">
        <v>1.311877777777778</v>
      </c>
      <c r="W106" t="n">
        <v>3.724011111111111</v>
      </c>
      <c r="X106" t="n">
        <v>2.104855555555555</v>
      </c>
      <c r="Y106" t="n">
        <v>0.9838444444444444</v>
      </c>
      <c r="Z106" t="n">
        <v>3.0887</v>
      </c>
      <c r="AA106" t="n">
        <v>2.224479520399427</v>
      </c>
      <c r="AB106" t="n">
        <v>3.427305440866263</v>
      </c>
      <c r="AC106" t="n">
        <v>54.55791373184701</v>
      </c>
      <c r="AD106" t="n">
        <v>54.55791373184701</v>
      </c>
      <c r="AE106" t="n">
        <v>1.589168409288319</v>
      </c>
      <c r="AF106" t="n">
        <v>2.791994329755155</v>
      </c>
      <c r="AG106" t="n">
        <v>0</v>
      </c>
      <c r="AH106" t="n">
        <v>0</v>
      </c>
      <c r="AI106" t="n">
        <v>0</v>
      </c>
      <c r="AJ106" t="n">
        <v>0</v>
      </c>
      <c r="AK106" t="n">
        <v>0</v>
      </c>
      <c r="AL106" t="n">
        <v>49.24473421144758</v>
      </c>
      <c r="AM106" t="n">
        <v>1.589168409288319</v>
      </c>
    </row>
    <row r="107">
      <c r="A107" s="8" t="n">
        <v>47392</v>
      </c>
      <c r="B107" t="inlineStr">
        <is>
          <t>Scenario</t>
        </is>
      </c>
      <c r="C107" t="n">
        <v>6.579761026617127</v>
      </c>
      <c r="D107" t="n">
        <v>8.963668694943564</v>
      </c>
      <c r="E107" t="n">
        <v>0.7007042229299073</v>
      </c>
      <c r="F107" t="n">
        <v>2.679703912145565</v>
      </c>
      <c r="G107" t="n">
        <v>0.3456853064038187</v>
      </c>
      <c r="H107" t="n">
        <v>13.25228722923687</v>
      </c>
      <c r="I107" t="n">
        <v>16.25987020647609</v>
      </c>
      <c r="J107" t="n">
        <v>13.25228722923687</v>
      </c>
      <c r="K107" t="n">
        <v>14.93958192742853</v>
      </c>
      <c r="L107" t="n">
        <v>29.51215743571296</v>
      </c>
      <c r="M107" t="n">
        <v>28.1918691566654</v>
      </c>
      <c r="N107" t="n">
        <v>19.26952316303998</v>
      </c>
      <c r="O107" t="n">
        <v>48.78168059875295</v>
      </c>
      <c r="P107" t="n">
        <v>47.46139231970539</v>
      </c>
      <c r="Q107" t="n">
        <v>38.10620549933621</v>
      </c>
      <c r="R107" t="n">
        <v>13.5131167625159</v>
      </c>
      <c r="S107" t="n">
        <v>51.61932226185212</v>
      </c>
      <c r="T107" t="n">
        <v>51.61932226185212</v>
      </c>
      <c r="U107" t="n">
        <v>2.523494623655914</v>
      </c>
      <c r="V107" t="n">
        <v>1.779247311827957</v>
      </c>
      <c r="W107" t="n">
        <v>4.302741935483871</v>
      </c>
      <c r="X107" t="n">
        <v>1.056784946236559</v>
      </c>
      <c r="Y107" t="n">
        <v>0.6070430107526882</v>
      </c>
      <c r="Z107" t="n">
        <v>1.663827956989247</v>
      </c>
      <c r="AA107" t="n">
        <v>2.83764166309917</v>
      </c>
      <c r="AB107" t="n">
        <v>4.15792994214673</v>
      </c>
      <c r="AC107" t="n">
        <v>53.28315021884136</v>
      </c>
      <c r="AD107" t="n">
        <v>53.28315021884136</v>
      </c>
      <c r="AE107" t="n">
        <v>0.1987276846045436</v>
      </c>
      <c r="AF107" t="n">
        <v>1.519015963652103</v>
      </c>
      <c r="AG107" t="n">
        <v>0</v>
      </c>
      <c r="AH107" t="n">
        <v>0</v>
      </c>
      <c r="AI107" t="n">
        <v>0</v>
      </c>
      <c r="AJ107" t="n">
        <v>0</v>
      </c>
      <c r="AK107" t="n">
        <v>0</v>
      </c>
      <c r="AL107" t="n">
        <v>48.78168059875295</v>
      </c>
      <c r="AM107" t="n">
        <v>0.1987276846045436</v>
      </c>
    </row>
    <row r="108">
      <c r="A108" s="8" t="n">
        <v>47423</v>
      </c>
      <c r="B108" t="inlineStr">
        <is>
          <t>Scenario</t>
        </is>
      </c>
      <c r="C108" t="n">
        <v>5.801390833965021</v>
      </c>
      <c r="D108" t="n">
        <v>9.482013027245753</v>
      </c>
      <c r="E108" t="n">
        <v>1.043517522714156</v>
      </c>
      <c r="F108" t="n">
        <v>2.61913094475531</v>
      </c>
      <c r="G108" t="n">
        <v>0.3545490322090448</v>
      </c>
      <c r="H108" t="n">
        <v>13.53544208829908</v>
      </c>
      <c r="I108" t="n">
        <v>17.38217688382564</v>
      </c>
      <c r="J108" t="n">
        <v>13.53544208829908</v>
      </c>
      <c r="K108" t="n">
        <v>15.8660358742572</v>
      </c>
      <c r="L108" t="n">
        <v>30.91761897212472</v>
      </c>
      <c r="M108" t="n">
        <v>29.40147796255629</v>
      </c>
      <c r="N108" t="n">
        <v>19.30060136088929</v>
      </c>
      <c r="O108" t="n">
        <v>50.218220333014</v>
      </c>
      <c r="P108" t="n">
        <v>48.70207932344557</v>
      </c>
      <c r="Q108" t="n">
        <v>38.22547908178736</v>
      </c>
      <c r="R108" t="n">
        <v>13.54439967525706</v>
      </c>
      <c r="S108" t="n">
        <v>51.76987875704442</v>
      </c>
      <c r="T108" t="n">
        <v>51.76987875704442</v>
      </c>
      <c r="U108" t="n">
        <v>1.881788888888889</v>
      </c>
      <c r="V108" t="n">
        <v>1.304466666666667</v>
      </c>
      <c r="W108" t="n">
        <v>3.186255555555555</v>
      </c>
      <c r="X108" t="n">
        <v>1.287677777777778</v>
      </c>
      <c r="Y108" t="n">
        <v>0.8570333333333333</v>
      </c>
      <c r="Z108" t="n">
        <v>2.144711111111111</v>
      </c>
      <c r="AA108" t="n">
        <v>1.551658424030421</v>
      </c>
      <c r="AB108" t="n">
        <v>3.06779943359885</v>
      </c>
      <c r="AC108" t="n">
        <v>53.91458986815554</v>
      </c>
      <c r="AD108" t="n">
        <v>53.91458986815554</v>
      </c>
      <c r="AE108" t="n">
        <v>0.5101139795859799</v>
      </c>
      <c r="AF108" t="n">
        <v>2.026254989154409</v>
      </c>
      <c r="AG108" t="n">
        <v>0</v>
      </c>
      <c r="AH108" t="n">
        <v>0</v>
      </c>
      <c r="AI108" t="n">
        <v>0</v>
      </c>
      <c r="AJ108" t="n">
        <v>0</v>
      </c>
      <c r="AK108" t="n">
        <v>0</v>
      </c>
      <c r="AL108" t="n">
        <v>50.218220333014</v>
      </c>
      <c r="AM108" t="n">
        <v>0.5101139795859799</v>
      </c>
    </row>
    <row r="109">
      <c r="A109" s="8" t="n">
        <v>47453</v>
      </c>
      <c r="B109" t="inlineStr">
        <is>
          <t>Scenario</t>
        </is>
      </c>
      <c r="C109" t="n">
        <v>5.573405948551158</v>
      </c>
      <c r="D109" t="n">
        <v>9.893204821212841</v>
      </c>
      <c r="E109" t="n">
        <v>1.599454685540496</v>
      </c>
      <c r="F109" t="n">
        <v>2.499847718568692</v>
      </c>
      <c r="G109" t="n">
        <v>0.3634127580142709</v>
      </c>
      <c r="H109" t="n">
        <v>13.35375671170559</v>
      </c>
      <c r="I109" t="n">
        <v>18.12924181730824</v>
      </c>
      <c r="J109" t="n">
        <v>13.35375671170559</v>
      </c>
      <c r="K109" t="n">
        <v>16.44181590379409</v>
      </c>
      <c r="L109" t="n">
        <v>31.48299852901383</v>
      </c>
      <c r="M109" t="n">
        <v>29.79557261549967</v>
      </c>
      <c r="N109" t="n">
        <v>19.92932593188746</v>
      </c>
      <c r="O109" t="n">
        <v>51.41232446090129</v>
      </c>
      <c r="P109" t="n">
        <v>49.72489854738713</v>
      </c>
      <c r="Q109" t="n">
        <v>38.34512988709921</v>
      </c>
      <c r="R109" t="n">
        <v>13.5757547212632</v>
      </c>
      <c r="S109" t="n">
        <v>51.92088460836241</v>
      </c>
      <c r="T109" t="n">
        <v>51.92088460836241</v>
      </c>
      <c r="U109" t="n">
        <v>1.379204301075269</v>
      </c>
      <c r="V109" t="n">
        <v>1.143408602150538</v>
      </c>
      <c r="W109" t="n">
        <v>2.522612903225806</v>
      </c>
      <c r="X109" t="n">
        <v>2.158774193548387</v>
      </c>
      <c r="Y109" t="n">
        <v>1.674903225806452</v>
      </c>
      <c r="Z109" t="n">
        <v>3.833677419354839</v>
      </c>
      <c r="AA109" t="n">
        <v>0.5085601474611252</v>
      </c>
      <c r="AB109" t="n">
        <v>2.195986060975287</v>
      </c>
      <c r="AC109" t="n">
        <v>55.75456202771726</v>
      </c>
      <c r="AD109" t="n">
        <v>55.75456202771726</v>
      </c>
      <c r="AE109" t="n">
        <v>1.819624663590161</v>
      </c>
      <c r="AF109" t="n">
        <v>3.507050577104323</v>
      </c>
      <c r="AG109" t="n">
        <v>0</v>
      </c>
      <c r="AH109" t="n">
        <v>0</v>
      </c>
      <c r="AI109" t="n">
        <v>0</v>
      </c>
      <c r="AJ109" t="n">
        <v>0</v>
      </c>
      <c r="AK109" t="n">
        <v>0</v>
      </c>
      <c r="AL109" t="n">
        <v>51.41232446090129</v>
      </c>
      <c r="AM109" t="n">
        <v>1.819624663590161</v>
      </c>
    </row>
    <row r="110">
      <c r="A110" s="8" t="n">
        <v>47484</v>
      </c>
      <c r="B110" t="inlineStr">
        <is>
          <t>Scenario</t>
        </is>
      </c>
      <c r="C110" t="n">
        <v>6.713923397092312</v>
      </c>
      <c r="D110" t="n">
        <v>9.551580967728643</v>
      </c>
      <c r="E110" t="n">
        <v>2.565256457973432</v>
      </c>
      <c r="F110" t="n">
        <v>2.753959370861995</v>
      </c>
      <c r="G110" t="n">
        <v>0.372276483819497</v>
      </c>
      <c r="H110" t="n">
        <v>12.84320527110733</v>
      </c>
      <c r="I110" t="n">
        <v>18.24535321001983</v>
      </c>
      <c r="J110" t="n">
        <v>12.84320527110733</v>
      </c>
      <c r="K110" t="n">
        <v>16.83130703442236</v>
      </c>
      <c r="L110" t="n">
        <v>31.08855848112716</v>
      </c>
      <c r="M110" t="n">
        <v>29.67451230552969</v>
      </c>
      <c r="N110" t="n">
        <v>21.95699667747588</v>
      </c>
      <c r="O110" t="n">
        <v>53.04555515860304</v>
      </c>
      <c r="P110" t="n">
        <v>51.63150898300557</v>
      </c>
      <c r="Q110" t="n">
        <v>38.40566570148782</v>
      </c>
      <c r="R110" t="n">
        <v>13.59156791748137</v>
      </c>
      <c r="S110" t="n">
        <v>51.99723361896918</v>
      </c>
      <c r="T110" t="n">
        <v>51.99723361896918</v>
      </c>
      <c r="U110" t="n">
        <v>0.9953118279569892</v>
      </c>
      <c r="V110" t="n">
        <v>0.7306666666666666</v>
      </c>
      <c r="W110" t="n">
        <v>1.725978494623656</v>
      </c>
      <c r="X110" t="n">
        <v>4.435344086021505</v>
      </c>
      <c r="Y110" t="n">
        <v>3.898569892473118</v>
      </c>
      <c r="Z110" t="n">
        <v>8.333913978494623</v>
      </c>
      <c r="AA110" t="n">
        <v>-1.048321539633861</v>
      </c>
      <c r="AB110" t="n">
        <v>0.365724635963609</v>
      </c>
      <c r="AC110" t="n">
        <v>60.3311475974638</v>
      </c>
      <c r="AD110" t="n">
        <v>60.3311475974638</v>
      </c>
      <c r="AE110" t="n">
        <v>5.559613944237105</v>
      </c>
      <c r="AF110" t="n">
        <v>6.973660119834575</v>
      </c>
      <c r="AG110" t="n">
        <v>0</v>
      </c>
      <c r="AH110" t="n">
        <v>0</v>
      </c>
      <c r="AI110" t="n">
        <v>0</v>
      </c>
      <c r="AJ110" t="n">
        <v>0</v>
      </c>
      <c r="AK110" t="n">
        <v>0</v>
      </c>
      <c r="AL110" t="n">
        <v>53.04555515860304</v>
      </c>
      <c r="AM110" t="n">
        <v>5.559613944237105</v>
      </c>
    </row>
    <row r="111">
      <c r="A111" s="8" t="n">
        <v>47515</v>
      </c>
      <c r="B111" t="inlineStr">
        <is>
          <t>Scenario</t>
        </is>
      </c>
      <c r="C111" t="n">
        <v>5.569361309333043</v>
      </c>
      <c r="D111" t="n">
        <v>9.232476354350272</v>
      </c>
      <c r="E111" t="n">
        <v>1.865158012298868</v>
      </c>
      <c r="F111" t="n">
        <v>2.707356337760023</v>
      </c>
      <c r="G111" t="n">
        <v>0.3811402096247231</v>
      </c>
      <c r="H111" t="n">
        <v>12.64447062575261</v>
      </c>
      <c r="I111" t="n">
        <v>18.33178230240186</v>
      </c>
      <c r="J111" t="n">
        <v>12.64447062575261</v>
      </c>
      <c r="K111" t="n">
        <v>17.04931448990182</v>
      </c>
      <c r="L111" t="n">
        <v>30.97625292815447</v>
      </c>
      <c r="M111" t="n">
        <v>29.69378511565443</v>
      </c>
      <c r="N111" t="n">
        <v>19.75549222336693</v>
      </c>
      <c r="O111" t="n">
        <v>50.73174515152139</v>
      </c>
      <c r="P111" t="n">
        <v>49.44927733902135</v>
      </c>
      <c r="Q111" t="n">
        <v>38.46629814319879</v>
      </c>
      <c r="R111" t="n">
        <v>13.6073994604868</v>
      </c>
      <c r="S111" t="n">
        <v>52.07369760368559</v>
      </c>
      <c r="T111" t="n">
        <v>52.07369760368559</v>
      </c>
      <c r="U111" t="n">
        <v>1.637940886699507</v>
      </c>
      <c r="V111" t="n">
        <v>1.108112479474548</v>
      </c>
      <c r="W111" t="n">
        <v>2.746053366174056</v>
      </c>
      <c r="X111" t="n">
        <v>2.852903530377668</v>
      </c>
      <c r="Y111" t="n">
        <v>2.522028325123153</v>
      </c>
      <c r="Z111" t="n">
        <v>5.374931855500821</v>
      </c>
      <c r="AA111" t="n">
        <v>1.341952452164193</v>
      </c>
      <c r="AB111" t="n">
        <v>2.624420264664238</v>
      </c>
      <c r="AC111" t="n">
        <v>57.44862945918641</v>
      </c>
      <c r="AD111" t="n">
        <v>57.44862945918641</v>
      </c>
      <c r="AE111" t="n">
        <v>3.970830941490956</v>
      </c>
      <c r="AF111" t="n">
        <v>5.253298753991</v>
      </c>
      <c r="AG111" t="n">
        <v>0</v>
      </c>
      <c r="AH111" t="n">
        <v>0</v>
      </c>
      <c r="AI111" t="n">
        <v>0</v>
      </c>
      <c r="AJ111" t="n">
        <v>0</v>
      </c>
      <c r="AK111" t="n">
        <v>0</v>
      </c>
      <c r="AL111" t="n">
        <v>50.73174515152139</v>
      </c>
      <c r="AM111" t="n">
        <v>3.970830941490956</v>
      </c>
    </row>
    <row r="112">
      <c r="A112" s="8" t="n">
        <v>47543</v>
      </c>
      <c r="B112" t="inlineStr">
        <is>
          <t>Scenario</t>
        </is>
      </c>
      <c r="C112" t="n">
        <v>5.021302336157375</v>
      </c>
      <c r="D112" t="n">
        <v>9.246046949758064</v>
      </c>
      <c r="E112" t="n">
        <v>1.052352467183314</v>
      </c>
      <c r="F112" t="n">
        <v>2.60891577326853</v>
      </c>
      <c r="G112" t="n">
        <v>0.3900039354299493</v>
      </c>
      <c r="H112" t="n">
        <v>12.25593655124702</v>
      </c>
      <c r="I112" t="n">
        <v>18.31428485880027</v>
      </c>
      <c r="J112" t="n">
        <v>12.25593655124702</v>
      </c>
      <c r="K112" t="n">
        <v>17.16926741675652</v>
      </c>
      <c r="L112" t="n">
        <v>30.57022141004729</v>
      </c>
      <c r="M112" t="n">
        <v>29.42520396800354</v>
      </c>
      <c r="N112" t="n">
        <v>18.31862146179724</v>
      </c>
      <c r="O112" t="n">
        <v>48.88884287184452</v>
      </c>
      <c r="P112" t="n">
        <v>47.74382542980078</v>
      </c>
      <c r="Q112" t="n">
        <v>38.52702737116564</v>
      </c>
      <c r="R112" t="n">
        <v>13.6232493715658</v>
      </c>
      <c r="S112" t="n">
        <v>52.15027674273144</v>
      </c>
      <c r="T112" t="n">
        <v>52.15027674273144</v>
      </c>
      <c r="U112" t="n">
        <v>2.392172043010753</v>
      </c>
      <c r="V112" t="n">
        <v>1.836397849462366</v>
      </c>
      <c r="W112" t="n">
        <v>4.228569892473119</v>
      </c>
      <c r="X112" t="n">
        <v>1.187268817204301</v>
      </c>
      <c r="Y112" t="n">
        <v>1.039376344086022</v>
      </c>
      <c r="Z112" t="n">
        <v>2.226645161290323</v>
      </c>
      <c r="AA112" t="n">
        <v>3.261433870886918</v>
      </c>
      <c r="AB112" t="n">
        <v>4.406451312930663</v>
      </c>
      <c r="AC112" t="n">
        <v>54.37692190402176</v>
      </c>
      <c r="AD112" t="n">
        <v>54.37692190402176</v>
      </c>
      <c r="AE112" t="n">
        <v>1.259509139704121</v>
      </c>
      <c r="AF112" t="n">
        <v>2.404526581747866</v>
      </c>
      <c r="AG112" t="n">
        <v>0</v>
      </c>
      <c r="AH112" t="n">
        <v>0</v>
      </c>
      <c r="AI112" t="n">
        <v>0</v>
      </c>
      <c r="AJ112" t="n">
        <v>0</v>
      </c>
      <c r="AK112" t="n">
        <v>0</v>
      </c>
      <c r="AL112" t="n">
        <v>48.88884287184452</v>
      </c>
      <c r="AM112" t="n">
        <v>1.259509139704121</v>
      </c>
    </row>
    <row r="113">
      <c r="A113" s="8" t="n">
        <v>47574</v>
      </c>
      <c r="B113" t="inlineStr">
        <is>
          <t>Scenario</t>
        </is>
      </c>
      <c r="C113" t="n">
        <v>5.588664593063283</v>
      </c>
      <c r="D113" t="n">
        <v>9.332897150659825</v>
      </c>
      <c r="E113" t="n">
        <v>0.8099489819725662</v>
      </c>
      <c r="F113" t="n">
        <v>2.80883606429508</v>
      </c>
      <c r="G113" t="n">
        <v>0.3988676612351754</v>
      </c>
      <c r="H113" t="n">
        <v>11.8381445387415</v>
      </c>
      <c r="I113" t="n">
        <v>17.64754492105152</v>
      </c>
      <c r="J113" t="n">
        <v>11.8381445387415</v>
      </c>
      <c r="K113" t="n">
        <v>16.67366883445572</v>
      </c>
      <c r="L113" t="n">
        <v>29.48568945979303</v>
      </c>
      <c r="M113" t="n">
        <v>28.51181337319722</v>
      </c>
      <c r="N113" t="n">
        <v>18.93921445122593</v>
      </c>
      <c r="O113" t="n">
        <v>48.42490391101896</v>
      </c>
      <c r="P113" t="n">
        <v>47.45102782442315</v>
      </c>
      <c r="Q113" t="n">
        <v>38.58785354458887</v>
      </c>
      <c r="R113" t="n">
        <v>13.6391176720294</v>
      </c>
      <c r="S113" t="n">
        <v>52.22697121661827</v>
      </c>
      <c r="T113" t="n">
        <v>52.22697121661827</v>
      </c>
      <c r="U113" t="n">
        <v>2.271922222222222</v>
      </c>
      <c r="V113" t="n">
        <v>1.879377777777778</v>
      </c>
      <c r="W113" t="n">
        <v>4.151300000000001</v>
      </c>
      <c r="X113" t="n">
        <v>1.159666666666667</v>
      </c>
      <c r="Y113" t="n">
        <v>0.9012333333333333</v>
      </c>
      <c r="Z113" t="n">
        <v>2.0609</v>
      </c>
      <c r="AA113" t="n">
        <v>3.802067305599309</v>
      </c>
      <c r="AB113" t="n">
        <v>4.775943392195117</v>
      </c>
      <c r="AC113" t="n">
        <v>54.28787121661827</v>
      </c>
      <c r="AD113" t="n">
        <v>54.28787121661827</v>
      </c>
      <c r="AE113" t="n">
        <v>1.711667305599311</v>
      </c>
      <c r="AF113" t="n">
        <v>2.68554339219512</v>
      </c>
      <c r="AG113" t="n">
        <v>0</v>
      </c>
      <c r="AH113" t="n">
        <v>0</v>
      </c>
      <c r="AI113" t="n">
        <v>0</v>
      </c>
      <c r="AJ113" t="n">
        <v>0</v>
      </c>
      <c r="AK113" t="n">
        <v>0</v>
      </c>
      <c r="AL113" t="n">
        <v>48.42490391101896</v>
      </c>
      <c r="AM113" t="n">
        <v>1.711667305599311</v>
      </c>
    </row>
    <row r="114">
      <c r="A114" s="8" t="n">
        <v>47604</v>
      </c>
      <c r="B114" t="inlineStr">
        <is>
          <t>Scenario</t>
        </is>
      </c>
      <c r="C114" t="n">
        <v>7.076966488622186</v>
      </c>
      <c r="D114" t="n">
        <v>9.172117769611754</v>
      </c>
      <c r="E114" t="n">
        <v>0.6465219624292829</v>
      </c>
      <c r="F114" t="n">
        <v>3.052852874363742</v>
      </c>
      <c r="G114" t="n">
        <v>0.4077313870404015</v>
      </c>
      <c r="H114" t="n">
        <v>12.20315815805368</v>
      </c>
      <c r="I114" t="n">
        <v>16.62840981948412</v>
      </c>
      <c r="J114" t="n">
        <v>12.20315815805368</v>
      </c>
      <c r="K114" t="n">
        <v>15.83108410647042</v>
      </c>
      <c r="L114" t="n">
        <v>28.8315679775378</v>
      </c>
      <c r="M114" t="n">
        <v>28.0342422645241</v>
      </c>
      <c r="N114" t="n">
        <v>20.35619048206736</v>
      </c>
      <c r="O114" t="n">
        <v>49.18775845960516</v>
      </c>
      <c r="P114" t="n">
        <v>48.39043274659146</v>
      </c>
      <c r="Q114" t="n">
        <v>38.64877682293622</v>
      </c>
      <c r="R114" t="n">
        <v>13.65500438321331</v>
      </c>
      <c r="S114" t="n">
        <v>52.30378120614953</v>
      </c>
      <c r="T114" t="n">
        <v>52.30378120614953</v>
      </c>
      <c r="U114" t="n">
        <v>2.179247311827957</v>
      </c>
      <c r="V114" t="n">
        <v>1.901956989247312</v>
      </c>
      <c r="W114" t="n">
        <v>4.081204301075269</v>
      </c>
      <c r="X114" t="n">
        <v>1.123032258064516</v>
      </c>
      <c r="Y114" t="n">
        <v>0.6363225806451612</v>
      </c>
      <c r="Z114" t="n">
        <v>1.759354838709677</v>
      </c>
      <c r="AA114" t="n">
        <v>3.116022746544367</v>
      </c>
      <c r="AB114" t="n">
        <v>3.913348459558065</v>
      </c>
      <c r="AC114" t="n">
        <v>54.06313604485921</v>
      </c>
      <c r="AD114" t="n">
        <v>54.06313604485921</v>
      </c>
      <c r="AE114" t="n">
        <v>0.7941732841787736</v>
      </c>
      <c r="AF114" t="n">
        <v>1.591498997192472</v>
      </c>
      <c r="AG114" t="n">
        <v>0</v>
      </c>
      <c r="AH114" t="n">
        <v>0</v>
      </c>
      <c r="AI114" t="n">
        <v>0</v>
      </c>
      <c r="AJ114" t="n">
        <v>0</v>
      </c>
      <c r="AK114" t="n">
        <v>0</v>
      </c>
      <c r="AL114" t="n">
        <v>49.18775845960516</v>
      </c>
      <c r="AM114" t="n">
        <v>0.7941732841787736</v>
      </c>
    </row>
    <row r="115">
      <c r="A115" s="8" t="n">
        <v>47635</v>
      </c>
      <c r="B115" t="inlineStr">
        <is>
          <t>Scenario</t>
        </is>
      </c>
      <c r="C115" t="n">
        <v>8.145120210191209</v>
      </c>
      <c r="D115" t="n">
        <v>9.219818953014656</v>
      </c>
      <c r="E115" t="n">
        <v>0.6350977340340092</v>
      </c>
      <c r="F115" t="n">
        <v>2.99363393510736</v>
      </c>
      <c r="G115" t="n">
        <v>0.4165951128456276</v>
      </c>
      <c r="H115" t="n">
        <v>12.32918349618877</v>
      </c>
      <c r="I115" t="n">
        <v>16.23232887086422</v>
      </c>
      <c r="J115" t="n">
        <v>12.32918349618877</v>
      </c>
      <c r="K115" t="n">
        <v>15.56984124020844</v>
      </c>
      <c r="L115" t="n">
        <v>28.561512367053</v>
      </c>
      <c r="M115" t="n">
        <v>27.89902473639721</v>
      </c>
      <c r="N115" t="n">
        <v>21.41026594519286</v>
      </c>
      <c r="O115" t="n">
        <v>49.97177831224586</v>
      </c>
      <c r="P115" t="n">
        <v>49.30929068159007</v>
      </c>
      <c r="Q115" t="n">
        <v>38.70979736594332</v>
      </c>
      <c r="R115" t="n">
        <v>13.67090952647803</v>
      </c>
      <c r="S115" t="n">
        <v>52.38070689242134</v>
      </c>
      <c r="T115" t="n">
        <v>52.38070689242134</v>
      </c>
      <c r="U115" t="n">
        <v>1.835466666666667</v>
      </c>
      <c r="V115" t="n">
        <v>1.611388888888889</v>
      </c>
      <c r="W115" t="n">
        <v>3.446855555555556</v>
      </c>
      <c r="X115" t="n">
        <v>1.149211111111111</v>
      </c>
      <c r="Y115" t="n">
        <v>0.8488000000000001</v>
      </c>
      <c r="Z115" t="n">
        <v>1.998011111111111</v>
      </c>
      <c r="AA115" t="n">
        <v>2.408928580175484</v>
      </c>
      <c r="AB115" t="n">
        <v>3.071416210831273</v>
      </c>
      <c r="AC115" t="n">
        <v>54.37871800353246</v>
      </c>
      <c r="AD115" t="n">
        <v>54.37871800353246</v>
      </c>
      <c r="AE115" t="n">
        <v>0.9600841357310399</v>
      </c>
      <c r="AF115" t="n">
        <v>1.622571766386829</v>
      </c>
      <c r="AG115" t="n">
        <v>0</v>
      </c>
      <c r="AH115" t="n">
        <v>0</v>
      </c>
      <c r="AI115" t="n">
        <v>0</v>
      </c>
      <c r="AJ115" t="n">
        <v>0</v>
      </c>
      <c r="AK115" t="n">
        <v>0</v>
      </c>
      <c r="AL115" t="n">
        <v>49.97177831224586</v>
      </c>
      <c r="AM115" t="n">
        <v>0.9600841357310399</v>
      </c>
    </row>
    <row r="116">
      <c r="A116" s="8" t="n">
        <v>47665</v>
      </c>
      <c r="B116" t="inlineStr">
        <is>
          <t>Scenario</t>
        </is>
      </c>
      <c r="C116" t="n">
        <v>8.844339003156499</v>
      </c>
      <c r="D116" t="n">
        <v>9.277377160109515</v>
      </c>
      <c r="E116" t="n">
        <v>0.5958328654674927</v>
      </c>
      <c r="F116" t="n">
        <v>2.856817134055754</v>
      </c>
      <c r="G116" t="n">
        <v>0.4254588386508537</v>
      </c>
      <c r="H116" t="n">
        <v>12.11686231590201</v>
      </c>
      <c r="I116" t="n">
        <v>16.69086036657659</v>
      </c>
      <c r="J116" t="n">
        <v>11.99695972456145</v>
      </c>
      <c r="K116" t="n">
        <v>15.72563743044046</v>
      </c>
      <c r="L116" t="n">
        <v>28.80772268247861</v>
      </c>
      <c r="M116" t="n">
        <v>27.72259715500192</v>
      </c>
      <c r="N116" t="n">
        <v>21.99982500144012</v>
      </c>
      <c r="O116" t="n">
        <v>50.80754768391872</v>
      </c>
      <c r="P116" t="n">
        <v>49.72242215644204</v>
      </c>
      <c r="Q116" t="n">
        <v>38.770915333614</v>
      </c>
      <c r="R116" t="n">
        <v>13.68683312320882</v>
      </c>
      <c r="S116" t="n">
        <v>52.45774845682281</v>
      </c>
      <c r="T116" t="n">
        <v>52.45774845682281</v>
      </c>
      <c r="U116" t="n">
        <v>1.445075268817204</v>
      </c>
      <c r="V116" t="n">
        <v>1.232569892473118</v>
      </c>
      <c r="W116" t="n">
        <v>2.677645161290322</v>
      </c>
      <c r="X116" t="n">
        <v>1.521387096774194</v>
      </c>
      <c r="Y116" t="n">
        <v>1.100247311827957</v>
      </c>
      <c r="Z116" t="n">
        <v>2.621634408602151</v>
      </c>
      <c r="AA116" t="n">
        <v>1.650200772904093</v>
      </c>
      <c r="AB116" t="n">
        <v>2.735326300380777</v>
      </c>
      <c r="AC116" t="n">
        <v>55.07938286542496</v>
      </c>
      <c r="AD116" t="n">
        <v>55.07938286542496</v>
      </c>
      <c r="AE116" t="n">
        <v>1.594190020215918</v>
      </c>
      <c r="AF116" t="n">
        <v>2.679315547692602</v>
      </c>
      <c r="AG116" t="n">
        <v>0</v>
      </c>
      <c r="AH116" t="n">
        <v>0</v>
      </c>
      <c r="AI116" t="n">
        <v>0</v>
      </c>
      <c r="AJ116" t="n">
        <v>0</v>
      </c>
      <c r="AK116" t="n">
        <v>0</v>
      </c>
      <c r="AL116" t="n">
        <v>50.80754768391872</v>
      </c>
      <c r="AM116" t="n">
        <v>1.594190020215918</v>
      </c>
    </row>
    <row r="117">
      <c r="A117" s="8" t="n">
        <v>47696</v>
      </c>
      <c r="B117" t="inlineStr">
        <is>
          <t>Scenario</t>
        </is>
      </c>
      <c r="C117" t="n">
        <v>9.776708091621185</v>
      </c>
      <c r="D117" t="n">
        <v>9.252133683816083</v>
      </c>
      <c r="E117" t="n">
        <v>0.5661538314498581</v>
      </c>
      <c r="F117" t="n">
        <v>2.923793669786177</v>
      </c>
      <c r="G117" t="n">
        <v>0.4343225644560798</v>
      </c>
      <c r="H117" t="n">
        <v>12.51958200464404</v>
      </c>
      <c r="I117" t="n">
        <v>17.02083234376693</v>
      </c>
      <c r="J117" t="n">
        <v>12.31445570816869</v>
      </c>
      <c r="K117" t="n">
        <v>15.87030758490799</v>
      </c>
      <c r="L117" t="n">
        <v>29.54041434841097</v>
      </c>
      <c r="M117" t="n">
        <v>28.18476329307668</v>
      </c>
      <c r="N117" t="n">
        <v>22.95311184112938</v>
      </c>
      <c r="O117" t="n">
        <v>52.49352618954035</v>
      </c>
      <c r="P117" t="n">
        <v>51.13787513420607</v>
      </c>
      <c r="Q117" t="n">
        <v>38.83213088622084</v>
      </c>
      <c r="R117" t="n">
        <v>13.70277519481576</v>
      </c>
      <c r="S117" t="n">
        <v>52.5349060810366</v>
      </c>
      <c r="T117" t="n">
        <v>52.5349060810366</v>
      </c>
      <c r="U117" t="n">
        <v>1.741763440860215</v>
      </c>
      <c r="V117" t="n">
        <v>0.9842580645161288</v>
      </c>
      <c r="W117" t="n">
        <v>2.726021505376344</v>
      </c>
      <c r="X117" t="n">
        <v>2.883548387096774</v>
      </c>
      <c r="Y117" t="n">
        <v>1.349731182795699</v>
      </c>
      <c r="Z117" t="n">
        <v>4.233279569892473</v>
      </c>
      <c r="AA117" t="n">
        <v>0.04137989149625554</v>
      </c>
      <c r="AB117" t="n">
        <v>1.397030946830533</v>
      </c>
      <c r="AC117" t="n">
        <v>56.76818565092908</v>
      </c>
      <c r="AD117" t="n">
        <v>56.76818565092908</v>
      </c>
      <c r="AE117" t="n">
        <v>1.548637956012386</v>
      </c>
      <c r="AF117" t="n">
        <v>2.904289011346664</v>
      </c>
      <c r="AG117" t="n">
        <v>0</v>
      </c>
      <c r="AH117" t="n">
        <v>0</v>
      </c>
      <c r="AI117" t="n">
        <v>0</v>
      </c>
      <c r="AJ117" t="n">
        <v>0</v>
      </c>
      <c r="AK117" t="n">
        <v>0</v>
      </c>
      <c r="AL117" t="n">
        <v>52.49352618954035</v>
      </c>
      <c r="AM117" t="n">
        <v>1.548637956012386</v>
      </c>
    </row>
    <row r="118">
      <c r="A118" s="8" t="n">
        <v>47727</v>
      </c>
      <c r="B118" t="inlineStr">
        <is>
          <t>Scenario</t>
        </is>
      </c>
      <c r="C118" t="n">
        <v>8.24392416928532</v>
      </c>
      <c r="D118" t="n">
        <v>9.19049847697177</v>
      </c>
      <c r="E118" t="n">
        <v>0.5794425836543213</v>
      </c>
      <c r="F118" t="n">
        <v>2.752319206600729</v>
      </c>
      <c r="G118" t="n">
        <v>0.4431862902613058</v>
      </c>
      <c r="H118" t="n">
        <v>13.34674215256428</v>
      </c>
      <c r="I118" t="n">
        <v>17.66266976350623</v>
      </c>
      <c r="J118" t="n">
        <v>12.89759651652548</v>
      </c>
      <c r="K118" t="n">
        <v>16.30213382245876</v>
      </c>
      <c r="L118" t="n">
        <v>31.0094119160705</v>
      </c>
      <c r="M118" t="n">
        <v>29.19973033898424</v>
      </c>
      <c r="N118" t="n">
        <v>21.20937072677344</v>
      </c>
      <c r="O118" t="n">
        <v>52.21878264284395</v>
      </c>
      <c r="P118" t="n">
        <v>50.40910106575768</v>
      </c>
      <c r="Q118" t="n">
        <v>38.89344418430559</v>
      </c>
      <c r="R118" t="n">
        <v>13.71873576273379</v>
      </c>
      <c r="S118" t="n">
        <v>52.61217994703938</v>
      </c>
      <c r="T118" t="n">
        <v>52.61217994703938</v>
      </c>
      <c r="U118" t="n">
        <v>2.412133333333333</v>
      </c>
      <c r="V118" t="n">
        <v>1.311877777777778</v>
      </c>
      <c r="W118" t="n">
        <v>3.724011111111111</v>
      </c>
      <c r="X118" t="n">
        <v>2.104855555555555</v>
      </c>
      <c r="Y118" t="n">
        <v>0.9838444444444444</v>
      </c>
      <c r="Z118" t="n">
        <v>3.0887</v>
      </c>
      <c r="AA118" t="n">
        <v>0.3933973041954317</v>
      </c>
      <c r="AB118" t="n">
        <v>2.203078881281698</v>
      </c>
      <c r="AC118" t="n">
        <v>55.70087994703938</v>
      </c>
      <c r="AD118" t="n">
        <v>55.70087994703938</v>
      </c>
      <c r="AE118" t="n">
        <v>-0.2419138069156768</v>
      </c>
      <c r="AF118" t="n">
        <v>1.567767770170589</v>
      </c>
      <c r="AG118" t="n">
        <v>0</v>
      </c>
      <c r="AH118" t="n">
        <v>0</v>
      </c>
      <c r="AI118" t="n">
        <v>0</v>
      </c>
      <c r="AJ118" t="n">
        <v>0</v>
      </c>
      <c r="AK118" t="n">
        <v>0</v>
      </c>
      <c r="AL118" t="n">
        <v>52.21878264284395</v>
      </c>
      <c r="AM118" t="n">
        <v>-0.2419138069156768</v>
      </c>
    </row>
    <row r="119">
      <c r="A119" s="8" t="n">
        <v>47757</v>
      </c>
      <c r="B119" t="inlineStr">
        <is>
          <t>Scenario</t>
        </is>
      </c>
      <c r="C119" t="n">
        <v>6.613075192447574</v>
      </c>
      <c r="D119" t="n">
        <v>9.036978637910448</v>
      </c>
      <c r="E119" t="n">
        <v>0.6813399550369138</v>
      </c>
      <c r="F119" t="n">
        <v>2.625427643887605</v>
      </c>
      <c r="G119" t="n">
        <v>0.4520500160665321</v>
      </c>
      <c r="H119" t="n">
        <v>13.90371721049099</v>
      </c>
      <c r="I119" t="n">
        <v>18.831897413148</v>
      </c>
      <c r="J119" t="n">
        <v>13.25228722923687</v>
      </c>
      <c r="K119" t="n">
        <v>17.20957713195586</v>
      </c>
      <c r="L119" t="n">
        <v>32.73561462363898</v>
      </c>
      <c r="M119" t="n">
        <v>30.46186436119273</v>
      </c>
      <c r="N119" t="n">
        <v>19.40887144534907</v>
      </c>
      <c r="O119" t="n">
        <v>52.14448606898806</v>
      </c>
      <c r="P119" t="n">
        <v>49.8707358065418</v>
      </c>
      <c r="Q119" t="n">
        <v>38.95485538867963</v>
      </c>
      <c r="R119" t="n">
        <v>13.73471484842268</v>
      </c>
      <c r="S119" t="n">
        <v>52.68957023710232</v>
      </c>
      <c r="T119" t="n">
        <v>52.68957023710232</v>
      </c>
      <c r="U119" t="n">
        <v>2.523494623655914</v>
      </c>
      <c r="V119" t="n">
        <v>1.779247311827957</v>
      </c>
      <c r="W119" t="n">
        <v>4.302741935483871</v>
      </c>
      <c r="X119" t="n">
        <v>1.056784946236559</v>
      </c>
      <c r="Y119" t="n">
        <v>0.6070430107526882</v>
      </c>
      <c r="Z119" t="n">
        <v>1.663827956989247</v>
      </c>
      <c r="AA119" t="n">
        <v>0.5450841681142577</v>
      </c>
      <c r="AB119" t="n">
        <v>2.818834430560514</v>
      </c>
      <c r="AC119" t="n">
        <v>54.35339819409156</v>
      </c>
      <c r="AD119" t="n">
        <v>54.35339819409156</v>
      </c>
      <c r="AE119" t="n">
        <v>-2.093829810380369</v>
      </c>
      <c r="AF119" t="n">
        <v>0.1799204520658879</v>
      </c>
      <c r="AG119" t="n">
        <v>0</v>
      </c>
      <c r="AH119" t="n">
        <v>0</v>
      </c>
      <c r="AI119" t="n">
        <v>0</v>
      </c>
      <c r="AJ119" t="n">
        <v>0</v>
      </c>
      <c r="AK119" t="n">
        <v>0</v>
      </c>
      <c r="AL119" t="n">
        <v>52.14448606898806</v>
      </c>
      <c r="AM119" t="n">
        <v>-2.093829810380369</v>
      </c>
    </row>
    <row r="120">
      <c r="A120" s="8" t="n">
        <v>47788</v>
      </c>
      <c r="B120" t="inlineStr">
        <is>
          <t>Scenario</t>
        </is>
      </c>
      <c r="C120" t="n">
        <v>5.835081716469279</v>
      </c>
      <c r="D120" t="n">
        <v>9.559514252072502</v>
      </c>
      <c r="E120" t="n">
        <v>1.014278545774176</v>
      </c>
      <c r="F120" t="n">
        <v>2.566081556307597</v>
      </c>
      <c r="G120" t="n">
        <v>0.4609137418717582</v>
      </c>
      <c r="H120" t="n">
        <v>14.39478163770154</v>
      </c>
      <c r="I120" t="n">
        <v>20.1734187016023</v>
      </c>
      <c r="J120" t="n">
        <v>13.53544208829908</v>
      </c>
      <c r="K120" t="n">
        <v>18.25762271459865</v>
      </c>
      <c r="L120" t="n">
        <v>34.56820033930384</v>
      </c>
      <c r="M120" t="n">
        <v>31.79306480289774</v>
      </c>
      <c r="N120" t="n">
        <v>19.43586981249531</v>
      </c>
      <c r="O120" t="n">
        <v>54.00407015179916</v>
      </c>
      <c r="P120" t="n">
        <v>51.22893461539304</v>
      </c>
      <c r="Q120" t="n">
        <v>39.01636466042443</v>
      </c>
      <c r="R120" t="n">
        <v>13.75071247336713</v>
      </c>
      <c r="S120" t="n">
        <v>52.76707713379156</v>
      </c>
      <c r="T120" t="n">
        <v>52.76707713379156</v>
      </c>
      <c r="U120" t="n">
        <v>1.881788888888889</v>
      </c>
      <c r="V120" t="n">
        <v>1.304466666666667</v>
      </c>
      <c r="W120" t="n">
        <v>3.186255555555555</v>
      </c>
      <c r="X120" t="n">
        <v>1.287677777777778</v>
      </c>
      <c r="Y120" t="n">
        <v>0.8570333333333333</v>
      </c>
      <c r="Z120" t="n">
        <v>2.144711111111111</v>
      </c>
      <c r="AA120" t="n">
        <v>-1.236993018007595</v>
      </c>
      <c r="AB120" t="n">
        <v>1.538142518398516</v>
      </c>
      <c r="AC120" t="n">
        <v>54.91178824490267</v>
      </c>
      <c r="AD120" t="n">
        <v>54.91178824490267</v>
      </c>
      <c r="AE120" t="n">
        <v>-2.278537462452037</v>
      </c>
      <c r="AF120" t="n">
        <v>0.4965980739540745</v>
      </c>
      <c r="AG120" t="n">
        <v>0</v>
      </c>
      <c r="AH120" t="n">
        <v>0</v>
      </c>
      <c r="AI120" t="n">
        <v>0</v>
      </c>
      <c r="AJ120" t="n">
        <v>0</v>
      </c>
      <c r="AK120" t="n">
        <v>0</v>
      </c>
      <c r="AL120" t="n">
        <v>54.00407015179916</v>
      </c>
      <c r="AM120" t="n">
        <v>-2.278537462452037</v>
      </c>
    </row>
    <row r="121">
      <c r="A121" s="8" t="n">
        <v>47818</v>
      </c>
      <c r="B121" t="inlineStr">
        <is>
          <t>Scenario</t>
        </is>
      </c>
      <c r="C121" t="n">
        <v>5.602093819230655</v>
      </c>
      <c r="D121" t="n">
        <v>9.974104762323991</v>
      </c>
      <c r="E121" t="n">
        <v>1.553915300244726</v>
      </c>
      <c r="F121" t="n">
        <v>2.449214361367505</v>
      </c>
      <c r="G121" t="n">
        <v>0.4697774676769843</v>
      </c>
      <c r="H121" t="n">
        <v>14.39294827114436</v>
      </c>
      <c r="I121" t="n">
        <v>20.96859393460808</v>
      </c>
      <c r="J121" t="n">
        <v>13.35375671170559</v>
      </c>
      <c r="K121" t="n">
        <v>18.90063044432378</v>
      </c>
      <c r="L121" t="n">
        <v>35.36154220575244</v>
      </c>
      <c r="M121" t="n">
        <v>32.25438715602937</v>
      </c>
      <c r="N121" t="n">
        <v>20.04910571084386</v>
      </c>
      <c r="O121" t="n">
        <v>55.4106479165963</v>
      </c>
      <c r="P121" t="n">
        <v>52.30349286687323</v>
      </c>
      <c r="Q121" t="n">
        <v>39.07797216089202</v>
      </c>
      <c r="R121" t="n">
        <v>13.76672865907676</v>
      </c>
      <c r="S121" t="n">
        <v>52.84470081996877</v>
      </c>
      <c r="T121" t="n">
        <v>52.84470081996877</v>
      </c>
      <c r="U121" t="n">
        <v>1.379204301075269</v>
      </c>
      <c r="V121" t="n">
        <v>1.143408602150538</v>
      </c>
      <c r="W121" t="n">
        <v>2.522612903225806</v>
      </c>
      <c r="X121" t="n">
        <v>2.158774193548387</v>
      </c>
      <c r="Y121" t="n">
        <v>1.674903225806452</v>
      </c>
      <c r="Z121" t="n">
        <v>3.833677419354839</v>
      </c>
      <c r="AA121" t="n">
        <v>-2.565947096627525</v>
      </c>
      <c r="AB121" t="n">
        <v>0.5412079530955438</v>
      </c>
      <c r="AC121" t="n">
        <v>56.67837823932361</v>
      </c>
      <c r="AD121" t="n">
        <v>56.67837823932361</v>
      </c>
      <c r="AE121" t="n">
        <v>-1.254882580498496</v>
      </c>
      <c r="AF121" t="n">
        <v>1.852272469224573</v>
      </c>
      <c r="AG121" t="n">
        <v>0</v>
      </c>
      <c r="AH121" t="n">
        <v>0</v>
      </c>
      <c r="AI121" t="n">
        <v>0</v>
      </c>
      <c r="AJ121" t="n">
        <v>0</v>
      </c>
      <c r="AK121" t="n">
        <v>0</v>
      </c>
      <c r="AL121" t="n">
        <v>55.4106479165963</v>
      </c>
      <c r="AM121" t="n">
        <v>-1.254882580498496</v>
      </c>
    </row>
    <row r="122">
      <c r="A122" s="8" t="n">
        <v>47849</v>
      </c>
      <c r="B122" t="inlineStr">
        <is>
          <t>Scenario</t>
        </is>
      </c>
      <c r="C122" t="n">
        <v>6.746976064220154</v>
      </c>
      <c r="D122" t="n">
        <v>9.629638853620415</v>
      </c>
      <c r="E122" t="n">
        <v>2.49145307178118</v>
      </c>
      <c r="F122" t="n">
        <v>2.69817908972461</v>
      </c>
      <c r="G122" t="n">
        <v>0.4746460968977579</v>
      </c>
      <c r="H122" t="n">
        <v>14.15509556829357</v>
      </c>
      <c r="I122" t="n">
        <v>21.18088801367117</v>
      </c>
      <c r="J122" t="n">
        <v>12.97156559142847</v>
      </c>
      <c r="K122" t="n">
        <v>19.3652336265762</v>
      </c>
      <c r="L122" t="n">
        <v>35.33598358196474</v>
      </c>
      <c r="M122" t="n">
        <v>32.33679921800467</v>
      </c>
      <c r="N122" t="n">
        <v>22.04089317624412</v>
      </c>
      <c r="O122" t="n">
        <v>57.37687675820886</v>
      </c>
      <c r="P122" t="n">
        <v>54.37769239424879</v>
      </c>
      <c r="Q122" t="n">
        <v>39.10896050210854</v>
      </c>
      <c r="R122" t="n">
        <v>13.77477160836169</v>
      </c>
      <c r="S122" t="n">
        <v>52.88373211047023</v>
      </c>
      <c r="T122" t="n">
        <v>52.88373211047023</v>
      </c>
      <c r="U122" t="n">
        <v>0.9953118279569892</v>
      </c>
      <c r="V122" t="n">
        <v>0.7306666666666666</v>
      </c>
      <c r="W122" t="n">
        <v>1.725978494623656</v>
      </c>
      <c r="X122" t="n">
        <v>4.435344086021505</v>
      </c>
      <c r="Y122" t="n">
        <v>3.898569892473118</v>
      </c>
      <c r="Z122" t="n">
        <v>8.333913978494623</v>
      </c>
      <c r="AA122" t="n">
        <v>-4.493144647738625</v>
      </c>
      <c r="AB122" t="n">
        <v>-1.493960283778556</v>
      </c>
      <c r="AC122" t="n">
        <v>61.21764608896486</v>
      </c>
      <c r="AD122" t="n">
        <v>61.21764608896486</v>
      </c>
      <c r="AE122" t="n">
        <v>2.114790836132341</v>
      </c>
      <c r="AF122" t="n">
        <v>5.11397520009241</v>
      </c>
      <c r="AG122" t="n">
        <v>0.168397187248705</v>
      </c>
      <c r="AH122" t="n">
        <v>0.1700607053883324</v>
      </c>
      <c r="AI122" t="n">
        <v>0.2541668151342334</v>
      </c>
      <c r="AJ122" t="n">
        <v>0.3695382720062973</v>
      </c>
      <c r="AK122" t="n">
        <v>0.9621629797775682</v>
      </c>
      <c r="AL122" t="n">
        <v>58.33903973798643</v>
      </c>
      <c r="AM122" t="n">
        <v>1.152627856354773</v>
      </c>
    </row>
    <row r="123">
      <c r="A123" s="8" t="n">
        <v>47880</v>
      </c>
      <c r="B123" t="inlineStr">
        <is>
          <t>Scenario</t>
        </is>
      </c>
      <c r="C123" t="n">
        <v>5.598373390415189</v>
      </c>
      <c r="D123" t="n">
        <v>9.307874657988686</v>
      </c>
      <c r="E123" t="n">
        <v>1.811715116966611</v>
      </c>
      <c r="F123" t="n">
        <v>2.652519981328204</v>
      </c>
      <c r="G123" t="n">
        <v>0.4795147261185315</v>
      </c>
      <c r="H123" t="n">
        <v>14.20153157323998</v>
      </c>
      <c r="I123" t="n">
        <v>21.23031097829645</v>
      </c>
      <c r="J123" t="n">
        <v>12.85509409883324</v>
      </c>
      <c r="K123" t="n">
        <v>19.66075272720838</v>
      </c>
      <c r="L123" t="n">
        <v>35.43184255153643</v>
      </c>
      <c r="M123" t="n">
        <v>32.51584682604162</v>
      </c>
      <c r="N123" t="n">
        <v>19.84999787281722</v>
      </c>
      <c r="O123" t="n">
        <v>55.28184042435365</v>
      </c>
      <c r="P123" t="n">
        <v>52.36584469885884</v>
      </c>
      <c r="Q123" t="n">
        <v>39.13997370468741</v>
      </c>
      <c r="R123" t="n">
        <v>13.7828192383201</v>
      </c>
      <c r="S123" t="n">
        <v>52.92279294300751</v>
      </c>
      <c r="T123" t="n">
        <v>52.92279294300751</v>
      </c>
      <c r="U123" t="n">
        <v>1.637940886699507</v>
      </c>
      <c r="V123" t="n">
        <v>1.108112479474548</v>
      </c>
      <c r="W123" t="n">
        <v>2.746053366174056</v>
      </c>
      <c r="X123" t="n">
        <v>2.852903530377668</v>
      </c>
      <c r="Y123" t="n">
        <v>2.522028325123153</v>
      </c>
      <c r="Z123" t="n">
        <v>5.374931855500821</v>
      </c>
      <c r="AA123" t="n">
        <v>-2.359047481346138</v>
      </c>
      <c r="AB123" t="n">
        <v>0.5569482441486713</v>
      </c>
      <c r="AC123" t="n">
        <v>58.29772479850833</v>
      </c>
      <c r="AD123" t="n">
        <v>58.29772479850833</v>
      </c>
      <c r="AE123" t="n">
        <v>0.2698310079806245</v>
      </c>
      <c r="AF123" t="n">
        <v>3.185826733475434</v>
      </c>
      <c r="AG123" t="n">
        <v>0.2800196918128397</v>
      </c>
      <c r="AH123" t="n">
        <v>0.2898555241189054</v>
      </c>
      <c r="AI123" t="n">
        <v>0.4332079844437755</v>
      </c>
      <c r="AJ123" t="n">
        <v>0.5684010827382144</v>
      </c>
      <c r="AK123" t="n">
        <v>1.571484283113735</v>
      </c>
      <c r="AL123" t="n">
        <v>56.85332470746738</v>
      </c>
      <c r="AM123" t="n">
        <v>-1.30165327513311</v>
      </c>
    </row>
    <row r="124">
      <c r="A124" s="8" t="n">
        <v>47908</v>
      </c>
      <c r="B124" t="inlineStr">
        <is>
          <t>Scenario</t>
        </is>
      </c>
      <c r="C124" t="n">
        <v>5.049070499939599</v>
      </c>
      <c r="D124" t="n">
        <v>9.321580495825375</v>
      </c>
      <c r="E124" t="n">
        <v>1.022675523461264</v>
      </c>
      <c r="F124" t="n">
        <v>2.556073288794575</v>
      </c>
      <c r="G124" t="n">
        <v>0.4843833553393052</v>
      </c>
      <c r="H124" t="n">
        <v>14.02246622474038</v>
      </c>
      <c r="I124" t="n">
        <v>21.15989000191371</v>
      </c>
      <c r="J124" t="n">
        <v>12.68273703384143</v>
      </c>
      <c r="K124" t="n">
        <v>19.84274996995349</v>
      </c>
      <c r="L124" t="n">
        <v>35.18235622665409</v>
      </c>
      <c r="M124" t="n">
        <v>32.52548700379491</v>
      </c>
      <c r="N124" t="n">
        <v>18.43378316336011</v>
      </c>
      <c r="O124" t="n">
        <v>53.61613939001421</v>
      </c>
      <c r="P124" t="n">
        <v>50.95927016715503</v>
      </c>
      <c r="Q124" t="n">
        <v>39.17101178918138</v>
      </c>
      <c r="R124" t="n">
        <v>13.79087155167593</v>
      </c>
      <c r="S124" t="n">
        <v>52.96188334085731</v>
      </c>
      <c r="T124" t="n">
        <v>52.96188334085731</v>
      </c>
      <c r="U124" t="n">
        <v>2.392172043010753</v>
      </c>
      <c r="V124" t="n">
        <v>1.836397849462366</v>
      </c>
      <c r="W124" t="n">
        <v>4.228569892473119</v>
      </c>
      <c r="X124" t="n">
        <v>1.187268817204301</v>
      </c>
      <c r="Y124" t="n">
        <v>1.039376344086022</v>
      </c>
      <c r="Z124" t="n">
        <v>2.226645161290323</v>
      </c>
      <c r="AA124" t="n">
        <v>-0.6542560491568992</v>
      </c>
      <c r="AB124" t="n">
        <v>2.002613173702287</v>
      </c>
      <c r="AC124" t="n">
        <v>55.18852850214763</v>
      </c>
      <c r="AD124" t="n">
        <v>55.18852850214763</v>
      </c>
      <c r="AE124" t="n">
        <v>-2.656180780339697</v>
      </c>
      <c r="AF124" t="n">
        <v>0.0006884425194888522</v>
      </c>
      <c r="AG124" t="n">
        <v>0.3889338046210798</v>
      </c>
      <c r="AH124" t="n">
        <v>0.4068036130769718</v>
      </c>
      <c r="AI124" t="n">
        <v>0.6079945304517524</v>
      </c>
      <c r="AJ124" t="n">
        <v>0.7620478810538933</v>
      </c>
      <c r="AK124" t="n">
        <v>2.165779829203697</v>
      </c>
      <c r="AL124" t="n">
        <v>55.78191921921791</v>
      </c>
      <c r="AM124" t="n">
        <v>-4.821960609543394</v>
      </c>
    </row>
    <row r="125">
      <c r="A125" s="8" t="n">
        <v>47939</v>
      </c>
      <c r="B125" t="inlineStr">
        <is>
          <t>Scenario</t>
        </is>
      </c>
      <c r="C125" t="n">
        <v>5.620505982484056</v>
      </c>
      <c r="D125" t="n">
        <v>9.409221922070921</v>
      </c>
      <c r="E125" t="n">
        <v>0.7872951338777138</v>
      </c>
      <c r="F125" t="n">
        <v>2.751944278964868</v>
      </c>
      <c r="G125" t="n">
        <v>0.4892519845600789</v>
      </c>
      <c r="H125" t="n">
        <v>13.71412009222568</v>
      </c>
      <c r="I125" t="n">
        <v>20.34189014062969</v>
      </c>
      <c r="J125" t="n">
        <v>12.42006086318869</v>
      </c>
      <c r="K125" t="n">
        <v>19.31115174992062</v>
      </c>
      <c r="L125" t="n">
        <v>34.05601023285536</v>
      </c>
      <c r="M125" t="n">
        <v>31.73121261310931</v>
      </c>
      <c r="N125" t="n">
        <v>19.05821930195764</v>
      </c>
      <c r="O125" t="n">
        <v>53.11422953481301</v>
      </c>
      <c r="P125" t="n">
        <v>50.78943191506694</v>
      </c>
      <c r="Q125" t="n">
        <v>39.20207477616061</v>
      </c>
      <c r="R125" t="n">
        <v>13.79892855115475</v>
      </c>
      <c r="S125" t="n">
        <v>53.00100332731535</v>
      </c>
      <c r="T125" t="n">
        <v>53.00100332731535</v>
      </c>
      <c r="U125" t="n">
        <v>2.271922222222222</v>
      </c>
      <c r="V125" t="n">
        <v>1.879377777777778</v>
      </c>
      <c r="W125" t="n">
        <v>4.151300000000001</v>
      </c>
      <c r="X125" t="n">
        <v>1.159666666666667</v>
      </c>
      <c r="Y125" t="n">
        <v>0.9012333333333333</v>
      </c>
      <c r="Z125" t="n">
        <v>2.0609</v>
      </c>
      <c r="AA125" t="n">
        <v>-0.1132262074976538</v>
      </c>
      <c r="AB125" t="n">
        <v>2.211571412248411</v>
      </c>
      <c r="AC125" t="n">
        <v>55.06190332731535</v>
      </c>
      <c r="AD125" t="n">
        <v>55.06190332731535</v>
      </c>
      <c r="AE125" t="n">
        <v>-2.203626207497658</v>
      </c>
      <c r="AF125" t="n">
        <v>0.1211714122484064</v>
      </c>
      <c r="AG125" t="n">
        <v>0.4785300804124207</v>
      </c>
      <c r="AH125" t="n">
        <v>0.5033929774529329</v>
      </c>
      <c r="AI125" t="n">
        <v>0.7523536348269735</v>
      </c>
      <c r="AJ125" t="n">
        <v>0.9188442168739388</v>
      </c>
      <c r="AK125" t="n">
        <v>2.653120909566266</v>
      </c>
      <c r="AL125" t="n">
        <v>55.76735044437928</v>
      </c>
      <c r="AM125" t="n">
        <v>-4.856747117063923</v>
      </c>
    </row>
    <row r="126">
      <c r="A126" s="8" t="n">
        <v>47969</v>
      </c>
      <c r="B126" t="inlineStr">
        <is>
          <t>Scenario</t>
        </is>
      </c>
      <c r="C126" t="n">
        <v>7.114375434925789</v>
      </c>
      <c r="D126" t="n">
        <v>9.247148251864761</v>
      </c>
      <c r="E126" t="n">
        <v>0.6286277550818116</v>
      </c>
      <c r="F126" t="n">
        <v>2.991018631852827</v>
      </c>
      <c r="G126" t="n">
        <v>0.4941206137808525</v>
      </c>
      <c r="H126" t="n">
        <v>14.3118733709199</v>
      </c>
      <c r="I126" t="n">
        <v>19.12286162552623</v>
      </c>
      <c r="J126" t="n">
        <v>12.97791352728497</v>
      </c>
      <c r="K126" t="n">
        <v>18.37325038829199</v>
      </c>
      <c r="L126" t="n">
        <v>33.43473499644614</v>
      </c>
      <c r="M126" t="n">
        <v>31.35116391557695</v>
      </c>
      <c r="N126" t="n">
        <v>20.47529068750605</v>
      </c>
      <c r="O126" t="n">
        <v>53.91002568395218</v>
      </c>
      <c r="P126" t="n">
        <v>51.82645460308299</v>
      </c>
      <c r="Q126" t="n">
        <v>39.23316268621259</v>
      </c>
      <c r="R126" t="n">
        <v>13.80699023948368</v>
      </c>
      <c r="S126" t="n">
        <v>53.04015292569626</v>
      </c>
      <c r="T126" t="n">
        <v>53.04015292569626</v>
      </c>
      <c r="U126" t="n">
        <v>2.179247311827957</v>
      </c>
      <c r="V126" t="n">
        <v>1.901956989247312</v>
      </c>
      <c r="W126" t="n">
        <v>4.081204301075269</v>
      </c>
      <c r="X126" t="n">
        <v>1.123032258064516</v>
      </c>
      <c r="Y126" t="n">
        <v>0.6363225806451612</v>
      </c>
      <c r="Z126" t="n">
        <v>1.759354838709677</v>
      </c>
      <c r="AA126" t="n">
        <v>-0.8698727582559229</v>
      </c>
      <c r="AB126" t="n">
        <v>1.213698322613268</v>
      </c>
      <c r="AC126" t="n">
        <v>54.79950776440594</v>
      </c>
      <c r="AD126" t="n">
        <v>54.79950776440594</v>
      </c>
      <c r="AE126" t="n">
        <v>-3.191722220621516</v>
      </c>
      <c r="AF126" t="n">
        <v>-1.108151139752325</v>
      </c>
      <c r="AG126" t="n">
        <v>0.5473199077189386</v>
      </c>
      <c r="AH126" t="n">
        <v>0.5778505663012588</v>
      </c>
      <c r="AI126" t="n">
        <v>0.8636353572974226</v>
      </c>
      <c r="AJ126" t="n">
        <v>1.03728179477289</v>
      </c>
      <c r="AK126" t="n">
        <v>3.02608762609051</v>
      </c>
      <c r="AL126" t="n">
        <v>56.93611331004269</v>
      </c>
      <c r="AM126" t="n">
        <v>-6.217809846712026</v>
      </c>
    </row>
    <row r="127">
      <c r="A127" s="8" t="n">
        <v>48000</v>
      </c>
      <c r="B127" t="inlineStr">
        <is>
          <t>Scenario</t>
        </is>
      </c>
      <c r="C127" t="n">
        <v>8.187791868718879</v>
      </c>
      <c r="D127" t="n">
        <v>9.295217032055833</v>
      </c>
      <c r="E127" t="n">
        <v>0.6175226114507412</v>
      </c>
      <c r="F127" t="n">
        <v>2.932999147140086</v>
      </c>
      <c r="G127" t="n">
        <v>0.4989892430016262</v>
      </c>
      <c r="H127" t="n">
        <v>14.54182463442464</v>
      </c>
      <c r="I127" t="n">
        <v>18.62471079636015</v>
      </c>
      <c r="J127" t="n">
        <v>13.28864259826902</v>
      </c>
      <c r="K127" t="n">
        <v>18.00834706063397</v>
      </c>
      <c r="L127" t="n">
        <v>33.16653543078479</v>
      </c>
      <c r="M127" t="n">
        <v>31.29698965890299</v>
      </c>
      <c r="N127" t="n">
        <v>21.53251990236717</v>
      </c>
      <c r="O127" t="n">
        <v>54.69905533315196</v>
      </c>
      <c r="P127" t="n">
        <v>52.82950956127016</v>
      </c>
      <c r="Q127" t="n">
        <v>39.26427553994218</v>
      </c>
      <c r="R127" t="n">
        <v>13.81505661939145</v>
      </c>
      <c r="S127" t="n">
        <v>53.07933215933363</v>
      </c>
      <c r="T127" t="n">
        <v>53.07933215933363</v>
      </c>
      <c r="U127" t="n">
        <v>1.835466666666667</v>
      </c>
      <c r="V127" t="n">
        <v>1.611388888888889</v>
      </c>
      <c r="W127" t="n">
        <v>3.446855555555556</v>
      </c>
      <c r="X127" t="n">
        <v>1.149211111111111</v>
      </c>
      <c r="Y127" t="n">
        <v>0.8488000000000001</v>
      </c>
      <c r="Z127" t="n">
        <v>1.998011111111111</v>
      </c>
      <c r="AA127" t="n">
        <v>-1.619723173818329</v>
      </c>
      <c r="AB127" t="n">
        <v>0.2498225980634672</v>
      </c>
      <c r="AC127" t="n">
        <v>55.07734327044474</v>
      </c>
      <c r="AD127" t="n">
        <v>55.07734327044474</v>
      </c>
      <c r="AE127" t="n">
        <v>-3.068567618262773</v>
      </c>
      <c r="AF127" t="n">
        <v>-1.199021846380977</v>
      </c>
      <c r="AG127" t="n">
        <v>0.6271303226427209</v>
      </c>
      <c r="AH127" t="n">
        <v>0.6637737929629901</v>
      </c>
      <c r="AI127" t="n">
        <v>0.9920532232400594</v>
      </c>
      <c r="AJ127" t="n">
        <v>1.005686553693307</v>
      </c>
      <c r="AK127" t="n">
        <v>3.288643892539078</v>
      </c>
      <c r="AL127" t="n">
        <v>57.98769922569104</v>
      </c>
      <c r="AM127" t="n">
        <v>-6.357211510801851</v>
      </c>
    </row>
    <row r="128">
      <c r="A128" s="8" t="n">
        <v>48030</v>
      </c>
      <c r="B128" t="inlineStr">
        <is>
          <t>Scenario</t>
        </is>
      </c>
      <c r="C128" t="n">
        <v>8.89018638640302</v>
      </c>
      <c r="D128" t="n">
        <v>9.353279740574393</v>
      </c>
      <c r="E128" t="n">
        <v>0.5792440005860179</v>
      </c>
      <c r="F128" t="n">
        <v>2.798953512470861</v>
      </c>
      <c r="G128" t="n">
        <v>0.5038578722223999</v>
      </c>
      <c r="H128" t="n">
        <v>14.22991380966947</v>
      </c>
      <c r="I128" t="n">
        <v>18.76318309027753</v>
      </c>
      <c r="J128" t="n">
        <v>13.22240888045034</v>
      </c>
      <c r="K128" t="n">
        <v>18.2557696485062</v>
      </c>
      <c r="L128" t="n">
        <v>32.99309689994699</v>
      </c>
      <c r="M128" t="n">
        <v>31.47817852895654</v>
      </c>
      <c r="N128" t="n">
        <v>22.12552151225669</v>
      </c>
      <c r="O128" t="n">
        <v>55.11861841220369</v>
      </c>
      <c r="P128" t="n">
        <v>53.60370004121323</v>
      </c>
      <c r="Q128" t="n">
        <v>39.29541335797166</v>
      </c>
      <c r="R128" t="n">
        <v>13.82312769360836</v>
      </c>
      <c r="S128" t="n">
        <v>53.11854105158002</v>
      </c>
      <c r="T128" t="n">
        <v>53.11854105158002</v>
      </c>
      <c r="U128" t="n">
        <v>1.445075268817204</v>
      </c>
      <c r="V128" t="n">
        <v>1.232569892473118</v>
      </c>
      <c r="W128" t="n">
        <v>2.677645161290322</v>
      </c>
      <c r="X128" t="n">
        <v>1.521387096774194</v>
      </c>
      <c r="Y128" t="n">
        <v>1.100247311827957</v>
      </c>
      <c r="Z128" t="n">
        <v>2.621634408602151</v>
      </c>
      <c r="AA128" t="n">
        <v>-2.000077360623663</v>
      </c>
      <c r="AB128" t="n">
        <v>-0.4851589896332058</v>
      </c>
      <c r="AC128" t="n">
        <v>55.74017546018217</v>
      </c>
      <c r="AD128" t="n">
        <v>55.74017546018217</v>
      </c>
      <c r="AE128" t="n">
        <v>-2.056088113311838</v>
      </c>
      <c r="AF128" t="n">
        <v>-0.5411697423213804</v>
      </c>
      <c r="AG128" t="n">
        <v>0.7257061785805374</v>
      </c>
      <c r="AH128" t="n">
        <v>0.7695188499460978</v>
      </c>
      <c r="AI128" t="n">
        <v>1.150096107327899</v>
      </c>
      <c r="AJ128" t="n">
        <v>1.008597198161959</v>
      </c>
      <c r="AK128" t="n">
        <v>3.653918334016494</v>
      </c>
      <c r="AL128" t="n">
        <v>58.77253674622018</v>
      </c>
      <c r="AM128" t="n">
        <v>-5.710006447328332</v>
      </c>
    </row>
    <row r="129">
      <c r="A129" s="8" t="n">
        <v>48061</v>
      </c>
      <c r="B129" t="inlineStr">
        <is>
          <t>Scenario</t>
        </is>
      </c>
      <c r="C129" t="n">
        <v>9.823762464558222</v>
      </c>
      <c r="D129" t="n">
        <v>9.327774063044004</v>
      </c>
      <c r="E129" t="n">
        <v>0.5505378442340325</v>
      </c>
      <c r="F129" t="n">
        <v>2.864573466825327</v>
      </c>
      <c r="G129" t="n">
        <v>0.5087265014431734</v>
      </c>
      <c r="H129" t="n">
        <v>14.68855477995527</v>
      </c>
      <c r="I129" t="n">
        <v>18.80339098570049</v>
      </c>
      <c r="J129" t="n">
        <v>13.83087807493037</v>
      </c>
      <c r="K129" t="n">
        <v>18.37964033124419</v>
      </c>
      <c r="L129" t="n">
        <v>33.49194576565576</v>
      </c>
      <c r="M129" t="n">
        <v>32.21051840617456</v>
      </c>
      <c r="N129" t="n">
        <v>23.07537434010476</v>
      </c>
      <c r="O129" t="n">
        <v>56.56732010576052</v>
      </c>
      <c r="P129" t="n">
        <v>55.28589274627932</v>
      </c>
      <c r="Q129" t="n">
        <v>39.3265761609407</v>
      </c>
      <c r="R129" t="n">
        <v>13.83120346486633</v>
      </c>
      <c r="S129" t="n">
        <v>53.15777962580702</v>
      </c>
      <c r="T129" t="n">
        <v>53.15777962580702</v>
      </c>
      <c r="U129" t="n">
        <v>1.741763440860215</v>
      </c>
      <c r="V129" t="n">
        <v>0.9842580645161288</v>
      </c>
      <c r="W129" t="n">
        <v>2.726021505376344</v>
      </c>
      <c r="X129" t="n">
        <v>2.883548387096774</v>
      </c>
      <c r="Y129" t="n">
        <v>1.349731182795699</v>
      </c>
      <c r="Z129" t="n">
        <v>4.233279569892473</v>
      </c>
      <c r="AA129" t="n">
        <v>-3.409540479953492</v>
      </c>
      <c r="AB129" t="n">
        <v>-2.128113120472293</v>
      </c>
      <c r="AC129" t="n">
        <v>57.3910591956995</v>
      </c>
      <c r="AD129" t="n">
        <v>57.3910591956995</v>
      </c>
      <c r="AE129" t="n">
        <v>-1.902282415437361</v>
      </c>
      <c r="AF129" t="n">
        <v>-0.6208550559561621</v>
      </c>
      <c r="AG129" t="n">
        <v>0.8242294787825083</v>
      </c>
      <c r="AH129" t="n">
        <v>0.8752143206819132</v>
      </c>
      <c r="AI129" t="n">
        <v>1.308064881535271</v>
      </c>
      <c r="AJ129" t="n">
        <v>1.010758535631858</v>
      </c>
      <c r="AK129" t="n">
        <v>4.01826721663155</v>
      </c>
      <c r="AL129" t="n">
        <v>60.58558732239207</v>
      </c>
      <c r="AM129" t="n">
        <v>-5.920549632068911</v>
      </c>
    </row>
    <row r="130">
      <c r="A130" s="8" t="n">
        <v>48092</v>
      </c>
      <c r="B130" t="inlineStr">
        <is>
          <t>Scenario</t>
        </is>
      </c>
      <c r="C130" t="n">
        <v>8.282553719125339</v>
      </c>
      <c r="D130" t="n">
        <v>9.265626306141083</v>
      </c>
      <c r="E130" t="n">
        <v>0.5635551621605658</v>
      </c>
      <c r="F130" t="n">
        <v>2.696572146296074</v>
      </c>
      <c r="G130" t="n">
        <v>0.5135951306639471</v>
      </c>
      <c r="H130" t="n">
        <v>15.4700550280206</v>
      </c>
      <c r="I130" t="n">
        <v>19.18090506490999</v>
      </c>
      <c r="J130" t="n">
        <v>14.75661290975808</v>
      </c>
      <c r="K130" t="n">
        <v>18.83509845670827</v>
      </c>
      <c r="L130" t="n">
        <v>34.65096009293058</v>
      </c>
      <c r="M130" t="n">
        <v>33.59171136646634</v>
      </c>
      <c r="N130" t="n">
        <v>21.32190246438701</v>
      </c>
      <c r="O130" t="n">
        <v>55.97286255731759</v>
      </c>
      <c r="P130" t="n">
        <v>54.91361383085335</v>
      </c>
      <c r="Q130" t="n">
        <v>39.35776396950637</v>
      </c>
      <c r="R130" t="n">
        <v>13.83928393589883</v>
      </c>
      <c r="S130" t="n">
        <v>53.19704790540521</v>
      </c>
      <c r="T130" t="n">
        <v>53.19704790540521</v>
      </c>
      <c r="U130" t="n">
        <v>2.412133333333333</v>
      </c>
      <c r="V130" t="n">
        <v>1.311877777777778</v>
      </c>
      <c r="W130" t="n">
        <v>3.724011111111111</v>
      </c>
      <c r="X130" t="n">
        <v>2.104855555555555</v>
      </c>
      <c r="Y130" t="n">
        <v>0.9838444444444444</v>
      </c>
      <c r="Z130" t="n">
        <v>3.0887</v>
      </c>
      <c r="AA130" t="n">
        <v>-2.775814651912384</v>
      </c>
      <c r="AB130" t="n">
        <v>-1.716565925448144</v>
      </c>
      <c r="AC130" t="n">
        <v>56.28574790540521</v>
      </c>
      <c r="AD130" t="n">
        <v>56.28574790540521</v>
      </c>
      <c r="AE130" t="n">
        <v>-3.411125763023493</v>
      </c>
      <c r="AF130" t="n">
        <v>-2.351877036559253</v>
      </c>
      <c r="AG130" t="n">
        <v>0.9396924595667642</v>
      </c>
      <c r="AH130" t="n">
        <v>0.9989213136228182</v>
      </c>
      <c r="AI130" t="n">
        <v>1.492953050344314</v>
      </c>
      <c r="AJ130" t="n">
        <v>1.031051448658683</v>
      </c>
      <c r="AK130" t="n">
        <v>4.462618272192579</v>
      </c>
      <c r="AL130" t="n">
        <v>60.43548082951017</v>
      </c>
      <c r="AM130" t="n">
        <v>-7.873744035216071</v>
      </c>
    </row>
    <row r="131">
      <c r="A131" s="8" t="n">
        <v>48122</v>
      </c>
      <c r="B131" t="inlineStr">
        <is>
          <t>Scenario</t>
        </is>
      </c>
      <c r="C131" t="n">
        <v>6.647359956542854</v>
      </c>
      <c r="D131" t="n">
        <v>9.110889111249282</v>
      </c>
      <c r="E131" t="n">
        <v>0.6625459908814725</v>
      </c>
      <c r="F131" t="n">
        <v>2.572250718464745</v>
      </c>
      <c r="G131" t="n">
        <v>0.5184637598847208</v>
      </c>
      <c r="H131" t="n">
        <v>15.89548970777218</v>
      </c>
      <c r="I131" t="n">
        <v>20.10895911890998</v>
      </c>
      <c r="J131" t="n">
        <v>15.35236015776371</v>
      </c>
      <c r="K131" t="n">
        <v>19.83705546301451</v>
      </c>
      <c r="L131" t="n">
        <v>36.00444882668216</v>
      </c>
      <c r="M131" t="n">
        <v>35.18941562077822</v>
      </c>
      <c r="N131" t="n">
        <v>19.51150953702307</v>
      </c>
      <c r="O131" t="n">
        <v>55.51595836370524</v>
      </c>
      <c r="P131" t="n">
        <v>54.70092515780129</v>
      </c>
      <c r="Q131" t="n">
        <v>39.38897680434319</v>
      </c>
      <c r="R131" t="n">
        <v>13.84736910944095</v>
      </c>
      <c r="S131" t="n">
        <v>53.23634591378414</v>
      </c>
      <c r="T131" t="n">
        <v>53.23634591378414</v>
      </c>
      <c r="U131" t="n">
        <v>2.523494623655914</v>
      </c>
      <c r="V131" t="n">
        <v>1.779247311827957</v>
      </c>
      <c r="W131" t="n">
        <v>4.302741935483871</v>
      </c>
      <c r="X131" t="n">
        <v>1.056784946236559</v>
      </c>
      <c r="Y131" t="n">
        <v>0.6070430107526882</v>
      </c>
      <c r="Z131" t="n">
        <v>1.663827956989247</v>
      </c>
      <c r="AA131" t="n">
        <v>-2.279612449921096</v>
      </c>
      <c r="AB131" t="n">
        <v>-1.464579244017152</v>
      </c>
      <c r="AC131" t="n">
        <v>54.90017387077339</v>
      </c>
      <c r="AD131" t="n">
        <v>54.90017387077339</v>
      </c>
      <c r="AE131" t="n">
        <v>-4.918526428415722</v>
      </c>
      <c r="AF131" t="n">
        <v>-4.103493222511778</v>
      </c>
      <c r="AG131" t="n">
        <v>0.9851587915079807</v>
      </c>
      <c r="AH131" t="n">
        <v>1.158524063042426</v>
      </c>
      <c r="AI131" t="n">
        <v>1.731489768241711</v>
      </c>
      <c r="AJ131" t="n">
        <v>1.080938118425939</v>
      </c>
      <c r="AK131" t="n">
        <v>4.956110741218057</v>
      </c>
      <c r="AL131" t="n">
        <v>60.47206910492329</v>
      </c>
      <c r="AM131" t="n">
        <v>-9.874637169633779</v>
      </c>
    </row>
    <row r="132">
      <c r="A132" s="8" t="n">
        <v>48153</v>
      </c>
      <c r="B132" t="inlineStr">
        <is>
          <t>Scenario</t>
        </is>
      </c>
      <c r="C132" t="n">
        <v>5.869754172766071</v>
      </c>
      <c r="D132" t="n">
        <v>9.637649940704984</v>
      </c>
      <c r="E132" t="n">
        <v>0.9859034867824812</v>
      </c>
      <c r="F132" t="n">
        <v>2.514106660763842</v>
      </c>
      <c r="G132" t="n">
        <v>0.5233323891054944</v>
      </c>
      <c r="H132" t="n">
        <v>16.23512052546222</v>
      </c>
      <c r="I132" t="n">
        <v>21.18746624301015</v>
      </c>
      <c r="J132" t="n">
        <v>15.87437699963832</v>
      </c>
      <c r="K132" t="n">
        <v>20.99647510330404</v>
      </c>
      <c r="L132" t="n">
        <v>37.42258676847237</v>
      </c>
      <c r="M132" t="n">
        <v>36.87085210294236</v>
      </c>
      <c r="N132" t="n">
        <v>19.53074665012287</v>
      </c>
      <c r="O132" t="n">
        <v>56.95333341859524</v>
      </c>
      <c r="P132" t="n">
        <v>56.40159875306523</v>
      </c>
      <c r="Q132" t="n">
        <v>39.40963167559494</v>
      </c>
      <c r="R132" t="n">
        <v>13.85545898822936</v>
      </c>
      <c r="S132" t="n">
        <v>53.2650906638243</v>
      </c>
      <c r="T132" t="n">
        <v>53.2650906638243</v>
      </c>
      <c r="U132" t="n">
        <v>1.881788888888889</v>
      </c>
      <c r="V132" t="n">
        <v>1.304466666666667</v>
      </c>
      <c r="W132" t="n">
        <v>3.186255555555555</v>
      </c>
      <c r="X132" t="n">
        <v>1.287677777777778</v>
      </c>
      <c r="Y132" t="n">
        <v>0.8570333333333333</v>
      </c>
      <c r="Z132" t="n">
        <v>2.144711111111111</v>
      </c>
      <c r="AA132" t="n">
        <v>-3.688242754770933</v>
      </c>
      <c r="AB132" t="n">
        <v>-3.136508089240927</v>
      </c>
      <c r="AC132" t="n">
        <v>55.40980177493542</v>
      </c>
      <c r="AD132" t="n">
        <v>55.40980177493542</v>
      </c>
      <c r="AE132" t="n">
        <v>-4.729787199215374</v>
      </c>
      <c r="AF132" t="n">
        <v>-4.178052533685368</v>
      </c>
      <c r="AG132" t="n">
        <v>1.037995975607287</v>
      </c>
      <c r="AH132" t="n">
        <v>1.337897846450563</v>
      </c>
      <c r="AI132" t="n">
        <v>1.99957558585206</v>
      </c>
      <c r="AJ132" t="n">
        <v>1.13891225097751</v>
      </c>
      <c r="AK132" t="n">
        <v>5.514381658887419</v>
      </c>
      <c r="AL132" t="n">
        <v>62.46771507748265</v>
      </c>
      <c r="AM132" t="n">
        <v>-10.24416885810279</v>
      </c>
    </row>
    <row r="133">
      <c r="A133" s="8" t="n">
        <v>48183</v>
      </c>
      <c r="B133" t="inlineStr">
        <is>
          <t>Scenario</t>
        </is>
      </c>
      <c r="C133" t="n">
        <v>5.631617502448426</v>
      </c>
      <c r="D133" t="n">
        <v>10.05566730627173</v>
      </c>
      <c r="E133" t="n">
        <v>1.509726423174962</v>
      </c>
      <c r="F133" t="n">
        <v>2.399606561380231</v>
      </c>
      <c r="G133" t="n">
        <v>0.5282010183262681</v>
      </c>
      <c r="H133" t="n">
        <v>16.01719753724603</v>
      </c>
      <c r="I133" t="n">
        <v>21.78446306941743</v>
      </c>
      <c r="J133" t="n">
        <v>15.75027157089693</v>
      </c>
      <c r="K133" t="n">
        <v>21.68627673175456</v>
      </c>
      <c r="L133" t="n">
        <v>37.80166060666346</v>
      </c>
      <c r="M133" t="n">
        <v>37.43654830265149</v>
      </c>
      <c r="N133" t="n">
        <v>20.12481881160161</v>
      </c>
      <c r="O133" t="n">
        <v>57.92647941826507</v>
      </c>
      <c r="P133" t="n">
        <v>57.5613671142531</v>
      </c>
      <c r="Q133" t="n">
        <v>39.41656782134501</v>
      </c>
      <c r="R133" t="n">
        <v>13.86355357500233</v>
      </c>
      <c r="S133" t="n">
        <v>53.28012139634734</v>
      </c>
      <c r="T133" t="n">
        <v>53.28012139634734</v>
      </c>
      <c r="U133" t="n">
        <v>1.379204301075269</v>
      </c>
      <c r="V133" t="n">
        <v>1.143408602150538</v>
      </c>
      <c r="W133" t="n">
        <v>2.522612903225806</v>
      </c>
      <c r="X133" t="n">
        <v>2.158774193548387</v>
      </c>
      <c r="Y133" t="n">
        <v>1.674903225806452</v>
      </c>
      <c r="Z133" t="n">
        <v>3.833677419354839</v>
      </c>
      <c r="AA133" t="n">
        <v>-4.646358021917735</v>
      </c>
      <c r="AB133" t="n">
        <v>-4.281245717905762</v>
      </c>
      <c r="AC133" t="n">
        <v>57.11379881570218</v>
      </c>
      <c r="AD133" t="n">
        <v>57.11379881570218</v>
      </c>
      <c r="AE133" t="n">
        <v>-3.335293505788699</v>
      </c>
      <c r="AF133" t="n">
        <v>-2.970181201776726</v>
      </c>
      <c r="AG133" t="n">
        <v>1.067243470147391</v>
      </c>
      <c r="AH133" t="n">
        <v>1.496137528039063</v>
      </c>
      <c r="AI133" t="n">
        <v>2.23607510998001</v>
      </c>
      <c r="AJ133" t="n">
        <v>1.171003251930219</v>
      </c>
      <c r="AK133" t="n">
        <v>5.970459360096684</v>
      </c>
      <c r="AL133" t="n">
        <v>63.89693877836176</v>
      </c>
      <c r="AM133" t="n">
        <v>-9.305752865885383</v>
      </c>
    </row>
    <row r="134">
      <c r="A134" s="8" t="n">
        <v>48214</v>
      </c>
      <c r="B134" t="inlineStr">
        <is>
          <t>Scenario</t>
        </is>
      </c>
      <c r="C134" t="n">
        <v>6.780991710926282</v>
      </c>
      <c r="D134" t="n">
        <v>9.708335660788435</v>
      </c>
      <c r="E134" t="n">
        <v>2.419843560763508</v>
      </c>
      <c r="F134" t="n">
        <v>2.643528614566458</v>
      </c>
      <c r="G134" t="n">
        <v>0.5330696475470417</v>
      </c>
      <c r="H134" t="n">
        <v>15.40481531001708</v>
      </c>
      <c r="I134" t="n">
        <v>21.76960421100057</v>
      </c>
      <c r="J134" t="n">
        <v>15.23366821625557</v>
      </c>
      <c r="K134" t="n">
        <v>21.76960421100057</v>
      </c>
      <c r="L134" t="n">
        <v>37.17441952101765</v>
      </c>
      <c r="M134" t="n">
        <v>37.00327242725614</v>
      </c>
      <c r="N134" t="n">
        <v>22.08576919459172</v>
      </c>
      <c r="O134" t="n">
        <v>59.26018871560937</v>
      </c>
      <c r="P134" t="n">
        <v>59.08904162184785</v>
      </c>
      <c r="Q134" t="n">
        <v>39.42004294921241</v>
      </c>
      <c r="R134" t="n">
        <v>13.86760970286881</v>
      </c>
      <c r="S134" t="n">
        <v>53.28765265208122</v>
      </c>
      <c r="T134" t="n">
        <v>53.28765265208122</v>
      </c>
      <c r="U134" t="n">
        <v>0.9953118279569892</v>
      </c>
      <c r="V134" t="n">
        <v>0.7306666666666666</v>
      </c>
      <c r="W134" t="n">
        <v>1.725978494623656</v>
      </c>
      <c r="X134" t="n">
        <v>4.435344086021505</v>
      </c>
      <c r="Y134" t="n">
        <v>3.898569892473118</v>
      </c>
      <c r="Z134" t="n">
        <v>8.333913978494623</v>
      </c>
      <c r="AA134" t="n">
        <v>-5.972536063528153</v>
      </c>
      <c r="AB134" t="n">
        <v>-5.801388969766634</v>
      </c>
      <c r="AC134" t="n">
        <v>61.62156663057584</v>
      </c>
      <c r="AD134" t="n">
        <v>61.62156663057584</v>
      </c>
      <c r="AE134" t="n">
        <v>0.6353994203428122</v>
      </c>
      <c r="AF134" t="n">
        <v>0.8065465141043311</v>
      </c>
      <c r="AG134" t="n">
        <v>1.066515519241798</v>
      </c>
      <c r="AH134" t="n">
        <v>1.615576701189157</v>
      </c>
      <c r="AI134" t="n">
        <v>2.414584743775217</v>
      </c>
      <c r="AJ134" t="n">
        <v>1.170204528019941</v>
      </c>
      <c r="AK134" t="n">
        <v>6.266881492226115</v>
      </c>
      <c r="AL134" t="n">
        <v>65.52707020783549</v>
      </c>
      <c r="AM134" t="n">
        <v>-5.631482071883303</v>
      </c>
    </row>
    <row r="135">
      <c r="A135" s="8" t="n">
        <v>48245</v>
      </c>
      <c r="B135" t="inlineStr">
        <is>
          <t>Scenario</t>
        </is>
      </c>
      <c r="C135" t="n">
        <v>5.628230729808795</v>
      </c>
      <c r="D135" t="n">
        <v>9.383889681920255</v>
      </c>
      <c r="E135" t="n">
        <v>1.759859401754635</v>
      </c>
      <c r="F135" t="n">
        <v>2.598794312080328</v>
      </c>
      <c r="G135" t="n">
        <v>0.5379382767678154</v>
      </c>
      <c r="H135" t="n">
        <v>15.16644253291303</v>
      </c>
      <c r="I135" t="n">
        <v>21.71978509254615</v>
      </c>
      <c r="J135" t="n">
        <v>15.08219314368078</v>
      </c>
      <c r="K135" t="n">
        <v>21.71978509254615</v>
      </c>
      <c r="L135" t="n">
        <v>36.88622762545918</v>
      </c>
      <c r="M135" t="n">
        <v>36.80197823622694</v>
      </c>
      <c r="N135" t="n">
        <v>19.90871240233183</v>
      </c>
      <c r="O135" t="n">
        <v>56.79494002779101</v>
      </c>
      <c r="P135" t="n">
        <v>56.71069063855877</v>
      </c>
      <c r="Q135" t="n">
        <v>39.42351902089015</v>
      </c>
      <c r="R135" t="n">
        <v>13.87166701287536</v>
      </c>
      <c r="S135" t="n">
        <v>53.2951860337655</v>
      </c>
      <c r="T135" t="n">
        <v>53.2951860337655</v>
      </c>
      <c r="U135" t="n">
        <v>1.637940886699507</v>
      </c>
      <c r="V135" t="n">
        <v>1.108112479474548</v>
      </c>
      <c r="W135" t="n">
        <v>2.746053366174056</v>
      </c>
      <c r="X135" t="n">
        <v>2.852903530377668</v>
      </c>
      <c r="Y135" t="n">
        <v>2.522028325123153</v>
      </c>
      <c r="Z135" t="n">
        <v>5.374931855500821</v>
      </c>
      <c r="AA135" t="n">
        <v>-3.499753994025511</v>
      </c>
      <c r="AB135" t="n">
        <v>-3.415504604793263</v>
      </c>
      <c r="AC135" t="n">
        <v>58.67011788926632</v>
      </c>
      <c r="AD135" t="n">
        <v>58.67011788926632</v>
      </c>
      <c r="AE135" t="n">
        <v>-0.870875504698748</v>
      </c>
      <c r="AF135" t="n">
        <v>-0.7866261154665</v>
      </c>
      <c r="AG135" t="n">
        <v>1.064074828888791</v>
      </c>
      <c r="AH135" t="n">
        <v>1.611879499978303</v>
      </c>
      <c r="AI135" t="n">
        <v>2.409059035443434</v>
      </c>
      <c r="AJ135" t="n">
        <v>1.167526548327143</v>
      </c>
      <c r="AK135" t="n">
        <v>6.25253991263767</v>
      </c>
      <c r="AL135" t="n">
        <v>63.04747994042869</v>
      </c>
      <c r="AM135" t="n">
        <v>-7.123415417336417</v>
      </c>
    </row>
    <row r="136">
      <c r="A136" s="8" t="n">
        <v>48274</v>
      </c>
      <c r="B136" t="inlineStr">
        <is>
          <t>Scenario</t>
        </is>
      </c>
      <c r="C136" t="n">
        <v>5.077647680874519</v>
      </c>
      <c r="D136" t="n">
        <v>9.397732072106098</v>
      </c>
      <c r="E136" t="n">
        <v>0.9938767454983871</v>
      </c>
      <c r="F136" t="n">
        <v>2.504301106472185</v>
      </c>
      <c r="G136" t="n">
        <v>0.5428069059885891</v>
      </c>
      <c r="H136" t="n">
        <v>14.70041434656364</v>
      </c>
      <c r="I136" t="n">
        <v>21.54837906706522</v>
      </c>
      <c r="J136" t="n">
        <v>14.70041434656364</v>
      </c>
      <c r="K136" t="n">
        <v>21.54837906706522</v>
      </c>
      <c r="L136" t="n">
        <v>36.24879341362886</v>
      </c>
      <c r="M136" t="n">
        <v>36.24879341362886</v>
      </c>
      <c r="N136" t="n">
        <v>18.51636451093978</v>
      </c>
      <c r="O136" t="n">
        <v>54.76515792456864</v>
      </c>
      <c r="P136" t="n">
        <v>54.76515792456864</v>
      </c>
      <c r="Q136" t="n">
        <v>39.42699603663554</v>
      </c>
      <c r="R136" t="n">
        <v>13.8757255053665</v>
      </c>
      <c r="S136" t="n">
        <v>53.30272154200205</v>
      </c>
      <c r="T136" t="n">
        <v>53.30272154200205</v>
      </c>
      <c r="U136" t="n">
        <v>2.392172043010753</v>
      </c>
      <c r="V136" t="n">
        <v>1.836397849462366</v>
      </c>
      <c r="W136" t="n">
        <v>4.228569892473119</v>
      </c>
      <c r="X136" t="n">
        <v>1.187268817204301</v>
      </c>
      <c r="Y136" t="n">
        <v>1.039376344086022</v>
      </c>
      <c r="Z136" t="n">
        <v>2.226645161290323</v>
      </c>
      <c r="AA136" t="n">
        <v>-1.462436382566594</v>
      </c>
      <c r="AB136" t="n">
        <v>-1.462436382566594</v>
      </c>
      <c r="AC136" t="n">
        <v>55.52936670329237</v>
      </c>
      <c r="AD136" t="n">
        <v>55.52936670329237</v>
      </c>
      <c r="AE136" t="n">
        <v>-3.464361113749391</v>
      </c>
      <c r="AF136" t="n">
        <v>-3.464361113749391</v>
      </c>
      <c r="AG136" t="n">
        <v>1.055677469685788</v>
      </c>
      <c r="AH136" t="n">
        <v>1.599159030716372</v>
      </c>
      <c r="AI136" t="n">
        <v>2.390047464534474</v>
      </c>
      <c r="AJ136" t="n">
        <v>1.158312779201918</v>
      </c>
      <c r="AK136" t="n">
        <v>6.203196744138552</v>
      </c>
      <c r="AL136" t="n">
        <v>60.96835466870719</v>
      </c>
      <c r="AM136" t="n">
        <v>-9.667557857887942</v>
      </c>
    </row>
    <row r="137">
      <c r="A137" s="8" t="n">
        <v>48305</v>
      </c>
      <c r="B137" t="inlineStr">
        <is>
          <t>Scenario</t>
        </is>
      </c>
      <c r="C137" t="n">
        <v>5.653275061269135</v>
      </c>
      <c r="D137" t="n">
        <v>9.486171879239958</v>
      </c>
      <c r="E137" t="n">
        <v>0.7653103553967202</v>
      </c>
      <c r="F137" t="n">
        <v>2.696204812660747</v>
      </c>
      <c r="G137" t="n">
        <v>0.5476755352093626</v>
      </c>
      <c r="H137" t="n">
        <v>14.1992926518784</v>
      </c>
      <c r="I137" t="n">
        <v>20.62071349258198</v>
      </c>
      <c r="J137" t="n">
        <v>14.1992926518784</v>
      </c>
      <c r="K137" t="n">
        <v>20.62071349258198</v>
      </c>
      <c r="L137" t="n">
        <v>34.82000614446038</v>
      </c>
      <c r="M137" t="n">
        <v>34.82000614446038</v>
      </c>
      <c r="N137" t="n">
        <v>19.14863764377592</v>
      </c>
      <c r="O137" t="n">
        <v>53.9686437882363</v>
      </c>
      <c r="P137" t="n">
        <v>53.9686437882363</v>
      </c>
      <c r="Q137" t="n">
        <v>39.43047399670598</v>
      </c>
      <c r="R137" t="n">
        <v>13.87978518068688</v>
      </c>
      <c r="S137" t="n">
        <v>53.31025917739285</v>
      </c>
      <c r="T137" t="n">
        <v>53.31025917739285</v>
      </c>
      <c r="U137" t="n">
        <v>2.271922222222222</v>
      </c>
      <c r="V137" t="n">
        <v>1.879377777777778</v>
      </c>
      <c r="W137" t="n">
        <v>4.151300000000001</v>
      </c>
      <c r="X137" t="n">
        <v>1.159666666666667</v>
      </c>
      <c r="Y137" t="n">
        <v>0.9012333333333333</v>
      </c>
      <c r="Z137" t="n">
        <v>2.0609</v>
      </c>
      <c r="AA137" t="n">
        <v>-0.6583846108434486</v>
      </c>
      <c r="AB137" t="n">
        <v>-0.6583846108434486</v>
      </c>
      <c r="AC137" t="n">
        <v>55.37115917739285</v>
      </c>
      <c r="AD137" t="n">
        <v>55.37115917739285</v>
      </c>
      <c r="AE137" t="n">
        <v>-2.748784610843446</v>
      </c>
      <c r="AF137" t="n">
        <v>-2.748784610843446</v>
      </c>
      <c r="AG137" t="n">
        <v>1.010230169759555</v>
      </c>
      <c r="AH137" t="n">
        <v>1.530314651456916</v>
      </c>
      <c r="AI137" t="n">
        <v>2.287155049873999</v>
      </c>
      <c r="AJ137" t="n">
        <v>1.108446991784434</v>
      </c>
      <c r="AK137" t="n">
        <v>5.936146862874905</v>
      </c>
      <c r="AL137" t="n">
        <v>59.90479065111121</v>
      </c>
      <c r="AM137" t="n">
        <v>-8.684931473718351</v>
      </c>
    </row>
    <row r="138">
      <c r="A138" s="8" t="n">
        <v>48335</v>
      </c>
      <c r="B138" t="inlineStr">
        <is>
          <t>Scenario</t>
        </is>
      </c>
      <c r="C138" t="n">
        <v>7.152874279699502</v>
      </c>
      <c r="D138" t="n">
        <v>9.322793489571364</v>
      </c>
      <c r="E138" t="n">
        <v>0.6112607461757733</v>
      </c>
      <c r="F138" t="n">
        <v>2.930436815745756</v>
      </c>
      <c r="G138" t="n">
        <v>0.5525441644301362</v>
      </c>
      <c r="H138" t="n">
        <v>14.63710916827362</v>
      </c>
      <c r="I138" t="n">
        <v>19.29680973435555</v>
      </c>
      <c r="J138" t="n">
        <v>14.63710916827362</v>
      </c>
      <c r="K138" t="n">
        <v>19.29680973435555</v>
      </c>
      <c r="L138" t="n">
        <v>33.93391890262917</v>
      </c>
      <c r="M138" t="n">
        <v>33.93391890262917</v>
      </c>
      <c r="N138" t="n">
        <v>20.56990949562253</v>
      </c>
      <c r="O138" t="n">
        <v>54.5038283982517</v>
      </c>
      <c r="P138" t="n">
        <v>54.5038283982517</v>
      </c>
      <c r="Q138" t="n">
        <v>39.43395290135895</v>
      </c>
      <c r="R138" t="n">
        <v>13.88384603918121</v>
      </c>
      <c r="S138" t="n">
        <v>53.31779894054016</v>
      </c>
      <c r="T138" t="n">
        <v>53.31779894054016</v>
      </c>
      <c r="U138" t="n">
        <v>2.179247311827957</v>
      </c>
      <c r="V138" t="n">
        <v>1.901956989247312</v>
      </c>
      <c r="W138" t="n">
        <v>4.081204301075269</v>
      </c>
      <c r="X138" t="n">
        <v>1.123032258064516</v>
      </c>
      <c r="Y138" t="n">
        <v>0.6363225806451612</v>
      </c>
      <c r="Z138" t="n">
        <v>1.759354838709677</v>
      </c>
      <c r="AA138" t="n">
        <v>-1.186029457711541</v>
      </c>
      <c r="AB138" t="n">
        <v>-1.186029457711541</v>
      </c>
      <c r="AC138" t="n">
        <v>55.07715377924983</v>
      </c>
      <c r="AD138" t="n">
        <v>55.07715377924983</v>
      </c>
      <c r="AE138" t="n">
        <v>-3.507878920077134</v>
      </c>
      <c r="AF138" t="n">
        <v>-3.507878920077134</v>
      </c>
      <c r="AG138" t="n">
        <v>0.9453707496963485</v>
      </c>
      <c r="AH138" t="n">
        <v>1.432064446920511</v>
      </c>
      <c r="AI138" t="n">
        <v>2.140313711563178</v>
      </c>
      <c r="AJ138" t="n">
        <v>1.03728179477289</v>
      </c>
      <c r="AK138" t="n">
        <v>5.555030702952927</v>
      </c>
      <c r="AL138" t="n">
        <v>60.05885910120463</v>
      </c>
      <c r="AM138" t="n">
        <v>-9.062909623030063</v>
      </c>
    </row>
    <row r="139">
      <c r="A139" s="8" t="n">
        <v>48366</v>
      </c>
      <c r="B139" t="inlineStr">
        <is>
          <t>Scenario</t>
        </is>
      </c>
      <c r="C139" t="n">
        <v>8.231706753264431</v>
      </c>
      <c r="D139" t="n">
        <v>9.371232690082454</v>
      </c>
      <c r="E139" t="n">
        <v>0.6004652663664752</v>
      </c>
      <c r="F139" t="n">
        <v>2.873592491132675</v>
      </c>
      <c r="G139" t="n">
        <v>0.5574127936509099</v>
      </c>
      <c r="H139" t="n">
        <v>14.78827058143899</v>
      </c>
      <c r="I139" t="n">
        <v>18.70903565146297</v>
      </c>
      <c r="J139" t="n">
        <v>14.78827058143899</v>
      </c>
      <c r="K139" t="n">
        <v>18.70903565146297</v>
      </c>
      <c r="L139" t="n">
        <v>33.49730623290196</v>
      </c>
      <c r="M139" t="n">
        <v>33.49730623290196</v>
      </c>
      <c r="N139" t="n">
        <v>21.63440999449695</v>
      </c>
      <c r="O139" t="n">
        <v>55.1317162273989</v>
      </c>
      <c r="P139" t="n">
        <v>55.1317162273989</v>
      </c>
      <c r="Q139" t="n">
        <v>39.43743275085197</v>
      </c>
      <c r="R139" t="n">
        <v>13.88790808119433</v>
      </c>
      <c r="S139" t="n">
        <v>53.32534083204629</v>
      </c>
      <c r="T139" t="n">
        <v>53.32534083204629</v>
      </c>
      <c r="U139" t="n">
        <v>1.835466666666667</v>
      </c>
      <c r="V139" t="n">
        <v>1.611388888888889</v>
      </c>
      <c r="W139" t="n">
        <v>3.446855555555556</v>
      </c>
      <c r="X139" t="n">
        <v>1.149211111111111</v>
      </c>
      <c r="Y139" t="n">
        <v>0.8488000000000001</v>
      </c>
      <c r="Z139" t="n">
        <v>1.998011111111111</v>
      </c>
      <c r="AA139" t="n">
        <v>-1.806375395352603</v>
      </c>
      <c r="AB139" t="n">
        <v>-1.806375395352603</v>
      </c>
      <c r="AC139" t="n">
        <v>55.32335194315741</v>
      </c>
      <c r="AD139" t="n">
        <v>55.32335194315741</v>
      </c>
      <c r="AE139" t="n">
        <v>-3.255219839797047</v>
      </c>
      <c r="AF139" t="n">
        <v>-3.255219839797047</v>
      </c>
      <c r="AG139" t="n">
        <v>0.9165750869393616</v>
      </c>
      <c r="AH139" t="n">
        <v>1.388444264179465</v>
      </c>
      <c r="AI139" t="n">
        <v>2.075120503658105</v>
      </c>
      <c r="AJ139" t="n">
        <v>1.005686553693307</v>
      </c>
      <c r="AK139" t="n">
        <v>5.385826408470239</v>
      </c>
      <c r="AL139" t="n">
        <v>60.51754263586913</v>
      </c>
      <c r="AM139" t="n">
        <v>-8.641046248267287</v>
      </c>
    </row>
    <row r="140">
      <c r="A140" s="8" t="n">
        <v>48396</v>
      </c>
      <c r="B140" t="inlineStr">
        <is>
          <t>Scenario</t>
        </is>
      </c>
      <c r="C140" t="n">
        <v>8.937369519457977</v>
      </c>
      <c r="D140" t="n">
        <v>9.429804313962252</v>
      </c>
      <c r="E140" t="n">
        <v>0.5631445546384606</v>
      </c>
      <c r="F140" t="n">
        <v>2.742261894043959</v>
      </c>
      <c r="G140" t="n">
        <v>0.5622814228716836</v>
      </c>
      <c r="H140" t="n">
        <v>14.38978393145688</v>
      </c>
      <c r="I140" t="n">
        <v>18.76318309027753</v>
      </c>
      <c r="J140" t="n">
        <v>14.38978393145688</v>
      </c>
      <c r="K140" t="n">
        <v>18.76318309027753</v>
      </c>
      <c r="L140" t="n">
        <v>33.1529670217344</v>
      </c>
      <c r="M140" t="n">
        <v>33.1529670217344</v>
      </c>
      <c r="N140" t="n">
        <v>22.23486170497434</v>
      </c>
      <c r="O140" t="n">
        <v>55.38782872670874</v>
      </c>
      <c r="P140" t="n">
        <v>55.38782872670874</v>
      </c>
      <c r="Q140" t="n">
        <v>39.44091354544263</v>
      </c>
      <c r="R140" t="n">
        <v>13.89197130707117</v>
      </c>
      <c r="S140" t="n">
        <v>53.3328848525138</v>
      </c>
      <c r="T140" t="n">
        <v>53.3328848525138</v>
      </c>
      <c r="U140" t="n">
        <v>1.445075268817204</v>
      </c>
      <c r="V140" t="n">
        <v>1.232569892473118</v>
      </c>
      <c r="W140" t="n">
        <v>2.677645161290322</v>
      </c>
      <c r="X140" t="n">
        <v>1.521387096774194</v>
      </c>
      <c r="Y140" t="n">
        <v>1.100247311827957</v>
      </c>
      <c r="Z140" t="n">
        <v>2.621634408602151</v>
      </c>
      <c r="AA140" t="n">
        <v>-2.05494387419494</v>
      </c>
      <c r="AB140" t="n">
        <v>-2.05494387419494</v>
      </c>
      <c r="AC140" t="n">
        <v>55.95451926111595</v>
      </c>
      <c r="AD140" t="n">
        <v>55.95451926111595</v>
      </c>
      <c r="AE140" t="n">
        <v>-2.110954626883115</v>
      </c>
      <c r="AF140" t="n">
        <v>-2.110954626883115</v>
      </c>
      <c r="AG140" t="n">
        <v>0.919227826202014</v>
      </c>
      <c r="AH140" t="n">
        <v>1.392462680854843</v>
      </c>
      <c r="AI140" t="n">
        <v>2.081126289450484</v>
      </c>
      <c r="AJ140" t="n">
        <v>1.008597198161959</v>
      </c>
      <c r="AK140" t="n">
        <v>5.401413994669301</v>
      </c>
      <c r="AL140" t="n">
        <v>60.78924272137804</v>
      </c>
      <c r="AM140" t="n">
        <v>-7.512368621552415</v>
      </c>
    </row>
    <row r="141">
      <c r="A141" s="8" t="n">
        <v>48427</v>
      </c>
      <c r="B141" t="inlineStr">
        <is>
          <t>Scenario</t>
        </is>
      </c>
      <c r="C141" t="n">
        <v>9.872187752587594</v>
      </c>
      <c r="D141" t="n">
        <v>9.404033822921074</v>
      </c>
      <c r="E141" t="n">
        <v>0.53538156056362</v>
      </c>
      <c r="F141" t="n">
        <v>2.806552744003916</v>
      </c>
      <c r="G141" t="n">
        <v>0.5671500520924572</v>
      </c>
      <c r="H141" t="n">
        <v>14.77060529854541</v>
      </c>
      <c r="I141" t="n">
        <v>18.80339098570049</v>
      </c>
      <c r="J141" t="n">
        <v>14.77060529854541</v>
      </c>
      <c r="K141" t="n">
        <v>18.80339098570049</v>
      </c>
      <c r="L141" t="n">
        <v>33.5739962842459</v>
      </c>
      <c r="M141" t="n">
        <v>33.5739962842459</v>
      </c>
      <c r="N141" t="n">
        <v>23.18530593216866</v>
      </c>
      <c r="O141" t="n">
        <v>56.75930221641457</v>
      </c>
      <c r="P141" t="n">
        <v>56.75930221641457</v>
      </c>
      <c r="Q141" t="n">
        <v>39.44439528538862</v>
      </c>
      <c r="R141" t="n">
        <v>13.89603571715676</v>
      </c>
      <c r="S141" t="n">
        <v>53.34043100254539</v>
      </c>
      <c r="T141" t="n">
        <v>53.34043100254539</v>
      </c>
      <c r="U141" t="n">
        <v>1.741763440860215</v>
      </c>
      <c r="V141" t="n">
        <v>0.9842580645161288</v>
      </c>
      <c r="W141" t="n">
        <v>2.726021505376344</v>
      </c>
      <c r="X141" t="n">
        <v>2.883548387096774</v>
      </c>
      <c r="Y141" t="n">
        <v>1.349731182795699</v>
      </c>
      <c r="Z141" t="n">
        <v>4.233279569892473</v>
      </c>
      <c r="AA141" t="n">
        <v>-3.418871213869181</v>
      </c>
      <c r="AB141" t="n">
        <v>-3.418871213869181</v>
      </c>
      <c r="AC141" t="n">
        <v>57.57371057243786</v>
      </c>
      <c r="AD141" t="n">
        <v>57.57371057243786</v>
      </c>
      <c r="AE141" t="n">
        <v>-1.911613149353051</v>
      </c>
      <c r="AF141" t="n">
        <v>-1.911613149353051</v>
      </c>
      <c r="AG141" t="n">
        <v>0.921197652756921</v>
      </c>
      <c r="AH141" t="n">
        <v>1.395446609199134</v>
      </c>
      <c r="AI141" t="n">
        <v>2.085585964965326</v>
      </c>
      <c r="AJ141" t="n">
        <v>1.010758535631858</v>
      </c>
      <c r="AK141" t="n">
        <v>5.41298876255324</v>
      </c>
      <c r="AL141" t="n">
        <v>62.17229097896781</v>
      </c>
      <c r="AM141" t="n">
        <v>-7.32460191190629</v>
      </c>
    </row>
    <row r="142">
      <c r="A142" s="8" t="n">
        <v>48458</v>
      </c>
      <c r="B142" t="inlineStr">
        <is>
          <t>Scenario</t>
        </is>
      </c>
      <c r="C142" t="n">
        <v>8.322308729354697</v>
      </c>
      <c r="D142" t="n">
        <v>9.341369246821957</v>
      </c>
      <c r="E142" t="n">
        <v>0.5481347714127977</v>
      </c>
      <c r="F142" t="n">
        <v>2.641954219096749</v>
      </c>
      <c r="G142" t="n">
        <v>0.5720186813132307</v>
      </c>
      <c r="H142" t="n">
        <v>15.4700550280206</v>
      </c>
      <c r="I142" t="n">
        <v>19.18090506490999</v>
      </c>
      <c r="J142" t="n">
        <v>15.4700550280206</v>
      </c>
      <c r="K142" t="n">
        <v>19.18090506490999</v>
      </c>
      <c r="L142" t="n">
        <v>34.65096009293058</v>
      </c>
      <c r="M142" t="n">
        <v>34.65096009293058</v>
      </c>
      <c r="N142" t="n">
        <v>21.42578564799943</v>
      </c>
      <c r="O142" t="n">
        <v>56.07674574093001</v>
      </c>
      <c r="P142" t="n">
        <v>56.07674574093001</v>
      </c>
      <c r="Q142" t="n">
        <v>39.44787797094769</v>
      </c>
      <c r="R142" t="n">
        <v>13.90010131179624</v>
      </c>
      <c r="S142" t="n">
        <v>53.34797928274393</v>
      </c>
      <c r="T142" t="n">
        <v>53.34797928274393</v>
      </c>
      <c r="U142" t="n">
        <v>2.412133333333333</v>
      </c>
      <c r="V142" t="n">
        <v>1.311877777777778</v>
      </c>
      <c r="W142" t="n">
        <v>3.724011111111111</v>
      </c>
      <c r="X142" t="n">
        <v>2.104855555555555</v>
      </c>
      <c r="Y142" t="n">
        <v>0.9838444444444444</v>
      </c>
      <c r="Z142" t="n">
        <v>3.0887</v>
      </c>
      <c r="AA142" t="n">
        <v>-2.728766458186087</v>
      </c>
      <c r="AB142" t="n">
        <v>-2.728766458186087</v>
      </c>
      <c r="AC142" t="n">
        <v>56.43667928274393</v>
      </c>
      <c r="AD142" t="n">
        <v>56.43667928274393</v>
      </c>
      <c r="AE142" t="n">
        <v>-3.364077569297195</v>
      </c>
      <c r="AF142" t="n">
        <v>-3.364077569297195</v>
      </c>
      <c r="AG142" t="n">
        <v>0.9396924595667642</v>
      </c>
      <c r="AH142" t="n">
        <v>1.423462871912516</v>
      </c>
      <c r="AI142" t="n">
        <v>2.127458096740647</v>
      </c>
      <c r="AJ142" t="n">
        <v>1.031051448658683</v>
      </c>
      <c r="AK142" t="n">
        <v>5.521664876878609</v>
      </c>
      <c r="AL142" t="n">
        <v>61.59841061780863</v>
      </c>
      <c r="AM142" t="n">
        <v>-8.885742446175804</v>
      </c>
    </row>
    <row r="143">
      <c r="A143" s="8" t="n">
        <v>48488</v>
      </c>
      <c r="B143" t="inlineStr">
        <is>
          <t>Scenario</t>
        </is>
      </c>
      <c r="C143" t="n">
        <v>6.682643596993329</v>
      </c>
      <c r="D143" t="n">
        <v>9.185405042302564</v>
      </c>
      <c r="E143" t="n">
        <v>0.6443052894778025</v>
      </c>
      <c r="F143" t="n">
        <v>2.520150869153281</v>
      </c>
      <c r="G143" t="n">
        <v>0.5768873105340044</v>
      </c>
      <c r="H143" t="n">
        <v>15.89548970777218</v>
      </c>
      <c r="I143" t="n">
        <v>20.10895911890998</v>
      </c>
      <c r="J143" t="n">
        <v>15.89548970777218</v>
      </c>
      <c r="K143" t="n">
        <v>20.10895911890998</v>
      </c>
      <c r="L143" t="n">
        <v>36.00444882668216</v>
      </c>
      <c r="M143" t="n">
        <v>36.00444882668216</v>
      </c>
      <c r="N143" t="n">
        <v>19.60939210846098</v>
      </c>
      <c r="O143" t="n">
        <v>55.61384093514314</v>
      </c>
      <c r="P143" t="n">
        <v>55.61384093514314</v>
      </c>
      <c r="Q143" t="n">
        <v>39.45136160237763</v>
      </c>
      <c r="R143" t="n">
        <v>13.90416809133483</v>
      </c>
      <c r="S143" t="n">
        <v>53.35552969371246</v>
      </c>
      <c r="T143" t="n">
        <v>53.35552969371246</v>
      </c>
      <c r="U143" t="n">
        <v>2.523494623655914</v>
      </c>
      <c r="V143" t="n">
        <v>1.779247311827957</v>
      </c>
      <c r="W143" t="n">
        <v>4.302741935483871</v>
      </c>
      <c r="X143" t="n">
        <v>1.056784946236559</v>
      </c>
      <c r="Y143" t="n">
        <v>0.6070430107526882</v>
      </c>
      <c r="Z143" t="n">
        <v>1.663827956989247</v>
      </c>
      <c r="AA143" t="n">
        <v>-2.258311241430683</v>
      </c>
      <c r="AB143" t="n">
        <v>-2.258311241430683</v>
      </c>
      <c r="AC143" t="n">
        <v>55.01935765070171</v>
      </c>
      <c r="AD143" t="n">
        <v>55.01935765070171</v>
      </c>
      <c r="AE143" t="n">
        <v>-4.897225219925309</v>
      </c>
      <c r="AF143" t="n">
        <v>-4.897225219925309</v>
      </c>
      <c r="AG143" t="n">
        <v>0.9851587915079807</v>
      </c>
      <c r="AH143" t="n">
        <v>1.492336081207193</v>
      </c>
      <c r="AI143" t="n">
        <v>2.230393599768983</v>
      </c>
      <c r="AJ143" t="n">
        <v>1.080938118425939</v>
      </c>
      <c r="AK143" t="n">
        <v>5.788826590910096</v>
      </c>
      <c r="AL143" t="n">
        <v>61.40266752605324</v>
      </c>
      <c r="AM143" t="n">
        <v>-10.68605181083541</v>
      </c>
    </row>
    <row r="144">
      <c r="A144" s="8" t="n">
        <v>48519</v>
      </c>
      <c r="B144" t="inlineStr">
        <is>
          <t>Scenario</t>
        </is>
      </c>
      <c r="C144" t="n">
        <v>5.90543680071448</v>
      </c>
      <c r="D144" t="n">
        <v>9.716425295580864</v>
      </c>
      <c r="E144" t="n">
        <v>0.9583665131725072</v>
      </c>
      <c r="F144" t="n">
        <v>2.463184494725174</v>
      </c>
      <c r="G144" t="n">
        <v>0.5817559397547781</v>
      </c>
      <c r="H144" t="n">
        <v>16.23512052546222</v>
      </c>
      <c r="I144" t="n">
        <v>21.18746624301015</v>
      </c>
      <c r="J144" t="n">
        <v>16.23512052546222</v>
      </c>
      <c r="K144" t="n">
        <v>21.18746624301015</v>
      </c>
      <c r="L144" t="n">
        <v>37.42258676847237</v>
      </c>
      <c r="M144" t="n">
        <v>37.42258676847237</v>
      </c>
      <c r="N144" t="n">
        <v>19.6251690439478</v>
      </c>
      <c r="O144" t="n">
        <v>57.04775581242018</v>
      </c>
      <c r="P144" t="n">
        <v>57.04775581242018</v>
      </c>
      <c r="Q144" t="n">
        <v>39.45484617993637</v>
      </c>
      <c r="R144" t="n">
        <v>13.90823605611788</v>
      </c>
      <c r="S144" t="n">
        <v>53.36308223605425</v>
      </c>
      <c r="T144" t="n">
        <v>53.36308223605425</v>
      </c>
      <c r="U144" t="n">
        <v>1.881788888888889</v>
      </c>
      <c r="V144" t="n">
        <v>1.304466666666667</v>
      </c>
      <c r="W144" t="n">
        <v>3.186255555555555</v>
      </c>
      <c r="X144" t="n">
        <v>1.287677777777778</v>
      </c>
      <c r="Y144" t="n">
        <v>0.8570333333333333</v>
      </c>
      <c r="Z144" t="n">
        <v>2.144711111111111</v>
      </c>
      <c r="AA144" t="n">
        <v>-3.684673576365931</v>
      </c>
      <c r="AB144" t="n">
        <v>-3.684673576365931</v>
      </c>
      <c r="AC144" t="n">
        <v>55.50779334716536</v>
      </c>
      <c r="AD144" t="n">
        <v>55.50779334716536</v>
      </c>
      <c r="AE144" t="n">
        <v>-4.726218020810372</v>
      </c>
      <c r="AF144" t="n">
        <v>-4.726218020810372</v>
      </c>
      <c r="AG144" t="n">
        <v>1.037995975607287</v>
      </c>
      <c r="AH144" t="n">
        <v>1.572374788612002</v>
      </c>
      <c r="AI144" t="n">
        <v>2.350016667908607</v>
      </c>
      <c r="AJ144" t="n">
        <v>1.13891225097751</v>
      </c>
      <c r="AK144" t="n">
        <v>6.099299683105405</v>
      </c>
      <c r="AL144" t="n">
        <v>63.14705549552558</v>
      </c>
      <c r="AM144" t="n">
        <v>-10.82551770391578</v>
      </c>
    </row>
    <row r="145">
      <c r="A145" s="8" t="n">
        <v>48549</v>
      </c>
      <c r="B145" t="inlineStr">
        <is>
          <t>Scenario</t>
        </is>
      </c>
      <c r="C145" t="n">
        <v>5.662001349352975</v>
      </c>
      <c r="D145" t="n">
        <v>10.13789788885175</v>
      </c>
      <c r="E145" t="n">
        <v>1.46684763958676</v>
      </c>
      <c r="F145" t="n">
        <v>2.351003546379683</v>
      </c>
      <c r="G145" t="n">
        <v>0.5866245689755517</v>
      </c>
      <c r="H145" t="n">
        <v>16.01719753724603</v>
      </c>
      <c r="I145" t="n">
        <v>21.78446306941743</v>
      </c>
      <c r="J145" t="n">
        <v>16.01719753724603</v>
      </c>
      <c r="K145" t="n">
        <v>21.78446306941743</v>
      </c>
      <c r="L145" t="n">
        <v>37.80166060666346</v>
      </c>
      <c r="M145" t="n">
        <v>37.80166060666346</v>
      </c>
      <c r="N145" t="n">
        <v>20.20437499314672</v>
      </c>
      <c r="O145" t="n">
        <v>58.00603559981018</v>
      </c>
      <c r="P145" t="n">
        <v>58.00603559981018</v>
      </c>
      <c r="Q145" t="n">
        <v>39.45833170388183</v>
      </c>
      <c r="R145" t="n">
        <v>13.9123052064908</v>
      </c>
      <c r="S145" t="n">
        <v>53.37063691037264</v>
      </c>
      <c r="T145" t="n">
        <v>53.37063691037264</v>
      </c>
      <c r="U145" t="n">
        <v>1.379204301075269</v>
      </c>
      <c r="V145" t="n">
        <v>1.143408602150538</v>
      </c>
      <c r="W145" t="n">
        <v>2.522612903225806</v>
      </c>
      <c r="X145" t="n">
        <v>2.158774193548387</v>
      </c>
      <c r="Y145" t="n">
        <v>1.674903225806452</v>
      </c>
      <c r="Z145" t="n">
        <v>3.833677419354839</v>
      </c>
      <c r="AA145" t="n">
        <v>-4.635398689437537</v>
      </c>
      <c r="AB145" t="n">
        <v>-4.635398689437537</v>
      </c>
      <c r="AC145" t="n">
        <v>57.20431432972748</v>
      </c>
      <c r="AD145" t="n">
        <v>57.20431432972748</v>
      </c>
      <c r="AE145" t="n">
        <v>-3.324334173308501</v>
      </c>
      <c r="AF145" t="n">
        <v>-3.324334173308501</v>
      </c>
      <c r="AG145" t="n">
        <v>1.067243470147391</v>
      </c>
      <c r="AH145" t="n">
        <v>1.61667941418439</v>
      </c>
      <c r="AI145" t="n">
        <v>2.41623282026276</v>
      </c>
      <c r="AJ145" t="n">
        <v>1.171003251930219</v>
      </c>
      <c r="AK145" t="n">
        <v>6.271158956524761</v>
      </c>
      <c r="AL145" t="n">
        <v>64.27719455633493</v>
      </c>
      <c r="AM145" t="n">
        <v>-9.595493129833262</v>
      </c>
    </row>
    <row r="146">
      <c r="A146" s="8" t="n">
        <v>48580</v>
      </c>
      <c r="B146" t="inlineStr">
        <is>
          <t>Scenario</t>
        </is>
      </c>
      <c r="C146" t="n">
        <v>6.815998393332904</v>
      </c>
      <c r="D146" t="n">
        <v>9.787676627391217</v>
      </c>
      <c r="E146" t="n">
        <v>2.350362238363284</v>
      </c>
      <c r="F146" t="n">
        <v>2.589985061645746</v>
      </c>
      <c r="G146" t="n">
        <v>0.5914931981963253</v>
      </c>
      <c r="H146" t="n">
        <v>15.40481531001708</v>
      </c>
      <c r="I146" t="n">
        <v>21.76960421100057</v>
      </c>
      <c r="J146" t="n">
        <v>15.40481531001708</v>
      </c>
      <c r="K146" t="n">
        <v>21.76960421100057</v>
      </c>
      <c r="L146" t="n">
        <v>37.17441952101765</v>
      </c>
      <c r="M146" t="n">
        <v>37.17441952101765</v>
      </c>
      <c r="N146" t="n">
        <v>22.13551551892948</v>
      </c>
      <c r="O146" t="n">
        <v>59.30993503994713</v>
      </c>
      <c r="P146" t="n">
        <v>59.30993503994713</v>
      </c>
      <c r="Q146" t="n">
        <v>39.46007624099035</v>
      </c>
      <c r="R146" t="n">
        <v>13.91434200554298</v>
      </c>
      <c r="S146" t="n">
        <v>53.37441824653332</v>
      </c>
      <c r="T146" t="n">
        <v>53.37441824653332</v>
      </c>
      <c r="U146" t="n">
        <v>0.9953118279569892</v>
      </c>
      <c r="V146" t="n">
        <v>0.7306666666666666</v>
      </c>
      <c r="W146" t="n">
        <v>1.725978494623656</v>
      </c>
      <c r="X146" t="n">
        <v>4.435344086021505</v>
      </c>
      <c r="Y146" t="n">
        <v>3.898569892473118</v>
      </c>
      <c r="Z146" t="n">
        <v>8.333913978494623</v>
      </c>
      <c r="AA146" t="n">
        <v>-5.935516793413811</v>
      </c>
      <c r="AB146" t="n">
        <v>-5.935516793413811</v>
      </c>
      <c r="AC146" t="n">
        <v>61.70833222502795</v>
      </c>
      <c r="AD146" t="n">
        <v>61.70833222502795</v>
      </c>
      <c r="AE146" t="n">
        <v>0.6724186904571545</v>
      </c>
      <c r="AF146" t="n">
        <v>0.6724186904571545</v>
      </c>
      <c r="AG146" t="n">
        <v>1.066515519241798</v>
      </c>
      <c r="AH146" t="n">
        <v>1.615576701189157</v>
      </c>
      <c r="AI146" t="n">
        <v>2.414584743775217</v>
      </c>
      <c r="AJ146" t="n">
        <v>1.170204528019941</v>
      </c>
      <c r="AK146" t="n">
        <v>6.266881492226115</v>
      </c>
      <c r="AL146" t="n">
        <v>65.57681653217325</v>
      </c>
      <c r="AM146" t="n">
        <v>-5.594462801768961</v>
      </c>
    </row>
    <row r="147">
      <c r="A147" s="8" t="n">
        <v>48611</v>
      </c>
      <c r="B147" t="inlineStr">
        <is>
          <t>Scenario</t>
        </is>
      </c>
      <c r="C147" t="n">
        <v>5.658957953862141</v>
      </c>
      <c r="D147" t="n">
        <v>9.460526478696487</v>
      </c>
      <c r="E147" t="n">
        <v>1.709543354540807</v>
      </c>
      <c r="F147" t="n">
        <v>2.546156833517707</v>
      </c>
      <c r="G147" t="n">
        <v>0.596361827417099</v>
      </c>
      <c r="H147" t="n">
        <v>15.16644253291303</v>
      </c>
      <c r="I147" t="n">
        <v>21.71978509254615</v>
      </c>
      <c r="J147" t="n">
        <v>15.16644253291303</v>
      </c>
      <c r="K147" t="n">
        <v>21.71978509254615</v>
      </c>
      <c r="L147" t="n">
        <v>36.88622762545918</v>
      </c>
      <c r="M147" t="n">
        <v>36.88622762545918</v>
      </c>
      <c r="N147" t="n">
        <v>19.97154644803424</v>
      </c>
      <c r="O147" t="n">
        <v>56.85777407349342</v>
      </c>
      <c r="P147" t="n">
        <v>56.85777407349342</v>
      </c>
      <c r="Q147" t="n">
        <v>39.46182101517966</v>
      </c>
      <c r="R147" t="n">
        <v>13.91637910164093</v>
      </c>
      <c r="S147" t="n">
        <v>53.37820011682059</v>
      </c>
      <c r="T147" t="n">
        <v>53.37820011682059</v>
      </c>
      <c r="U147" t="n">
        <v>1.637940886699507</v>
      </c>
      <c r="V147" t="n">
        <v>1.108112479474548</v>
      </c>
      <c r="W147" t="n">
        <v>2.746053366174056</v>
      </c>
      <c r="X147" t="n">
        <v>2.852903530377668</v>
      </c>
      <c r="Y147" t="n">
        <v>2.522028325123153</v>
      </c>
      <c r="Z147" t="n">
        <v>5.374931855500821</v>
      </c>
      <c r="AA147" t="n">
        <v>-3.479573956672837</v>
      </c>
      <c r="AB147" t="n">
        <v>-3.479573956672837</v>
      </c>
      <c r="AC147" t="n">
        <v>58.75313197232141</v>
      </c>
      <c r="AD147" t="n">
        <v>58.75313197232141</v>
      </c>
      <c r="AE147" t="n">
        <v>-0.8506954673460743</v>
      </c>
      <c r="AF147" t="n">
        <v>-0.8506954673460743</v>
      </c>
      <c r="AG147" t="n">
        <v>1.064074828888791</v>
      </c>
      <c r="AH147" t="n">
        <v>1.611879499978303</v>
      </c>
      <c r="AI147" t="n">
        <v>2.409059035443434</v>
      </c>
      <c r="AJ147" t="n">
        <v>1.167526548327143</v>
      </c>
      <c r="AK147" t="n">
        <v>6.25253991263767</v>
      </c>
      <c r="AL147" t="n">
        <v>63.1103139861311</v>
      </c>
      <c r="AM147" t="n">
        <v>-7.103235379983744</v>
      </c>
    </row>
    <row r="148">
      <c r="A148" s="8" t="n">
        <v>48639</v>
      </c>
      <c r="B148" t="inlineStr">
        <is>
          <t>Scenario</t>
        </is>
      </c>
      <c r="C148" t="n">
        <v>5.107057449435089</v>
      </c>
      <c r="D148" t="n">
        <v>9.474506743580255</v>
      </c>
      <c r="E148" t="n">
        <v>0.9659298661837707</v>
      </c>
      <c r="F148" t="n">
        <v>2.453577547784403</v>
      </c>
      <c r="G148" t="n">
        <v>0.6012304566378727</v>
      </c>
      <c r="H148" t="n">
        <v>14.70041434656364</v>
      </c>
      <c r="I148" t="n">
        <v>21.54837906706522</v>
      </c>
      <c r="J148" t="n">
        <v>14.70041434656364</v>
      </c>
      <c r="K148" t="n">
        <v>21.54837906706522</v>
      </c>
      <c r="L148" t="n">
        <v>36.24879341362886</v>
      </c>
      <c r="M148" t="n">
        <v>36.24879341362886</v>
      </c>
      <c r="N148" t="n">
        <v>18.60230206362139</v>
      </c>
      <c r="O148" t="n">
        <v>54.85109547725025</v>
      </c>
      <c r="P148" t="n">
        <v>54.85109547725025</v>
      </c>
      <c r="Q148" t="n">
        <v>39.4635660264821</v>
      </c>
      <c r="R148" t="n">
        <v>13.91841649482797</v>
      </c>
      <c r="S148" t="n">
        <v>53.38198252131007</v>
      </c>
      <c r="T148" t="n">
        <v>53.38198252131007</v>
      </c>
      <c r="U148" t="n">
        <v>2.392172043010753</v>
      </c>
      <c r="V148" t="n">
        <v>1.836397849462366</v>
      </c>
      <c r="W148" t="n">
        <v>4.228569892473119</v>
      </c>
      <c r="X148" t="n">
        <v>1.187268817204301</v>
      </c>
      <c r="Y148" t="n">
        <v>1.039376344086022</v>
      </c>
      <c r="Z148" t="n">
        <v>2.226645161290323</v>
      </c>
      <c r="AA148" t="n">
        <v>-1.469112955940183</v>
      </c>
      <c r="AB148" t="n">
        <v>-1.469112955940183</v>
      </c>
      <c r="AC148" t="n">
        <v>55.60862768260039</v>
      </c>
      <c r="AD148" t="n">
        <v>55.60862768260039</v>
      </c>
      <c r="AE148" t="n">
        <v>-3.471037687122981</v>
      </c>
      <c r="AF148" t="n">
        <v>-3.471037687122981</v>
      </c>
      <c r="AG148" t="n">
        <v>1.055677469685788</v>
      </c>
      <c r="AH148" t="n">
        <v>1.599159030716372</v>
      </c>
      <c r="AI148" t="n">
        <v>2.390047464534474</v>
      </c>
      <c r="AJ148" t="n">
        <v>1.158312779201918</v>
      </c>
      <c r="AK148" t="n">
        <v>6.203196744138552</v>
      </c>
      <c r="AL148" t="n">
        <v>61.05429222138881</v>
      </c>
      <c r="AM148" t="n">
        <v>-9.674234431261532</v>
      </c>
    </row>
    <row r="149">
      <c r="A149" s="8" t="n">
        <v>48670</v>
      </c>
      <c r="B149" t="inlineStr">
        <is>
          <t>Scenario</t>
        </is>
      </c>
      <c r="C149" t="n">
        <v>5.686998857370892</v>
      </c>
      <c r="D149" t="n">
        <v>9.563752151464877</v>
      </c>
      <c r="E149" t="n">
        <v>0.7439746420643388</v>
      </c>
      <c r="F149" t="n">
        <v>2.641594325648691</v>
      </c>
      <c r="G149" t="n">
        <v>0.6060990858586462</v>
      </c>
      <c r="H149" t="n">
        <v>14.1992926518784</v>
      </c>
      <c r="I149" t="n">
        <v>20.62071349258198</v>
      </c>
      <c r="J149" t="n">
        <v>14.1992926518784</v>
      </c>
      <c r="K149" t="n">
        <v>20.62071349258198</v>
      </c>
      <c r="L149" t="n">
        <v>34.82000614446038</v>
      </c>
      <c r="M149" t="n">
        <v>34.82000614446038</v>
      </c>
      <c r="N149" t="n">
        <v>19.24241906240744</v>
      </c>
      <c r="O149" t="n">
        <v>54.06242520686782</v>
      </c>
      <c r="P149" t="n">
        <v>54.06242520686782</v>
      </c>
      <c r="Q149" t="n">
        <v>39.46531127493</v>
      </c>
      <c r="R149" t="n">
        <v>13.92045418514743</v>
      </c>
      <c r="S149" t="n">
        <v>53.38576546007744</v>
      </c>
      <c r="T149" t="n">
        <v>53.38576546007744</v>
      </c>
      <c r="U149" t="n">
        <v>2.271922222222222</v>
      </c>
      <c r="V149" t="n">
        <v>1.879377777777778</v>
      </c>
      <c r="W149" t="n">
        <v>4.151300000000001</v>
      </c>
      <c r="X149" t="n">
        <v>1.159666666666667</v>
      </c>
      <c r="Y149" t="n">
        <v>0.9012333333333333</v>
      </c>
      <c r="Z149" t="n">
        <v>2.0609</v>
      </c>
      <c r="AA149" t="n">
        <v>-0.676659746790385</v>
      </c>
      <c r="AB149" t="n">
        <v>-0.676659746790385</v>
      </c>
      <c r="AC149" t="n">
        <v>55.44666546007744</v>
      </c>
      <c r="AD149" t="n">
        <v>55.44666546007744</v>
      </c>
      <c r="AE149" t="n">
        <v>-2.767059746790382</v>
      </c>
      <c r="AF149" t="n">
        <v>-2.767059746790382</v>
      </c>
      <c r="AG149" t="n">
        <v>1.010230169759555</v>
      </c>
      <c r="AH149" t="n">
        <v>1.530314651456916</v>
      </c>
      <c r="AI149" t="n">
        <v>2.287155049873999</v>
      </c>
      <c r="AJ149" t="n">
        <v>1.108446991784434</v>
      </c>
      <c r="AK149" t="n">
        <v>5.936146862874905</v>
      </c>
      <c r="AL149" t="n">
        <v>59.99857206974273</v>
      </c>
      <c r="AM149" t="n">
        <v>-8.703206609665287</v>
      </c>
    </row>
    <row r="150">
      <c r="A150" s="8" t="n">
        <v>48700</v>
      </c>
      <c r="B150" t="inlineStr">
        <is>
          <t>Scenario</t>
        </is>
      </c>
      <c r="C150" t="n">
        <v>7.192494776809507</v>
      </c>
      <c r="D150" t="n">
        <v>9.399058527880264</v>
      </c>
      <c r="E150" t="n">
        <v>0.5944051814942699</v>
      </c>
      <c r="F150" t="n">
        <v>2.871082058675945</v>
      </c>
      <c r="G150" t="n">
        <v>0.6109677150794198</v>
      </c>
      <c r="H150" t="n">
        <v>14.63710916827362</v>
      </c>
      <c r="I150" t="n">
        <v>19.29680973435555</v>
      </c>
      <c r="J150" t="n">
        <v>14.63710916827362</v>
      </c>
      <c r="K150" t="n">
        <v>19.29680973435555</v>
      </c>
      <c r="L150" t="n">
        <v>33.93391890262917</v>
      </c>
      <c r="M150" t="n">
        <v>33.93391890262917</v>
      </c>
      <c r="N150" t="n">
        <v>20.66800825993941</v>
      </c>
      <c r="O150" t="n">
        <v>54.60192716256858</v>
      </c>
      <c r="P150" t="n">
        <v>54.60192716256858</v>
      </c>
      <c r="Q150" t="n">
        <v>39.46705676055574</v>
      </c>
      <c r="R150" t="n">
        <v>13.92249217264265</v>
      </c>
      <c r="S150" t="n">
        <v>53.38954893319839</v>
      </c>
      <c r="T150" t="n">
        <v>53.38954893319839</v>
      </c>
      <c r="U150" t="n">
        <v>2.179247311827957</v>
      </c>
      <c r="V150" t="n">
        <v>1.901956989247312</v>
      </c>
      <c r="W150" t="n">
        <v>4.081204301075269</v>
      </c>
      <c r="X150" t="n">
        <v>1.123032258064516</v>
      </c>
      <c r="Y150" t="n">
        <v>0.6363225806451612</v>
      </c>
      <c r="Z150" t="n">
        <v>1.759354838709677</v>
      </c>
      <c r="AA150" t="n">
        <v>-1.212378229370188</v>
      </c>
      <c r="AB150" t="n">
        <v>-1.212378229370188</v>
      </c>
      <c r="AC150" t="n">
        <v>55.14890377190807</v>
      </c>
      <c r="AD150" t="n">
        <v>55.14890377190807</v>
      </c>
      <c r="AE150" t="n">
        <v>-3.534227691735781</v>
      </c>
      <c r="AF150" t="n">
        <v>-3.534227691735781</v>
      </c>
      <c r="AG150" t="n">
        <v>0.9453707496963485</v>
      </c>
      <c r="AH150" t="n">
        <v>1.432064446920511</v>
      </c>
      <c r="AI150" t="n">
        <v>2.140313711563178</v>
      </c>
      <c r="AJ150" t="n">
        <v>1.03728179477289</v>
      </c>
      <c r="AK150" t="n">
        <v>5.555030702952927</v>
      </c>
      <c r="AL150" t="n">
        <v>60.15695786552151</v>
      </c>
      <c r="AM150" t="n">
        <v>-9.089258394688709</v>
      </c>
    </row>
    <row r="151">
      <c r="A151" s="8" t="n">
        <v>48731</v>
      </c>
      <c r="B151" t="inlineStr">
        <is>
          <t>Scenario</t>
        </is>
      </c>
      <c r="C151" t="n">
        <v>8.276901084846335</v>
      </c>
      <c r="D151" t="n">
        <v>9.447870993849081</v>
      </c>
      <c r="E151" t="n">
        <v>0.5839102262204762</v>
      </c>
      <c r="F151" t="n">
        <v>2.815389091792223</v>
      </c>
      <c r="G151" t="n">
        <v>0.6158363443001935</v>
      </c>
      <c r="H151" t="n">
        <v>14.78827058143899</v>
      </c>
      <c r="I151" t="n">
        <v>18.70903565146297</v>
      </c>
      <c r="J151" t="n">
        <v>14.78827058143899</v>
      </c>
      <c r="K151" t="n">
        <v>18.70903565146297</v>
      </c>
      <c r="L151" t="n">
        <v>33.49730623290196</v>
      </c>
      <c r="M151" t="n">
        <v>33.49730623290196</v>
      </c>
      <c r="N151" t="n">
        <v>21.73990774100831</v>
      </c>
      <c r="O151" t="n">
        <v>55.23721397391026</v>
      </c>
      <c r="P151" t="n">
        <v>55.23721397391026</v>
      </c>
      <c r="Q151" t="n">
        <v>39.46880248339166</v>
      </c>
      <c r="R151" t="n">
        <v>13.92453045735696</v>
      </c>
      <c r="S151" t="n">
        <v>53.39333294074862</v>
      </c>
      <c r="T151" t="n">
        <v>53.39333294074862</v>
      </c>
      <c r="U151" t="n">
        <v>1.835466666666667</v>
      </c>
      <c r="V151" t="n">
        <v>1.611388888888889</v>
      </c>
      <c r="W151" t="n">
        <v>3.446855555555556</v>
      </c>
      <c r="X151" t="n">
        <v>1.149211111111111</v>
      </c>
      <c r="Y151" t="n">
        <v>0.8488000000000001</v>
      </c>
      <c r="Z151" t="n">
        <v>1.998011111111111</v>
      </c>
      <c r="AA151" t="n">
        <v>-1.843881033161644</v>
      </c>
      <c r="AB151" t="n">
        <v>-1.843881033161644</v>
      </c>
      <c r="AC151" t="n">
        <v>55.39134405185973</v>
      </c>
      <c r="AD151" t="n">
        <v>55.39134405185973</v>
      </c>
      <c r="AE151" t="n">
        <v>-3.292725477606088</v>
      </c>
      <c r="AF151" t="n">
        <v>-3.292725477606088</v>
      </c>
      <c r="AG151" t="n">
        <v>0.9165750869393616</v>
      </c>
      <c r="AH151" t="n">
        <v>1.388444264179465</v>
      </c>
      <c r="AI151" t="n">
        <v>2.075120503658105</v>
      </c>
      <c r="AJ151" t="n">
        <v>1.005686553693307</v>
      </c>
      <c r="AK151" t="n">
        <v>5.385826408470239</v>
      </c>
      <c r="AL151" t="n">
        <v>60.6230403823805</v>
      </c>
      <c r="AM151" t="n">
        <v>-8.678551886076328</v>
      </c>
    </row>
    <row r="152">
      <c r="A152" s="8" t="n">
        <v>48761</v>
      </c>
      <c r="B152" t="inlineStr">
        <is>
          <t>Scenario</t>
        </is>
      </c>
      <c r="C152" t="n">
        <v>8.98592731899282</v>
      </c>
      <c r="D152" t="n">
        <v>9.506955985583087</v>
      </c>
      <c r="E152" t="n">
        <v>0.5475198979392394</v>
      </c>
      <c r="F152" t="n">
        <v>2.686718540347266</v>
      </c>
      <c r="G152" t="n">
        <v>0.6207049735209672</v>
      </c>
      <c r="H152" t="n">
        <v>14.38978393145688</v>
      </c>
      <c r="I152" t="n">
        <v>18.76318309027753</v>
      </c>
      <c r="J152" t="n">
        <v>14.38978393145688</v>
      </c>
      <c r="K152" t="n">
        <v>18.76318309027753</v>
      </c>
      <c r="L152" t="n">
        <v>33.1529670217344</v>
      </c>
      <c r="M152" t="n">
        <v>33.1529670217344</v>
      </c>
      <c r="N152" t="n">
        <v>22.34782671638338</v>
      </c>
      <c r="O152" t="n">
        <v>55.50079373811778</v>
      </c>
      <c r="P152" t="n">
        <v>55.50079373811778</v>
      </c>
      <c r="Q152" t="n">
        <v>39.47054844347013</v>
      </c>
      <c r="R152" t="n">
        <v>13.92656903933371</v>
      </c>
      <c r="S152" t="n">
        <v>53.39711748280384</v>
      </c>
      <c r="T152" t="n">
        <v>53.39711748280384</v>
      </c>
      <c r="U152" t="n">
        <v>1.445075268817204</v>
      </c>
      <c r="V152" t="n">
        <v>1.232569892473118</v>
      </c>
      <c r="W152" t="n">
        <v>2.677645161290322</v>
      </c>
      <c r="X152" t="n">
        <v>1.521387096774194</v>
      </c>
      <c r="Y152" t="n">
        <v>1.100247311827957</v>
      </c>
      <c r="Z152" t="n">
        <v>2.621634408602151</v>
      </c>
      <c r="AA152" t="n">
        <v>-2.103676255313943</v>
      </c>
      <c r="AB152" t="n">
        <v>-2.103676255313943</v>
      </c>
      <c r="AC152" t="n">
        <v>56.01875189140598</v>
      </c>
      <c r="AD152" t="n">
        <v>56.01875189140598</v>
      </c>
      <c r="AE152" t="n">
        <v>-2.159687008002117</v>
      </c>
      <c r="AF152" t="n">
        <v>-2.159687008002117</v>
      </c>
      <c r="AG152" t="n">
        <v>0.919227826202014</v>
      </c>
      <c r="AH152" t="n">
        <v>1.392462680854843</v>
      </c>
      <c r="AI152" t="n">
        <v>2.081126289450484</v>
      </c>
      <c r="AJ152" t="n">
        <v>1.008597198161959</v>
      </c>
      <c r="AK152" t="n">
        <v>5.401413994669301</v>
      </c>
      <c r="AL152" t="n">
        <v>60.90220773278708</v>
      </c>
      <c r="AM152" t="n">
        <v>-7.561101002671418</v>
      </c>
    </row>
    <row r="153">
      <c r="A153" s="8" t="n">
        <v>48792</v>
      </c>
      <c r="B153" t="inlineStr">
        <is>
          <t>Scenario</t>
        </is>
      </c>
      <c r="C153" t="n">
        <v>9.922023896910789</v>
      </c>
      <c r="D153" t="n">
        <v>9.480918043460884</v>
      </c>
      <c r="E153" t="n">
        <v>0.5206712456071836</v>
      </c>
      <c r="F153" t="n">
        <v>2.749707206359532</v>
      </c>
      <c r="G153" t="n">
        <v>0.6255736027417408</v>
      </c>
      <c r="H153" t="n">
        <v>14.77060529854541</v>
      </c>
      <c r="I153" t="n">
        <v>18.80339098570049</v>
      </c>
      <c r="J153" t="n">
        <v>14.77060529854541</v>
      </c>
      <c r="K153" t="n">
        <v>18.80339098570049</v>
      </c>
      <c r="L153" t="n">
        <v>33.5739962842459</v>
      </c>
      <c r="M153" t="n">
        <v>33.5739962842459</v>
      </c>
      <c r="N153" t="n">
        <v>23.29889399508013</v>
      </c>
      <c r="O153" t="n">
        <v>56.87289027932603</v>
      </c>
      <c r="P153" t="n">
        <v>56.87289027932603</v>
      </c>
      <c r="Q153" t="n">
        <v>39.47229464082351</v>
      </c>
      <c r="R153" t="n">
        <v>13.92860791861625</v>
      </c>
      <c r="S153" t="n">
        <v>53.40090255943976</v>
      </c>
      <c r="T153" t="n">
        <v>53.40090255943976</v>
      </c>
      <c r="U153" t="n">
        <v>1.741763440860215</v>
      </c>
      <c r="V153" t="n">
        <v>0.9842580645161288</v>
      </c>
      <c r="W153" t="n">
        <v>2.726021505376344</v>
      </c>
      <c r="X153" t="n">
        <v>2.883548387096774</v>
      </c>
      <c r="Y153" t="n">
        <v>1.349731182795699</v>
      </c>
      <c r="Z153" t="n">
        <v>4.233279569892473</v>
      </c>
      <c r="AA153" t="n">
        <v>-3.471987719886265</v>
      </c>
      <c r="AB153" t="n">
        <v>-3.471987719886265</v>
      </c>
      <c r="AC153" t="n">
        <v>57.63418212933224</v>
      </c>
      <c r="AD153" t="n">
        <v>57.63418212933224</v>
      </c>
      <c r="AE153" t="n">
        <v>-1.964729655370134</v>
      </c>
      <c r="AF153" t="n">
        <v>-1.964729655370134</v>
      </c>
      <c r="AG153" t="n">
        <v>0.921197652756921</v>
      </c>
      <c r="AH153" t="n">
        <v>1.395446609199134</v>
      </c>
      <c r="AI153" t="n">
        <v>2.085585964965326</v>
      </c>
      <c r="AJ153" t="n">
        <v>1.010758535631858</v>
      </c>
      <c r="AK153" t="n">
        <v>5.41298876255324</v>
      </c>
      <c r="AL153" t="n">
        <v>62.28587904187927</v>
      </c>
      <c r="AM153" t="n">
        <v>-7.377718417923374</v>
      </c>
    </row>
    <row r="154">
      <c r="A154" s="8" t="n">
        <v>48823</v>
      </c>
      <c r="B154" t="inlineStr">
        <is>
          <t>Scenario</t>
        </is>
      </c>
      <c r="C154" t="n">
        <v>8.363221989925467</v>
      </c>
      <c r="D154" t="n">
        <v>9.417732343413389</v>
      </c>
      <c r="E154" t="n">
        <v>0.5331674619949068</v>
      </c>
      <c r="F154" t="n">
        <v>2.588442554889738</v>
      </c>
      <c r="G154" t="n">
        <v>0.6304422319625144</v>
      </c>
      <c r="H154" t="n">
        <v>15.4700550280206</v>
      </c>
      <c r="I154" t="n">
        <v>19.18090506490999</v>
      </c>
      <c r="J154" t="n">
        <v>15.4700550280206</v>
      </c>
      <c r="K154" t="n">
        <v>19.18090506490999</v>
      </c>
      <c r="L154" t="n">
        <v>34.65096009293058</v>
      </c>
      <c r="M154" t="n">
        <v>34.65096009293058</v>
      </c>
      <c r="N154" t="n">
        <v>21.53300658218602</v>
      </c>
      <c r="O154" t="n">
        <v>56.18396667511659</v>
      </c>
      <c r="P154" t="n">
        <v>56.18396667511659</v>
      </c>
      <c r="Q154" t="n">
        <v>39.47404107548417</v>
      </c>
      <c r="R154" t="n">
        <v>13.93064709524795</v>
      </c>
      <c r="S154" t="n">
        <v>53.40468817073212</v>
      </c>
      <c r="T154" t="n">
        <v>53.40468817073212</v>
      </c>
      <c r="U154" t="n">
        <v>2.412133333333333</v>
      </c>
      <c r="V154" t="n">
        <v>1.311877777777778</v>
      </c>
      <c r="W154" t="n">
        <v>3.724011111111111</v>
      </c>
      <c r="X154" t="n">
        <v>2.104855555555555</v>
      </c>
      <c r="Y154" t="n">
        <v>0.9838444444444444</v>
      </c>
      <c r="Z154" t="n">
        <v>3.0887</v>
      </c>
      <c r="AA154" t="n">
        <v>-2.779278504384472</v>
      </c>
      <c r="AB154" t="n">
        <v>-2.779278504384472</v>
      </c>
      <c r="AC154" t="n">
        <v>56.49338817073212</v>
      </c>
      <c r="AD154" t="n">
        <v>56.49338817073212</v>
      </c>
      <c r="AE154" t="n">
        <v>-3.41458961549558</v>
      </c>
      <c r="AF154" t="n">
        <v>-3.41458961549558</v>
      </c>
      <c r="AG154" t="n">
        <v>0.9396924595667642</v>
      </c>
      <c r="AH154" t="n">
        <v>1.423462871912516</v>
      </c>
      <c r="AI154" t="n">
        <v>2.127458096740647</v>
      </c>
      <c r="AJ154" t="n">
        <v>1.031051448658683</v>
      </c>
      <c r="AK154" t="n">
        <v>5.521664876878609</v>
      </c>
      <c r="AL154" t="n">
        <v>61.7056315519952</v>
      </c>
      <c r="AM154" t="n">
        <v>-8.936254492374189</v>
      </c>
    </row>
    <row r="155">
      <c r="A155" s="8" t="n">
        <v>48853</v>
      </c>
      <c r="B155" t="inlineStr">
        <is>
          <t>Scenario</t>
        </is>
      </c>
      <c r="C155" t="n">
        <v>6.718955215763073</v>
      </c>
      <c r="D155" t="n">
        <v>9.260531398908102</v>
      </c>
      <c r="E155" t="n">
        <v>0.6266013206328482</v>
      </c>
      <c r="F155" t="n">
        <v>2.469106280232568</v>
      </c>
      <c r="G155" t="n">
        <v>0.6353108611832881</v>
      </c>
      <c r="H155" t="n">
        <v>15.89548970777218</v>
      </c>
      <c r="I155" t="n">
        <v>20.10895911890998</v>
      </c>
      <c r="J155" t="n">
        <v>15.89548970777218</v>
      </c>
      <c r="K155" t="n">
        <v>20.10895911890998</v>
      </c>
      <c r="L155" t="n">
        <v>36.00444882668216</v>
      </c>
      <c r="M155" t="n">
        <v>36.00444882668216</v>
      </c>
      <c r="N155" t="n">
        <v>19.71050507671988</v>
      </c>
      <c r="O155" t="n">
        <v>55.71495390340205</v>
      </c>
      <c r="P155" t="n">
        <v>55.71495390340205</v>
      </c>
      <c r="Q155" t="n">
        <v>39.4757877474845</v>
      </c>
      <c r="R155" t="n">
        <v>13.93268656927216</v>
      </c>
      <c r="S155" t="n">
        <v>53.40847431675666</v>
      </c>
      <c r="T155" t="n">
        <v>53.40847431675666</v>
      </c>
      <c r="U155" t="n">
        <v>2.523494623655914</v>
      </c>
      <c r="V155" t="n">
        <v>1.779247311827957</v>
      </c>
      <c r="W155" t="n">
        <v>4.302741935483871</v>
      </c>
      <c r="X155" t="n">
        <v>1.056784946236559</v>
      </c>
      <c r="Y155" t="n">
        <v>0.6070430107526882</v>
      </c>
      <c r="Z155" t="n">
        <v>1.663827956989247</v>
      </c>
      <c r="AA155" t="n">
        <v>-2.306479586645388</v>
      </c>
      <c r="AB155" t="n">
        <v>-2.306479586645388</v>
      </c>
      <c r="AC155" t="n">
        <v>55.0723022737459</v>
      </c>
      <c r="AD155" t="n">
        <v>55.0723022737459</v>
      </c>
      <c r="AE155" t="n">
        <v>-4.945393565140014</v>
      </c>
      <c r="AF155" t="n">
        <v>-4.945393565140014</v>
      </c>
      <c r="AG155" t="n">
        <v>0.9851587915079807</v>
      </c>
      <c r="AH155" t="n">
        <v>1.492336081207193</v>
      </c>
      <c r="AI155" t="n">
        <v>2.230393599768983</v>
      </c>
      <c r="AJ155" t="n">
        <v>1.080938118425939</v>
      </c>
      <c r="AK155" t="n">
        <v>5.788826590910096</v>
      </c>
      <c r="AL155" t="n">
        <v>61.50378049431215</v>
      </c>
      <c r="AM155" t="n">
        <v>-10.73422015605011</v>
      </c>
    </row>
    <row r="156">
      <c r="A156" s="8" t="n">
        <v>48884</v>
      </c>
      <c r="B156" t="inlineStr">
        <is>
          <t>Scenario</t>
        </is>
      </c>
      <c r="C156" t="n">
        <v>5.942159031363664</v>
      </c>
      <c r="D156" t="n">
        <v>9.795845561866342</v>
      </c>
      <c r="E156" t="n">
        <v>0.93164256680982</v>
      </c>
      <c r="F156" t="n">
        <v>2.413293735601152</v>
      </c>
      <c r="G156" t="n">
        <v>0.6401794904040617</v>
      </c>
      <c r="H156" t="n">
        <v>16.23512052546222</v>
      </c>
      <c r="I156" t="n">
        <v>21.18746624301015</v>
      </c>
      <c r="J156" t="n">
        <v>16.23512052546222</v>
      </c>
      <c r="K156" t="n">
        <v>21.18746624301015</v>
      </c>
      <c r="L156" t="n">
        <v>37.42258676847237</v>
      </c>
      <c r="M156" t="n">
        <v>37.42258676847237</v>
      </c>
      <c r="N156" t="n">
        <v>19.72312038604504</v>
      </c>
      <c r="O156" t="n">
        <v>57.14570715451741</v>
      </c>
      <c r="P156" t="n">
        <v>57.14570715451741</v>
      </c>
      <c r="Q156" t="n">
        <v>39.47753465685685</v>
      </c>
      <c r="R156" t="n">
        <v>13.93472634073226</v>
      </c>
      <c r="S156" t="n">
        <v>53.4122609975891</v>
      </c>
      <c r="T156" t="n">
        <v>53.4122609975891</v>
      </c>
      <c r="U156" t="n">
        <v>1.881788888888889</v>
      </c>
      <c r="V156" t="n">
        <v>1.304466666666667</v>
      </c>
      <c r="W156" t="n">
        <v>3.186255555555555</v>
      </c>
      <c r="X156" t="n">
        <v>1.287677777777778</v>
      </c>
      <c r="Y156" t="n">
        <v>0.8570333333333333</v>
      </c>
      <c r="Z156" t="n">
        <v>2.144711111111111</v>
      </c>
      <c r="AA156" t="n">
        <v>-3.733446156928309</v>
      </c>
      <c r="AB156" t="n">
        <v>-3.733446156928309</v>
      </c>
      <c r="AC156" t="n">
        <v>55.55697210870022</v>
      </c>
      <c r="AD156" t="n">
        <v>55.55697210870022</v>
      </c>
      <c r="AE156" t="n">
        <v>-4.774990601372751</v>
      </c>
      <c r="AF156" t="n">
        <v>-4.774990601372751</v>
      </c>
      <c r="AG156" t="n">
        <v>1.037995975607287</v>
      </c>
      <c r="AH156" t="n">
        <v>1.572374788612002</v>
      </c>
      <c r="AI156" t="n">
        <v>2.350016667908607</v>
      </c>
      <c r="AJ156" t="n">
        <v>1.13891225097751</v>
      </c>
      <c r="AK156" t="n">
        <v>6.099299683105405</v>
      </c>
      <c r="AL156" t="n">
        <v>63.24500683762282</v>
      </c>
      <c r="AM156" t="n">
        <v>-10.87429028447816</v>
      </c>
    </row>
    <row r="157">
      <c r="A157" s="8" t="n">
        <v>48914</v>
      </c>
      <c r="B157" t="inlineStr">
        <is>
          <t>Scenario</t>
        </is>
      </c>
      <c r="C157" t="n">
        <v>5.69327042055624</v>
      </c>
      <c r="D157" t="n">
        <v>10.22080199052671</v>
      </c>
      <c r="E157" t="n">
        <v>1.425239746533556</v>
      </c>
      <c r="F157" t="n">
        <v>2.303384964871343</v>
      </c>
      <c r="G157" t="n">
        <v>0.6450481196248353</v>
      </c>
      <c r="H157" t="n">
        <v>16.01719753724603</v>
      </c>
      <c r="I157" t="n">
        <v>21.78446306941743</v>
      </c>
      <c r="J157" t="n">
        <v>16.01719753724603</v>
      </c>
      <c r="K157" t="n">
        <v>21.78446306941743</v>
      </c>
      <c r="L157" t="n">
        <v>37.80166060666346</v>
      </c>
      <c r="M157" t="n">
        <v>37.80166060666346</v>
      </c>
      <c r="N157" t="n">
        <v>20.28774524211268</v>
      </c>
      <c r="O157" t="n">
        <v>58.08940584877614</v>
      </c>
      <c r="P157" t="n">
        <v>58.08940584877614</v>
      </c>
      <c r="Q157" t="n">
        <v>39.47928180363363</v>
      </c>
      <c r="R157" t="n">
        <v>13.93676640967163</v>
      </c>
      <c r="S157" t="n">
        <v>53.41604821330526</v>
      </c>
      <c r="T157" t="n">
        <v>53.41604821330526</v>
      </c>
      <c r="U157" t="n">
        <v>1.379204301075269</v>
      </c>
      <c r="V157" t="n">
        <v>1.143408602150538</v>
      </c>
      <c r="W157" t="n">
        <v>2.522612903225806</v>
      </c>
      <c r="X157" t="n">
        <v>2.158774193548387</v>
      </c>
      <c r="Y157" t="n">
        <v>1.674903225806452</v>
      </c>
      <c r="Z157" t="n">
        <v>3.833677419354839</v>
      </c>
      <c r="AA157" t="n">
        <v>-4.673357635470879</v>
      </c>
      <c r="AB157" t="n">
        <v>-4.673357635470879</v>
      </c>
      <c r="AC157" t="n">
        <v>57.2497256326601</v>
      </c>
      <c r="AD157" t="n">
        <v>57.2497256326601</v>
      </c>
      <c r="AE157" t="n">
        <v>-3.362293119341843</v>
      </c>
      <c r="AF157" t="n">
        <v>-3.362293119341843</v>
      </c>
      <c r="AG157" t="n">
        <v>1.067243470147391</v>
      </c>
      <c r="AH157" t="n">
        <v>1.61667941418439</v>
      </c>
      <c r="AI157" t="n">
        <v>2.41623282026276</v>
      </c>
      <c r="AJ157" t="n">
        <v>1.171003251930219</v>
      </c>
      <c r="AK157" t="n">
        <v>6.271158956524761</v>
      </c>
      <c r="AL157" t="n">
        <v>64.3605648053009</v>
      </c>
      <c r="AM157" t="n">
        <v>-9.633452075866604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A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ht="75" customHeight="1">
      <c r="A1" s="7" t="inlineStr">
        <is>
          <t>Scenario</t>
        </is>
      </c>
      <c r="B1" s="7" t="inlineStr">
        <is>
          <t>Year-end</t>
        </is>
      </c>
      <c r="C1" s="7" t="inlineStr">
        <is>
          <t>Incremental LNG feedgas, Texas</t>
        </is>
      </c>
      <c r="D1" s="7" t="inlineStr">
        <is>
          <t>Incremental LNG feedgas, Louisiana</t>
        </is>
      </c>
      <c r="E1" s="7" t="inlineStr">
        <is>
          <t>Incremental LNG feedgas, Gulf total</t>
        </is>
      </c>
      <c r="F1" s="7" t="inlineStr">
        <is>
          <t>Incremental other Gulf demand (sectors, Mexico, data centres)</t>
        </is>
      </c>
      <c r="G1" s="7" t="inlineStr">
        <is>
          <t>Incremental total Gulf demand</t>
        </is>
      </c>
      <c r="H1" s="7" t="inlineStr">
        <is>
          <t>Incremental Permian supply (Texas share, takeaway-capped)</t>
        </is>
      </c>
      <c r="I1" s="7" t="inlineStr">
        <is>
          <t>Incremental Eagle Ford supply</t>
        </is>
      </c>
      <c r="J1" s="7" t="inlineStr">
        <is>
          <t>Incremental Haynesville supply (East Texas + Louisiana, STEO)</t>
        </is>
      </c>
      <c r="K1" s="7" t="inlineStr">
        <is>
          <t>Incremental basin supply, total</t>
        </is>
      </c>
      <c r="L1" s="7" t="inlineStr">
        <is>
          <t>Supply growth less demand growth (+ surplus / - shortfall)</t>
        </is>
      </c>
      <c r="M1" s="7" t="inlineStr">
        <is>
          <t>Extra supply required to hold the outflow (Haynesville above STEO or other regions)</t>
        </is>
      </c>
      <c r="N1" s="7" t="inlineStr">
        <is>
          <t>Haynesville growth required to balance (STEO + extra)</t>
        </is>
      </c>
      <c r="O1" s="7" t="inlineStr">
        <is>
          <t>Implied net outflow at Dec if no extra supply (outflow declines)</t>
        </is>
      </c>
      <c r="P1" s="7" t="inlineStr">
        <is>
          <t>Fall in outflow vs Dec 2025 (other regions must replace it)</t>
        </is>
      </c>
      <c r="Q1" s="7" t="inlineStr">
        <is>
          <t>Extra supply needed to keep outflow above the floor</t>
        </is>
      </c>
      <c r="R1" s="7" t="inlineStr">
        <is>
          <t>Memo: Permian New Mexico growth (not counted)</t>
        </is>
      </c>
      <c r="S1" s="7" t="inlineStr">
        <is>
          <t>Memo: change in net storage withdrawal, Dec vs Dec 2025 (not in the balance; seasonal pattern vs one actual month)</t>
        </is>
      </c>
      <c r="T1" s="7" t="inlineStr">
        <is>
          <t>Sensitivity layer (Dec increment, ILLUSTRATIVE): Cameron LNG Train 4</t>
        </is>
      </c>
      <c r="U1" s="7" t="inlineStr">
        <is>
          <t>Sensitivity layer (Dec increment, ILLUSTRATIVE): Woodside Louisiana LNG Phase 2</t>
        </is>
      </c>
      <c r="V1" s="7" t="inlineStr">
        <is>
          <t>Sensitivity layer (Dec increment, ILLUSTRATIVE): Lake Charles LNG (SUSPENDED)</t>
        </is>
      </c>
      <c r="W1" s="7" t="inlineStr">
        <is>
          <t>Sensitivity layer (Dec increment, ILLUSTRATIVE): Delfin FLNG vessels 2-3</t>
        </is>
      </c>
      <c r="X1" s="7" t="inlineStr">
        <is>
          <t>Extra supply required with layers up to Cameron LNG Train 4 (cumulative, ILLUSTRATIVE)</t>
        </is>
      </c>
      <c r="Y1" s="7" t="inlineStr">
        <is>
          <t>Extra supply required with layers up to Woodside Louisiana LNG Phase 2 (cumulative, ILLUSTRATIVE)</t>
        </is>
      </c>
      <c r="Z1" s="7" t="inlineStr">
        <is>
          <t>Extra supply required with layers up to Lake Charles LNG (SUSPENDED) (cumulative, ILLUSTRATIVE)</t>
        </is>
      </c>
      <c r="AA1" s="7" t="inlineStr">
        <is>
          <t>Extra supply required with layers up to Delfin FLNG vessels 2-3 (cumulative, ILLUSTRATIVE)</t>
        </is>
      </c>
    </row>
    <row r="2">
      <c r="A2" t="inlineStr">
        <is>
          <t>Base</t>
        </is>
      </c>
      <c r="B2" t="inlineStr">
        <is>
          <t>Dec 2026</t>
        </is>
      </c>
      <c r="C2" t="n">
        <v>1.017457038101144</v>
      </c>
      <c r="D2" t="n">
        <v>-0.05376745275350459</v>
      </c>
      <c r="E2" t="n">
        <v>0.9636895853476393</v>
      </c>
      <c r="F2" t="n">
        <v>-0.2727424796630551</v>
      </c>
      <c r="G2" t="n">
        <v>0.6909471056845842</v>
      </c>
      <c r="H2" t="n">
        <v>1.153755849252462</v>
      </c>
      <c r="I2" t="n">
        <v>0.2849390364015738</v>
      </c>
      <c r="J2" t="n">
        <v>1.685639589343904</v>
      </c>
      <c r="K2" t="n">
        <v>3.12433447499794</v>
      </c>
      <c r="L2" t="n">
        <v>2.433387369313356</v>
      </c>
      <c r="M2" t="n">
        <v>0</v>
      </c>
      <c r="N2" t="n">
        <v>1.685639589343904</v>
      </c>
      <c r="O2" t="n">
        <v>5.229482927693963</v>
      </c>
      <c r="P2" t="n">
        <v>0</v>
      </c>
      <c r="Q2" t="n">
        <v>0</v>
      </c>
      <c r="R2" t="n">
        <v>0.2036039733974937</v>
      </c>
      <c r="S2" t="n">
        <v>-1.224322580645161</v>
      </c>
      <c r="T2" t="n">
        <v>0</v>
      </c>
      <c r="U2" t="n">
        <v>0</v>
      </c>
      <c r="V2" t="n">
        <v>0</v>
      </c>
      <c r="W2" t="n">
        <v>0</v>
      </c>
      <c r="X2" t="n">
        <v>0</v>
      </c>
      <c r="Y2" t="n">
        <v>0</v>
      </c>
      <c r="Z2" t="n">
        <v>0</v>
      </c>
      <c r="AA2" t="n">
        <v>0</v>
      </c>
    </row>
    <row r="3">
      <c r="B3" t="inlineStr">
        <is>
          <t>Dec 2027</t>
        </is>
      </c>
      <c r="C3" t="n">
        <v>4.556029050349242</v>
      </c>
      <c r="D3" t="n">
        <v>0.8945033352319882</v>
      </c>
      <c r="E3" t="n">
        <v>5.45053238558123</v>
      </c>
      <c r="F3" t="n">
        <v>-0.1830264067352445</v>
      </c>
      <c r="G3" t="n">
        <v>5.267505978845985</v>
      </c>
      <c r="H3" t="n">
        <v>3.222213939286526</v>
      </c>
      <c r="I3" t="n">
        <v>0.6226576601928544</v>
      </c>
      <c r="J3" t="n">
        <v>2.007993557685527</v>
      </c>
      <c r="K3" t="n">
        <v>5.852865157164907</v>
      </c>
      <c r="L3" t="n">
        <v>0.5853591783189218</v>
      </c>
      <c r="M3" t="n">
        <v>0</v>
      </c>
      <c r="N3" t="n">
        <v>2.007993557685527</v>
      </c>
      <c r="O3" t="n">
        <v>3.381454736699529</v>
      </c>
      <c r="P3" t="n">
        <v>0</v>
      </c>
      <c r="Q3" t="n">
        <v>0</v>
      </c>
      <c r="R3" t="n">
        <v>0.5686259892858578</v>
      </c>
      <c r="S3" t="n">
        <v>-1.224322580645161</v>
      </c>
      <c r="T3" t="n">
        <v>0</v>
      </c>
      <c r="U3" t="n">
        <v>0</v>
      </c>
      <c r="V3" t="n">
        <v>0</v>
      </c>
      <c r="W3" t="n">
        <v>0</v>
      </c>
      <c r="X3" t="n">
        <v>0</v>
      </c>
      <c r="Y3" t="n">
        <v>0</v>
      </c>
      <c r="Z3" t="n">
        <v>0</v>
      </c>
      <c r="AA3" t="n">
        <v>0</v>
      </c>
    </row>
    <row r="4">
      <c r="B4" t="inlineStr">
        <is>
          <t>Dec 2028</t>
        </is>
      </c>
      <c r="C4" t="n">
        <v>7.420444603922144</v>
      </c>
      <c r="D4" t="n">
        <v>3.125728718727265</v>
      </c>
      <c r="E4" t="n">
        <v>10.54617332264941</v>
      </c>
      <c r="F4" t="n">
        <v>-0.08925523126269042</v>
      </c>
      <c r="G4" t="n">
        <v>10.45691809138672</v>
      </c>
      <c r="H4" t="n">
        <v>5.235645825115757</v>
      </c>
      <c r="I4" t="n">
        <v>0.9762904489374629</v>
      </c>
      <c r="J4" t="n">
        <v>2.964968512975208</v>
      </c>
      <c r="K4" t="n">
        <v>9.176904787028427</v>
      </c>
      <c r="L4" t="n">
        <v>-1.280013304358292</v>
      </c>
      <c r="M4" t="n">
        <v>1.280013304358292</v>
      </c>
      <c r="N4" t="n">
        <v>4.2449818173335</v>
      </c>
      <c r="O4" t="n">
        <v>1.516082254022315</v>
      </c>
      <c r="P4" t="n">
        <v>1.280013304358292</v>
      </c>
      <c r="Q4" t="n">
        <v>0</v>
      </c>
      <c r="R4" t="n">
        <v>0.9239374985498396</v>
      </c>
      <c r="S4" t="n">
        <v>-1.224322580645161</v>
      </c>
      <c r="T4" t="n">
        <v>0</v>
      </c>
      <c r="U4" t="n">
        <v>0</v>
      </c>
      <c r="V4" t="n">
        <v>0</v>
      </c>
      <c r="W4" t="n">
        <v>0</v>
      </c>
      <c r="X4" t="n">
        <v>1.280013304358292</v>
      </c>
      <c r="Y4" t="n">
        <v>1.280013304358292</v>
      </c>
      <c r="Z4" t="n">
        <v>1.280013304358292</v>
      </c>
      <c r="AA4" t="n">
        <v>1.280013304358292</v>
      </c>
    </row>
    <row r="5">
      <c r="B5" t="inlineStr">
        <is>
          <t>Dec 2029</t>
        </is>
      </c>
      <c r="C5" t="n">
        <v>7.727176711705587</v>
      </c>
      <c r="D5" t="n">
        <v>5.263690526985663</v>
      </c>
      <c r="E5" t="n">
        <v>12.99086723869125</v>
      </c>
      <c r="F5" t="n">
        <v>0.02661625446810234</v>
      </c>
      <c r="G5" t="n">
        <v>13.01748349315935</v>
      </c>
      <c r="H5" t="n">
        <v>6.327496634890874</v>
      </c>
      <c r="I5" t="n">
        <v>1.161850754309783</v>
      </c>
      <c r="J5" t="n">
        <v>3.470273928253558</v>
      </c>
      <c r="K5" t="n">
        <v>10.95962131745421</v>
      </c>
      <c r="L5" t="n">
        <v>-2.057862175705138</v>
      </c>
      <c r="M5" t="n">
        <v>2.057862175705138</v>
      </c>
      <c r="N5" t="n">
        <v>5.528136103958696</v>
      </c>
      <c r="O5" t="n">
        <v>0.7382333826754692</v>
      </c>
      <c r="P5" t="n">
        <v>2.057862175705138</v>
      </c>
      <c r="Q5" t="n">
        <v>0</v>
      </c>
      <c r="R5" t="n">
        <v>1.116617053216037</v>
      </c>
      <c r="S5" t="n">
        <v>-1.224322580645161</v>
      </c>
      <c r="T5" t="n">
        <v>0</v>
      </c>
      <c r="U5" t="n">
        <v>0</v>
      </c>
      <c r="V5" t="n">
        <v>0</v>
      </c>
      <c r="W5" t="n">
        <v>0</v>
      </c>
      <c r="X5" t="n">
        <v>2.057862175705138</v>
      </c>
      <c r="Y5" t="n">
        <v>2.057862175705138</v>
      </c>
      <c r="Z5" t="n">
        <v>2.057862175705138</v>
      </c>
      <c r="AA5" t="n">
        <v>2.057862175705138</v>
      </c>
    </row>
    <row r="6">
      <c r="B6" t="inlineStr">
        <is>
          <t>Dec 2030</t>
        </is>
      </c>
      <c r="C6" t="n">
        <v>8.766368271144357</v>
      </c>
      <c r="D6" t="n">
        <v>8.103042644285498</v>
      </c>
      <c r="E6" t="n">
        <v>16.86941091542985</v>
      </c>
      <c r="F6" t="n">
        <v>0.1463960334245051</v>
      </c>
      <c r="G6" t="n">
        <v>17.01580694885436</v>
      </c>
      <c r="H6" t="n">
        <v>6.896505654867621</v>
      </c>
      <c r="I6" t="n">
        <v>1.256924985552784</v>
      </c>
      <c r="J6" t="n">
        <v>3.730006888640176</v>
      </c>
      <c r="K6" t="n">
        <v>11.88343752906058</v>
      </c>
      <c r="L6" t="n">
        <v>-5.132369419793777</v>
      </c>
      <c r="M6" t="n">
        <v>5.132369419793777</v>
      </c>
      <c r="N6" t="n">
        <v>8.862376308433953</v>
      </c>
      <c r="O6" t="n">
        <v>-2.33627386141317</v>
      </c>
      <c r="P6" t="n">
        <v>5.132369419793777</v>
      </c>
      <c r="Q6" t="n">
        <v>2.33627386141317</v>
      </c>
      <c r="R6" t="n">
        <v>1.217030409682521</v>
      </c>
      <c r="S6" t="n">
        <v>-1.224322580645161</v>
      </c>
      <c r="T6" t="n">
        <v>0</v>
      </c>
      <c r="U6" t="n">
        <v>0</v>
      </c>
      <c r="V6" t="n">
        <v>0</v>
      </c>
      <c r="W6" t="n">
        <v>0</v>
      </c>
      <c r="X6" t="n">
        <v>5.132369419793777</v>
      </c>
      <c r="Y6" t="n">
        <v>5.132369419793777</v>
      </c>
      <c r="Z6" t="n">
        <v>5.132369419793777</v>
      </c>
      <c r="AA6" t="n">
        <v>5.132369419793777</v>
      </c>
    </row>
    <row r="7">
      <c r="B7" t="inlineStr">
        <is>
          <t>Dec 2031</t>
        </is>
      </c>
      <c r="C7" t="n">
        <v>10.39061753724603</v>
      </c>
      <c r="D7" t="n">
        <v>8.918911779094845</v>
      </c>
      <c r="E7" t="n">
        <v>19.30952931634087</v>
      </c>
      <c r="F7" t="n">
        <v>0.2221091341822579</v>
      </c>
      <c r="G7" t="n">
        <v>19.53163845052313</v>
      </c>
      <c r="H7" t="n">
        <v>7.152115268137187</v>
      </c>
      <c r="I7" t="n">
        <v>1.305049801638474</v>
      </c>
      <c r="J7" t="n">
        <v>3.861693035663471</v>
      </c>
      <c r="K7" t="n">
        <v>12.31885810543913</v>
      </c>
      <c r="L7" t="n">
        <v>-7.212780345083999</v>
      </c>
      <c r="M7" t="n">
        <v>7.212780345083999</v>
      </c>
      <c r="N7" t="n">
        <v>11.07447338074747</v>
      </c>
      <c r="O7" t="n">
        <v>-4.416684786703392</v>
      </c>
      <c r="P7" t="n">
        <v>7.212780345083999</v>
      </c>
      <c r="Q7" t="n">
        <v>4.416684786703392</v>
      </c>
      <c r="R7" t="n">
        <v>1.262137988494799</v>
      </c>
      <c r="S7" t="n">
        <v>-1.224322580645161</v>
      </c>
      <c r="T7" t="n">
        <v>1.067243470147391</v>
      </c>
      <c r="U7" t="n">
        <v>1.496137528039063</v>
      </c>
      <c r="V7" t="n">
        <v>2.23607510998001</v>
      </c>
      <c r="W7" t="n">
        <v>1.171003251930219</v>
      </c>
      <c r="X7" t="n">
        <v>8.28002381523139</v>
      </c>
      <c r="Y7" t="n">
        <v>9.776161343270452</v>
      </c>
      <c r="Z7" t="n">
        <v>12.01223645325046</v>
      </c>
      <c r="AA7" t="n">
        <v>13.18323970518068</v>
      </c>
    </row>
    <row r="8">
      <c r="B8" t="inlineStr">
        <is>
          <t>Dec 2032</t>
        </is>
      </c>
      <c r="C8" t="n">
        <v>10.39061753724603</v>
      </c>
      <c r="D8" t="n">
        <v>8.918911779094845</v>
      </c>
      <c r="E8" t="n">
        <v>19.30952931634087</v>
      </c>
      <c r="F8" t="n">
        <v>0.3016653157273623</v>
      </c>
      <c r="G8" t="n">
        <v>19.61119463206824</v>
      </c>
      <c r="H8" t="n">
        <v>7.152115268137187</v>
      </c>
      <c r="I8" t="n">
        <v>1.329260951229807</v>
      </c>
      <c r="J8" t="n">
        <v>3.927997400097436</v>
      </c>
      <c r="K8" t="n">
        <v>12.40937361946443</v>
      </c>
      <c r="L8" t="n">
        <v>-7.201821012603807</v>
      </c>
      <c r="M8" t="n">
        <v>7.201821012603807</v>
      </c>
      <c r="N8" t="n">
        <v>11.12981841270124</v>
      </c>
      <c r="O8" t="n">
        <v>-4.4057254542232</v>
      </c>
      <c r="P8" t="n">
        <v>7.201821012603807</v>
      </c>
      <c r="Q8" t="n">
        <v>4.4057254542232</v>
      </c>
      <c r="R8" t="n">
        <v>1.262137988494799</v>
      </c>
      <c r="S8" t="n">
        <v>-1.224322580645161</v>
      </c>
      <c r="T8" t="n">
        <v>1.067243470147391</v>
      </c>
      <c r="U8" t="n">
        <v>1.61667941418439</v>
      </c>
      <c r="V8" t="n">
        <v>2.41623282026276</v>
      </c>
      <c r="W8" t="n">
        <v>1.171003251930219</v>
      </c>
      <c r="X8" t="n">
        <v>8.269064482751197</v>
      </c>
      <c r="Y8" t="n">
        <v>9.885743896935587</v>
      </c>
      <c r="Z8" t="n">
        <v>12.30197671719835</v>
      </c>
      <c r="AA8" t="n">
        <v>13.47297996912857</v>
      </c>
    </row>
    <row r="9">
      <c r="B9" t="inlineStr">
        <is>
          <t>Dec 2033</t>
        </is>
      </c>
      <c r="C9" t="n">
        <v>10.39061753724603</v>
      </c>
      <c r="D9" t="n">
        <v>8.918911779094845</v>
      </c>
      <c r="E9" t="n">
        <v>19.30952931634087</v>
      </c>
      <c r="F9" t="n">
        <v>0.3850355646933252</v>
      </c>
      <c r="G9" t="n">
        <v>19.6945648810342</v>
      </c>
      <c r="H9" t="n">
        <v>7.152115268137187</v>
      </c>
      <c r="I9" t="n">
        <v>1.341403941273708</v>
      </c>
      <c r="J9" t="n">
        <v>3.961265712986162</v>
      </c>
      <c r="K9" t="n">
        <v>12.45478492239706</v>
      </c>
      <c r="L9" t="n">
        <v>-7.239779958637143</v>
      </c>
      <c r="M9" t="n">
        <v>7.239779958637143</v>
      </c>
      <c r="N9" t="n">
        <v>11.20104567162331</v>
      </c>
      <c r="O9" t="n">
        <v>-4.443684400256537</v>
      </c>
      <c r="P9" t="n">
        <v>7.239779958637143</v>
      </c>
      <c r="Q9" t="n">
        <v>4.443684400256537</v>
      </c>
      <c r="R9" t="n">
        <v>1.262137988494799</v>
      </c>
      <c r="S9" t="n">
        <v>-1.224322580645161</v>
      </c>
      <c r="T9" t="n">
        <v>1.067243470147391</v>
      </c>
      <c r="U9" t="n">
        <v>1.61667941418439</v>
      </c>
      <c r="V9" t="n">
        <v>2.41623282026276</v>
      </c>
      <c r="W9" t="n">
        <v>1.171003251930219</v>
      </c>
      <c r="X9" t="n">
        <v>8.307023428784534</v>
      </c>
      <c r="Y9" t="n">
        <v>9.923702842968925</v>
      </c>
      <c r="Z9" t="n">
        <v>12.33993566323169</v>
      </c>
      <c r="AA9" t="n">
        <v>13.5109389151619</v>
      </c>
    </row>
    <row r="10">
      <c r="A10" t="inlineStr">
        <is>
          <t>LNG and takeaway delayed 6 months</t>
        </is>
      </c>
      <c r="B10" t="inlineStr">
        <is>
          <t>Dec 2026</t>
        </is>
      </c>
      <c r="C10" t="n">
        <v>0.8801853609953358</v>
      </c>
      <c r="D10" t="n">
        <v>-0.05376745275350459</v>
      </c>
      <c r="E10" t="n">
        <v>0.8264179082418313</v>
      </c>
      <c r="F10" t="n">
        <v>-0.2727424796630551</v>
      </c>
      <c r="G10" t="n">
        <v>0.5536754285787762</v>
      </c>
      <c r="H10" t="n">
        <v>0.3845121616917666</v>
      </c>
      <c r="I10" t="n">
        <v>0.2849390364015738</v>
      </c>
      <c r="J10" t="n">
        <v>1.685639589343904</v>
      </c>
      <c r="K10" t="n">
        <v>2.355090787437244</v>
      </c>
      <c r="L10" t="n">
        <v>1.801415358858468</v>
      </c>
      <c r="M10" t="n">
        <v>0</v>
      </c>
      <c r="N10" t="n">
        <v>1.685639589343904</v>
      </c>
      <c r="O10" t="n">
        <v>4.597510917239075</v>
      </c>
      <c r="P10" t="n">
        <v>0</v>
      </c>
      <c r="Q10" t="n">
        <v>0</v>
      </c>
      <c r="R10" t="n">
        <v>0.06785508735737074</v>
      </c>
      <c r="S10" t="n">
        <v>-1.224322580645161</v>
      </c>
      <c r="T10" t="n">
        <v>0</v>
      </c>
      <c r="U10" t="n">
        <v>0</v>
      </c>
      <c r="V10" t="n">
        <v>0</v>
      </c>
      <c r="W10" t="n">
        <v>0</v>
      </c>
      <c r="X10" t="n">
        <v>0</v>
      </c>
      <c r="Y10" t="n">
        <v>0</v>
      </c>
      <c r="Z10" t="n">
        <v>0</v>
      </c>
      <c r="AA10" t="n">
        <v>0</v>
      </c>
    </row>
    <row r="11">
      <c r="B11" t="inlineStr">
        <is>
          <t>Dec 2027</t>
        </is>
      </c>
      <c r="C11" t="n">
        <v>2.451315689745533</v>
      </c>
      <c r="D11" t="n">
        <v>-0.05376745275350459</v>
      </c>
      <c r="E11" t="n">
        <v>2.397548236992028</v>
      </c>
      <c r="F11" t="n">
        <v>-0.1830264067352445</v>
      </c>
      <c r="G11" t="n">
        <v>2.214521830256784</v>
      </c>
      <c r="H11" t="n">
        <v>3.222213939286526</v>
      </c>
      <c r="I11" t="n">
        <v>0.6226576601928544</v>
      </c>
      <c r="J11" t="n">
        <v>2.007993557685527</v>
      </c>
      <c r="K11" t="n">
        <v>5.852865157164907</v>
      </c>
      <c r="L11" t="n">
        <v>3.638343326908124</v>
      </c>
      <c r="M11" t="n">
        <v>0</v>
      </c>
      <c r="N11" t="n">
        <v>2.007993557685527</v>
      </c>
      <c r="O11" t="n">
        <v>6.43443888528873</v>
      </c>
      <c r="P11" t="n">
        <v>0</v>
      </c>
      <c r="Q11" t="n">
        <v>0</v>
      </c>
      <c r="R11" t="n">
        <v>0.5686259892858578</v>
      </c>
      <c r="S11" t="n">
        <v>-1.224322580645161</v>
      </c>
      <c r="T11" t="n">
        <v>0</v>
      </c>
      <c r="U11" t="n">
        <v>0</v>
      </c>
      <c r="V11" t="n">
        <v>0</v>
      </c>
      <c r="W11" t="n">
        <v>0</v>
      </c>
      <c r="X11" t="n">
        <v>0</v>
      </c>
      <c r="Y11" t="n">
        <v>0</v>
      </c>
      <c r="Z11" t="n">
        <v>0</v>
      </c>
      <c r="AA11" t="n">
        <v>0</v>
      </c>
    </row>
    <row r="12">
      <c r="B12" t="inlineStr">
        <is>
          <t>Dec 2028</t>
        </is>
      </c>
      <c r="C12" t="n">
        <v>6.043614972403573</v>
      </c>
      <c r="D12" t="n">
        <v>2.233238565329154</v>
      </c>
      <c r="E12" t="n">
        <v>8.276853537732727</v>
      </c>
      <c r="F12" t="n">
        <v>-0.08925523126269042</v>
      </c>
      <c r="G12" t="n">
        <v>8.187598306470036</v>
      </c>
      <c r="H12" t="n">
        <v>5.235645825115757</v>
      </c>
      <c r="I12" t="n">
        <v>0.9762904489374629</v>
      </c>
      <c r="J12" t="n">
        <v>2.964968512975208</v>
      </c>
      <c r="K12" t="n">
        <v>9.176904787028427</v>
      </c>
      <c r="L12" t="n">
        <v>0.9893064805583904</v>
      </c>
      <c r="M12" t="n">
        <v>0</v>
      </c>
      <c r="N12" t="n">
        <v>2.964968512975208</v>
      </c>
      <c r="O12" t="n">
        <v>3.785402038938997</v>
      </c>
      <c r="P12" t="n">
        <v>0</v>
      </c>
      <c r="Q12" t="n">
        <v>0</v>
      </c>
      <c r="R12" t="n">
        <v>0.9239374985498396</v>
      </c>
      <c r="S12" t="n">
        <v>-1.224322580645161</v>
      </c>
      <c r="T12" t="n">
        <v>0</v>
      </c>
      <c r="U12" t="n">
        <v>0</v>
      </c>
      <c r="V12" t="n">
        <v>0</v>
      </c>
      <c r="W12" t="n">
        <v>0</v>
      </c>
      <c r="X12" t="n">
        <v>0</v>
      </c>
      <c r="Y12" t="n">
        <v>0</v>
      </c>
      <c r="Z12" t="n">
        <v>0</v>
      </c>
      <c r="AA12" t="n">
        <v>0</v>
      </c>
    </row>
    <row r="13">
      <c r="B13" t="inlineStr">
        <is>
          <t>Dec 2029</t>
        </is>
      </c>
      <c r="C13" t="n">
        <v>7.727176711705587</v>
      </c>
      <c r="D13" t="n">
        <v>3.576264613471505</v>
      </c>
      <c r="E13" t="n">
        <v>11.30344132517709</v>
      </c>
      <c r="F13" t="n">
        <v>0.02661625446810234</v>
      </c>
      <c r="G13" t="n">
        <v>11.33005757964519</v>
      </c>
      <c r="H13" t="n">
        <v>6.327496634890874</v>
      </c>
      <c r="I13" t="n">
        <v>1.161850754309783</v>
      </c>
      <c r="J13" t="n">
        <v>3.470273928253558</v>
      </c>
      <c r="K13" t="n">
        <v>10.95962131745421</v>
      </c>
      <c r="L13" t="n">
        <v>-0.3704362621909798</v>
      </c>
      <c r="M13" t="n">
        <v>0.3704362621909798</v>
      </c>
      <c r="N13" t="n">
        <v>3.840710190444538</v>
      </c>
      <c r="O13" t="n">
        <v>2.425659296189627</v>
      </c>
      <c r="P13" t="n">
        <v>0.3704362621909798</v>
      </c>
      <c r="Q13" t="n">
        <v>0</v>
      </c>
      <c r="R13" t="n">
        <v>1.116617053216037</v>
      </c>
      <c r="S13" t="n">
        <v>-1.224322580645161</v>
      </c>
      <c r="T13" t="n">
        <v>0</v>
      </c>
      <c r="U13" t="n">
        <v>0</v>
      </c>
      <c r="V13" t="n">
        <v>0</v>
      </c>
      <c r="W13" t="n">
        <v>0</v>
      </c>
      <c r="X13" t="n">
        <v>0.3704362621909798</v>
      </c>
      <c r="Y13" t="n">
        <v>0.3704362621909798</v>
      </c>
      <c r="Z13" t="n">
        <v>0.3704362621909798</v>
      </c>
      <c r="AA13" t="n">
        <v>0.3704362621909798</v>
      </c>
    </row>
    <row r="14">
      <c r="B14" t="inlineStr">
        <is>
          <t>Dec 2030</t>
        </is>
      </c>
      <c r="C14" t="n">
        <v>7.727176711705587</v>
      </c>
      <c r="D14" t="n">
        <v>6.035079154001199</v>
      </c>
      <c r="E14" t="n">
        <v>13.76225586570679</v>
      </c>
      <c r="F14" t="n">
        <v>0.1463960334245051</v>
      </c>
      <c r="G14" t="n">
        <v>13.90865189913129</v>
      </c>
      <c r="H14" t="n">
        <v>6.896505654867621</v>
      </c>
      <c r="I14" t="n">
        <v>1.256924985552784</v>
      </c>
      <c r="J14" t="n">
        <v>3.730006888640176</v>
      </c>
      <c r="K14" t="n">
        <v>11.88343752906058</v>
      </c>
      <c r="L14" t="n">
        <v>-2.02521437007071</v>
      </c>
      <c r="M14" t="n">
        <v>2.02521437007071</v>
      </c>
      <c r="N14" t="n">
        <v>5.755221258710886</v>
      </c>
      <c r="O14" t="n">
        <v>0.7708811883098967</v>
      </c>
      <c r="P14" t="n">
        <v>2.02521437007071</v>
      </c>
      <c r="Q14" t="n">
        <v>0</v>
      </c>
      <c r="R14" t="n">
        <v>1.217030409682521</v>
      </c>
      <c r="S14" t="n">
        <v>-1.224322580645161</v>
      </c>
      <c r="T14" t="n">
        <v>0</v>
      </c>
      <c r="U14" t="n">
        <v>0</v>
      </c>
      <c r="V14" t="n">
        <v>0</v>
      </c>
      <c r="W14" t="n">
        <v>0</v>
      </c>
      <c r="X14" t="n">
        <v>2.02521437007071</v>
      </c>
      <c r="Y14" t="n">
        <v>2.02521437007071</v>
      </c>
      <c r="Z14" t="n">
        <v>2.02521437007071</v>
      </c>
      <c r="AA14" t="n">
        <v>2.02521437007071</v>
      </c>
    </row>
    <row r="15">
      <c r="B15" t="inlineStr">
        <is>
          <t>Dec 2031</t>
        </is>
      </c>
      <c r="C15" t="n">
        <v>10.12369157089693</v>
      </c>
      <c r="D15" t="n">
        <v>8.820725441431978</v>
      </c>
      <c r="E15" t="n">
        <v>18.94441701232891</v>
      </c>
      <c r="F15" t="n">
        <v>0.2221091341822579</v>
      </c>
      <c r="G15" t="n">
        <v>19.16652614651117</v>
      </c>
      <c r="H15" t="n">
        <v>7.152115268137187</v>
      </c>
      <c r="I15" t="n">
        <v>1.305049801638474</v>
      </c>
      <c r="J15" t="n">
        <v>3.861693035663471</v>
      </c>
      <c r="K15" t="n">
        <v>12.31885810543913</v>
      </c>
      <c r="L15" t="n">
        <v>-6.847668041072033</v>
      </c>
      <c r="M15" t="n">
        <v>6.847668041072033</v>
      </c>
      <c r="N15" t="n">
        <v>10.7093610767355</v>
      </c>
      <c r="O15" t="n">
        <v>-4.051572482691427</v>
      </c>
      <c r="P15" t="n">
        <v>6.847668041072033</v>
      </c>
      <c r="Q15" t="n">
        <v>4.051572482691427</v>
      </c>
      <c r="R15" t="n">
        <v>1.262137988494799</v>
      </c>
      <c r="S15" t="n">
        <v>-1.224322580645161</v>
      </c>
      <c r="T15" t="n">
        <v>1.067243470147391</v>
      </c>
      <c r="U15" t="n">
        <v>1.496137528039063</v>
      </c>
      <c r="V15" t="n">
        <v>2.23607510998001</v>
      </c>
      <c r="W15" t="n">
        <v>1.171003251930219</v>
      </c>
      <c r="X15" t="n">
        <v>7.914911511219424</v>
      </c>
      <c r="Y15" t="n">
        <v>9.411049039258486</v>
      </c>
      <c r="Z15" t="n">
        <v>11.6471241492385</v>
      </c>
      <c r="AA15" t="n">
        <v>12.81812740116872</v>
      </c>
    </row>
    <row r="16">
      <c r="B16" t="inlineStr">
        <is>
          <t>Dec 2032</t>
        </is>
      </c>
      <c r="C16" t="n">
        <v>10.39061753724603</v>
      </c>
      <c r="D16" t="n">
        <v>8.918911779094845</v>
      </c>
      <c r="E16" t="n">
        <v>19.30952931634087</v>
      </c>
      <c r="F16" t="n">
        <v>0.3016653157273623</v>
      </c>
      <c r="G16" t="n">
        <v>19.61119463206824</v>
      </c>
      <c r="H16" t="n">
        <v>7.152115268137187</v>
      </c>
      <c r="I16" t="n">
        <v>1.329260951229807</v>
      </c>
      <c r="J16" t="n">
        <v>3.927997400097436</v>
      </c>
      <c r="K16" t="n">
        <v>12.40937361946443</v>
      </c>
      <c r="L16" t="n">
        <v>-7.201821012603807</v>
      </c>
      <c r="M16" t="n">
        <v>7.201821012603807</v>
      </c>
      <c r="N16" t="n">
        <v>11.12981841270124</v>
      </c>
      <c r="O16" t="n">
        <v>-4.4057254542232</v>
      </c>
      <c r="P16" t="n">
        <v>7.201821012603807</v>
      </c>
      <c r="Q16" t="n">
        <v>4.4057254542232</v>
      </c>
      <c r="R16" t="n">
        <v>1.262137988494799</v>
      </c>
      <c r="S16" t="n">
        <v>-1.224322580645161</v>
      </c>
      <c r="T16" t="n">
        <v>1.067243470147391</v>
      </c>
      <c r="U16" t="n">
        <v>1.61667941418439</v>
      </c>
      <c r="V16" t="n">
        <v>2.41623282026276</v>
      </c>
      <c r="W16" t="n">
        <v>1.171003251930219</v>
      </c>
      <c r="X16" t="n">
        <v>8.269064482751197</v>
      </c>
      <c r="Y16" t="n">
        <v>9.885743896935587</v>
      </c>
      <c r="Z16" t="n">
        <v>12.30197671719835</v>
      </c>
      <c r="AA16" t="n">
        <v>13.47297996912857</v>
      </c>
    </row>
    <row r="17">
      <c r="B17" t="inlineStr">
        <is>
          <t>Dec 2033</t>
        </is>
      </c>
      <c r="C17" t="n">
        <v>10.39061753724603</v>
      </c>
      <c r="D17" t="n">
        <v>8.918911779094845</v>
      </c>
      <c r="E17" t="n">
        <v>19.30952931634087</v>
      </c>
      <c r="F17" t="n">
        <v>0.3850355646933252</v>
      </c>
      <c r="G17" t="n">
        <v>19.6945648810342</v>
      </c>
      <c r="H17" t="n">
        <v>7.152115268137187</v>
      </c>
      <c r="I17" t="n">
        <v>1.341403941273708</v>
      </c>
      <c r="J17" t="n">
        <v>3.961265712986162</v>
      </c>
      <c r="K17" t="n">
        <v>12.45478492239706</v>
      </c>
      <c r="L17" t="n">
        <v>-7.239779958637143</v>
      </c>
      <c r="M17" t="n">
        <v>7.239779958637143</v>
      </c>
      <c r="N17" t="n">
        <v>11.20104567162331</v>
      </c>
      <c r="O17" t="n">
        <v>-4.443684400256537</v>
      </c>
      <c r="P17" t="n">
        <v>7.239779958637143</v>
      </c>
      <c r="Q17" t="n">
        <v>4.443684400256537</v>
      </c>
      <c r="R17" t="n">
        <v>1.262137988494799</v>
      </c>
      <c r="S17" t="n">
        <v>-1.224322580645161</v>
      </c>
      <c r="T17" t="n">
        <v>1.067243470147391</v>
      </c>
      <c r="U17" t="n">
        <v>1.61667941418439</v>
      </c>
      <c r="V17" t="n">
        <v>2.41623282026276</v>
      </c>
      <c r="W17" t="n">
        <v>1.171003251930219</v>
      </c>
      <c r="X17" t="n">
        <v>8.307023428784534</v>
      </c>
      <c r="Y17" t="n">
        <v>9.923702842968925</v>
      </c>
      <c r="Z17" t="n">
        <v>12.33993566323169</v>
      </c>
      <c r="AA17" t="n">
        <v>13.5109389151619</v>
      </c>
    </row>
  </sheetData>
  <mergeCells count="2">
    <mergeCell ref="A2:A9"/>
    <mergeCell ref="A10:A1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75" customHeight="1">
      <c r="A1" s="7" t="inlineStr">
        <is>
          <t>Year</t>
        </is>
      </c>
      <c r="B1" s="7" t="inlineStr">
        <is>
          <t>Permian (Texas, capped)</t>
        </is>
      </c>
      <c r="C1" s="7" t="inlineStr">
        <is>
          <t>Eagle Ford</t>
        </is>
      </c>
      <c r="D1" s="7" t="inlineStr">
        <is>
          <t>Haynesville (STEO)</t>
        </is>
      </c>
      <c r="E1" s="7" t="inlineStr">
        <is>
          <t>Extra supply required</t>
        </is>
      </c>
      <c r="F1" s="7" t="inlineStr">
        <is>
          <t>Incremental Gulf LNG</t>
        </is>
      </c>
      <c r="G1" s="7" t="inlineStr">
        <is>
          <t>Incremental Gulf demand</t>
        </is>
      </c>
    </row>
    <row r="2">
      <c r="A2" s="9" t="n">
        <v>2026</v>
      </c>
      <c r="B2" t="n">
        <v>1.153755849252462</v>
      </c>
      <c r="C2" t="n">
        <v>0.2849390364015738</v>
      </c>
      <c r="D2" t="n">
        <v>1.685639589343904</v>
      </c>
      <c r="E2" t="n">
        <v>0</v>
      </c>
      <c r="F2" t="n">
        <v>0.9636895853476393</v>
      </c>
      <c r="G2" t="n">
        <v>0.6909471056845842</v>
      </c>
    </row>
    <row r="3">
      <c r="A3" s="9" t="n">
        <v>2027</v>
      </c>
      <c r="B3" t="n">
        <v>3.222213939286526</v>
      </c>
      <c r="C3" t="n">
        <v>0.6226576601928544</v>
      </c>
      <c r="D3" t="n">
        <v>2.007993557685527</v>
      </c>
      <c r="E3" t="n">
        <v>0</v>
      </c>
      <c r="F3" t="n">
        <v>5.45053238558123</v>
      </c>
      <c r="G3" t="n">
        <v>5.267505978845985</v>
      </c>
    </row>
    <row r="4">
      <c r="A4" s="9" t="n">
        <v>2028</v>
      </c>
      <c r="B4" t="n">
        <v>5.235645825115757</v>
      </c>
      <c r="C4" t="n">
        <v>0.9762904489374629</v>
      </c>
      <c r="D4" t="n">
        <v>2.964968512975208</v>
      </c>
      <c r="E4" t="n">
        <v>1.280013304358292</v>
      </c>
      <c r="F4" t="n">
        <v>10.54617332264941</v>
      </c>
      <c r="G4" t="n">
        <v>10.45691809138672</v>
      </c>
    </row>
    <row r="5">
      <c r="A5" s="9" t="n">
        <v>2029</v>
      </c>
      <c r="B5" t="n">
        <v>6.327496634890874</v>
      </c>
      <c r="C5" t="n">
        <v>1.161850754309783</v>
      </c>
      <c r="D5" t="n">
        <v>3.470273928253558</v>
      </c>
      <c r="E5" t="n">
        <v>2.057862175705138</v>
      </c>
      <c r="F5" t="n">
        <v>12.99086723869125</v>
      </c>
      <c r="G5" t="n">
        <v>13.01748349315935</v>
      </c>
    </row>
    <row r="6">
      <c r="A6" s="9" t="n">
        <v>2030</v>
      </c>
      <c r="B6" t="n">
        <v>6.896505654867621</v>
      </c>
      <c r="C6" t="n">
        <v>1.256924985552784</v>
      </c>
      <c r="D6" t="n">
        <v>3.730006888640176</v>
      </c>
      <c r="E6" t="n">
        <v>5.132369419793777</v>
      </c>
      <c r="F6" t="n">
        <v>16.86941091542985</v>
      </c>
      <c r="G6" t="n">
        <v>17.01580694885436</v>
      </c>
    </row>
    <row r="7">
      <c r="A7" s="9" t="n">
        <v>2031</v>
      </c>
      <c r="B7" t="n">
        <v>7.152115268137187</v>
      </c>
      <c r="C7" t="n">
        <v>1.305049801638474</v>
      </c>
      <c r="D7" t="n">
        <v>3.861693035663471</v>
      </c>
      <c r="E7" t="n">
        <v>7.212780345083999</v>
      </c>
      <c r="F7" t="n">
        <v>19.30952931634087</v>
      </c>
      <c r="G7" t="n">
        <v>19.53163845052313</v>
      </c>
    </row>
    <row r="8">
      <c r="A8" s="9" t="n">
        <v>2032</v>
      </c>
      <c r="B8" t="n">
        <v>7.152115268137187</v>
      </c>
      <c r="C8" t="n">
        <v>1.329260951229807</v>
      </c>
      <c r="D8" t="n">
        <v>3.927997400097436</v>
      </c>
      <c r="E8" t="n">
        <v>7.201821012603807</v>
      </c>
      <c r="F8" t="n">
        <v>19.30952931634087</v>
      </c>
      <c r="G8" t="n">
        <v>19.61119463206824</v>
      </c>
    </row>
    <row r="9">
      <c r="A9" s="9" t="n">
        <v>2033</v>
      </c>
      <c r="B9" t="n">
        <v>7.152115268137187</v>
      </c>
      <c r="C9" t="n">
        <v>1.341403941273708</v>
      </c>
      <c r="D9" t="n">
        <v>3.961265712986162</v>
      </c>
      <c r="E9" t="n">
        <v>7.239779958637143</v>
      </c>
      <c r="F9" t="n">
        <v>19.30952931634087</v>
      </c>
      <c r="G9" t="n">
        <v>19.6945648810342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5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ht="75" customHeight="1">
      <c r="A1" s="7" t="inlineStr">
        <is>
          <t>Month</t>
        </is>
      </c>
      <c r="B1" s="7" t="inlineStr">
        <is>
          <t>STEO (extended) Permian</t>
        </is>
      </c>
      <c r="C1" s="7" t="inlineStr">
        <is>
          <t>STEO (extended) Eagle Ford</t>
        </is>
      </c>
      <c r="D1" s="7" t="inlineStr">
        <is>
          <t>STEO (extended) Haynesville</t>
        </is>
      </c>
      <c r="E1" s="7" t="inlineStr">
        <is>
          <t>STEO Permian marketed</t>
        </is>
      </c>
      <c r="F1" s="7" t="inlineStr">
        <is>
          <t>STEO Eagle Ford marketed</t>
        </is>
      </c>
      <c r="G1" s="7" t="inlineStr">
        <is>
          <t>STEO Haynesville marketed</t>
        </is>
      </c>
      <c r="H1" s="7" t="inlineStr">
        <is>
          <t>Permian takeaway + local demand, base</t>
        </is>
      </c>
      <c r="I1" s="7" t="inlineStr">
        <is>
          <t>Permian marketed capped, base</t>
        </is>
      </c>
      <c r="J1" s="7" t="inlineStr">
        <is>
          <t>Permian takeaway + local demand, delayed</t>
        </is>
      </c>
      <c r="K1" s="7" t="inlineStr">
        <is>
          <t>Permian marketed capped, delayed</t>
        </is>
      </c>
      <c r="L1" s="7" t="inlineStr">
        <is>
          <t>Permian dry (Texas share), base</t>
        </is>
      </c>
      <c r="M1" s="7" t="inlineStr">
        <is>
          <t>Permian dry (Texas share), delayed</t>
        </is>
      </c>
      <c r="N1" s="7" t="inlineStr">
        <is>
          <t>Eagle Ford dry</t>
        </is>
      </c>
      <c r="O1" s="7" t="inlineStr">
        <is>
          <t>Haynesville dry, East Texas</t>
        </is>
      </c>
      <c r="P1" s="7" t="inlineStr">
        <is>
          <t>Haynesville dry, Louisiana</t>
        </is>
      </c>
      <c r="Q1" s="7" t="inlineStr">
        <is>
          <t>Haynesville dry, total</t>
        </is>
      </c>
    </row>
    <row r="2">
      <c r="A2" s="8" t="n">
        <v>44197</v>
      </c>
      <c r="H2" t="n">
        <v>29.5</v>
      </c>
      <c r="I2" t="n">
        <v>29.5</v>
      </c>
      <c r="J2" t="n">
        <v>29.5</v>
      </c>
      <c r="K2" t="n">
        <v>29.5</v>
      </c>
      <c r="L2" t="n">
        <v>20.97103903782982</v>
      </c>
      <c r="M2" t="n">
        <v>20.97103903782982</v>
      </c>
    </row>
    <row r="3">
      <c r="A3" s="8" t="n">
        <v>44228</v>
      </c>
      <c r="H3" t="n">
        <v>29.5</v>
      </c>
      <c r="I3" t="n">
        <v>29.5</v>
      </c>
      <c r="J3" t="n">
        <v>29.5</v>
      </c>
      <c r="K3" t="n">
        <v>29.5</v>
      </c>
      <c r="L3" t="n">
        <v>20.97103903782982</v>
      </c>
      <c r="M3" t="n">
        <v>20.97103903782982</v>
      </c>
    </row>
    <row r="4">
      <c r="A4" s="8" t="n">
        <v>44256</v>
      </c>
      <c r="H4" t="n">
        <v>29.5</v>
      </c>
      <c r="I4" t="n">
        <v>29.5</v>
      </c>
      <c r="J4" t="n">
        <v>29.5</v>
      </c>
      <c r="K4" t="n">
        <v>29.5</v>
      </c>
      <c r="L4" t="n">
        <v>20.97103903782982</v>
      </c>
      <c r="M4" t="n">
        <v>20.97103903782982</v>
      </c>
    </row>
    <row r="5">
      <c r="A5" s="8" t="n">
        <v>44287</v>
      </c>
      <c r="H5" t="n">
        <v>29.5</v>
      </c>
      <c r="I5" t="n">
        <v>29.5</v>
      </c>
      <c r="J5" t="n">
        <v>29.5</v>
      </c>
      <c r="K5" t="n">
        <v>29.5</v>
      </c>
      <c r="L5" t="n">
        <v>20.97103903782982</v>
      </c>
      <c r="M5" t="n">
        <v>20.97103903782982</v>
      </c>
    </row>
    <row r="6">
      <c r="A6" s="8" t="n">
        <v>44317</v>
      </c>
      <c r="H6" t="n">
        <v>29.5</v>
      </c>
      <c r="I6" t="n">
        <v>29.5</v>
      </c>
      <c r="J6" t="n">
        <v>29.5</v>
      </c>
      <c r="K6" t="n">
        <v>29.5</v>
      </c>
      <c r="L6" t="n">
        <v>20.97103903782982</v>
      </c>
      <c r="M6" t="n">
        <v>20.97103903782982</v>
      </c>
    </row>
    <row r="7">
      <c r="A7" s="8" t="n">
        <v>44348</v>
      </c>
      <c r="H7" t="n">
        <v>29.5</v>
      </c>
      <c r="I7" t="n">
        <v>29.5</v>
      </c>
      <c r="J7" t="n">
        <v>29.5</v>
      </c>
      <c r="K7" t="n">
        <v>29.5</v>
      </c>
      <c r="L7" t="n">
        <v>20.97103903782982</v>
      </c>
      <c r="M7" t="n">
        <v>20.97103903782982</v>
      </c>
    </row>
    <row r="8">
      <c r="A8" s="8" t="n">
        <v>44378</v>
      </c>
      <c r="H8" t="n">
        <v>29.5</v>
      </c>
      <c r="I8" t="n">
        <v>29.5</v>
      </c>
      <c r="J8" t="n">
        <v>29.5</v>
      </c>
      <c r="K8" t="n">
        <v>29.5</v>
      </c>
      <c r="L8" t="n">
        <v>20.97103903782982</v>
      </c>
      <c r="M8" t="n">
        <v>20.97103903782982</v>
      </c>
    </row>
    <row r="9">
      <c r="A9" s="8" t="n">
        <v>44409</v>
      </c>
      <c r="H9" t="n">
        <v>29.5</v>
      </c>
      <c r="I9" t="n">
        <v>29.5</v>
      </c>
      <c r="J9" t="n">
        <v>29.5</v>
      </c>
      <c r="K9" t="n">
        <v>29.5</v>
      </c>
      <c r="L9" t="n">
        <v>20.97103903782982</v>
      </c>
      <c r="M9" t="n">
        <v>20.97103903782982</v>
      </c>
    </row>
    <row r="10">
      <c r="A10" s="8" t="n">
        <v>44440</v>
      </c>
      <c r="H10" t="n">
        <v>29.5</v>
      </c>
      <c r="I10" t="n">
        <v>29.5</v>
      </c>
      <c r="J10" t="n">
        <v>29.5</v>
      </c>
      <c r="K10" t="n">
        <v>29.5</v>
      </c>
      <c r="L10" t="n">
        <v>20.97103903782982</v>
      </c>
      <c r="M10" t="n">
        <v>20.97103903782982</v>
      </c>
    </row>
    <row r="11">
      <c r="A11" s="8" t="n">
        <v>44470</v>
      </c>
      <c r="H11" t="n">
        <v>29.5</v>
      </c>
      <c r="I11" t="n">
        <v>29.5</v>
      </c>
      <c r="J11" t="n">
        <v>29.5</v>
      </c>
      <c r="K11" t="n">
        <v>29.5</v>
      </c>
      <c r="L11" t="n">
        <v>20.97103903782982</v>
      </c>
      <c r="M11" t="n">
        <v>20.97103903782982</v>
      </c>
    </row>
    <row r="12">
      <c r="A12" s="8" t="n">
        <v>44501</v>
      </c>
      <c r="H12" t="n">
        <v>29.5</v>
      </c>
      <c r="I12" t="n">
        <v>29.5</v>
      </c>
      <c r="J12" t="n">
        <v>29.5</v>
      </c>
      <c r="K12" t="n">
        <v>29.5</v>
      </c>
      <c r="L12" t="n">
        <v>20.97103903782982</v>
      </c>
      <c r="M12" t="n">
        <v>20.97103903782982</v>
      </c>
    </row>
    <row r="13">
      <c r="A13" s="8" t="n">
        <v>44531</v>
      </c>
      <c r="H13" t="n">
        <v>29.5</v>
      </c>
      <c r="I13" t="n">
        <v>29.5</v>
      </c>
      <c r="J13" t="n">
        <v>29.5</v>
      </c>
      <c r="K13" t="n">
        <v>29.5</v>
      </c>
      <c r="L13" t="n">
        <v>20.97103903782982</v>
      </c>
      <c r="M13" t="n">
        <v>20.97103903782982</v>
      </c>
    </row>
    <row r="14">
      <c r="A14" s="8" t="n">
        <v>44562</v>
      </c>
      <c r="H14" t="n">
        <v>29.5</v>
      </c>
      <c r="I14" t="n">
        <v>29.5</v>
      </c>
      <c r="J14" t="n">
        <v>29.5</v>
      </c>
      <c r="K14" t="n">
        <v>29.5</v>
      </c>
      <c r="L14" t="n">
        <v>20.97103903782982</v>
      </c>
      <c r="M14" t="n">
        <v>20.97103903782982</v>
      </c>
    </row>
    <row r="15">
      <c r="A15" s="8" t="n">
        <v>44593</v>
      </c>
      <c r="H15" t="n">
        <v>29.5</v>
      </c>
      <c r="I15" t="n">
        <v>29.5</v>
      </c>
      <c r="J15" t="n">
        <v>29.5</v>
      </c>
      <c r="K15" t="n">
        <v>29.5</v>
      </c>
      <c r="L15" t="n">
        <v>20.97103903782982</v>
      </c>
      <c r="M15" t="n">
        <v>20.97103903782982</v>
      </c>
    </row>
    <row r="16">
      <c r="A16" s="8" t="n">
        <v>44621</v>
      </c>
      <c r="H16" t="n">
        <v>29.5</v>
      </c>
      <c r="I16" t="n">
        <v>29.5</v>
      </c>
      <c r="J16" t="n">
        <v>29.5</v>
      </c>
      <c r="K16" t="n">
        <v>29.5</v>
      </c>
      <c r="L16" t="n">
        <v>20.97103903782982</v>
      </c>
      <c r="M16" t="n">
        <v>20.97103903782982</v>
      </c>
    </row>
    <row r="17">
      <c r="A17" s="8" t="n">
        <v>44652</v>
      </c>
      <c r="H17" t="n">
        <v>29.5</v>
      </c>
      <c r="I17" t="n">
        <v>29.5</v>
      </c>
      <c r="J17" t="n">
        <v>29.5</v>
      </c>
      <c r="K17" t="n">
        <v>29.5</v>
      </c>
      <c r="L17" t="n">
        <v>20.97103903782982</v>
      </c>
      <c r="M17" t="n">
        <v>20.97103903782982</v>
      </c>
    </row>
    <row r="18">
      <c r="A18" s="8" t="n">
        <v>44682</v>
      </c>
      <c r="H18" t="n">
        <v>29.5</v>
      </c>
      <c r="I18" t="n">
        <v>29.5</v>
      </c>
      <c r="J18" t="n">
        <v>29.5</v>
      </c>
      <c r="K18" t="n">
        <v>29.5</v>
      </c>
      <c r="L18" t="n">
        <v>20.97103903782982</v>
      </c>
      <c r="M18" t="n">
        <v>20.97103903782982</v>
      </c>
    </row>
    <row r="19">
      <c r="A19" s="8" t="n">
        <v>44713</v>
      </c>
      <c r="H19" t="n">
        <v>29.5</v>
      </c>
      <c r="I19" t="n">
        <v>29.5</v>
      </c>
      <c r="J19" t="n">
        <v>29.5</v>
      </c>
      <c r="K19" t="n">
        <v>29.5</v>
      </c>
      <c r="L19" t="n">
        <v>20.97103903782982</v>
      </c>
      <c r="M19" t="n">
        <v>20.97103903782982</v>
      </c>
    </row>
    <row r="20">
      <c r="A20" s="8" t="n">
        <v>44743</v>
      </c>
      <c r="H20" t="n">
        <v>29.5</v>
      </c>
      <c r="I20" t="n">
        <v>29.5</v>
      </c>
      <c r="J20" t="n">
        <v>29.5</v>
      </c>
      <c r="K20" t="n">
        <v>29.5</v>
      </c>
      <c r="L20" t="n">
        <v>20.97103903782982</v>
      </c>
      <c r="M20" t="n">
        <v>20.97103903782982</v>
      </c>
    </row>
    <row r="21">
      <c r="A21" s="8" t="n">
        <v>44774</v>
      </c>
      <c r="H21" t="n">
        <v>29.5</v>
      </c>
      <c r="I21" t="n">
        <v>29.5</v>
      </c>
      <c r="J21" t="n">
        <v>29.5</v>
      </c>
      <c r="K21" t="n">
        <v>29.5</v>
      </c>
      <c r="L21" t="n">
        <v>20.97103903782982</v>
      </c>
      <c r="M21" t="n">
        <v>20.97103903782982</v>
      </c>
    </row>
    <row r="22">
      <c r="A22" s="8" t="n">
        <v>44805</v>
      </c>
      <c r="H22" t="n">
        <v>29.5</v>
      </c>
      <c r="I22" t="n">
        <v>29.5</v>
      </c>
      <c r="J22" t="n">
        <v>29.5</v>
      </c>
      <c r="K22" t="n">
        <v>29.5</v>
      </c>
      <c r="L22" t="n">
        <v>20.97103903782982</v>
      </c>
      <c r="M22" t="n">
        <v>20.97103903782982</v>
      </c>
    </row>
    <row r="23">
      <c r="A23" s="8" t="n">
        <v>44835</v>
      </c>
      <c r="H23" t="n">
        <v>29.5</v>
      </c>
      <c r="I23" t="n">
        <v>29.5</v>
      </c>
      <c r="J23" t="n">
        <v>29.5</v>
      </c>
      <c r="K23" t="n">
        <v>29.5</v>
      </c>
      <c r="L23" t="n">
        <v>20.97103903782982</v>
      </c>
      <c r="M23" t="n">
        <v>20.97103903782982</v>
      </c>
    </row>
    <row r="24">
      <c r="A24" s="8" t="n">
        <v>44866</v>
      </c>
      <c r="H24" t="n">
        <v>29.5</v>
      </c>
      <c r="I24" t="n">
        <v>29.5</v>
      </c>
      <c r="J24" t="n">
        <v>29.5</v>
      </c>
      <c r="K24" t="n">
        <v>29.5</v>
      </c>
      <c r="L24" t="n">
        <v>20.97103903782982</v>
      </c>
      <c r="M24" t="n">
        <v>20.97103903782982</v>
      </c>
    </row>
    <row r="25">
      <c r="A25" s="8" t="n">
        <v>44896</v>
      </c>
      <c r="H25" t="n">
        <v>29.5</v>
      </c>
      <c r="I25" t="n">
        <v>29.5</v>
      </c>
      <c r="J25" t="n">
        <v>29.5</v>
      </c>
      <c r="K25" t="n">
        <v>29.5</v>
      </c>
      <c r="L25" t="n">
        <v>20.97103903782982</v>
      </c>
      <c r="M25" t="n">
        <v>20.97103903782982</v>
      </c>
    </row>
    <row r="26">
      <c r="A26" s="8" t="n">
        <v>44927</v>
      </c>
      <c r="H26" t="n">
        <v>29.5</v>
      </c>
      <c r="I26" t="n">
        <v>29.5</v>
      </c>
      <c r="J26" t="n">
        <v>29.5</v>
      </c>
      <c r="K26" t="n">
        <v>29.5</v>
      </c>
      <c r="L26" t="n">
        <v>20.97103903782982</v>
      </c>
      <c r="M26" t="n">
        <v>20.97103903782982</v>
      </c>
    </row>
    <row r="27">
      <c r="A27" s="8" t="n">
        <v>44958</v>
      </c>
      <c r="H27" t="n">
        <v>29.5</v>
      </c>
      <c r="I27" t="n">
        <v>29.5</v>
      </c>
      <c r="J27" t="n">
        <v>29.5</v>
      </c>
      <c r="K27" t="n">
        <v>29.5</v>
      </c>
      <c r="L27" t="n">
        <v>20.97103903782982</v>
      </c>
      <c r="M27" t="n">
        <v>20.97103903782982</v>
      </c>
    </row>
    <row r="28">
      <c r="A28" s="8" t="n">
        <v>44986</v>
      </c>
      <c r="H28" t="n">
        <v>29.5</v>
      </c>
      <c r="I28" t="n">
        <v>29.5</v>
      </c>
      <c r="J28" t="n">
        <v>29.5</v>
      </c>
      <c r="K28" t="n">
        <v>29.5</v>
      </c>
      <c r="L28" t="n">
        <v>20.97103903782982</v>
      </c>
      <c r="M28" t="n">
        <v>20.97103903782982</v>
      </c>
    </row>
    <row r="29">
      <c r="A29" s="8" t="n">
        <v>45017</v>
      </c>
      <c r="H29" t="n">
        <v>29.5</v>
      </c>
      <c r="I29" t="n">
        <v>29.5</v>
      </c>
      <c r="J29" t="n">
        <v>29.5</v>
      </c>
      <c r="K29" t="n">
        <v>29.5</v>
      </c>
      <c r="L29" t="n">
        <v>20.97103903782982</v>
      </c>
      <c r="M29" t="n">
        <v>20.97103903782982</v>
      </c>
    </row>
    <row r="30">
      <c r="A30" s="8" t="n">
        <v>45047</v>
      </c>
      <c r="H30" t="n">
        <v>29.5</v>
      </c>
      <c r="I30" t="n">
        <v>29.5</v>
      </c>
      <c r="J30" t="n">
        <v>29.5</v>
      </c>
      <c r="K30" t="n">
        <v>29.5</v>
      </c>
      <c r="L30" t="n">
        <v>20.97103903782982</v>
      </c>
      <c r="M30" t="n">
        <v>20.97103903782982</v>
      </c>
    </row>
    <row r="31">
      <c r="A31" s="8" t="n">
        <v>45078</v>
      </c>
      <c r="H31" t="n">
        <v>29.5</v>
      </c>
      <c r="I31" t="n">
        <v>29.5</v>
      </c>
      <c r="J31" t="n">
        <v>29.5</v>
      </c>
      <c r="K31" t="n">
        <v>29.5</v>
      </c>
      <c r="L31" t="n">
        <v>20.97103903782982</v>
      </c>
      <c r="M31" t="n">
        <v>20.97103903782982</v>
      </c>
    </row>
    <row r="32">
      <c r="A32" s="8" t="n">
        <v>45108</v>
      </c>
      <c r="H32" t="n">
        <v>29.5</v>
      </c>
      <c r="I32" t="n">
        <v>29.5</v>
      </c>
      <c r="J32" t="n">
        <v>29.5</v>
      </c>
      <c r="K32" t="n">
        <v>29.5</v>
      </c>
      <c r="L32" t="n">
        <v>20.97103903782982</v>
      </c>
      <c r="M32" t="n">
        <v>20.97103903782982</v>
      </c>
    </row>
    <row r="33">
      <c r="A33" s="8" t="n">
        <v>45139</v>
      </c>
      <c r="H33" t="n">
        <v>29.5</v>
      </c>
      <c r="I33" t="n">
        <v>29.5</v>
      </c>
      <c r="J33" t="n">
        <v>29.5</v>
      </c>
      <c r="K33" t="n">
        <v>29.5</v>
      </c>
      <c r="L33" t="n">
        <v>20.97103903782982</v>
      </c>
      <c r="M33" t="n">
        <v>20.97103903782982</v>
      </c>
    </row>
    <row r="34">
      <c r="A34" s="8" t="n">
        <v>45170</v>
      </c>
      <c r="H34" t="n">
        <v>29.5</v>
      </c>
      <c r="I34" t="n">
        <v>29.5</v>
      </c>
      <c r="J34" t="n">
        <v>29.5</v>
      </c>
      <c r="K34" t="n">
        <v>29.5</v>
      </c>
      <c r="L34" t="n">
        <v>20.97103903782982</v>
      </c>
      <c r="M34" t="n">
        <v>20.97103903782982</v>
      </c>
    </row>
    <row r="35">
      <c r="A35" s="8" t="n">
        <v>45200</v>
      </c>
      <c r="H35" t="n">
        <v>29.5</v>
      </c>
      <c r="I35" t="n">
        <v>29.5</v>
      </c>
      <c r="J35" t="n">
        <v>29.5</v>
      </c>
      <c r="K35" t="n">
        <v>29.5</v>
      </c>
      <c r="L35" t="n">
        <v>20.97103903782982</v>
      </c>
      <c r="M35" t="n">
        <v>20.97103903782982</v>
      </c>
    </row>
    <row r="36">
      <c r="A36" s="8" t="n">
        <v>45231</v>
      </c>
      <c r="H36" t="n">
        <v>29.5</v>
      </c>
      <c r="I36" t="n">
        <v>29.5</v>
      </c>
      <c r="J36" t="n">
        <v>29.5</v>
      </c>
      <c r="K36" t="n">
        <v>29.5</v>
      </c>
      <c r="L36" t="n">
        <v>20.97103903782982</v>
      </c>
      <c r="M36" t="n">
        <v>20.97103903782982</v>
      </c>
    </row>
    <row r="37">
      <c r="A37" s="8" t="n">
        <v>45261</v>
      </c>
      <c r="H37" t="n">
        <v>29.5</v>
      </c>
      <c r="I37" t="n">
        <v>29.5</v>
      </c>
      <c r="J37" t="n">
        <v>29.5</v>
      </c>
      <c r="K37" t="n">
        <v>29.5</v>
      </c>
      <c r="L37" t="n">
        <v>20.97103903782982</v>
      </c>
      <c r="M37" t="n">
        <v>20.97103903782982</v>
      </c>
    </row>
    <row r="38">
      <c r="A38" s="8" t="n">
        <v>45292</v>
      </c>
      <c r="B38" t="n">
        <v>22.60070695</v>
      </c>
      <c r="C38" t="n">
        <v>6.810729191</v>
      </c>
      <c r="D38" t="n">
        <v>15.5129487</v>
      </c>
      <c r="E38" t="n">
        <v>22.60070695</v>
      </c>
      <c r="F38" t="n">
        <v>6.810729191</v>
      </c>
      <c r="G38" t="n">
        <v>15.5129487</v>
      </c>
      <c r="H38" t="n">
        <v>29.5</v>
      </c>
      <c r="I38" t="n">
        <v>22.60070695</v>
      </c>
      <c r="J38" t="n">
        <v>29.5</v>
      </c>
      <c r="K38" t="n">
        <v>22.60070695</v>
      </c>
      <c r="L38" t="n">
        <v>16.06645110952548</v>
      </c>
      <c r="M38" t="n">
        <v>16.06645110952548</v>
      </c>
      <c r="N38" t="n">
        <v>5.696034605804511</v>
      </c>
      <c r="O38" t="n">
        <v>3.892195247611782</v>
      </c>
      <c r="P38" t="n">
        <v>10.81033187151268</v>
      </c>
      <c r="Q38" t="n">
        <v>14.70252711912446</v>
      </c>
    </row>
    <row r="39">
      <c r="A39" s="8" t="n">
        <v>45323</v>
      </c>
      <c r="B39" t="n">
        <v>23.6885298</v>
      </c>
      <c r="C39" t="n">
        <v>7.088059058</v>
      </c>
      <c r="D39" t="n">
        <v>15.9884658</v>
      </c>
      <c r="E39" t="n">
        <v>23.6885298</v>
      </c>
      <c r="F39" t="n">
        <v>7.088059058</v>
      </c>
      <c r="G39" t="n">
        <v>15.9884658</v>
      </c>
      <c r="H39" t="n">
        <v>29.5</v>
      </c>
      <c r="I39" t="n">
        <v>23.6885298</v>
      </c>
      <c r="J39" t="n">
        <v>29.5</v>
      </c>
      <c r="K39" t="n">
        <v>23.6885298</v>
      </c>
      <c r="L39" t="n">
        <v>16.83976553168119</v>
      </c>
      <c r="M39" t="n">
        <v>16.83976553168119</v>
      </c>
      <c r="N39" t="n">
        <v>5.92797460449696</v>
      </c>
      <c r="O39" t="n">
        <v>4.011502378227004</v>
      </c>
      <c r="P39" t="n">
        <v>11.14170005695503</v>
      </c>
      <c r="Q39" t="n">
        <v>15.15320243518203</v>
      </c>
    </row>
    <row r="40">
      <c r="A40" s="8" t="n">
        <v>45352</v>
      </c>
      <c r="B40" t="n">
        <v>24.05583491</v>
      </c>
      <c r="C40" t="n">
        <v>6.99178739</v>
      </c>
      <c r="D40" t="n">
        <v>15.37384573</v>
      </c>
      <c r="E40" t="n">
        <v>24.05583491</v>
      </c>
      <c r="F40" t="n">
        <v>6.99178739</v>
      </c>
      <c r="G40" t="n">
        <v>15.37384573</v>
      </c>
      <c r="H40" t="n">
        <v>29.5</v>
      </c>
      <c r="I40" t="n">
        <v>24.05583491</v>
      </c>
      <c r="J40" t="n">
        <v>29.5</v>
      </c>
      <c r="K40" t="n">
        <v>24.05583491</v>
      </c>
      <c r="L40" t="n">
        <v>17.10087637237964</v>
      </c>
      <c r="M40" t="n">
        <v>17.10087637237964</v>
      </c>
      <c r="N40" t="n">
        <v>5.847459473575126</v>
      </c>
      <c r="O40" t="n">
        <v>3.857294344551186</v>
      </c>
      <c r="P40" t="n">
        <v>10.71339676916085</v>
      </c>
      <c r="Q40" t="n">
        <v>14.57069111371204</v>
      </c>
    </row>
    <row r="41">
      <c r="A41" s="8" t="n">
        <v>45383</v>
      </c>
      <c r="B41" t="n">
        <v>24.10951118</v>
      </c>
      <c r="C41" t="n">
        <v>6.774088774</v>
      </c>
      <c r="D41" t="n">
        <v>14.5398331</v>
      </c>
      <c r="E41" t="n">
        <v>24.10951118</v>
      </c>
      <c r="F41" t="n">
        <v>6.774088774</v>
      </c>
      <c r="G41" t="n">
        <v>14.5398331</v>
      </c>
      <c r="H41" t="n">
        <v>29.5</v>
      </c>
      <c r="I41" t="n">
        <v>24.10951118</v>
      </c>
      <c r="J41" t="n">
        <v>29.5</v>
      </c>
      <c r="K41" t="n">
        <v>24.10951118</v>
      </c>
      <c r="L41" t="n">
        <v>17.13903390300931</v>
      </c>
      <c r="M41" t="n">
        <v>17.13903390300931</v>
      </c>
      <c r="N41" t="n">
        <v>5.665391031915404</v>
      </c>
      <c r="O41" t="n">
        <v>3.648040768218905</v>
      </c>
      <c r="P41" t="n">
        <v>10.13220788691224</v>
      </c>
      <c r="Q41" t="n">
        <v>13.78024865513114</v>
      </c>
    </row>
    <row r="42">
      <c r="A42" s="8" t="n">
        <v>45413</v>
      </c>
      <c r="B42" t="n">
        <v>24.29318</v>
      </c>
      <c r="C42" t="n">
        <v>7.263480583</v>
      </c>
      <c r="D42" t="n">
        <v>13.99121042</v>
      </c>
      <c r="E42" t="n">
        <v>24.29318</v>
      </c>
      <c r="F42" t="n">
        <v>7.263480583</v>
      </c>
      <c r="G42" t="n">
        <v>13.99121042</v>
      </c>
      <c r="H42" t="n">
        <v>29.5</v>
      </c>
      <c r="I42" t="n">
        <v>24.29318</v>
      </c>
      <c r="J42" t="n">
        <v>29.5</v>
      </c>
      <c r="K42" t="n">
        <v>24.29318</v>
      </c>
      <c r="L42" t="n">
        <v>17.26960088586531</v>
      </c>
      <c r="M42" t="n">
        <v>17.26960088586531</v>
      </c>
      <c r="N42" t="n">
        <v>6.074685338249727</v>
      </c>
      <c r="O42" t="n">
        <v>3.510391464458361</v>
      </c>
      <c r="P42" t="n">
        <v>9.749895448591682</v>
      </c>
      <c r="Q42" t="n">
        <v>13.26028691305004</v>
      </c>
    </row>
    <row r="43">
      <c r="A43" s="8" t="n">
        <v>45444</v>
      </c>
      <c r="B43" t="n">
        <v>24.97049957</v>
      </c>
      <c r="C43" t="n">
        <v>6.956873196</v>
      </c>
      <c r="D43" t="n">
        <v>13.97312853</v>
      </c>
      <c r="E43" t="n">
        <v>24.97049957</v>
      </c>
      <c r="F43" t="n">
        <v>6.956873196</v>
      </c>
      <c r="G43" t="n">
        <v>13.97312853</v>
      </c>
      <c r="H43" t="n">
        <v>29.5</v>
      </c>
      <c r="I43" t="n">
        <v>24.97049957</v>
      </c>
      <c r="J43" t="n">
        <v>29.5</v>
      </c>
      <c r="K43" t="n">
        <v>24.97049957</v>
      </c>
      <c r="L43" t="n">
        <v>17.75109563649433</v>
      </c>
      <c r="M43" t="n">
        <v>17.75109563649433</v>
      </c>
      <c r="N43" t="n">
        <v>5.818259596193337</v>
      </c>
      <c r="O43" t="n">
        <v>3.505854722431629</v>
      </c>
      <c r="P43" t="n">
        <v>9.737294927856112</v>
      </c>
      <c r="Q43" t="n">
        <v>13.24314965028774</v>
      </c>
    </row>
    <row r="44">
      <c r="A44" s="8" t="n">
        <v>45474</v>
      </c>
      <c r="B44" t="n">
        <v>25.29604376</v>
      </c>
      <c r="C44" t="n">
        <v>6.975166216</v>
      </c>
      <c r="D44" t="n">
        <v>14.36683294</v>
      </c>
      <c r="E44" t="n">
        <v>25.29604376</v>
      </c>
      <c r="F44" t="n">
        <v>6.975166216</v>
      </c>
      <c r="G44" t="n">
        <v>14.36683294</v>
      </c>
      <c r="H44" t="n">
        <v>29.5</v>
      </c>
      <c r="I44" t="n">
        <v>25.29604376</v>
      </c>
      <c r="J44" t="n">
        <v>29.5</v>
      </c>
      <c r="K44" t="n">
        <v>25.29604376</v>
      </c>
      <c r="L44" t="n">
        <v>17.98251936249531</v>
      </c>
      <c r="M44" t="n">
        <v>17.98251936249531</v>
      </c>
      <c r="N44" t="n">
        <v>5.833558644509979</v>
      </c>
      <c r="O44" t="n">
        <v>3.604635068012595</v>
      </c>
      <c r="P44" t="n">
        <v>10.01165123584662</v>
      </c>
      <c r="Q44" t="n">
        <v>13.61628630385921</v>
      </c>
    </row>
    <row r="45">
      <c r="A45" s="8" t="n">
        <v>45505</v>
      </c>
      <c r="B45" t="n">
        <v>25.74603458</v>
      </c>
      <c r="C45" t="n">
        <v>6.904345081</v>
      </c>
      <c r="D45" t="n">
        <v>14.31622364</v>
      </c>
      <c r="E45" t="n">
        <v>25.74603458</v>
      </c>
      <c r="F45" t="n">
        <v>6.904345081</v>
      </c>
      <c r="G45" t="n">
        <v>14.31622364</v>
      </c>
      <c r="H45" t="n">
        <v>29.5</v>
      </c>
      <c r="I45" t="n">
        <v>25.74603458</v>
      </c>
      <c r="J45" t="n">
        <v>29.5</v>
      </c>
      <c r="K45" t="n">
        <v>25.74603458</v>
      </c>
      <c r="L45" t="n">
        <v>18.30241004225412</v>
      </c>
      <c r="M45" t="n">
        <v>18.30241004225412</v>
      </c>
      <c r="N45" t="n">
        <v>5.774328623102664</v>
      </c>
      <c r="O45" t="n">
        <v>3.591937206325928</v>
      </c>
      <c r="P45" t="n">
        <v>9.976383709384356</v>
      </c>
      <c r="Q45" t="n">
        <v>13.56832091571028</v>
      </c>
    </row>
    <row r="46">
      <c r="A46" s="8" t="n">
        <v>45536</v>
      </c>
      <c r="B46" t="n">
        <v>25.70119624</v>
      </c>
      <c r="C46" t="n">
        <v>6.835375797</v>
      </c>
      <c r="D46" t="n">
        <v>13.88182986</v>
      </c>
      <c r="E46" t="n">
        <v>25.70119624</v>
      </c>
      <c r="F46" t="n">
        <v>6.835375797</v>
      </c>
      <c r="G46" t="n">
        <v>13.88182986</v>
      </c>
      <c r="H46" t="n">
        <v>29.5</v>
      </c>
      <c r="I46" t="n">
        <v>25.70119624</v>
      </c>
      <c r="J46" t="n">
        <v>29.5</v>
      </c>
      <c r="K46" t="n">
        <v>25.70119624</v>
      </c>
      <c r="L46" t="n">
        <v>18.27053524298187</v>
      </c>
      <c r="M46" t="n">
        <v>18.27053524298187</v>
      </c>
      <c r="N46" t="n">
        <v>5.716647364989996</v>
      </c>
      <c r="O46" t="n">
        <v>3.482947907205245</v>
      </c>
      <c r="P46" t="n">
        <v>9.673672663564879</v>
      </c>
      <c r="Q46" t="n">
        <v>13.15662057077012</v>
      </c>
    </row>
    <row r="47">
      <c r="A47" s="8" t="n">
        <v>45566</v>
      </c>
      <c r="B47" t="n">
        <v>26.28651631</v>
      </c>
      <c r="C47" t="n">
        <v>7.121950961</v>
      </c>
      <c r="D47" t="n">
        <v>13.86200819</v>
      </c>
      <c r="E47" t="n">
        <v>26.28651631</v>
      </c>
      <c r="F47" t="n">
        <v>7.121950961</v>
      </c>
      <c r="G47" t="n">
        <v>13.86200819</v>
      </c>
      <c r="H47" t="n">
        <v>29.5</v>
      </c>
      <c r="I47" t="n">
        <v>26.28651631</v>
      </c>
      <c r="J47" t="n">
        <v>29.5</v>
      </c>
      <c r="K47" t="n">
        <v>26.28651631</v>
      </c>
      <c r="L47" t="n">
        <v>18.68662914256137</v>
      </c>
      <c r="M47" t="n">
        <v>18.68662914256137</v>
      </c>
      <c r="N47" t="n">
        <v>5.956319506625747</v>
      </c>
      <c r="O47" t="n">
        <v>3.477974654778146</v>
      </c>
      <c r="P47" t="n">
        <v>9.659859762156419</v>
      </c>
      <c r="Q47" t="n">
        <v>13.13783441693456</v>
      </c>
    </row>
    <row r="48">
      <c r="A48" s="8" t="n">
        <v>45597</v>
      </c>
      <c r="B48" t="n">
        <v>26.12051318</v>
      </c>
      <c r="C48" t="n">
        <v>7.036211586</v>
      </c>
      <c r="D48" t="n">
        <v>13.96993097</v>
      </c>
      <c r="E48" t="n">
        <v>26.12051318</v>
      </c>
      <c r="F48" t="n">
        <v>7.036211586</v>
      </c>
      <c r="G48" t="n">
        <v>13.96993097</v>
      </c>
      <c r="H48" t="n">
        <v>29.5</v>
      </c>
      <c r="I48" t="n">
        <v>26.12051318</v>
      </c>
      <c r="J48" t="n">
        <v>29.5</v>
      </c>
      <c r="K48" t="n">
        <v>26.12051318</v>
      </c>
      <c r="L48" t="n">
        <v>18.56862039274333</v>
      </c>
      <c r="M48" t="n">
        <v>18.56862039274333</v>
      </c>
      <c r="N48" t="n">
        <v>5.884612875311525</v>
      </c>
      <c r="O48" t="n">
        <v>3.505052455365796</v>
      </c>
      <c r="P48" t="n">
        <v>9.735066680638413</v>
      </c>
      <c r="Q48" t="n">
        <v>13.24011913600421</v>
      </c>
    </row>
    <row r="49">
      <c r="A49" s="8" t="n">
        <v>45627</v>
      </c>
      <c r="B49" t="n">
        <v>26.52891686</v>
      </c>
      <c r="C49" t="n">
        <v>7.015674033</v>
      </c>
      <c r="D49" t="n">
        <v>13.96652865</v>
      </c>
      <c r="E49" t="n">
        <v>26.52891686</v>
      </c>
      <c r="F49" t="n">
        <v>7.015674033</v>
      </c>
      <c r="G49" t="n">
        <v>13.96652865</v>
      </c>
      <c r="H49" t="n">
        <v>29.5</v>
      </c>
      <c r="I49" t="n">
        <v>26.52891686</v>
      </c>
      <c r="J49" t="n">
        <v>29.5</v>
      </c>
      <c r="K49" t="n">
        <v>26.52891686</v>
      </c>
      <c r="L49" t="n">
        <v>18.85894749499667</v>
      </c>
      <c r="M49" t="n">
        <v>18.85894749499667</v>
      </c>
      <c r="N49" t="n">
        <v>5.86743665095641</v>
      </c>
      <c r="O49" t="n">
        <v>3.504198814063234</v>
      </c>
      <c r="P49" t="n">
        <v>9.732695744651688</v>
      </c>
      <c r="Q49" t="n">
        <v>13.23689455871492</v>
      </c>
    </row>
    <row r="50">
      <c r="A50" s="8" t="n">
        <v>45658</v>
      </c>
      <c r="B50" t="n">
        <v>25.8628571</v>
      </c>
      <c r="C50" t="n">
        <v>6.869135746</v>
      </c>
      <c r="D50" t="n">
        <v>14.07609478</v>
      </c>
      <c r="E50" t="n">
        <v>25.8628571</v>
      </c>
      <c r="F50" t="n">
        <v>6.869135746</v>
      </c>
      <c r="G50" t="n">
        <v>14.07609478</v>
      </c>
      <c r="H50" t="n">
        <v>29.5</v>
      </c>
      <c r="I50" t="n">
        <v>25.8628571</v>
      </c>
      <c r="J50" t="n">
        <v>29.5</v>
      </c>
      <c r="K50" t="n">
        <v>25.8628571</v>
      </c>
      <c r="L50" t="n">
        <v>18.38545714826828</v>
      </c>
      <c r="M50" t="n">
        <v>18.38545714826828</v>
      </c>
      <c r="N50" t="n">
        <v>5.744881909691657</v>
      </c>
      <c r="O50" t="n">
        <v>3.531688930786512</v>
      </c>
      <c r="P50" t="n">
        <v>9.809047845730786</v>
      </c>
      <c r="Q50" t="n">
        <v>13.3407367765173</v>
      </c>
    </row>
    <row r="51">
      <c r="A51" s="8" t="n">
        <v>45689</v>
      </c>
      <c r="B51" t="n">
        <v>26.24216551</v>
      </c>
      <c r="C51" t="n">
        <v>7.125572643</v>
      </c>
      <c r="D51" t="n">
        <v>14.19904244</v>
      </c>
      <c r="E51" t="n">
        <v>26.24216551</v>
      </c>
      <c r="F51" t="n">
        <v>7.125572643</v>
      </c>
      <c r="G51" t="n">
        <v>14.19904244</v>
      </c>
      <c r="H51" t="n">
        <v>29.5</v>
      </c>
      <c r="I51" t="n">
        <v>26.24216551</v>
      </c>
      <c r="J51" t="n">
        <v>29.5</v>
      </c>
      <c r="K51" t="n">
        <v>26.24216551</v>
      </c>
      <c r="L51" t="n">
        <v>18.65510092703055</v>
      </c>
      <c r="M51" t="n">
        <v>18.65510092703055</v>
      </c>
      <c r="N51" t="n">
        <v>5.959348437218154</v>
      </c>
      <c r="O51" t="n">
        <v>3.562536470297616</v>
      </c>
      <c r="P51" t="n">
        <v>9.894724981208318</v>
      </c>
      <c r="Q51" t="n">
        <v>13.45726145150593</v>
      </c>
    </row>
    <row r="52">
      <c r="A52" s="8" t="n">
        <v>45717</v>
      </c>
      <c r="B52" t="n">
        <v>26.90011915</v>
      </c>
      <c r="C52" t="n">
        <v>7.119731392</v>
      </c>
      <c r="D52" t="n">
        <v>15.64172846</v>
      </c>
      <c r="E52" t="n">
        <v>26.90011915</v>
      </c>
      <c r="F52" t="n">
        <v>7.119731392</v>
      </c>
      <c r="G52" t="n">
        <v>15.64172846</v>
      </c>
      <c r="H52" t="n">
        <v>29.5</v>
      </c>
      <c r="I52" t="n">
        <v>26.90011915</v>
      </c>
      <c r="J52" t="n">
        <v>29.5</v>
      </c>
      <c r="K52" t="n">
        <v>26.90011915</v>
      </c>
      <c r="L52" t="n">
        <v>19.12282877345504</v>
      </c>
      <c r="M52" t="n">
        <v>19.12282877345504</v>
      </c>
      <c r="N52" t="n">
        <v>5.954463208793398</v>
      </c>
      <c r="O52" t="n">
        <v>3.924506059666525</v>
      </c>
      <c r="P52" t="n">
        <v>10.90007315609088</v>
      </c>
      <c r="Q52" t="n">
        <v>14.8245792157574</v>
      </c>
    </row>
    <row r="53">
      <c r="A53" s="8" t="n">
        <v>45748</v>
      </c>
      <c r="B53" t="n">
        <v>26.86271651</v>
      </c>
      <c r="C53" t="n">
        <v>7.283700321</v>
      </c>
      <c r="D53" t="n">
        <v>15.25938095</v>
      </c>
      <c r="E53" t="n">
        <v>26.86271651</v>
      </c>
      <c r="F53" t="n">
        <v>7.283700321</v>
      </c>
      <c r="G53" t="n">
        <v>15.25938095</v>
      </c>
      <c r="H53" t="n">
        <v>29.5</v>
      </c>
      <c r="I53" t="n">
        <v>26.86271651</v>
      </c>
      <c r="J53" t="n">
        <v>29.5</v>
      </c>
      <c r="K53" t="n">
        <v>26.86271651</v>
      </c>
      <c r="L53" t="n">
        <v>19.09623988452087</v>
      </c>
      <c r="M53" t="n">
        <v>19.09623988452087</v>
      </c>
      <c r="N53" t="n">
        <v>6.091595763571071</v>
      </c>
      <c r="O53" t="n">
        <v>3.828575157673779</v>
      </c>
      <c r="P53" t="n">
        <v>10.63363100165079</v>
      </c>
      <c r="Q53" t="n">
        <v>14.46220615932457</v>
      </c>
    </row>
    <row r="54">
      <c r="A54" s="8" t="n">
        <v>45778</v>
      </c>
      <c r="B54" t="n">
        <v>26.87354047</v>
      </c>
      <c r="C54" t="n">
        <v>7.334220824</v>
      </c>
      <c r="D54" t="n">
        <v>15.16893331</v>
      </c>
      <c r="E54" t="n">
        <v>26.87354047</v>
      </c>
      <c r="F54" t="n">
        <v>7.334220824</v>
      </c>
      <c r="G54" t="n">
        <v>15.16893331</v>
      </c>
      <c r="H54" t="n">
        <v>29.5</v>
      </c>
      <c r="I54" t="n">
        <v>26.87354047</v>
      </c>
      <c r="J54" t="n">
        <v>29.5</v>
      </c>
      <c r="K54" t="n">
        <v>26.87354047</v>
      </c>
      <c r="L54" t="n">
        <v>19.10393445020575</v>
      </c>
      <c r="M54" t="n">
        <v>19.10393445020575</v>
      </c>
      <c r="N54" t="n">
        <v>6.133847705370624</v>
      </c>
      <c r="O54" t="n">
        <v>3.805881865677932</v>
      </c>
      <c r="P54" t="n">
        <v>10.57060178494262</v>
      </c>
      <c r="Q54" t="n">
        <v>14.37648365062055</v>
      </c>
    </row>
    <row r="55">
      <c r="A55" s="8" t="n">
        <v>45809</v>
      </c>
      <c r="B55" t="n">
        <v>27.44288166</v>
      </c>
      <c r="C55" t="n">
        <v>7.488568094</v>
      </c>
      <c r="D55" t="n">
        <v>14.30370188</v>
      </c>
      <c r="E55" t="n">
        <v>27.44288166</v>
      </c>
      <c r="F55" t="n">
        <v>7.488568094</v>
      </c>
      <c r="G55" t="n">
        <v>14.30370188</v>
      </c>
      <c r="H55" t="n">
        <v>29.5</v>
      </c>
      <c r="I55" t="n">
        <v>27.44288166</v>
      </c>
      <c r="J55" t="n">
        <v>29.5</v>
      </c>
      <c r="K55" t="n">
        <v>27.44288166</v>
      </c>
      <c r="L55" t="n">
        <v>19.50866924075946</v>
      </c>
      <c r="M55" t="n">
        <v>19.50866924075946</v>
      </c>
      <c r="N55" t="n">
        <v>6.262933353408608</v>
      </c>
      <c r="O55" t="n">
        <v>3.58879549963262</v>
      </c>
      <c r="P55" t="n">
        <v>9.967657813113235</v>
      </c>
      <c r="Q55" t="n">
        <v>13.55645331274586</v>
      </c>
    </row>
    <row r="56">
      <c r="A56" s="8" t="n">
        <v>45839</v>
      </c>
      <c r="B56" t="n">
        <v>28.10213521</v>
      </c>
      <c r="C56" t="n">
        <v>7.505588408</v>
      </c>
      <c r="D56" t="n">
        <v>14.86413226</v>
      </c>
      <c r="E56" t="n">
        <v>28.10213521</v>
      </c>
      <c r="F56" t="n">
        <v>7.505588408</v>
      </c>
      <c r="G56" t="n">
        <v>14.86413226</v>
      </c>
      <c r="H56" t="n">
        <v>29.5</v>
      </c>
      <c r="I56" t="n">
        <v>28.10213521</v>
      </c>
      <c r="J56" t="n">
        <v>29.5</v>
      </c>
      <c r="K56" t="n">
        <v>28.10213521</v>
      </c>
      <c r="L56" t="n">
        <v>19.97732117068752</v>
      </c>
      <c r="M56" t="n">
        <v>19.97732117068752</v>
      </c>
      <c r="N56" t="n">
        <v>6.27716799625328</v>
      </c>
      <c r="O56" t="n">
        <v>3.729407352597315</v>
      </c>
      <c r="P56" t="n">
        <v>10.3581985488457</v>
      </c>
      <c r="Q56" t="n">
        <v>14.08760590144301</v>
      </c>
    </row>
    <row r="57">
      <c r="A57" s="8" t="n">
        <v>45870</v>
      </c>
      <c r="B57" t="n">
        <v>28.369864</v>
      </c>
      <c r="C57" t="n">
        <v>7.609295584</v>
      </c>
      <c r="D57" t="n">
        <v>15.26826744</v>
      </c>
      <c r="E57" t="n">
        <v>28.369864</v>
      </c>
      <c r="F57" t="n">
        <v>7.609295584</v>
      </c>
      <c r="G57" t="n">
        <v>15.26826744</v>
      </c>
      <c r="H57" t="n">
        <v>29.5</v>
      </c>
      <c r="I57" t="n">
        <v>28.369864</v>
      </c>
      <c r="J57" t="n">
        <v>29.5</v>
      </c>
      <c r="K57" t="n">
        <v>28.369864</v>
      </c>
      <c r="L57" t="n">
        <v>20.16764493023467</v>
      </c>
      <c r="M57" t="n">
        <v>20.16764493023467</v>
      </c>
      <c r="N57" t="n">
        <v>6.363901684644071</v>
      </c>
      <c r="O57" t="n">
        <v>3.830804775963302</v>
      </c>
      <c r="P57" t="n">
        <v>10.63982362872194</v>
      </c>
      <c r="Q57" t="n">
        <v>14.47062840468524</v>
      </c>
    </row>
    <row r="58">
      <c r="A58" s="8" t="n">
        <v>45901</v>
      </c>
      <c r="B58" t="n">
        <v>28.56749256</v>
      </c>
      <c r="C58" t="n">
        <v>7.623852551</v>
      </c>
      <c r="D58" t="n">
        <v>14.88950594</v>
      </c>
      <c r="E58" t="n">
        <v>28.56749256</v>
      </c>
      <c r="F58" t="n">
        <v>7.623852551</v>
      </c>
      <c r="G58" t="n">
        <v>14.88950594</v>
      </c>
      <c r="H58" t="n">
        <v>29.5</v>
      </c>
      <c r="I58" t="n">
        <v>28.56749256</v>
      </c>
      <c r="J58" t="n">
        <v>29.5</v>
      </c>
      <c r="K58" t="n">
        <v>28.56749256</v>
      </c>
      <c r="L58" t="n">
        <v>20.30813565046349</v>
      </c>
      <c r="M58" t="n">
        <v>20.30813565046349</v>
      </c>
      <c r="N58" t="n">
        <v>6.376076150176649</v>
      </c>
      <c r="O58" t="n">
        <v>3.735773603051713</v>
      </c>
      <c r="P58" t="n">
        <v>10.37588041622669</v>
      </c>
      <c r="Q58" t="n">
        <v>14.1116540192784</v>
      </c>
    </row>
    <row r="59">
      <c r="A59" s="8" t="n">
        <v>45931</v>
      </c>
      <c r="B59" t="n">
        <v>27.71589029</v>
      </c>
      <c r="C59" t="n">
        <v>7.688862829</v>
      </c>
      <c r="D59" t="n">
        <v>15.03678872</v>
      </c>
      <c r="E59" t="n">
        <v>27.71589029</v>
      </c>
      <c r="F59" t="n">
        <v>7.688862829</v>
      </c>
      <c r="G59" t="n">
        <v>15.03678872</v>
      </c>
      <c r="H59" t="n">
        <v>29.5</v>
      </c>
      <c r="I59" t="n">
        <v>27.71589029</v>
      </c>
      <c r="J59" t="n">
        <v>29.5</v>
      </c>
      <c r="K59" t="n">
        <v>27.71589029</v>
      </c>
      <c r="L59" t="n">
        <v>19.70274634711182</v>
      </c>
      <c r="M59" t="n">
        <v>19.70274634711182</v>
      </c>
      <c r="N59" t="n">
        <v>6.430446362651152</v>
      </c>
      <c r="O59" t="n">
        <v>3.772726818552971</v>
      </c>
      <c r="P59" t="n">
        <v>10.47851568960699</v>
      </c>
      <c r="Q59" t="n">
        <v>14.25124250815996</v>
      </c>
    </row>
    <row r="60">
      <c r="A60" s="8" t="n">
        <v>45962</v>
      </c>
      <c r="B60" t="n">
        <v>28.67203573</v>
      </c>
      <c r="C60" t="n">
        <v>7.809604348</v>
      </c>
      <c r="D60" t="n">
        <v>15.72971333</v>
      </c>
      <c r="E60" t="n">
        <v>28.67203573</v>
      </c>
      <c r="F60" t="n">
        <v>7.809604348</v>
      </c>
      <c r="G60" t="n">
        <v>15.72971333</v>
      </c>
      <c r="H60" t="n">
        <v>29.5</v>
      </c>
      <c r="I60" t="n">
        <v>28.67203573</v>
      </c>
      <c r="J60" t="n">
        <v>29.5</v>
      </c>
      <c r="K60" t="n">
        <v>28.67203573</v>
      </c>
      <c r="L60" t="n">
        <v>20.38245357925022</v>
      </c>
      <c r="M60" t="n">
        <v>20.38245357925022</v>
      </c>
      <c r="N60" t="n">
        <v>6.531426426796152</v>
      </c>
      <c r="O60" t="n">
        <v>3.946581443237912</v>
      </c>
      <c r="P60" t="n">
        <v>10.96138617031956</v>
      </c>
      <c r="Q60" t="n">
        <v>14.90796761355747</v>
      </c>
    </row>
    <row r="61">
      <c r="A61" s="8" t="n">
        <v>45992</v>
      </c>
      <c r="B61" t="n">
        <v>28.95910602</v>
      </c>
      <c r="C61" t="n">
        <v>7.805966912</v>
      </c>
      <c r="D61" t="n">
        <v>15.89689881</v>
      </c>
      <c r="E61" t="n">
        <v>28.95910602</v>
      </c>
      <c r="F61" t="n">
        <v>7.805966912</v>
      </c>
      <c r="G61" t="n">
        <v>15.89689881</v>
      </c>
      <c r="H61" t="n">
        <v>29.5</v>
      </c>
      <c r="I61" t="n">
        <v>28.95910602</v>
      </c>
      <c r="J61" t="n">
        <v>29.5</v>
      </c>
      <c r="K61" t="n">
        <v>28.95910602</v>
      </c>
      <c r="L61" t="n">
        <v>20.58652687613806</v>
      </c>
      <c r="M61" t="n">
        <v>20.58652687613806</v>
      </c>
      <c r="N61" t="n">
        <v>6.528384320620535</v>
      </c>
      <c r="O61" t="n">
        <v>3.988528241574562</v>
      </c>
      <c r="P61" t="n">
        <v>11.0778908115615</v>
      </c>
      <c r="Q61" t="n">
        <v>15.06641905313606</v>
      </c>
    </row>
    <row r="62">
      <c r="A62" s="8" t="n">
        <v>46023</v>
      </c>
      <c r="B62" t="n">
        <v>27.5530688</v>
      </c>
      <c r="C62" t="n">
        <v>7.681563919</v>
      </c>
      <c r="D62" t="n">
        <v>15.44565525</v>
      </c>
      <c r="E62" t="n">
        <v>27.5530688</v>
      </c>
      <c r="F62" t="n">
        <v>7.681563919</v>
      </c>
      <c r="G62" t="n">
        <v>15.44565525</v>
      </c>
      <c r="H62" t="n">
        <v>29.5</v>
      </c>
      <c r="I62" t="n">
        <v>27.5530688</v>
      </c>
      <c r="J62" t="n">
        <v>29.5</v>
      </c>
      <c r="K62" t="n">
        <v>27.5530688</v>
      </c>
      <c r="L62" t="n">
        <v>19.58699937006138</v>
      </c>
      <c r="M62" t="n">
        <v>19.58699937006138</v>
      </c>
      <c r="N62" t="n">
        <v>6.424342046537749</v>
      </c>
      <c r="O62" t="n">
        <v>3.875311336541709</v>
      </c>
      <c r="P62" t="n">
        <v>10.76343785146869</v>
      </c>
      <c r="Q62" t="n">
        <v>14.6387491880104</v>
      </c>
    </row>
    <row r="63">
      <c r="A63" s="8" t="n">
        <v>46054</v>
      </c>
      <c r="B63" t="n">
        <v>28.88916257</v>
      </c>
      <c r="C63" t="n">
        <v>7.666659921</v>
      </c>
      <c r="D63" t="n">
        <v>16.2069536</v>
      </c>
      <c r="E63" t="n">
        <v>28.88916257</v>
      </c>
      <c r="F63" t="n">
        <v>7.666659921</v>
      </c>
      <c r="G63" t="n">
        <v>16.2069536</v>
      </c>
      <c r="H63" t="n">
        <v>29.5</v>
      </c>
      <c r="I63" t="n">
        <v>28.88916257</v>
      </c>
      <c r="J63" t="n">
        <v>29.5</v>
      </c>
      <c r="K63" t="n">
        <v>28.88916257</v>
      </c>
      <c r="L63" t="n">
        <v>20.53680528900617</v>
      </c>
      <c r="M63" t="n">
        <v>20.53680528900617</v>
      </c>
      <c r="N63" t="n">
        <v>6.411877347679215</v>
      </c>
      <c r="O63" t="n">
        <v>4.066320916808333</v>
      </c>
      <c r="P63" t="n">
        <v>11.29395516161328</v>
      </c>
      <c r="Q63" t="n">
        <v>15.36027607842162</v>
      </c>
    </row>
    <row r="64">
      <c r="A64" s="8" t="n">
        <v>46082</v>
      </c>
      <c r="B64" t="n">
        <v>28.82263279</v>
      </c>
      <c r="C64" t="n">
        <v>7.816471617</v>
      </c>
      <c r="D64" t="n">
        <v>16.36455215</v>
      </c>
      <c r="E64" t="n">
        <v>28.82263279</v>
      </c>
      <c r="F64" t="n">
        <v>7.816471617</v>
      </c>
      <c r="G64" t="n">
        <v>16.36455215</v>
      </c>
      <c r="H64" t="n">
        <v>29.5</v>
      </c>
      <c r="I64" t="n">
        <v>28.82263279</v>
      </c>
      <c r="J64" t="n">
        <v>29.5</v>
      </c>
      <c r="K64" t="n">
        <v>28.82263279</v>
      </c>
      <c r="L64" t="n">
        <v>20.48951042074996</v>
      </c>
      <c r="M64" t="n">
        <v>20.48951042074996</v>
      </c>
      <c r="N64" t="n">
        <v>6.537169747485376</v>
      </c>
      <c r="O64" t="n">
        <v>4.10586235662116</v>
      </c>
      <c r="P64" t="n">
        <v>11.40377906813914</v>
      </c>
      <c r="Q64" t="n">
        <v>15.5096414247603</v>
      </c>
    </row>
    <row r="65">
      <c r="A65" s="8" t="n">
        <v>46113</v>
      </c>
      <c r="B65" t="n">
        <v>28.8747526</v>
      </c>
      <c r="C65" t="n">
        <v>7.87733337</v>
      </c>
      <c r="D65" t="n">
        <v>16.66743313</v>
      </c>
      <c r="E65" t="n">
        <v>28.8747526</v>
      </c>
      <c r="F65" t="n">
        <v>7.87733337</v>
      </c>
      <c r="G65" t="n">
        <v>16.66743313</v>
      </c>
      <c r="H65" t="n">
        <v>29.5</v>
      </c>
      <c r="I65" t="n">
        <v>28.8747526</v>
      </c>
      <c r="J65" t="n">
        <v>29.5</v>
      </c>
      <c r="K65" t="n">
        <v>28.8747526</v>
      </c>
      <c r="L65" t="n">
        <v>20.52656149092468</v>
      </c>
      <c r="M65" t="n">
        <v>20.52656149092468</v>
      </c>
      <c r="N65" t="n">
        <v>6.58807041341055</v>
      </c>
      <c r="O65" t="n">
        <v>4.181855124582031</v>
      </c>
      <c r="P65" t="n">
        <v>11.61484428692433</v>
      </c>
      <c r="Q65" t="n">
        <v>15.79669941150636</v>
      </c>
    </row>
    <row r="66">
      <c r="A66" s="8" t="n">
        <v>46143</v>
      </c>
      <c r="B66" t="n">
        <v>28.8487544</v>
      </c>
      <c r="C66" t="n">
        <v>7.814257683</v>
      </c>
      <c r="D66" t="n">
        <v>16.27373471</v>
      </c>
      <c r="E66" t="n">
        <v>28.8487544</v>
      </c>
      <c r="F66" t="n">
        <v>7.814257683</v>
      </c>
      <c r="G66" t="n">
        <v>16.27373471</v>
      </c>
      <c r="H66" t="n">
        <v>29.5</v>
      </c>
      <c r="I66" t="n">
        <v>28.8487544</v>
      </c>
      <c r="J66" t="n">
        <v>29.5</v>
      </c>
      <c r="K66" t="n">
        <v>28.8487544</v>
      </c>
      <c r="L66" t="n">
        <v>20.50807982085305</v>
      </c>
      <c r="M66" t="n">
        <v>20.50807982085305</v>
      </c>
      <c r="N66" t="n">
        <v>6.535318162387024</v>
      </c>
      <c r="O66" t="n">
        <v>4.083076281890683</v>
      </c>
      <c r="P66" t="n">
        <v>11.3404921531169</v>
      </c>
      <c r="Q66" t="n">
        <v>15.42356843500759</v>
      </c>
    </row>
    <row r="67">
      <c r="A67" s="8" t="n">
        <v>46174</v>
      </c>
      <c r="B67" t="n">
        <v>29.35056375</v>
      </c>
      <c r="C67" t="n">
        <v>7.921592685</v>
      </c>
      <c r="D67" t="n">
        <v>16.75236932</v>
      </c>
      <c r="E67" t="n">
        <v>29.35056375</v>
      </c>
      <c r="F67" t="n">
        <v>7.921592685</v>
      </c>
      <c r="G67" t="n">
        <v>16.75236932</v>
      </c>
      <c r="H67" t="n">
        <v>29.5</v>
      </c>
      <c r="I67" t="n">
        <v>29.35056375</v>
      </c>
      <c r="J67" t="n">
        <v>29.5</v>
      </c>
      <c r="K67" t="n">
        <v>29.35056375</v>
      </c>
      <c r="L67" t="n">
        <v>20.86480739605298</v>
      </c>
      <c r="M67" t="n">
        <v>20.86480739605298</v>
      </c>
      <c r="N67" t="n">
        <v>6.625085919797495</v>
      </c>
      <c r="O67" t="n">
        <v>4.203165595045215</v>
      </c>
      <c r="P67" t="n">
        <v>11.67403280224521</v>
      </c>
      <c r="Q67" t="n">
        <v>15.87719839729042</v>
      </c>
    </row>
    <row r="68">
      <c r="A68" s="8" t="n">
        <v>46204</v>
      </c>
      <c r="B68" t="n">
        <v>30.38478184</v>
      </c>
      <c r="C68" t="n">
        <v>8.12644457</v>
      </c>
      <c r="D68" t="n">
        <v>17.04579952</v>
      </c>
      <c r="E68" t="n">
        <v>30.38478184</v>
      </c>
      <c r="F68" t="n">
        <v>8.12644457</v>
      </c>
      <c r="G68" t="n">
        <v>17.04579952</v>
      </c>
      <c r="H68" t="n">
        <v>30.07</v>
      </c>
      <c r="I68" t="n">
        <v>30.07</v>
      </c>
      <c r="J68" t="n">
        <v>29.5</v>
      </c>
      <c r="K68" t="n">
        <v>29.5</v>
      </c>
      <c r="L68" t="n">
        <v>21.37624216500145</v>
      </c>
      <c r="M68" t="n">
        <v>20.97103903782982</v>
      </c>
      <c r="N68" t="n">
        <v>6.796410221983258</v>
      </c>
      <c r="O68" t="n">
        <v>4.276787164485833</v>
      </c>
      <c r="P68" t="n">
        <v>11.8785121636141</v>
      </c>
      <c r="Q68" t="n">
        <v>16.15529932809993</v>
      </c>
    </row>
    <row r="69">
      <c r="A69" s="8" t="n">
        <v>46235</v>
      </c>
      <c r="B69" t="n">
        <v>30.07051295</v>
      </c>
      <c r="C69" t="n">
        <v>8.059723625</v>
      </c>
      <c r="D69" t="n">
        <v>17.26022921</v>
      </c>
      <c r="E69" t="n">
        <v>30.07051295</v>
      </c>
      <c r="F69" t="n">
        <v>8.059723625</v>
      </c>
      <c r="G69" t="n">
        <v>17.26022921</v>
      </c>
      <c r="H69" t="n">
        <v>30.07</v>
      </c>
      <c r="I69" t="n">
        <v>30.07</v>
      </c>
      <c r="J69" t="n">
        <v>29.5</v>
      </c>
      <c r="K69" t="n">
        <v>29.5</v>
      </c>
      <c r="L69" t="n">
        <v>21.37624216500145</v>
      </c>
      <c r="M69" t="n">
        <v>20.97103903782982</v>
      </c>
      <c r="N69" t="n">
        <v>6.7406093229908</v>
      </c>
      <c r="O69" t="n">
        <v>4.330587524204992</v>
      </c>
      <c r="P69" t="n">
        <v>12.02793933937763</v>
      </c>
      <c r="Q69" t="n">
        <v>16.35852686358262</v>
      </c>
    </row>
    <row r="70">
      <c r="A70" s="8" t="n">
        <v>46266</v>
      </c>
      <c r="B70" t="n">
        <v>30.20514606</v>
      </c>
      <c r="C70" t="n">
        <v>8.069557972</v>
      </c>
      <c r="D70" t="n">
        <v>17.37152715</v>
      </c>
      <c r="E70" t="n">
        <v>30.20514606</v>
      </c>
      <c r="F70" t="n">
        <v>8.069557972</v>
      </c>
      <c r="G70" t="n">
        <v>17.37152715</v>
      </c>
      <c r="H70" t="n">
        <v>30.07</v>
      </c>
      <c r="I70" t="n">
        <v>30.07</v>
      </c>
      <c r="J70" t="n">
        <v>29.5</v>
      </c>
      <c r="K70" t="n">
        <v>29.5</v>
      </c>
      <c r="L70" t="n">
        <v>21.37624216500145</v>
      </c>
      <c r="M70" t="n">
        <v>20.97103903782982</v>
      </c>
      <c r="N70" t="n">
        <v>6.748834107630822</v>
      </c>
      <c r="O70" t="n">
        <v>4.358512151657474</v>
      </c>
      <c r="P70" t="n">
        <v>12.1054982671665</v>
      </c>
      <c r="Q70" t="n">
        <v>16.46401041882397</v>
      </c>
    </row>
    <row r="71">
      <c r="A71" s="8" t="n">
        <v>46296</v>
      </c>
      <c r="B71" t="n">
        <v>30.3323421</v>
      </c>
      <c r="C71" t="n">
        <v>8.088273467</v>
      </c>
      <c r="D71" t="n">
        <v>17.4393753</v>
      </c>
      <c r="E71" t="n">
        <v>30.3323421</v>
      </c>
      <c r="F71" t="n">
        <v>8.088273467</v>
      </c>
      <c r="G71" t="n">
        <v>17.4393753</v>
      </c>
      <c r="H71" t="n">
        <v>32.57</v>
      </c>
      <c r="I71" t="n">
        <v>30.3323421</v>
      </c>
      <c r="J71" t="n">
        <v>29.5</v>
      </c>
      <c r="K71" t="n">
        <v>29.5</v>
      </c>
      <c r="L71" t="n">
        <v>21.56273661992912</v>
      </c>
      <c r="M71" t="n">
        <v>20.97103903782982</v>
      </c>
      <c r="N71" t="n">
        <v>6.764486485547365</v>
      </c>
      <c r="O71" t="n">
        <v>4.375535236829493</v>
      </c>
      <c r="P71" t="n">
        <v>12.15277883468156</v>
      </c>
      <c r="Q71" t="n">
        <v>16.52831407151106</v>
      </c>
    </row>
    <row r="72">
      <c r="A72" s="8" t="n">
        <v>46327</v>
      </c>
      <c r="B72" t="n">
        <v>30.45355609</v>
      </c>
      <c r="C72" t="n">
        <v>8.116497249</v>
      </c>
      <c r="D72" t="n">
        <v>17.44898832</v>
      </c>
      <c r="E72" t="n">
        <v>30.45355609</v>
      </c>
      <c r="F72" t="n">
        <v>8.116497249</v>
      </c>
      <c r="G72" t="n">
        <v>17.44898832</v>
      </c>
      <c r="H72" t="n">
        <v>32.57</v>
      </c>
      <c r="I72" t="n">
        <v>30.45355609</v>
      </c>
      <c r="J72" t="n">
        <v>29.5</v>
      </c>
      <c r="K72" t="n">
        <v>29.5</v>
      </c>
      <c r="L72" t="n">
        <v>21.64890554590271</v>
      </c>
      <c r="M72" t="n">
        <v>20.97103903782982</v>
      </c>
      <c r="N72" t="n">
        <v>6.78809095350817</v>
      </c>
      <c r="O72" t="n">
        <v>4.377947141328295</v>
      </c>
      <c r="P72" t="n">
        <v>12.15947775043879</v>
      </c>
      <c r="Q72" t="n">
        <v>16.53742489176709</v>
      </c>
    </row>
    <row r="73">
      <c r="A73" s="8" t="n">
        <v>46357</v>
      </c>
      <c r="B73" t="n">
        <v>30.58209654</v>
      </c>
      <c r="C73" t="n">
        <v>8.146667548</v>
      </c>
      <c r="D73" t="n">
        <v>17.67545295</v>
      </c>
      <c r="E73" t="n">
        <v>30.58209654</v>
      </c>
      <c r="F73" t="n">
        <v>8.146667548</v>
      </c>
      <c r="G73" t="n">
        <v>17.67545295</v>
      </c>
      <c r="H73" t="n">
        <v>34.07</v>
      </c>
      <c r="I73" t="n">
        <v>30.58209654</v>
      </c>
      <c r="J73" t="n">
        <v>29.5</v>
      </c>
      <c r="K73" t="n">
        <v>29.5</v>
      </c>
      <c r="L73" t="n">
        <v>21.74028272539052</v>
      </c>
      <c r="M73" t="n">
        <v>20.97103903782982</v>
      </c>
      <c r="N73" t="n">
        <v>6.813323357022108</v>
      </c>
      <c r="O73" t="n">
        <v>4.434767064715146</v>
      </c>
      <c r="P73" t="n">
        <v>12.31729157776482</v>
      </c>
      <c r="Q73" t="n">
        <v>16.75205864247997</v>
      </c>
    </row>
    <row r="74">
      <c r="A74" s="8" t="n">
        <v>46388</v>
      </c>
      <c r="B74" t="n">
        <v>30.15172012</v>
      </c>
      <c r="C74" t="n">
        <v>8.010079405000001</v>
      </c>
      <c r="D74" t="n">
        <v>17.44807592</v>
      </c>
      <c r="E74" t="n">
        <v>30.15172012</v>
      </c>
      <c r="F74" t="n">
        <v>8.010079405000001</v>
      </c>
      <c r="G74" t="n">
        <v>17.44807592</v>
      </c>
      <c r="H74" t="n">
        <v>34.07</v>
      </c>
      <c r="I74" t="n">
        <v>30.15172012</v>
      </c>
      <c r="J74" t="n">
        <v>30.07</v>
      </c>
      <c r="K74" t="n">
        <v>30.07</v>
      </c>
      <c r="L74" t="n">
        <v>21.43433558285556</v>
      </c>
      <c r="M74" t="n">
        <v>21.37624216500145</v>
      </c>
      <c r="N74" t="n">
        <v>6.69909024519927</v>
      </c>
      <c r="O74" t="n">
        <v>4.377718220378925</v>
      </c>
      <c r="P74" t="n">
        <v>12.15884193664283</v>
      </c>
      <c r="Q74" t="n">
        <v>16.53656015702175</v>
      </c>
    </row>
    <row r="75">
      <c r="A75" s="8" t="n">
        <v>46419</v>
      </c>
      <c r="B75" t="n">
        <v>30.97206464</v>
      </c>
      <c r="C75" t="n">
        <v>8.204943993000001</v>
      </c>
      <c r="D75" t="n">
        <v>17.68244323</v>
      </c>
      <c r="E75" t="n">
        <v>30.97206464</v>
      </c>
      <c r="F75" t="n">
        <v>8.204943993000001</v>
      </c>
      <c r="G75" t="n">
        <v>17.68244323</v>
      </c>
      <c r="H75" t="n">
        <v>34.07</v>
      </c>
      <c r="I75" t="n">
        <v>30.97206464</v>
      </c>
      <c r="J75" t="n">
        <v>30.07</v>
      </c>
      <c r="K75" t="n">
        <v>30.07</v>
      </c>
      <c r="L75" t="n">
        <v>22.01750429313995</v>
      </c>
      <c r="M75" t="n">
        <v>21.37624216500145</v>
      </c>
      <c r="N75" t="n">
        <v>6.862061845679374</v>
      </c>
      <c r="O75" t="n">
        <v>4.436520924353416</v>
      </c>
      <c r="P75" t="n">
        <v>12.32216281457068</v>
      </c>
      <c r="Q75" t="n">
        <v>16.75868373892409</v>
      </c>
    </row>
    <row r="76">
      <c r="A76" s="8" t="n">
        <v>46447</v>
      </c>
      <c r="B76" t="n">
        <v>31.17923163</v>
      </c>
      <c r="C76" t="n">
        <v>8.237736571999999</v>
      </c>
      <c r="D76" t="n">
        <v>17.68987194</v>
      </c>
      <c r="E76" t="n">
        <v>31.17923163</v>
      </c>
      <c r="F76" t="n">
        <v>8.237736571999999</v>
      </c>
      <c r="G76" t="n">
        <v>17.68987194</v>
      </c>
      <c r="H76" t="n">
        <v>34.07</v>
      </c>
      <c r="I76" t="n">
        <v>31.17923163</v>
      </c>
      <c r="J76" t="n">
        <v>30.07</v>
      </c>
      <c r="K76" t="n">
        <v>30.07</v>
      </c>
      <c r="L76" t="n">
        <v>22.164775718043</v>
      </c>
      <c r="M76" t="n">
        <v>21.37624216500145</v>
      </c>
      <c r="N76" t="n">
        <v>6.88948734734877</v>
      </c>
      <c r="O76" t="n">
        <v>4.438384785977472</v>
      </c>
      <c r="P76" t="n">
        <v>12.32733957509701</v>
      </c>
      <c r="Q76" t="n">
        <v>16.76572436107448</v>
      </c>
    </row>
    <row r="77">
      <c r="A77" s="8" t="n">
        <v>46478</v>
      </c>
      <c r="B77" t="n">
        <v>31.40202298</v>
      </c>
      <c r="C77" t="n">
        <v>8.267576801000001</v>
      </c>
      <c r="D77" t="n">
        <v>17.70095648</v>
      </c>
      <c r="E77" t="n">
        <v>31.40202298</v>
      </c>
      <c r="F77" t="n">
        <v>8.267576801000001</v>
      </c>
      <c r="G77" t="n">
        <v>17.70095648</v>
      </c>
      <c r="H77" t="n">
        <v>34.07</v>
      </c>
      <c r="I77" t="n">
        <v>31.40202298</v>
      </c>
      <c r="J77" t="n">
        <v>32.57</v>
      </c>
      <c r="K77" t="n">
        <v>31.40202298</v>
      </c>
      <c r="L77" t="n">
        <v>22.32315422984438</v>
      </c>
      <c r="M77" t="n">
        <v>22.32315422984438</v>
      </c>
      <c r="N77" t="n">
        <v>6.914443702573369</v>
      </c>
      <c r="O77" t="n">
        <v>4.441165894504567</v>
      </c>
      <c r="P77" t="n">
        <v>12.33506393223635</v>
      </c>
      <c r="Q77" t="n">
        <v>16.77622982674092</v>
      </c>
    </row>
    <row r="78">
      <c r="A78" s="8" t="n">
        <v>46508</v>
      </c>
      <c r="B78" t="n">
        <v>31.64563043</v>
      </c>
      <c r="C78" t="n">
        <v>8.299952638000001</v>
      </c>
      <c r="D78" t="n">
        <v>17.71517373</v>
      </c>
      <c r="E78" t="n">
        <v>31.64563043</v>
      </c>
      <c r="F78" t="n">
        <v>8.299952638000001</v>
      </c>
      <c r="G78" t="n">
        <v>17.71517373</v>
      </c>
      <c r="H78" t="n">
        <v>34.07</v>
      </c>
      <c r="I78" t="n">
        <v>31.64563043</v>
      </c>
      <c r="J78" t="n">
        <v>32.57</v>
      </c>
      <c r="K78" t="n">
        <v>31.64563043</v>
      </c>
      <c r="L78" t="n">
        <v>22.49633054658527</v>
      </c>
      <c r="M78" t="n">
        <v>22.49633054658527</v>
      </c>
      <c r="N78" t="n">
        <v>6.941520669337453</v>
      </c>
      <c r="O78" t="n">
        <v>4.444732999247465</v>
      </c>
      <c r="P78" t="n">
        <v>12.34497134531252</v>
      </c>
      <c r="Q78" t="n">
        <v>16.78970434455999</v>
      </c>
    </row>
    <row r="79">
      <c r="A79" s="8" t="n">
        <v>46539</v>
      </c>
      <c r="B79" t="n">
        <v>31.90672896</v>
      </c>
      <c r="C79" t="n">
        <v>8.333953709999999</v>
      </c>
      <c r="D79" t="n">
        <v>17.73200248</v>
      </c>
      <c r="E79" t="n">
        <v>31.90672896</v>
      </c>
      <c r="F79" t="n">
        <v>8.333953709999999</v>
      </c>
      <c r="G79" t="n">
        <v>17.73200248</v>
      </c>
      <c r="H79" t="n">
        <v>34.07</v>
      </c>
      <c r="I79" t="n">
        <v>31.90672896</v>
      </c>
      <c r="J79" t="n">
        <v>34.07</v>
      </c>
      <c r="K79" t="n">
        <v>31.90672896</v>
      </c>
      <c r="L79" t="n">
        <v>22.6819409691395</v>
      </c>
      <c r="M79" t="n">
        <v>22.6819409691395</v>
      </c>
      <c r="N79" t="n">
        <v>6.969956873055899</v>
      </c>
      <c r="O79" t="n">
        <v>4.44895532873749</v>
      </c>
      <c r="P79" t="n">
        <v>12.35669860464927</v>
      </c>
      <c r="Q79" t="n">
        <v>16.80565393338676</v>
      </c>
    </row>
    <row r="80">
      <c r="A80" s="8" t="n">
        <v>46569</v>
      </c>
      <c r="B80" t="n">
        <v>32.17844338</v>
      </c>
      <c r="C80" t="n">
        <v>8.368528754</v>
      </c>
      <c r="D80" t="n">
        <v>17.7630956</v>
      </c>
      <c r="E80" t="n">
        <v>32.17844338</v>
      </c>
      <c r="F80" t="n">
        <v>8.368528754</v>
      </c>
      <c r="G80" t="n">
        <v>17.7630956</v>
      </c>
      <c r="H80" t="n">
        <v>34.77</v>
      </c>
      <c r="I80" t="n">
        <v>32.17844338</v>
      </c>
      <c r="J80" t="n">
        <v>34.07</v>
      </c>
      <c r="K80" t="n">
        <v>32.17844338</v>
      </c>
      <c r="L80" t="n">
        <v>22.87509804401954</v>
      </c>
      <c r="M80" t="n">
        <v>22.87509804401954</v>
      </c>
      <c r="N80" t="n">
        <v>6.998873108248668</v>
      </c>
      <c r="O80" t="n">
        <v>4.456756585367535</v>
      </c>
      <c r="P80" t="n">
        <v>12.37836611303991</v>
      </c>
      <c r="Q80" t="n">
        <v>16.83512269840745</v>
      </c>
    </row>
    <row r="81">
      <c r="A81" s="8" t="n">
        <v>46600</v>
      </c>
      <c r="B81" t="n">
        <v>32.45100548</v>
      </c>
      <c r="C81" t="n">
        <v>8.403173149000001</v>
      </c>
      <c r="D81" t="n">
        <v>17.8080678</v>
      </c>
      <c r="E81" t="n">
        <v>32.45100548</v>
      </c>
      <c r="F81" t="n">
        <v>8.403173149000001</v>
      </c>
      <c r="G81" t="n">
        <v>17.8080678</v>
      </c>
      <c r="H81" t="n">
        <v>34.77</v>
      </c>
      <c r="I81" t="n">
        <v>32.45100548</v>
      </c>
      <c r="J81" t="n">
        <v>34.07</v>
      </c>
      <c r="K81" t="n">
        <v>32.45100548</v>
      </c>
      <c r="L81" t="n">
        <v>23.06885771992913</v>
      </c>
      <c r="M81" t="n">
        <v>23.06885771992913</v>
      </c>
      <c r="N81" t="n">
        <v>7.027847343941072</v>
      </c>
      <c r="O81" t="n">
        <v>4.468040099965545</v>
      </c>
      <c r="P81" t="n">
        <v>12.4097053778305</v>
      </c>
      <c r="Q81" t="n">
        <v>16.87774547779604</v>
      </c>
    </row>
    <row r="82">
      <c r="A82" s="8" t="n">
        <v>46631</v>
      </c>
      <c r="B82" t="n">
        <v>32.72272298</v>
      </c>
      <c r="C82" t="n">
        <v>8.437063704</v>
      </c>
      <c r="D82" t="n">
        <v>17.85227567</v>
      </c>
      <c r="E82" t="n">
        <v>32.72272298</v>
      </c>
      <c r="F82" t="n">
        <v>8.437063704</v>
      </c>
      <c r="G82" t="n">
        <v>17.85227567</v>
      </c>
      <c r="H82" t="n">
        <v>34.77</v>
      </c>
      <c r="I82" t="n">
        <v>32.72272298</v>
      </c>
      <c r="J82" t="n">
        <v>34.07</v>
      </c>
      <c r="K82" t="n">
        <v>32.72272298</v>
      </c>
      <c r="L82" t="n">
        <v>23.26201698432783</v>
      </c>
      <c r="M82" t="n">
        <v>23.26201698432783</v>
      </c>
      <c r="N82" t="n">
        <v>7.056191118693563</v>
      </c>
      <c r="O82" t="n">
        <v>4.479131844343006</v>
      </c>
      <c r="P82" t="n">
        <v>12.44051201267953</v>
      </c>
      <c r="Q82" t="n">
        <v>16.91964385702254</v>
      </c>
    </row>
    <row r="83">
      <c r="A83" s="8" t="n">
        <v>46661</v>
      </c>
      <c r="B83" t="n">
        <v>32.98902567</v>
      </c>
      <c r="C83" t="n">
        <v>8.474461458</v>
      </c>
      <c r="D83" t="n">
        <v>17.9030494</v>
      </c>
      <c r="E83" t="n">
        <v>32.98902567</v>
      </c>
      <c r="F83" t="n">
        <v>8.474461458</v>
      </c>
      <c r="G83" t="n">
        <v>17.9030494</v>
      </c>
      <c r="H83" t="n">
        <v>36.52</v>
      </c>
      <c r="I83" t="n">
        <v>32.98902567</v>
      </c>
      <c r="J83" t="n">
        <v>34.07</v>
      </c>
      <c r="K83" t="n">
        <v>32.98902567</v>
      </c>
      <c r="L83" t="n">
        <v>23.4513269540861</v>
      </c>
      <c r="M83" t="n">
        <v>23.4513269540861</v>
      </c>
      <c r="N83" t="n">
        <v>7.087468078177557</v>
      </c>
      <c r="O83" t="n">
        <v>4.491870961478713</v>
      </c>
      <c r="P83" t="n">
        <v>12.47589412360307</v>
      </c>
      <c r="Q83" t="n">
        <v>16.96776508508178</v>
      </c>
    </row>
    <row r="84">
      <c r="A84" s="8" t="n">
        <v>46692</v>
      </c>
      <c r="B84" t="n">
        <v>33.24473096</v>
      </c>
      <c r="C84" t="n">
        <v>8.514070868999999</v>
      </c>
      <c r="D84" t="n">
        <v>17.96035389</v>
      </c>
      <c r="E84" t="n">
        <v>33.24473096</v>
      </c>
      <c r="F84" t="n">
        <v>8.514070868999999</v>
      </c>
      <c r="G84" t="n">
        <v>17.96035389</v>
      </c>
      <c r="H84" t="n">
        <v>36.52</v>
      </c>
      <c r="I84" t="n">
        <v>33.24473096</v>
      </c>
      <c r="J84" t="n">
        <v>34.07</v>
      </c>
      <c r="K84" t="n">
        <v>33.24473096</v>
      </c>
      <c r="L84" t="n">
        <v>23.63310341573931</v>
      </c>
      <c r="M84" t="n">
        <v>23.63310341573931</v>
      </c>
      <c r="N84" t="n">
        <v>7.120594718430655</v>
      </c>
      <c r="O84" t="n">
        <v>4.506248644790772</v>
      </c>
      <c r="P84" t="n">
        <v>12.5158272508639</v>
      </c>
      <c r="Q84" t="n">
        <v>17.02207589565467</v>
      </c>
    </row>
    <row r="85">
      <c r="A85" s="8" t="n">
        <v>46722</v>
      </c>
      <c r="B85" t="n">
        <v>33.49180042</v>
      </c>
      <c r="C85" t="n">
        <v>8.550476557</v>
      </c>
      <c r="D85" t="n">
        <v>18.01557547</v>
      </c>
      <c r="E85" t="n">
        <v>33.49180042</v>
      </c>
      <c r="F85" t="n">
        <v>8.550476557</v>
      </c>
      <c r="G85" t="n">
        <v>18.01557547</v>
      </c>
      <c r="H85" t="n">
        <v>36.52</v>
      </c>
      <c r="I85" t="n">
        <v>33.49180042</v>
      </c>
      <c r="J85" t="n">
        <v>34.07</v>
      </c>
      <c r="K85" t="n">
        <v>33.49180042</v>
      </c>
      <c r="L85" t="n">
        <v>23.80874081542458</v>
      </c>
      <c r="M85" t="n">
        <v>23.80874081542458</v>
      </c>
      <c r="N85" t="n">
        <v>7.151041980813389</v>
      </c>
      <c r="O85" t="n">
        <v>4.520103726464678</v>
      </c>
      <c r="P85" t="n">
        <v>12.55430888435691</v>
      </c>
      <c r="Q85" t="n">
        <v>17.07441261082159</v>
      </c>
    </row>
    <row r="86">
      <c r="A86" s="8" t="n">
        <v>46753</v>
      </c>
      <c r="B86" t="n">
        <v>32.70155823083687</v>
      </c>
      <c r="C86" t="n">
        <v>8.406193247661809</v>
      </c>
      <c r="D86" t="n">
        <v>18.42599369989777</v>
      </c>
      <c r="E86" t="n">
        <v>32.70155823083687</v>
      </c>
      <c r="F86" t="n">
        <v>8.406193247661809</v>
      </c>
      <c r="G86" t="n">
        <v>18.42599369989777</v>
      </c>
      <c r="H86" t="n">
        <v>36.52</v>
      </c>
      <c r="I86" t="n">
        <v>32.70155823083687</v>
      </c>
      <c r="J86" t="n">
        <v>34.77</v>
      </c>
      <c r="K86" t="n">
        <v>32.70155823083687</v>
      </c>
      <c r="L86" t="n">
        <v>23.24697133073713</v>
      </c>
      <c r="M86" t="n">
        <v>23.24697133073713</v>
      </c>
      <c r="N86" t="n">
        <v>7.030373150797897</v>
      </c>
      <c r="O86" t="n">
        <v>4.623077565599552</v>
      </c>
      <c r="P86" t="n">
        <v>12.84031236165286</v>
      </c>
      <c r="Q86" t="n">
        <v>17.46338992725241</v>
      </c>
    </row>
    <row r="87">
      <c r="A87" s="8" t="n">
        <v>46784</v>
      </c>
      <c r="B87" t="n">
        <v>33.59127676043855</v>
      </c>
      <c r="C87" t="n">
        <v>8.610694264572016</v>
      </c>
      <c r="D87" t="n">
        <v>18.67349666797988</v>
      </c>
      <c r="E87" t="n">
        <v>33.59127676043855</v>
      </c>
      <c r="F87" t="n">
        <v>8.610694264572016</v>
      </c>
      <c r="G87" t="n">
        <v>18.67349666797988</v>
      </c>
      <c r="H87" t="n">
        <v>36.52</v>
      </c>
      <c r="I87" t="n">
        <v>33.59127676043855</v>
      </c>
      <c r="J87" t="n">
        <v>34.77</v>
      </c>
      <c r="K87" t="n">
        <v>33.59127676043855</v>
      </c>
      <c r="L87" t="n">
        <v>23.87945682283737</v>
      </c>
      <c r="M87" t="n">
        <v>23.87945682283737</v>
      </c>
      <c r="N87" t="n">
        <v>7.201404010574561</v>
      </c>
      <c r="O87" t="n">
        <v>4.685176003154431</v>
      </c>
      <c r="P87" t="n">
        <v>13.01278693601614</v>
      </c>
      <c r="Q87" t="n">
        <v>17.69796293917058</v>
      </c>
    </row>
    <row r="88">
      <c r="A88" s="8" t="n">
        <v>46813</v>
      </c>
      <c r="B88" t="n">
        <v>33.81596322476064</v>
      </c>
      <c r="C88" t="n">
        <v>8.645108499715695</v>
      </c>
      <c r="D88" t="n">
        <v>18.68134173721765</v>
      </c>
      <c r="E88" t="n">
        <v>33.81596322476064</v>
      </c>
      <c r="F88" t="n">
        <v>8.645108499715695</v>
      </c>
      <c r="G88" t="n">
        <v>18.68134173721765</v>
      </c>
      <c r="H88" t="n">
        <v>36.52</v>
      </c>
      <c r="I88" t="n">
        <v>33.81596322476064</v>
      </c>
      <c r="J88" t="n">
        <v>34.77</v>
      </c>
      <c r="K88" t="n">
        <v>33.81596322476064</v>
      </c>
      <c r="L88" t="n">
        <v>24.03918253858552</v>
      </c>
      <c r="M88" t="n">
        <v>24.03918253858552</v>
      </c>
      <c r="N88" t="n">
        <v>7.230185756084238</v>
      </c>
      <c r="O88" t="n">
        <v>4.687144329215126</v>
      </c>
      <c r="P88" t="n">
        <v>13.01825384006227</v>
      </c>
      <c r="Q88" t="n">
        <v>17.70539816927739</v>
      </c>
    </row>
    <row r="89">
      <c r="A89" s="8" t="n">
        <v>46844</v>
      </c>
      <c r="B89" t="n">
        <v>34.05759535308884</v>
      </c>
      <c r="C89" t="n">
        <v>8.676424385469824</v>
      </c>
      <c r="D89" t="n">
        <v>18.69304753590529</v>
      </c>
      <c r="E89" t="n">
        <v>34.05759535308884</v>
      </c>
      <c r="F89" t="n">
        <v>8.676424385469824</v>
      </c>
      <c r="G89" t="n">
        <v>18.69304753590529</v>
      </c>
      <c r="H89" t="n">
        <v>36.52</v>
      </c>
      <c r="I89" t="n">
        <v>34.05759535308884</v>
      </c>
      <c r="J89" t="n">
        <v>36.52</v>
      </c>
      <c r="K89" t="n">
        <v>34.05759535308884</v>
      </c>
      <c r="L89" t="n">
        <v>24.21095463336399</v>
      </c>
      <c r="M89" t="n">
        <v>24.21095463336399</v>
      </c>
      <c r="N89" t="n">
        <v>7.256376251105336</v>
      </c>
      <c r="O89" t="n">
        <v>4.69008131140353</v>
      </c>
      <c r="P89" t="n">
        <v>13.02641112666726</v>
      </c>
      <c r="Q89" t="n">
        <v>17.71649243807079</v>
      </c>
    </row>
    <row r="90">
      <c r="A90" s="8" t="n">
        <v>46874</v>
      </c>
      <c r="B90" t="n">
        <v>34.32180393488569</v>
      </c>
      <c r="C90" t="n">
        <v>8.710401269919549</v>
      </c>
      <c r="D90" t="n">
        <v>18.70806162457221</v>
      </c>
      <c r="E90" t="n">
        <v>34.32180393488569</v>
      </c>
      <c r="F90" t="n">
        <v>8.710401269919549</v>
      </c>
      <c r="G90" t="n">
        <v>18.70806162457221</v>
      </c>
      <c r="H90" t="n">
        <v>36.52</v>
      </c>
      <c r="I90" t="n">
        <v>34.32180393488569</v>
      </c>
      <c r="J90" t="n">
        <v>36.52</v>
      </c>
      <c r="K90" t="n">
        <v>34.32180393488569</v>
      </c>
      <c r="L90" t="n">
        <v>24.39877593787217</v>
      </c>
      <c r="M90" t="n">
        <v>24.39877593787217</v>
      </c>
      <c r="N90" t="n">
        <v>7.284792225987849</v>
      </c>
      <c r="O90" t="n">
        <v>4.693848342784006</v>
      </c>
      <c r="P90" t="n">
        <v>13.03687382362943</v>
      </c>
      <c r="Q90" t="n">
        <v>17.73072216641343</v>
      </c>
    </row>
    <row r="91">
      <c r="A91" s="8" t="n">
        <v>46905</v>
      </c>
      <c r="B91" t="n">
        <v>34.60498276345001</v>
      </c>
      <c r="C91" t="n">
        <v>8.746083760367926</v>
      </c>
      <c r="D91" t="n">
        <v>18.72583358079815</v>
      </c>
      <c r="E91" t="n">
        <v>34.60498276345001</v>
      </c>
      <c r="F91" t="n">
        <v>8.746083760367926</v>
      </c>
      <c r="G91" t="n">
        <v>18.72583358079815</v>
      </c>
      <c r="H91" t="n">
        <v>36.52</v>
      </c>
      <c r="I91" t="n">
        <v>34.60498276345001</v>
      </c>
      <c r="J91" t="n">
        <v>36.52</v>
      </c>
      <c r="K91" t="n">
        <v>34.60498276345001</v>
      </c>
      <c r="L91" t="n">
        <v>24.60008286222842</v>
      </c>
      <c r="M91" t="n">
        <v>24.60008286222842</v>
      </c>
      <c r="N91" t="n">
        <v>7.314634654708084</v>
      </c>
      <c r="O91" t="n">
        <v>4.698307322498376</v>
      </c>
      <c r="P91" t="n">
        <v>13.04925836434595</v>
      </c>
      <c r="Q91" t="n">
        <v>17.74756568684432</v>
      </c>
    </row>
    <row r="92">
      <c r="A92" s="8" t="n">
        <v>46935</v>
      </c>
      <c r="B92" t="n">
        <v>34.89967523513736</v>
      </c>
      <c r="C92" t="n">
        <v>8.782368606836362</v>
      </c>
      <c r="D92" t="n">
        <v>18.75866938664041</v>
      </c>
      <c r="E92" t="n">
        <v>34.89967523513736</v>
      </c>
      <c r="F92" t="n">
        <v>8.782368606836362</v>
      </c>
      <c r="G92" t="n">
        <v>18.75866938664041</v>
      </c>
      <c r="H92" t="n">
        <v>39.02</v>
      </c>
      <c r="I92" t="n">
        <v>34.89967523513736</v>
      </c>
      <c r="J92" t="n">
        <v>36.52</v>
      </c>
      <c r="K92" t="n">
        <v>34.89967523513736</v>
      </c>
      <c r="L92" t="n">
        <v>24.80957463605587</v>
      </c>
      <c r="M92" t="n">
        <v>24.80957463605587</v>
      </c>
      <c r="N92" t="n">
        <v>7.34498085338291</v>
      </c>
      <c r="O92" t="n">
        <v>4.70654581860394</v>
      </c>
      <c r="P92" t="n">
        <v>13.07214027837067</v>
      </c>
      <c r="Q92" t="n">
        <v>17.77868609697461</v>
      </c>
    </row>
    <row r="93">
      <c r="A93" s="8" t="n">
        <v>46966</v>
      </c>
      <c r="B93" t="n">
        <v>35.19528707251168</v>
      </c>
      <c r="C93" t="n">
        <v>8.818726233845222</v>
      </c>
      <c r="D93" t="n">
        <v>18.8061621576296</v>
      </c>
      <c r="E93" t="n">
        <v>35.19528707251168</v>
      </c>
      <c r="F93" t="n">
        <v>8.818726233845222</v>
      </c>
      <c r="G93" t="n">
        <v>18.8061621576296</v>
      </c>
      <c r="H93" t="n">
        <v>39.02</v>
      </c>
      <c r="I93" t="n">
        <v>35.19528707251168</v>
      </c>
      <c r="J93" t="n">
        <v>36.52</v>
      </c>
      <c r="K93" t="n">
        <v>35.19528707251168</v>
      </c>
      <c r="L93" t="n">
        <v>25.01971997102609</v>
      </c>
      <c r="M93" t="n">
        <v>25.01971997102609</v>
      </c>
      <c r="N93" t="n">
        <v>7.375387920793703</v>
      </c>
      <c r="O93" t="n">
        <v>4.718461743881255</v>
      </c>
      <c r="P93" t="n">
        <v>13.10523602475775</v>
      </c>
      <c r="Q93" t="n">
        <v>17.823697768639</v>
      </c>
    </row>
    <row r="94">
      <c r="A94" s="8" t="n">
        <v>46997</v>
      </c>
      <c r="B94" t="n">
        <v>35.48998288466514</v>
      </c>
      <c r="C94" t="n">
        <v>8.85429274201525</v>
      </c>
      <c r="D94" t="n">
        <v>18.85284775997571</v>
      </c>
      <c r="E94" t="n">
        <v>35.48998288466514</v>
      </c>
      <c r="F94" t="n">
        <v>8.85429274201525</v>
      </c>
      <c r="G94" t="n">
        <v>18.85284775997571</v>
      </c>
      <c r="H94" t="n">
        <v>39.02</v>
      </c>
      <c r="I94" t="n">
        <v>35.48998288466514</v>
      </c>
      <c r="J94" t="n">
        <v>36.52</v>
      </c>
      <c r="K94" t="n">
        <v>35.48998288466514</v>
      </c>
      <c r="L94" t="n">
        <v>25.22921411953305</v>
      </c>
      <c r="M94" t="n">
        <v>25.22921411953305</v>
      </c>
      <c r="N94" t="n">
        <v>7.40513334975773</v>
      </c>
      <c r="O94" t="n">
        <v>4.73017515073236</v>
      </c>
      <c r="P94" t="n">
        <v>13.13776928872599</v>
      </c>
      <c r="Q94" t="n">
        <v>17.86794443945835</v>
      </c>
    </row>
    <row r="95">
      <c r="A95" s="8" t="n">
        <v>47027</v>
      </c>
      <c r="B95" t="n">
        <v>35.77880597301316</v>
      </c>
      <c r="C95" t="n">
        <v>8.893539886925733</v>
      </c>
      <c r="D95" t="n">
        <v>18.9064672211352</v>
      </c>
      <c r="E95" t="n">
        <v>35.77880597301316</v>
      </c>
      <c r="F95" t="n">
        <v>8.893539886925733</v>
      </c>
      <c r="G95" t="n">
        <v>18.9064672211352</v>
      </c>
      <c r="H95" t="n">
        <v>39.02</v>
      </c>
      <c r="I95" t="n">
        <v>35.77880597301316</v>
      </c>
      <c r="J95" t="n">
        <v>36.52</v>
      </c>
      <c r="K95" t="n">
        <v>35.77880597301316</v>
      </c>
      <c r="L95" t="n">
        <v>25.4345334504067</v>
      </c>
      <c r="M95" t="n">
        <v>25.4345334504067</v>
      </c>
      <c r="N95" t="n">
        <v>7.437957015083397</v>
      </c>
      <c r="O95" t="n">
        <v>4.743628261159037</v>
      </c>
      <c r="P95" t="n">
        <v>13.17513447191039</v>
      </c>
      <c r="Q95" t="n">
        <v>17.91876273306943</v>
      </c>
    </row>
    <row r="96">
      <c r="A96" s="8" t="n">
        <v>47058</v>
      </c>
      <c r="B96" t="n">
        <v>36.0561354718805</v>
      </c>
      <c r="C96" t="n">
        <v>8.935108059531391</v>
      </c>
      <c r="D96" t="n">
        <v>18.96698347384737</v>
      </c>
      <c r="E96" t="n">
        <v>36.0561354718805</v>
      </c>
      <c r="F96" t="n">
        <v>8.935108059531391</v>
      </c>
      <c r="G96" t="n">
        <v>18.96698347384737</v>
      </c>
      <c r="H96" t="n">
        <v>39.02</v>
      </c>
      <c r="I96" t="n">
        <v>36.0561354718805</v>
      </c>
      <c r="J96" t="n">
        <v>36.52</v>
      </c>
      <c r="K96" t="n">
        <v>36.0561354718805</v>
      </c>
      <c r="L96" t="n">
        <v>25.63168218759616</v>
      </c>
      <c r="M96" t="n">
        <v>25.63168218759616</v>
      </c>
      <c r="N96" t="n">
        <v>7.472721831452071</v>
      </c>
      <c r="O96" t="n">
        <v>4.758811774994133</v>
      </c>
      <c r="P96" t="n">
        <v>13.21730574367118</v>
      </c>
      <c r="Q96" t="n">
        <v>17.97611751866532</v>
      </c>
    </row>
    <row r="97">
      <c r="A97" s="8" t="n">
        <v>47088</v>
      </c>
      <c r="B97" t="n">
        <v>36.32409883520093</v>
      </c>
      <c r="C97" t="n">
        <v>8.973314078868858</v>
      </c>
      <c r="D97" t="n">
        <v>19.02530007504992</v>
      </c>
      <c r="E97" t="n">
        <v>36.32409883520093</v>
      </c>
      <c r="F97" t="n">
        <v>8.973314078868858</v>
      </c>
      <c r="G97" t="n">
        <v>19.02530007504992</v>
      </c>
      <c r="H97" t="n">
        <v>39.02</v>
      </c>
      <c r="I97" t="n">
        <v>36.32409883520093</v>
      </c>
      <c r="J97" t="n">
        <v>36.52</v>
      </c>
      <c r="K97" t="n">
        <v>36.32409883520093</v>
      </c>
      <c r="L97" t="n">
        <v>25.82217270125381</v>
      </c>
      <c r="M97" t="n">
        <v>25.82217270125381</v>
      </c>
      <c r="N97" t="n">
        <v>7.504674769557997</v>
      </c>
      <c r="O97" t="n">
        <v>4.773443396773262</v>
      </c>
      <c r="P97" t="n">
        <v>13.25794416933801</v>
      </c>
      <c r="Q97" t="n">
        <v>18.03138756611127</v>
      </c>
    </row>
    <row r="98">
      <c r="A98" s="8" t="n">
        <v>47119</v>
      </c>
      <c r="B98" t="n">
        <v>36.44967574419481</v>
      </c>
      <c r="C98" t="n">
        <v>8.991597279465806</v>
      </c>
      <c r="D98" t="n">
        <v>19.06916929601838</v>
      </c>
      <c r="E98" t="n">
        <v>36.44967574419481</v>
      </c>
      <c r="F98" t="n">
        <v>8.991597279465806</v>
      </c>
      <c r="G98" t="n">
        <v>19.06916929601838</v>
      </c>
      <c r="H98" t="n">
        <v>39.02</v>
      </c>
      <c r="I98" t="n">
        <v>36.44967574419481</v>
      </c>
      <c r="J98" t="n">
        <v>39.02</v>
      </c>
      <c r="K98" t="n">
        <v>36.44967574419481</v>
      </c>
      <c r="L98" t="n">
        <v>25.91144315077112</v>
      </c>
      <c r="M98" t="n">
        <v>25.91144315077112</v>
      </c>
      <c r="N98" t="n">
        <v>7.519965605588109</v>
      </c>
      <c r="O98" t="n">
        <v>4.784450174186887</v>
      </c>
      <c r="P98" t="n">
        <v>13.28851481369357</v>
      </c>
      <c r="Q98" t="n">
        <v>18.07296498788046</v>
      </c>
    </row>
    <row r="99">
      <c r="A99" s="8" t="n">
        <v>47150</v>
      </c>
      <c r="B99" t="n">
        <v>36.5756867881178</v>
      </c>
      <c r="C99" t="n">
        <v>9.009917732233037</v>
      </c>
      <c r="D99" t="n">
        <v>19.11313967221387</v>
      </c>
      <c r="E99" t="n">
        <v>36.5756867881178</v>
      </c>
      <c r="F99" t="n">
        <v>9.009917732233037</v>
      </c>
      <c r="G99" t="n">
        <v>19.11313967221387</v>
      </c>
      <c r="H99" t="n">
        <v>39.02</v>
      </c>
      <c r="I99" t="n">
        <v>36.5756867881178</v>
      </c>
      <c r="J99" t="n">
        <v>39.02</v>
      </c>
      <c r="K99" t="n">
        <v>36.5756867881178</v>
      </c>
      <c r="L99" t="n">
        <v>26.00102221928999</v>
      </c>
      <c r="M99" t="n">
        <v>26.00102221928999</v>
      </c>
      <c r="N99" t="n">
        <v>7.535287596821302</v>
      </c>
      <c r="O99" t="n">
        <v>4.795482331423621</v>
      </c>
      <c r="P99" t="n">
        <v>13.31915594894006</v>
      </c>
      <c r="Q99" t="n">
        <v>18.11463828036368</v>
      </c>
    </row>
    <row r="100">
      <c r="A100" s="8" t="n">
        <v>47178</v>
      </c>
      <c r="B100" t="n">
        <v>36.70213346782811</v>
      </c>
      <c r="C100" t="n">
        <v>9.028275513072151</v>
      </c>
      <c r="D100" t="n">
        <v>19.15721143688375</v>
      </c>
      <c r="E100" t="n">
        <v>36.70213346782811</v>
      </c>
      <c r="F100" t="n">
        <v>9.028275513072151</v>
      </c>
      <c r="G100" t="n">
        <v>19.15721143688375</v>
      </c>
      <c r="H100" t="n">
        <v>39.02</v>
      </c>
      <c r="I100" t="n">
        <v>36.70213346782811</v>
      </c>
      <c r="J100" t="n">
        <v>39.02</v>
      </c>
      <c r="K100" t="n">
        <v>36.70213346782811</v>
      </c>
      <c r="L100" t="n">
        <v>26.09091097374453</v>
      </c>
      <c r="M100" t="n">
        <v>26.09091097374453</v>
      </c>
      <c r="N100" t="n">
        <v>7.550640806736556</v>
      </c>
      <c r="O100" t="n">
        <v>4.806539927005172</v>
      </c>
      <c r="P100" t="n">
        <v>13.3498677376179</v>
      </c>
      <c r="Q100" t="n">
        <v>18.15640766462307</v>
      </c>
    </row>
    <row r="101">
      <c r="A101" s="8" t="n">
        <v>47209</v>
      </c>
      <c r="B101" t="n">
        <v>36.82901728937263</v>
      </c>
      <c r="C101" t="n">
        <v>9.046670698039399</v>
      </c>
      <c r="D101" t="n">
        <v>19.2013848238132</v>
      </c>
      <c r="E101" t="n">
        <v>36.82901728937263</v>
      </c>
      <c r="F101" t="n">
        <v>9.046670698039399</v>
      </c>
      <c r="G101" t="n">
        <v>19.2013848238132</v>
      </c>
      <c r="H101" t="n">
        <v>39.02</v>
      </c>
      <c r="I101" t="n">
        <v>36.82901728937263</v>
      </c>
      <c r="J101" t="n">
        <v>39.02</v>
      </c>
      <c r="K101" t="n">
        <v>36.82901728937263</v>
      </c>
      <c r="L101" t="n">
        <v>26.18111048475739</v>
      </c>
      <c r="M101" t="n">
        <v>26.18111048475739</v>
      </c>
      <c r="N101" t="n">
        <v>7.56602529894219</v>
      </c>
      <c r="O101" t="n">
        <v>4.817623019588193</v>
      </c>
      <c r="P101" t="n">
        <v>13.38065034264231</v>
      </c>
      <c r="Q101" t="n">
        <v>18.19827336223051</v>
      </c>
    </row>
    <row r="102">
      <c r="A102" s="8" t="n">
        <v>47239</v>
      </c>
      <c r="B102" t="n">
        <v>36.95633976400482</v>
      </c>
      <c r="C102" t="n">
        <v>9.065103363345999</v>
      </c>
      <c r="D102" t="n">
        <v>19.24566006732649</v>
      </c>
      <c r="E102" t="n">
        <v>36.95633976400482</v>
      </c>
      <c r="F102" t="n">
        <v>9.065103363345999</v>
      </c>
      <c r="G102" t="n">
        <v>19.24566006732649</v>
      </c>
      <c r="H102" t="n">
        <v>39.02</v>
      </c>
      <c r="I102" t="n">
        <v>36.95633976400482</v>
      </c>
      <c r="J102" t="n">
        <v>39.02</v>
      </c>
      <c r="K102" t="n">
        <v>36.95633976400482</v>
      </c>
      <c r="L102" t="n">
        <v>26.27162182665246</v>
      </c>
      <c r="M102" t="n">
        <v>26.27162182665246</v>
      </c>
      <c r="N102" t="n">
        <v>7.581441137176126</v>
      </c>
      <c r="O102" t="n">
        <v>4.828731667964584</v>
      </c>
      <c r="P102" t="n">
        <v>13.41150392730419</v>
      </c>
      <c r="Q102" t="n">
        <v>18.24023559526877</v>
      </c>
    </row>
    <row r="103">
      <c r="A103" s="8" t="n">
        <v>47270</v>
      </c>
      <c r="B103" t="n">
        <v>37.08410240820273</v>
      </c>
      <c r="C103" t="n">
        <v>9.083573585358446</v>
      </c>
      <c r="D103" t="n">
        <v>19.2900374022882</v>
      </c>
      <c r="E103" t="n">
        <v>37.08410240820273</v>
      </c>
      <c r="F103" t="n">
        <v>9.083573585358446</v>
      </c>
      <c r="G103" t="n">
        <v>19.2900374022882</v>
      </c>
      <c r="H103" t="n">
        <v>39.02</v>
      </c>
      <c r="I103" t="n">
        <v>37.08410240820273</v>
      </c>
      <c r="J103" t="n">
        <v>39.02</v>
      </c>
      <c r="K103" t="n">
        <v>37.08410240820273</v>
      </c>
      <c r="L103" t="n">
        <v>26.36244607746774</v>
      </c>
      <c r="M103" t="n">
        <v>26.36244607746774</v>
      </c>
      <c r="N103" t="n">
        <v>7.596888385306152</v>
      </c>
      <c r="O103" t="n">
        <v>4.839865931061811</v>
      </c>
      <c r="P103" t="n">
        <v>13.44242865527091</v>
      </c>
      <c r="Q103" t="n">
        <v>18.28229458633272</v>
      </c>
    </row>
    <row r="104">
      <c r="A104" s="8" t="n">
        <v>47300</v>
      </c>
      <c r="B104" t="n">
        <v>37.21230674368709</v>
      </c>
      <c r="C104" t="n">
        <v>9.102081440598834</v>
      </c>
      <c r="D104" t="n">
        <v>19.33451706410444</v>
      </c>
      <c r="E104" t="n">
        <v>37.21230674368709</v>
      </c>
      <c r="F104" t="n">
        <v>9.102081440598834</v>
      </c>
      <c r="G104" t="n">
        <v>19.33451706410444</v>
      </c>
      <c r="H104" t="n">
        <v>39.02</v>
      </c>
      <c r="I104" t="n">
        <v>37.21230674368709</v>
      </c>
      <c r="J104" t="n">
        <v>39.02</v>
      </c>
      <c r="K104" t="n">
        <v>37.21230674368709</v>
      </c>
      <c r="L104" t="n">
        <v>26.45358431896813</v>
      </c>
      <c r="M104" t="n">
        <v>26.45358431896813</v>
      </c>
      <c r="N104" t="n">
        <v>7.612367107330187</v>
      </c>
      <c r="O104" t="n">
        <v>4.851025867943224</v>
      </c>
      <c r="P104" t="n">
        <v>13.47342469058729</v>
      </c>
      <c r="Q104" t="n">
        <v>18.32445055853051</v>
      </c>
    </row>
    <row r="105">
      <c r="A105" s="8" t="n">
        <v>47331</v>
      </c>
      <c r="B105" t="n">
        <v>37.34095429743937</v>
      </c>
      <c r="C105" t="n">
        <v>9.120627005745172</v>
      </c>
      <c r="D105" t="n">
        <v>19.37909928872417</v>
      </c>
      <c r="E105" t="n">
        <v>37.34095429743937</v>
      </c>
      <c r="F105" t="n">
        <v>9.120627005745172</v>
      </c>
      <c r="G105" t="n">
        <v>19.37909928872417</v>
      </c>
      <c r="H105" t="n">
        <v>39.02</v>
      </c>
      <c r="I105" t="n">
        <v>37.34095429743937</v>
      </c>
      <c r="J105" t="n">
        <v>39.02</v>
      </c>
      <c r="K105" t="n">
        <v>37.34095429743937</v>
      </c>
      <c r="L105" t="n">
        <v>26.54503763665831</v>
      </c>
      <c r="M105" t="n">
        <v>26.54503763665831</v>
      </c>
      <c r="N105" t="n">
        <v>7.627877367376548</v>
      </c>
      <c r="O105" t="n">
        <v>4.862211537808352</v>
      </c>
      <c r="P105" t="n">
        <v>13.50449219767635</v>
      </c>
      <c r="Q105" t="n">
        <v>18.36670373548471</v>
      </c>
    </row>
    <row r="106">
      <c r="A106" s="8" t="n">
        <v>47362</v>
      </c>
      <c r="B106" t="n">
        <v>37.47004660172003</v>
      </c>
      <c r="C106" t="n">
        <v>9.139210357631702</v>
      </c>
      <c r="D106" t="n">
        <v>19.42378431264039</v>
      </c>
      <c r="E106" t="n">
        <v>37.47004660172003</v>
      </c>
      <c r="F106" t="n">
        <v>9.139210357631702</v>
      </c>
      <c r="G106" t="n">
        <v>19.42378431264039</v>
      </c>
      <c r="H106" t="n">
        <v>39.02</v>
      </c>
      <c r="I106" t="n">
        <v>37.47004660172003</v>
      </c>
      <c r="J106" t="n">
        <v>39.02</v>
      </c>
      <c r="K106" t="n">
        <v>37.47004660172003</v>
      </c>
      <c r="L106" t="n">
        <v>26.63680711979571</v>
      </c>
      <c r="M106" t="n">
        <v>26.63680711979571</v>
      </c>
      <c r="N106" t="n">
        <v>7.643419229704211</v>
      </c>
      <c r="O106" t="n">
        <v>4.873422999993238</v>
      </c>
      <c r="P106" t="n">
        <v>13.5356313413403</v>
      </c>
      <c r="Q106" t="n">
        <v>18.40905434133354</v>
      </c>
    </row>
    <row r="107">
      <c r="A107" s="8" t="n">
        <v>47392</v>
      </c>
      <c r="B107" t="n">
        <v>37.59958519408674</v>
      </c>
      <c r="C107" t="n">
        <v>9.157831573249215</v>
      </c>
      <c r="D107" t="n">
        <v>19.4685723728914</v>
      </c>
      <c r="E107" t="n">
        <v>37.59958519408674</v>
      </c>
      <c r="F107" t="n">
        <v>9.157831573249215</v>
      </c>
      <c r="G107" t="n">
        <v>19.4685723728914</v>
      </c>
      <c r="H107" t="n">
        <v>39.02</v>
      </c>
      <c r="I107" t="n">
        <v>37.59958519408674</v>
      </c>
      <c r="J107" t="n">
        <v>39.02</v>
      </c>
      <c r="K107" t="n">
        <v>37.59958519408674</v>
      </c>
      <c r="L107" t="n">
        <v>26.72889386140343</v>
      </c>
      <c r="M107" t="n">
        <v>26.72889386140343</v>
      </c>
      <c r="N107" t="n">
        <v>7.658992758703082</v>
      </c>
      <c r="O107" t="n">
        <v>4.884660313970737</v>
      </c>
      <c r="P107" t="n">
        <v>13.56684228676132</v>
      </c>
      <c r="Q107" t="n">
        <v>18.45150260073206</v>
      </c>
    </row>
    <row r="108">
      <c r="A108" s="8" t="n">
        <v>47423</v>
      </c>
      <c r="B108" t="n">
        <v>37.72957161741267</v>
      </c>
      <c r="C108" t="n">
        <v>9.176490729745371</v>
      </c>
      <c r="D108" t="n">
        <v>19.5134637070621</v>
      </c>
      <c r="E108" t="n">
        <v>37.72957161741267</v>
      </c>
      <c r="F108" t="n">
        <v>9.176490729745371</v>
      </c>
      <c r="G108" t="n">
        <v>19.5134637070621</v>
      </c>
      <c r="H108" t="n">
        <v>39.02</v>
      </c>
      <c r="I108" t="n">
        <v>37.72957161741267</v>
      </c>
      <c r="J108" t="n">
        <v>39.02</v>
      </c>
      <c r="K108" t="n">
        <v>37.72957161741267</v>
      </c>
      <c r="L108" t="n">
        <v>26.82129895828329</v>
      </c>
      <c r="M108" t="n">
        <v>26.82129895828329</v>
      </c>
      <c r="N108" t="n">
        <v>7.674598018894264</v>
      </c>
      <c r="O108" t="n">
        <v>4.895923539350844</v>
      </c>
      <c r="P108" t="n">
        <v>13.59812519950248</v>
      </c>
      <c r="Q108" t="n">
        <v>18.49404873885333</v>
      </c>
    </row>
    <row r="109">
      <c r="A109" s="8" t="n">
        <v>47453</v>
      </c>
      <c r="B109" t="n">
        <v>37.86000741990495</v>
      </c>
      <c r="C109" t="n">
        <v>9.195187904425021</v>
      </c>
      <c r="D109" t="n">
        <v>19.5584585532852</v>
      </c>
      <c r="E109" t="n">
        <v>37.86000741990495</v>
      </c>
      <c r="F109" t="n">
        <v>9.195187904425021</v>
      </c>
      <c r="G109" t="n">
        <v>19.5584585532852</v>
      </c>
      <c r="H109" t="n">
        <v>39.02</v>
      </c>
      <c r="I109" t="n">
        <v>37.86000741990495</v>
      </c>
      <c r="J109" t="n">
        <v>39.02</v>
      </c>
      <c r="K109" t="n">
        <v>37.86000741990495</v>
      </c>
      <c r="L109" t="n">
        <v>26.91402351102893</v>
      </c>
      <c r="M109" t="n">
        <v>26.91402351102893</v>
      </c>
      <c r="N109" t="n">
        <v>7.690235074930317</v>
      </c>
      <c r="O109" t="n">
        <v>4.907212735881002</v>
      </c>
      <c r="P109" t="n">
        <v>13.62948024550862</v>
      </c>
      <c r="Q109" t="n">
        <v>18.53669298138962</v>
      </c>
    </row>
    <row r="110">
      <c r="A110" s="8" t="n">
        <v>47484</v>
      </c>
      <c r="B110" t="n">
        <v>37.92607184785762</v>
      </c>
      <c r="C110" t="n">
        <v>9.204607973174898</v>
      </c>
      <c r="D110" t="n">
        <v>19.58115066899737</v>
      </c>
      <c r="E110" t="n">
        <v>37.92607184785762</v>
      </c>
      <c r="F110" t="n">
        <v>9.204607973174898</v>
      </c>
      <c r="G110" t="n">
        <v>19.58115066899737</v>
      </c>
      <c r="H110" t="n">
        <v>39.02</v>
      </c>
      <c r="I110" t="n">
        <v>37.92607184785762</v>
      </c>
      <c r="J110" t="n">
        <v>39.02</v>
      </c>
      <c r="K110" t="n">
        <v>37.92607184785762</v>
      </c>
      <c r="L110" t="n">
        <v>26.96098756857494</v>
      </c>
      <c r="M110" t="n">
        <v>26.96098756857494</v>
      </c>
      <c r="N110" t="n">
        <v>7.698113385179279</v>
      </c>
      <c r="O110" t="n">
        <v>4.912906182474633</v>
      </c>
      <c r="P110" t="n">
        <v>13.64529344172678</v>
      </c>
      <c r="Q110" t="n">
        <v>18.55819962420142</v>
      </c>
    </row>
    <row r="111">
      <c r="A111" s="8" t="n">
        <v>47515</v>
      </c>
      <c r="B111" t="n">
        <v>37.99225155599479</v>
      </c>
      <c r="C111" t="n">
        <v>9.214037692374138</v>
      </c>
      <c r="D111" t="n">
        <v>19.60386911255712</v>
      </c>
      <c r="E111" t="n">
        <v>37.99225155599479</v>
      </c>
      <c r="F111" t="n">
        <v>9.214037692374138</v>
      </c>
      <c r="G111" t="n">
        <v>19.60386911255712</v>
      </c>
      <c r="H111" t="n">
        <v>39.02</v>
      </c>
      <c r="I111" t="n">
        <v>37.99225155599479</v>
      </c>
      <c r="J111" t="n">
        <v>39.02</v>
      </c>
      <c r="K111" t="n">
        <v>37.99225155599479</v>
      </c>
      <c r="L111" t="n">
        <v>27.00803357680738</v>
      </c>
      <c r="M111" t="n">
        <v>27.00803357680738</v>
      </c>
      <c r="N111" t="n">
        <v>7.705999766413298</v>
      </c>
      <c r="O111" t="n">
        <v>4.918606234719141</v>
      </c>
      <c r="P111" t="n">
        <v>13.66112498473221</v>
      </c>
      <c r="Q111" t="n">
        <v>18.57973121945135</v>
      </c>
    </row>
    <row r="112">
      <c r="A112" s="8" t="n">
        <v>47543</v>
      </c>
      <c r="B112" t="n">
        <v>38.05854674547648</v>
      </c>
      <c r="C112" t="n">
        <v>9.223477071909205</v>
      </c>
      <c r="D112" t="n">
        <v>19.62661391451053</v>
      </c>
      <c r="E112" t="n">
        <v>38.05854674547648</v>
      </c>
      <c r="F112" t="n">
        <v>9.223477071909205</v>
      </c>
      <c r="G112" t="n">
        <v>19.62661391451053</v>
      </c>
      <c r="H112" t="n">
        <v>39.02</v>
      </c>
      <c r="I112" t="n">
        <v>38.05854674547648</v>
      </c>
      <c r="J112" t="n">
        <v>39.02</v>
      </c>
      <c r="K112" t="n">
        <v>38.05854674547648</v>
      </c>
      <c r="L112" t="n">
        <v>27.0551616787274</v>
      </c>
      <c r="M112" t="n">
        <v>27.0551616787274</v>
      </c>
      <c r="N112" t="n">
        <v>7.713894226900747</v>
      </c>
      <c r="O112" t="n">
        <v>4.924312900278535</v>
      </c>
      <c r="P112" t="n">
        <v>13.67697489581122</v>
      </c>
      <c r="Q112" t="n">
        <v>18.60128779608976</v>
      </c>
    </row>
    <row r="113">
      <c r="A113" s="8" t="n">
        <v>47574</v>
      </c>
      <c r="B113" t="n">
        <v>38.12495761781371</v>
      </c>
      <c r="C113" t="n">
        <v>9.232926121676691</v>
      </c>
      <c r="D113" t="n">
        <v>19.64938510543914</v>
      </c>
      <c r="E113" t="n">
        <v>38.12495761781371</v>
      </c>
      <c r="F113" t="n">
        <v>9.232926121676691</v>
      </c>
      <c r="G113" t="n">
        <v>19.64938510543914</v>
      </c>
      <c r="H113" t="n">
        <v>39.02</v>
      </c>
      <c r="I113" t="n">
        <v>38.12495761781371</v>
      </c>
      <c r="J113" t="n">
        <v>39.02</v>
      </c>
      <c r="K113" t="n">
        <v>38.12495761781371</v>
      </c>
      <c r="L113" t="n">
        <v>27.10237201758572</v>
      </c>
      <c r="M113" t="n">
        <v>27.10237201758572</v>
      </c>
      <c r="N113" t="n">
        <v>7.721796774918468</v>
      </c>
      <c r="O113" t="n">
        <v>4.930026186825716</v>
      </c>
      <c r="P113" t="n">
        <v>13.69284319627481</v>
      </c>
      <c r="Q113" t="n">
        <v>18.62286938310053</v>
      </c>
    </row>
    <row r="114">
      <c r="A114" s="8" t="n">
        <v>47604</v>
      </c>
      <c r="B114" t="n">
        <v>38.19148437486913</v>
      </c>
      <c r="C114" t="n">
        <v>9.242384851583328</v>
      </c>
      <c r="D114" t="n">
        <v>19.67218271595998</v>
      </c>
      <c r="E114" t="n">
        <v>38.19148437486913</v>
      </c>
      <c r="F114" t="n">
        <v>9.242384851583328</v>
      </c>
      <c r="G114" t="n">
        <v>19.67218271595998</v>
      </c>
      <c r="H114" t="n">
        <v>39.02</v>
      </c>
      <c r="I114" t="n">
        <v>38.19148437486913</v>
      </c>
      <c r="J114" t="n">
        <v>39.02</v>
      </c>
      <c r="K114" t="n">
        <v>38.19148437486913</v>
      </c>
      <c r="L114" t="n">
        <v>27.14966473688299</v>
      </c>
      <c r="M114" t="n">
        <v>27.14966473688299</v>
      </c>
      <c r="N114" t="n">
        <v>7.729707418751783</v>
      </c>
      <c r="O114" t="n">
        <v>4.935746102042486</v>
      </c>
      <c r="P114" t="n">
        <v>13.70872990745873</v>
      </c>
      <c r="Q114" t="n">
        <v>18.64447600950121</v>
      </c>
    </row>
    <row r="115">
      <c r="A115" s="8" t="n">
        <v>47635</v>
      </c>
      <c r="B115" t="n">
        <v>38.25812721885764</v>
      </c>
      <c r="C115" t="n">
        <v>9.251853271545995</v>
      </c>
      <c r="D115" t="n">
        <v>19.69500677672558</v>
      </c>
      <c r="E115" t="n">
        <v>38.25812721885764</v>
      </c>
      <c r="F115" t="n">
        <v>9.251853271545995</v>
      </c>
      <c r="G115" t="n">
        <v>19.69500677672558</v>
      </c>
      <c r="H115" t="n">
        <v>39.02</v>
      </c>
      <c r="I115" t="n">
        <v>38.25812721885764</v>
      </c>
      <c r="J115" t="n">
        <v>39.02</v>
      </c>
      <c r="K115" t="n">
        <v>38.25812721885764</v>
      </c>
      <c r="L115" t="n">
        <v>27.19703998037028</v>
      </c>
      <c r="M115" t="n">
        <v>27.19703998037028</v>
      </c>
      <c r="N115" t="n">
        <v>7.737626166694501</v>
      </c>
      <c r="O115" t="n">
        <v>4.941472653619562</v>
      </c>
      <c r="P115" t="n">
        <v>13.72463505072344</v>
      </c>
      <c r="Q115" t="n">
        <v>18.66610770434301</v>
      </c>
    </row>
    <row r="116">
      <c r="A116" s="8" t="n">
        <v>47665</v>
      </c>
      <c r="B116" t="n">
        <v>38.32488635234702</v>
      </c>
      <c r="C116" t="n">
        <v>9.261331391491733</v>
      </c>
      <c r="D116" t="n">
        <v>19.71785731842404</v>
      </c>
      <c r="E116" t="n">
        <v>38.32488635234702</v>
      </c>
      <c r="F116" t="n">
        <v>9.261331391491733</v>
      </c>
      <c r="G116" t="n">
        <v>19.71785731842404</v>
      </c>
      <c r="H116" t="n">
        <v>39.02</v>
      </c>
      <c r="I116" t="n">
        <v>38.32488635234702</v>
      </c>
      <c r="J116" t="n">
        <v>39.02</v>
      </c>
      <c r="K116" t="n">
        <v>38.32488635234702</v>
      </c>
      <c r="L116" t="n">
        <v>27.24449789204952</v>
      </c>
      <c r="M116" t="n">
        <v>27.24449789204952</v>
      </c>
      <c r="N116" t="n">
        <v>7.74555302704893</v>
      </c>
      <c r="O116" t="n">
        <v>4.947205849256579</v>
      </c>
      <c r="P116" t="n">
        <v>13.74055864745423</v>
      </c>
      <c r="Q116" t="n">
        <v>18.68776449671081</v>
      </c>
    </row>
    <row r="117">
      <c r="A117" s="8" t="n">
        <v>47696</v>
      </c>
      <c r="B117" t="n">
        <v>38.39176197825849</v>
      </c>
      <c r="C117" t="n">
        <v>9.270819221357751</v>
      </c>
      <c r="D117" t="n">
        <v>19.74073437177909</v>
      </c>
      <c r="E117" t="n">
        <v>38.39176197825849</v>
      </c>
      <c r="F117" t="n">
        <v>9.270819221357751</v>
      </c>
      <c r="G117" t="n">
        <v>19.74073437177909</v>
      </c>
      <c r="H117" t="n">
        <v>39.02</v>
      </c>
      <c r="I117" t="n">
        <v>38.39176197825849</v>
      </c>
      <c r="J117" t="n">
        <v>39.02</v>
      </c>
      <c r="K117" t="n">
        <v>38.39176197825849</v>
      </c>
      <c r="L117" t="n">
        <v>27.29203861617388</v>
      </c>
      <c r="M117" t="n">
        <v>27.29203861617388</v>
      </c>
      <c r="N117" t="n">
        <v>7.753488008125881</v>
      </c>
      <c r="O117" t="n">
        <v>4.952945696662113</v>
      </c>
      <c r="P117" t="n">
        <v>13.75650071906118</v>
      </c>
      <c r="Q117" t="n">
        <v>18.7094464157233</v>
      </c>
    </row>
    <row r="118">
      <c r="A118" s="8" t="n">
        <v>47727</v>
      </c>
      <c r="B118" t="n">
        <v>38.45875429986736</v>
      </c>
      <c r="C118" t="n">
        <v>9.280316771091439</v>
      </c>
      <c r="D118" t="n">
        <v>19.76363796755006</v>
      </c>
      <c r="E118" t="n">
        <v>38.45875429986736</v>
      </c>
      <c r="F118" t="n">
        <v>9.280316771091439</v>
      </c>
      <c r="G118" t="n">
        <v>19.76363796755006</v>
      </c>
      <c r="H118" t="n">
        <v>39.02</v>
      </c>
      <c r="I118" t="n">
        <v>38.45875429986736</v>
      </c>
      <c r="J118" t="n">
        <v>39.02</v>
      </c>
      <c r="K118" t="n">
        <v>38.45875429986736</v>
      </c>
      <c r="L118" t="n">
        <v>27.33966229724826</v>
      </c>
      <c r="M118" t="n">
        <v>27.33966229724826</v>
      </c>
      <c r="N118" t="n">
        <v>7.761431118244681</v>
      </c>
      <c r="O118" t="n">
        <v>4.958692203553674</v>
      </c>
      <c r="P118" t="n">
        <v>13.77246128697921</v>
      </c>
      <c r="Q118" t="n">
        <v>18.73115349053288</v>
      </c>
    </row>
    <row r="119">
      <c r="A119" s="8" t="n">
        <v>47757</v>
      </c>
      <c r="B119" t="n">
        <v>38.52586352080368</v>
      </c>
      <c r="C119" t="n">
        <v>9.289824050650376</v>
      </c>
      <c r="D119" t="n">
        <v>19.78656813653201</v>
      </c>
      <c r="E119" t="n">
        <v>38.52586352080368</v>
      </c>
      <c r="F119" t="n">
        <v>9.289824050650376</v>
      </c>
      <c r="G119" t="n">
        <v>19.78656813653201</v>
      </c>
      <c r="H119" t="n">
        <v>39.02</v>
      </c>
      <c r="I119" t="n">
        <v>38.52586352080368</v>
      </c>
      <c r="J119" t="n">
        <v>39.02</v>
      </c>
      <c r="K119" t="n">
        <v>38.52586352080368</v>
      </c>
      <c r="L119" t="n">
        <v>27.38736908002975</v>
      </c>
      <c r="M119" t="n">
        <v>27.38736908002975</v>
      </c>
      <c r="N119" t="n">
        <v>7.769382365733176</v>
      </c>
      <c r="O119" t="n">
        <v>4.964445377657736</v>
      </c>
      <c r="P119" t="n">
        <v>13.7884403726681</v>
      </c>
      <c r="Q119" t="n">
        <v>18.75288575032584</v>
      </c>
    </row>
    <row r="120">
      <c r="A120" s="8" t="n">
        <v>47788</v>
      </c>
      <c r="B120" t="n">
        <v>38.59308984505279</v>
      </c>
      <c r="C120" t="n">
        <v>9.299341070002344</v>
      </c>
      <c r="D120" t="n">
        <v>19.8095249095557</v>
      </c>
      <c r="E120" t="n">
        <v>38.59308984505279</v>
      </c>
      <c r="F120" t="n">
        <v>9.299341070002344</v>
      </c>
      <c r="G120" t="n">
        <v>19.8095249095557</v>
      </c>
      <c r="H120" t="n">
        <v>39.02</v>
      </c>
      <c r="I120" t="n">
        <v>38.59308984505279</v>
      </c>
      <c r="J120" t="n">
        <v>39.02</v>
      </c>
      <c r="K120" t="n">
        <v>38.59308984505279</v>
      </c>
      <c r="L120" t="n">
        <v>27.43515910952799</v>
      </c>
      <c r="M120" t="n">
        <v>27.43515910952799</v>
      </c>
      <c r="N120" t="n">
        <v>7.777341758927749</v>
      </c>
      <c r="O120" t="n">
        <v>4.970205226709728</v>
      </c>
      <c r="P120" t="n">
        <v>13.80443799761255</v>
      </c>
      <c r="Q120" t="n">
        <v>18.77464322432228</v>
      </c>
    </row>
    <row r="121">
      <c r="A121" s="8" t="n">
        <v>47818</v>
      </c>
      <c r="B121" t="n">
        <v>38.66043347695601</v>
      </c>
      <c r="C121" t="n">
        <v>9.308867839125336</v>
      </c>
      <c r="D121" t="n">
        <v>19.83250831748768</v>
      </c>
      <c r="E121" t="n">
        <v>38.66043347695601</v>
      </c>
      <c r="F121" t="n">
        <v>9.308867839125336</v>
      </c>
      <c r="G121" t="n">
        <v>19.83250831748768</v>
      </c>
      <c r="H121" t="n">
        <v>39.02</v>
      </c>
      <c r="I121" t="n">
        <v>38.66043347695601</v>
      </c>
      <c r="J121" t="n">
        <v>39.02</v>
      </c>
      <c r="K121" t="n">
        <v>38.66043347695601</v>
      </c>
      <c r="L121" t="n">
        <v>27.48303253100568</v>
      </c>
      <c r="M121" t="n">
        <v>27.48303253100568</v>
      </c>
      <c r="N121" t="n">
        <v>7.785309306173319</v>
      </c>
      <c r="O121" t="n">
        <v>4.975971758454063</v>
      </c>
      <c r="P121" t="n">
        <v>13.82045418332218</v>
      </c>
      <c r="Q121" t="n">
        <v>18.79642594177624</v>
      </c>
    </row>
    <row r="122">
      <c r="A122" s="8" t="n">
        <v>47849</v>
      </c>
      <c r="B122" t="n">
        <v>38.69432576662435</v>
      </c>
      <c r="C122" t="n">
        <v>9.313649530025756</v>
      </c>
      <c r="D122" t="n">
        <v>19.84405004082577</v>
      </c>
      <c r="E122" t="n">
        <v>38.69432576662435</v>
      </c>
      <c r="F122" t="n">
        <v>9.313649530025756</v>
      </c>
      <c r="G122" t="n">
        <v>19.84405004082577</v>
      </c>
      <c r="H122" t="n">
        <v>39.02</v>
      </c>
      <c r="I122" t="n">
        <v>38.69432576662435</v>
      </c>
      <c r="J122" t="n">
        <v>39.02</v>
      </c>
      <c r="K122" t="n">
        <v>38.69432576662435</v>
      </c>
      <c r="L122" t="n">
        <v>27.50712597269097</v>
      </c>
      <c r="M122" t="n">
        <v>27.50712597269097</v>
      </c>
      <c r="N122" t="n">
        <v>7.789308389983471</v>
      </c>
      <c r="O122" t="n">
        <v>4.978867574175142</v>
      </c>
      <c r="P122" t="n">
        <v>13.82849713260711</v>
      </c>
      <c r="Q122" t="n">
        <v>18.80736470678225</v>
      </c>
    </row>
    <row r="123">
      <c r="A123" s="8" t="n">
        <v>47880</v>
      </c>
      <c r="B123" t="n">
        <v>38.72824776851255</v>
      </c>
      <c r="C123" t="n">
        <v>9.318433677139787</v>
      </c>
      <c r="D123" t="n">
        <v>19.85559848098331</v>
      </c>
      <c r="E123" t="n">
        <v>38.72824776851255</v>
      </c>
      <c r="F123" t="n">
        <v>9.318433677139787</v>
      </c>
      <c r="G123" t="n">
        <v>19.85559848098331</v>
      </c>
      <c r="H123" t="n">
        <v>39.02</v>
      </c>
      <c r="I123" t="n">
        <v>38.72824776851255</v>
      </c>
      <c r="J123" t="n">
        <v>39.02</v>
      </c>
      <c r="K123" t="n">
        <v>38.72824776851255</v>
      </c>
      <c r="L123" t="n">
        <v>27.53124053627872</v>
      </c>
      <c r="M123" t="n">
        <v>27.53124053627872</v>
      </c>
      <c r="N123" t="n">
        <v>7.793309528005048</v>
      </c>
      <c r="O123" t="n">
        <v>4.981765075144671</v>
      </c>
      <c r="P123" t="n">
        <v>13.83654476256551</v>
      </c>
      <c r="Q123" t="n">
        <v>18.81830983771018</v>
      </c>
    </row>
    <row r="124">
      <c r="A124" s="8" t="n">
        <v>47908</v>
      </c>
      <c r="B124" t="n">
        <v>38.76219950866829</v>
      </c>
      <c r="C124" t="n">
        <v>9.323220281729109</v>
      </c>
      <c r="D124" t="n">
        <v>19.86715364186922</v>
      </c>
      <c r="E124" t="n">
        <v>38.76219950866829</v>
      </c>
      <c r="F124" t="n">
        <v>9.323220281729109</v>
      </c>
      <c r="G124" t="n">
        <v>19.86715364186922</v>
      </c>
      <c r="H124" t="n">
        <v>39.02</v>
      </c>
      <c r="I124" t="n">
        <v>38.76219950866829</v>
      </c>
      <c r="J124" t="n">
        <v>39.02</v>
      </c>
      <c r="K124" t="n">
        <v>38.76219950866829</v>
      </c>
      <c r="L124" t="n">
        <v>27.55537624028578</v>
      </c>
      <c r="M124" t="n">
        <v>27.55537624028578</v>
      </c>
      <c r="N124" t="n">
        <v>7.797312721293236</v>
      </c>
      <c r="O124" t="n">
        <v>4.984664262343396</v>
      </c>
      <c r="P124" t="n">
        <v>13.84459707592135</v>
      </c>
      <c r="Q124" t="n">
        <v>18.82926133826475</v>
      </c>
    </row>
    <row r="125">
      <c r="A125" s="8" t="n">
        <v>47939</v>
      </c>
      <c r="B125" t="n">
        <v>38.7961810131621</v>
      </c>
      <c r="C125" t="n">
        <v>9.328009345056056</v>
      </c>
      <c r="D125" t="n">
        <v>19.87871552739469</v>
      </c>
      <c r="E125" t="n">
        <v>38.7961810131621</v>
      </c>
      <c r="F125" t="n">
        <v>9.328009345056056</v>
      </c>
      <c r="G125" t="n">
        <v>19.87871552739469</v>
      </c>
      <c r="H125" t="n">
        <v>39.02</v>
      </c>
      <c r="I125" t="n">
        <v>38.7961810131621</v>
      </c>
      <c r="J125" t="n">
        <v>39.02</v>
      </c>
      <c r="K125" t="n">
        <v>38.7961810131621</v>
      </c>
      <c r="L125" t="n">
        <v>27.57953310324524</v>
      </c>
      <c r="M125" t="n">
        <v>27.57953310324524</v>
      </c>
      <c r="N125" t="n">
        <v>7.801317970903767</v>
      </c>
      <c r="O125" t="n">
        <v>4.987565136752636</v>
      </c>
      <c r="P125" t="n">
        <v>13.85265407540017</v>
      </c>
      <c r="Q125" t="n">
        <v>18.8402192121528</v>
      </c>
    </row>
    <row r="126">
      <c r="A126" s="8" t="n">
        <v>47969</v>
      </c>
      <c r="B126" t="n">
        <v>38.83019230808738</v>
      </c>
      <c r="C126" t="n">
        <v>9.332800868383611</v>
      </c>
      <c r="D126" t="n">
        <v>19.89028414147319</v>
      </c>
      <c r="E126" t="n">
        <v>38.83019230808738</v>
      </c>
      <c r="F126" t="n">
        <v>9.332800868383611</v>
      </c>
      <c r="G126" t="n">
        <v>19.89028414147319</v>
      </c>
      <c r="H126" t="n">
        <v>39.02</v>
      </c>
      <c r="I126" t="n">
        <v>38.83019230808738</v>
      </c>
      <c r="J126" t="n">
        <v>39.02</v>
      </c>
      <c r="K126" t="n">
        <v>38.83019230808738</v>
      </c>
      <c r="L126" t="n">
        <v>27.60371114370643</v>
      </c>
      <c r="M126" t="n">
        <v>27.60371114370643</v>
      </c>
      <c r="N126" t="n">
        <v>7.805325277892912</v>
      </c>
      <c r="O126" t="n">
        <v>4.990467699354277</v>
      </c>
      <c r="P126" t="n">
        <v>13.86071576372909</v>
      </c>
      <c r="Q126" t="n">
        <v>18.85118346308337</v>
      </c>
    </row>
    <row r="127">
      <c r="A127" s="8" t="n">
        <v>48000</v>
      </c>
      <c r="B127" t="n">
        <v>38.86423341956037</v>
      </c>
      <c r="C127" t="n">
        <v>9.337594852975403</v>
      </c>
      <c r="D127" t="n">
        <v>19.90185948802048</v>
      </c>
      <c r="E127" t="n">
        <v>38.86423341956037</v>
      </c>
      <c r="F127" t="n">
        <v>9.337594852975403</v>
      </c>
      <c r="G127" t="n">
        <v>19.90185948802048</v>
      </c>
      <c r="H127" t="n">
        <v>39.02</v>
      </c>
      <c r="I127" t="n">
        <v>38.86423341956037</v>
      </c>
      <c r="J127" t="n">
        <v>39.02</v>
      </c>
      <c r="K127" t="n">
        <v>38.86423341956037</v>
      </c>
      <c r="L127" t="n">
        <v>27.62791038023495</v>
      </c>
      <c r="M127" t="n">
        <v>27.62791038023495</v>
      </c>
      <c r="N127" t="n">
        <v>7.809334643317488</v>
      </c>
      <c r="O127" t="n">
        <v>4.993371951130783</v>
      </c>
      <c r="P127" t="n">
        <v>13.86878214363686</v>
      </c>
      <c r="Q127" t="n">
        <v>18.86215409476765</v>
      </c>
    </row>
    <row r="128">
      <c r="A128" s="8" t="n">
        <v>48030</v>
      </c>
      <c r="B128" t="n">
        <v>38.89830437372024</v>
      </c>
      <c r="C128" t="n">
        <v>9.342391300095711</v>
      </c>
      <c r="D128" t="n">
        <v>19.91344157095457</v>
      </c>
      <c r="E128" t="n">
        <v>38.89830437372024</v>
      </c>
      <c r="F128" t="n">
        <v>9.342391300095711</v>
      </c>
      <c r="G128" t="n">
        <v>19.91344157095457</v>
      </c>
      <c r="H128" t="n">
        <v>39.02</v>
      </c>
      <c r="I128" t="n">
        <v>38.89830437372024</v>
      </c>
      <c r="J128" t="n">
        <v>39.02</v>
      </c>
      <c r="K128" t="n">
        <v>38.89830437372024</v>
      </c>
      <c r="L128" t="n">
        <v>27.65213083141266</v>
      </c>
      <c r="M128" t="n">
        <v>27.65213083141266</v>
      </c>
      <c r="N128" t="n">
        <v>7.81334606823485</v>
      </c>
      <c r="O128" t="n">
        <v>4.996277893065183</v>
      </c>
      <c r="P128" t="n">
        <v>13.87685321785378</v>
      </c>
      <c r="Q128" t="n">
        <v>18.87313111091897</v>
      </c>
    </row>
    <row r="129">
      <c r="A129" s="8" t="n">
        <v>48061</v>
      </c>
      <c r="B129" t="n">
        <v>38.93240519672905</v>
      </c>
      <c r="C129" t="n">
        <v>9.347190211009462</v>
      </c>
      <c r="D129" t="n">
        <v>19.92503039419578</v>
      </c>
      <c r="E129" t="n">
        <v>38.93240519672905</v>
      </c>
      <c r="F129" t="n">
        <v>9.347190211009462</v>
      </c>
      <c r="G129" t="n">
        <v>19.92503039419578</v>
      </c>
      <c r="H129" t="n">
        <v>39.02</v>
      </c>
      <c r="I129" t="n">
        <v>38.93240519672905</v>
      </c>
      <c r="J129" t="n">
        <v>39.02</v>
      </c>
      <c r="K129" t="n">
        <v>38.93240519672905</v>
      </c>
      <c r="L129" t="n">
        <v>27.67637251583775</v>
      </c>
      <c r="M129" t="n">
        <v>27.67637251583775</v>
      </c>
      <c r="N129" t="n">
        <v>7.817359553702899</v>
      </c>
      <c r="O129" t="n">
        <v>4.999185526141082</v>
      </c>
      <c r="P129" t="n">
        <v>13.88492898911175</v>
      </c>
      <c r="Q129" t="n">
        <v>18.88411451525283</v>
      </c>
    </row>
    <row r="130">
      <c r="A130" s="8" t="n">
        <v>48092</v>
      </c>
      <c r="B130" t="n">
        <v>38.96653591477181</v>
      </c>
      <c r="C130" t="n">
        <v>9.351991586982233</v>
      </c>
      <c r="D130" t="n">
        <v>19.93662596166669</v>
      </c>
      <c r="E130" t="n">
        <v>38.96653591477181</v>
      </c>
      <c r="F130" t="n">
        <v>9.351991586982233</v>
      </c>
      <c r="G130" t="n">
        <v>19.93662596166669</v>
      </c>
      <c r="H130" t="n">
        <v>39.02</v>
      </c>
      <c r="I130" t="n">
        <v>38.96653591477181</v>
      </c>
      <c r="J130" t="n">
        <v>39.02</v>
      </c>
      <c r="K130" t="n">
        <v>38.96653591477181</v>
      </c>
      <c r="L130" t="n">
        <v>27.70063545212466</v>
      </c>
      <c r="M130" t="n">
        <v>27.70063545212466</v>
      </c>
      <c r="N130" t="n">
        <v>7.821375100780079</v>
      </c>
      <c r="O130" t="n">
        <v>5.002094851342656</v>
      </c>
      <c r="P130" t="n">
        <v>13.89300946014425</v>
      </c>
      <c r="Q130" t="n">
        <v>18.89510431148691</v>
      </c>
    </row>
    <row r="131">
      <c r="A131" s="8" t="n">
        <v>48122</v>
      </c>
      <c r="B131" t="n">
        <v>39.00069655405649</v>
      </c>
      <c r="C131" t="n">
        <v>9.356795429280256</v>
      </c>
      <c r="D131" t="n">
        <v>19.94822827729217</v>
      </c>
      <c r="E131" t="n">
        <v>39.00069655405649</v>
      </c>
      <c r="F131" t="n">
        <v>9.356795429280256</v>
      </c>
      <c r="G131" t="n">
        <v>19.94822827729217</v>
      </c>
      <c r="H131" t="n">
        <v>39.02</v>
      </c>
      <c r="I131" t="n">
        <v>39.00069655405649</v>
      </c>
      <c r="J131" t="n">
        <v>39.02</v>
      </c>
      <c r="K131" t="n">
        <v>39.00069655405649</v>
      </c>
      <c r="L131" t="n">
        <v>27.72491965890419</v>
      </c>
      <c r="M131" t="n">
        <v>27.72491965890419</v>
      </c>
      <c r="N131" t="n">
        <v>7.82539271052538</v>
      </c>
      <c r="O131" t="n">
        <v>5.005005869654656</v>
      </c>
      <c r="P131" t="n">
        <v>13.90109463368637</v>
      </c>
      <c r="Q131" t="n">
        <v>18.90610050334103</v>
      </c>
    </row>
    <row r="132">
      <c r="A132" s="8" t="n">
        <v>48153</v>
      </c>
      <c r="B132" t="n">
        <v>39.03488714081401</v>
      </c>
      <c r="C132" t="n">
        <v>9.361601739170405</v>
      </c>
      <c r="D132" t="n">
        <v>19.95983734499939</v>
      </c>
      <c r="E132" t="n">
        <v>39.03488714081401</v>
      </c>
      <c r="F132" t="n">
        <v>9.361601739170405</v>
      </c>
      <c r="G132" t="n">
        <v>19.95983734499939</v>
      </c>
      <c r="H132" t="n">
        <v>39.02</v>
      </c>
      <c r="I132" t="n">
        <v>39.02</v>
      </c>
      <c r="J132" t="n">
        <v>39.02</v>
      </c>
      <c r="K132" t="n">
        <v>39.02</v>
      </c>
      <c r="L132" t="n">
        <v>27.73864214427524</v>
      </c>
      <c r="M132" t="n">
        <v>27.73864214427524</v>
      </c>
      <c r="N132" t="n">
        <v>7.82941238399833</v>
      </c>
      <c r="O132" t="n">
        <v>5.007918582062401</v>
      </c>
      <c r="P132" t="n">
        <v>13.90918451247478</v>
      </c>
      <c r="Q132" t="n">
        <v>18.91710309453718</v>
      </c>
    </row>
    <row r="133">
      <c r="A133" s="8" t="n">
        <v>48183</v>
      </c>
      <c r="B133" t="n">
        <v>39.06910770129832</v>
      </c>
      <c r="C133" t="n">
        <v>9.366410517920214</v>
      </c>
      <c r="D133" t="n">
        <v>19.97145316871777</v>
      </c>
      <c r="E133" t="n">
        <v>39.06910770129832</v>
      </c>
      <c r="F133" t="n">
        <v>9.366410517920214</v>
      </c>
      <c r="G133" t="n">
        <v>19.97145316871777</v>
      </c>
      <c r="H133" t="n">
        <v>39.02</v>
      </c>
      <c r="I133" t="n">
        <v>39.02</v>
      </c>
      <c r="J133" t="n">
        <v>39.02</v>
      </c>
      <c r="K133" t="n">
        <v>39.02</v>
      </c>
      <c r="L133" t="n">
        <v>27.73864214427524</v>
      </c>
      <c r="M133" t="n">
        <v>27.73864214427524</v>
      </c>
      <c r="N133" t="n">
        <v>7.833434122259009</v>
      </c>
      <c r="O133" t="n">
        <v>5.010832989551789</v>
      </c>
      <c r="P133" t="n">
        <v>13.91727909924774</v>
      </c>
      <c r="Q133" t="n">
        <v>18.92811208879953</v>
      </c>
    </row>
    <row r="134">
      <c r="A134" s="8" t="n">
        <v>48214</v>
      </c>
      <c r="B134" t="n">
        <v>39.08627424944056</v>
      </c>
      <c r="C134" t="n">
        <v>9.368819539651817</v>
      </c>
      <c r="D134" t="n">
        <v>19.97727375815584</v>
      </c>
      <c r="E134" t="n">
        <v>39.08627424944056</v>
      </c>
      <c r="F134" t="n">
        <v>9.368819539651817</v>
      </c>
      <c r="G134" t="n">
        <v>19.97727375815584</v>
      </c>
      <c r="H134" t="n">
        <v>39.02</v>
      </c>
      <c r="I134" t="n">
        <v>39.02</v>
      </c>
      <c r="J134" t="n">
        <v>39.02</v>
      </c>
      <c r="K134" t="n">
        <v>39.02</v>
      </c>
      <c r="L134" t="n">
        <v>27.73864214427524</v>
      </c>
      <c r="M134" t="n">
        <v>27.73864214427524</v>
      </c>
      <c r="N134" t="n">
        <v>7.835448865580103</v>
      </c>
      <c r="O134" t="n">
        <v>5.012293374098097</v>
      </c>
      <c r="P134" t="n">
        <v>13.92133522711423</v>
      </c>
      <c r="Q134" t="n">
        <v>18.93362860121232</v>
      </c>
    </row>
    <row r="135">
      <c r="A135" s="8" t="n">
        <v>48245</v>
      </c>
      <c r="B135" t="n">
        <v>39.10344834038048</v>
      </c>
      <c r="C135" t="n">
        <v>9.371229180978908</v>
      </c>
      <c r="D135" t="n">
        <v>19.9830960439783</v>
      </c>
      <c r="E135" t="n">
        <v>39.10344834038048</v>
      </c>
      <c r="F135" t="n">
        <v>9.371229180978908</v>
      </c>
      <c r="G135" t="n">
        <v>19.9830960439783</v>
      </c>
      <c r="H135" t="n">
        <v>39.02</v>
      </c>
      <c r="I135" t="n">
        <v>39.02</v>
      </c>
      <c r="J135" t="n">
        <v>39.02</v>
      </c>
      <c r="K135" t="n">
        <v>39.02</v>
      </c>
      <c r="L135" t="n">
        <v>27.73864214427524</v>
      </c>
      <c r="M135" t="n">
        <v>27.73864214427524</v>
      </c>
      <c r="N135" t="n">
        <v>7.837464127089079</v>
      </c>
      <c r="O135" t="n">
        <v>5.013754184266857</v>
      </c>
      <c r="P135" t="n">
        <v>13.92539253712078</v>
      </c>
      <c r="Q135" t="n">
        <v>18.93914672138763</v>
      </c>
    </row>
    <row r="136">
      <c r="A136" s="8" t="n">
        <v>48274</v>
      </c>
      <c r="B136" t="n">
        <v>39.12062997743232</v>
      </c>
      <c r="C136" t="n">
        <v>9.373639442060847</v>
      </c>
      <c r="D136" t="n">
        <v>19.98892002667955</v>
      </c>
      <c r="E136" t="n">
        <v>39.12062997743232</v>
      </c>
      <c r="F136" t="n">
        <v>9.373639442060847</v>
      </c>
      <c r="G136" t="n">
        <v>19.98892002667955</v>
      </c>
      <c r="H136" t="n">
        <v>39.02</v>
      </c>
      <c r="I136" t="n">
        <v>39.02</v>
      </c>
      <c r="J136" t="n">
        <v>39.02</v>
      </c>
      <c r="K136" t="n">
        <v>39.02</v>
      </c>
      <c r="L136" t="n">
        <v>27.73864214427524</v>
      </c>
      <c r="M136" t="n">
        <v>27.73864214427524</v>
      </c>
      <c r="N136" t="n">
        <v>7.839479906919218</v>
      </c>
      <c r="O136" t="n">
        <v>5.015215420182115</v>
      </c>
      <c r="P136" t="n">
        <v>13.92945102961192</v>
      </c>
      <c r="Q136" t="n">
        <v>18.94466644979404</v>
      </c>
    </row>
    <row r="137">
      <c r="A137" s="8" t="n">
        <v>48305</v>
      </c>
      <c r="B137" t="n">
        <v>39.13781916391174</v>
      </c>
      <c r="C137" t="n">
        <v>9.376050323057033</v>
      </c>
      <c r="D137" t="n">
        <v>19.99474570675414</v>
      </c>
      <c r="E137" t="n">
        <v>39.13781916391174</v>
      </c>
      <c r="F137" t="n">
        <v>9.376050323057033</v>
      </c>
      <c r="G137" t="n">
        <v>19.99474570675414</v>
      </c>
      <c r="H137" t="n">
        <v>39.02</v>
      </c>
      <c r="I137" t="n">
        <v>39.02</v>
      </c>
      <c r="J137" t="n">
        <v>39.02</v>
      </c>
      <c r="K137" t="n">
        <v>39.02</v>
      </c>
      <c r="L137" t="n">
        <v>27.73864214427524</v>
      </c>
      <c r="M137" t="n">
        <v>27.73864214427524</v>
      </c>
      <c r="N137" t="n">
        <v>7.841496205203827</v>
      </c>
      <c r="O137" t="n">
        <v>5.016677081967952</v>
      </c>
      <c r="P137" t="n">
        <v>13.9335107049323</v>
      </c>
      <c r="Q137" t="n">
        <v>18.95018778690025</v>
      </c>
    </row>
    <row r="138">
      <c r="A138" s="8" t="n">
        <v>48335</v>
      </c>
      <c r="B138" t="n">
        <v>39.15501590313589</v>
      </c>
      <c r="C138" t="n">
        <v>9.378461824126907</v>
      </c>
      <c r="D138" t="n">
        <v>20.00057308469677</v>
      </c>
      <c r="E138" t="n">
        <v>39.15501590313589</v>
      </c>
      <c r="F138" t="n">
        <v>9.378461824126907</v>
      </c>
      <c r="G138" t="n">
        <v>20.00057308469677</v>
      </c>
      <c r="H138" t="n">
        <v>39.02</v>
      </c>
      <c r="I138" t="n">
        <v>39.02</v>
      </c>
      <c r="J138" t="n">
        <v>39.02</v>
      </c>
      <c r="K138" t="n">
        <v>39.02</v>
      </c>
      <c r="L138" t="n">
        <v>27.73864214427524</v>
      </c>
      <c r="M138" t="n">
        <v>27.73864214427524</v>
      </c>
      <c r="N138" t="n">
        <v>7.843513022076253</v>
      </c>
      <c r="O138" t="n">
        <v>5.018139169748487</v>
      </c>
      <c r="P138" t="n">
        <v>13.93757156342663</v>
      </c>
      <c r="Q138" t="n">
        <v>18.95571073317511</v>
      </c>
    </row>
    <row r="139">
      <c r="A139" s="8" t="n">
        <v>48366</v>
      </c>
      <c r="B139" t="n">
        <v>39.17222019842337</v>
      </c>
      <c r="C139" t="n">
        <v>9.380873945429951</v>
      </c>
      <c r="D139" t="n">
        <v>20.00640216100226</v>
      </c>
      <c r="E139" t="n">
        <v>39.17222019842337</v>
      </c>
      <c r="F139" t="n">
        <v>9.380873945429951</v>
      </c>
      <c r="G139" t="n">
        <v>20.00640216100226</v>
      </c>
      <c r="H139" t="n">
        <v>39.02</v>
      </c>
      <c r="I139" t="n">
        <v>39.02</v>
      </c>
      <c r="J139" t="n">
        <v>39.02</v>
      </c>
      <c r="K139" t="n">
        <v>39.02</v>
      </c>
      <c r="L139" t="n">
        <v>27.73864214427524</v>
      </c>
      <c r="M139" t="n">
        <v>27.73864214427524</v>
      </c>
      <c r="N139" t="n">
        <v>7.845530357669877</v>
      </c>
      <c r="O139" t="n">
        <v>5.019601683647873</v>
      </c>
      <c r="P139" t="n">
        <v>13.94163360543975</v>
      </c>
      <c r="Q139" t="n">
        <v>18.96123528908762</v>
      </c>
    </row>
    <row r="140">
      <c r="A140" s="8" t="n">
        <v>48396</v>
      </c>
      <c r="B140" t="n">
        <v>39.18943205309422</v>
      </c>
      <c r="C140" t="n">
        <v>9.383286687125686</v>
      </c>
      <c r="D140" t="n">
        <v>20.01223293616561</v>
      </c>
      <c r="E140" t="n">
        <v>39.18943205309422</v>
      </c>
      <c r="F140" t="n">
        <v>9.383286687125686</v>
      </c>
      <c r="G140" t="n">
        <v>20.01223293616561</v>
      </c>
      <c r="H140" t="n">
        <v>39.02</v>
      </c>
      <c r="I140" t="n">
        <v>39.02</v>
      </c>
      <c r="J140" t="n">
        <v>39.02</v>
      </c>
      <c r="K140" t="n">
        <v>39.02</v>
      </c>
      <c r="L140" t="n">
        <v>27.73864214427524</v>
      </c>
      <c r="M140" t="n">
        <v>27.73864214427524</v>
      </c>
      <c r="N140" t="n">
        <v>7.847548212118111</v>
      </c>
      <c r="O140" t="n">
        <v>5.021064623790301</v>
      </c>
      <c r="P140" t="n">
        <v>13.94569683131659</v>
      </c>
      <c r="Q140" t="n">
        <v>18.96676145510689</v>
      </c>
    </row>
    <row r="141">
      <c r="A141" s="8" t="n">
        <v>48427</v>
      </c>
      <c r="B141" t="n">
        <v>39.20665147046996</v>
      </c>
      <c r="C141" t="n">
        <v>9.385700049373678</v>
      </c>
      <c r="D141" t="n">
        <v>20.01806541068193</v>
      </c>
      <c r="E141" t="n">
        <v>39.20665147046996</v>
      </c>
      <c r="F141" t="n">
        <v>9.385700049373678</v>
      </c>
      <c r="G141" t="n">
        <v>20.01806541068193</v>
      </c>
      <c r="H141" t="n">
        <v>39.02</v>
      </c>
      <c r="I141" t="n">
        <v>39.02</v>
      </c>
      <c r="J141" t="n">
        <v>39.02</v>
      </c>
      <c r="K141" t="n">
        <v>39.02</v>
      </c>
      <c r="L141" t="n">
        <v>27.73864214427524</v>
      </c>
      <c r="M141" t="n">
        <v>27.73864214427524</v>
      </c>
      <c r="N141" t="n">
        <v>7.849566585554405</v>
      </c>
      <c r="O141" t="n">
        <v>5.0225279903</v>
      </c>
      <c r="P141" t="n">
        <v>13.94976124140218</v>
      </c>
      <c r="Q141" t="n">
        <v>18.97228923170218</v>
      </c>
    </row>
    <row r="142">
      <c r="A142" s="8" t="n">
        <v>48458</v>
      </c>
      <c r="B142" t="n">
        <v>39.22387845387357</v>
      </c>
      <c r="C142" t="n">
        <v>9.388114032333531</v>
      </c>
      <c r="D142" t="n">
        <v>20.02389958504649</v>
      </c>
      <c r="E142" t="n">
        <v>39.22387845387357</v>
      </c>
      <c r="F142" t="n">
        <v>9.388114032333531</v>
      </c>
      <c r="G142" t="n">
        <v>20.02389958504649</v>
      </c>
      <c r="H142" t="n">
        <v>39.02</v>
      </c>
      <c r="I142" t="n">
        <v>39.02</v>
      </c>
      <c r="J142" t="n">
        <v>39.02</v>
      </c>
      <c r="K142" t="n">
        <v>39.02</v>
      </c>
      <c r="L142" t="n">
        <v>27.73864214427524</v>
      </c>
      <c r="M142" t="n">
        <v>27.73864214427524</v>
      </c>
      <c r="N142" t="n">
        <v>7.851585478112241</v>
      </c>
      <c r="O142" t="n">
        <v>5.023991783301229</v>
      </c>
      <c r="P142" t="n">
        <v>13.95382683604166</v>
      </c>
      <c r="Q142" t="n">
        <v>18.97781861934289</v>
      </c>
    </row>
    <row r="143">
      <c r="A143" s="8" t="n">
        <v>48488</v>
      </c>
      <c r="B143" t="n">
        <v>39.24111300662946</v>
      </c>
      <c r="C143" t="n">
        <v>9.390528636164891</v>
      </c>
      <c r="D143" t="n">
        <v>20.02973545975471</v>
      </c>
      <c r="E143" t="n">
        <v>39.24111300662946</v>
      </c>
      <c r="F143" t="n">
        <v>9.390528636164891</v>
      </c>
      <c r="G143" t="n">
        <v>20.02973545975471</v>
      </c>
      <c r="H143" t="n">
        <v>39.02</v>
      </c>
      <c r="I143" t="n">
        <v>39.02</v>
      </c>
      <c r="J143" t="n">
        <v>39.02</v>
      </c>
      <c r="K143" t="n">
        <v>39.02</v>
      </c>
      <c r="L143" t="n">
        <v>27.73864214427524</v>
      </c>
      <c r="M143" t="n">
        <v>27.73864214427524</v>
      </c>
      <c r="N143" t="n">
        <v>7.853604889925135</v>
      </c>
      <c r="O143" t="n">
        <v>5.025456002918289</v>
      </c>
      <c r="P143" t="n">
        <v>13.95789361558025</v>
      </c>
      <c r="Q143" t="n">
        <v>18.98334961849854</v>
      </c>
    </row>
    <row r="144">
      <c r="A144" s="8" t="n">
        <v>48519</v>
      </c>
      <c r="B144" t="n">
        <v>39.25835513206354</v>
      </c>
      <c r="C144" t="n">
        <v>9.392943861027444</v>
      </c>
      <c r="D144" t="n">
        <v>20.03557303530214</v>
      </c>
      <c r="E144" t="n">
        <v>39.25835513206354</v>
      </c>
      <c r="F144" t="n">
        <v>9.392943861027444</v>
      </c>
      <c r="G144" t="n">
        <v>20.03557303530214</v>
      </c>
      <c r="H144" t="n">
        <v>39.02</v>
      </c>
      <c r="I144" t="n">
        <v>39.02</v>
      </c>
      <c r="J144" t="n">
        <v>39.02</v>
      </c>
      <c r="K144" t="n">
        <v>39.02</v>
      </c>
      <c r="L144" t="n">
        <v>27.73864214427524</v>
      </c>
      <c r="M144" t="n">
        <v>27.73864214427524</v>
      </c>
      <c r="N144" t="n">
        <v>7.85562482112664</v>
      </c>
      <c r="O144" t="n">
        <v>5.026920649275515</v>
      </c>
      <c r="P144" t="n">
        <v>13.96196158036329</v>
      </c>
      <c r="Q144" t="n">
        <v>18.98888222963881</v>
      </c>
    </row>
    <row r="145">
      <c r="A145" s="8" t="n">
        <v>48549</v>
      </c>
      <c r="B145" t="n">
        <v>39.27560483350316</v>
      </c>
      <c r="C145" t="n">
        <v>9.395359707080919</v>
      </c>
      <c r="D145" t="n">
        <v>20.04141231218449</v>
      </c>
      <c r="E145" t="n">
        <v>39.27560483350316</v>
      </c>
      <c r="F145" t="n">
        <v>9.395359707080919</v>
      </c>
      <c r="G145" t="n">
        <v>20.04141231218449</v>
      </c>
      <c r="H145" t="n">
        <v>39.02</v>
      </c>
      <c r="I145" t="n">
        <v>39.02</v>
      </c>
      <c r="J145" t="n">
        <v>39.02</v>
      </c>
      <c r="K145" t="n">
        <v>39.02</v>
      </c>
      <c r="L145" t="n">
        <v>27.73864214427524</v>
      </c>
      <c r="M145" t="n">
        <v>27.73864214427524</v>
      </c>
      <c r="N145" t="n">
        <v>7.857645271850342</v>
      </c>
      <c r="O145" t="n">
        <v>5.028385722497277</v>
      </c>
      <c r="P145" t="n">
        <v>13.96603073073622</v>
      </c>
      <c r="Q145" t="n">
        <v>18.9944164532335</v>
      </c>
    </row>
    <row r="146">
      <c r="A146" s="8" t="n">
        <v>48580</v>
      </c>
      <c r="B146" t="n">
        <v>39.2842438977525</v>
      </c>
      <c r="C146" t="n">
        <v>9.396568795249735</v>
      </c>
      <c r="D146" t="n">
        <v>20.04433514189815</v>
      </c>
      <c r="E146" t="n">
        <v>39.2842438977525</v>
      </c>
      <c r="F146" t="n">
        <v>9.396568795249735</v>
      </c>
      <c r="G146" t="n">
        <v>20.04433514189815</v>
      </c>
      <c r="H146" t="n">
        <v>39.02</v>
      </c>
      <c r="I146" t="n">
        <v>39.02</v>
      </c>
      <c r="J146" t="n">
        <v>39.02</v>
      </c>
      <c r="K146" t="n">
        <v>39.02</v>
      </c>
      <c r="L146" t="n">
        <v>27.73864214427524</v>
      </c>
      <c r="M146" t="n">
        <v>27.73864214427524</v>
      </c>
      <c r="N146" t="n">
        <v>7.858656471658453</v>
      </c>
      <c r="O146" t="n">
        <v>5.029119059797691</v>
      </c>
      <c r="P146" t="n">
        <v>13.9680675297884</v>
      </c>
      <c r="Q146" t="n">
        <v>18.99718658958609</v>
      </c>
    </row>
    <row r="147">
      <c r="A147" s="8" t="n">
        <v>48611</v>
      </c>
      <c r="B147" t="n">
        <v>39.29288486225091</v>
      </c>
      <c r="C147" t="n">
        <v>9.397778039016019</v>
      </c>
      <c r="D147" t="n">
        <v>20.04725839787586</v>
      </c>
      <c r="E147" t="n">
        <v>39.29288486225091</v>
      </c>
      <c r="F147" t="n">
        <v>9.397778039016019</v>
      </c>
      <c r="G147" t="n">
        <v>20.04725839787586</v>
      </c>
      <c r="H147" t="n">
        <v>39.02</v>
      </c>
      <c r="I147" t="n">
        <v>39.02</v>
      </c>
      <c r="J147" t="n">
        <v>39.02</v>
      </c>
      <c r="K147" t="n">
        <v>39.02</v>
      </c>
      <c r="L147" t="n">
        <v>27.73864214427524</v>
      </c>
      <c r="M147" t="n">
        <v>27.73864214427524</v>
      </c>
      <c r="N147" t="n">
        <v>7.859667801597796</v>
      </c>
      <c r="O147" t="n">
        <v>5.029852504047655</v>
      </c>
      <c r="P147" t="n">
        <v>13.97010462588635</v>
      </c>
      <c r="Q147" t="n">
        <v>18.999957129934</v>
      </c>
    </row>
    <row r="148">
      <c r="A148" s="8" t="n">
        <v>48639</v>
      </c>
      <c r="B148" t="n">
        <v>39.30152772741635</v>
      </c>
      <c r="C148" t="n">
        <v>9.398987438399798</v>
      </c>
      <c r="D148" t="n">
        <v>20.05018208017979</v>
      </c>
      <c r="E148" t="n">
        <v>39.30152772741635</v>
      </c>
      <c r="F148" t="n">
        <v>9.398987438399798</v>
      </c>
      <c r="G148" t="n">
        <v>20.05018208017979</v>
      </c>
      <c r="H148" t="n">
        <v>39.02</v>
      </c>
      <c r="I148" t="n">
        <v>39.02</v>
      </c>
      <c r="J148" t="n">
        <v>39.02</v>
      </c>
      <c r="K148" t="n">
        <v>39.02</v>
      </c>
      <c r="L148" t="n">
        <v>27.73864214427524</v>
      </c>
      <c r="M148" t="n">
        <v>27.73864214427524</v>
      </c>
      <c r="N148" t="n">
        <v>7.860679261685116</v>
      </c>
      <c r="O148" t="n">
        <v>5.030586055262768</v>
      </c>
      <c r="P148" t="n">
        <v>13.97214201907339</v>
      </c>
      <c r="Q148" t="n">
        <v>19.00272807433616</v>
      </c>
    </row>
    <row r="149">
      <c r="A149" s="8" t="n">
        <v>48670</v>
      </c>
      <c r="B149" t="n">
        <v>39.3101724936669</v>
      </c>
      <c r="C149" t="n">
        <v>9.400196993421098</v>
      </c>
      <c r="D149" t="n">
        <v>20.05310618887211</v>
      </c>
      <c r="E149" t="n">
        <v>39.3101724936669</v>
      </c>
      <c r="F149" t="n">
        <v>9.400196993421098</v>
      </c>
      <c r="G149" t="n">
        <v>20.05310618887211</v>
      </c>
      <c r="H149" t="n">
        <v>39.02</v>
      </c>
      <c r="I149" t="n">
        <v>39.02</v>
      </c>
      <c r="J149" t="n">
        <v>39.02</v>
      </c>
      <c r="K149" t="n">
        <v>39.02</v>
      </c>
      <c r="L149" t="n">
        <v>27.73864214427524</v>
      </c>
      <c r="M149" t="n">
        <v>27.73864214427524</v>
      </c>
      <c r="N149" t="n">
        <v>7.861690851937163</v>
      </c>
      <c r="O149" t="n">
        <v>5.031319713458629</v>
      </c>
      <c r="P149" t="n">
        <v>13.97417970939285</v>
      </c>
      <c r="Q149" t="n">
        <v>19.00549942285148</v>
      </c>
    </row>
    <row r="150">
      <c r="A150" s="8" t="n">
        <v>48700</v>
      </c>
      <c r="B150" t="n">
        <v>39.31881916142072</v>
      </c>
      <c r="C150" t="n">
        <v>9.401406704099946</v>
      </c>
      <c r="D150" t="n">
        <v>20.056030724015</v>
      </c>
      <c r="E150" t="n">
        <v>39.31881916142072</v>
      </c>
      <c r="F150" t="n">
        <v>9.401406704099946</v>
      </c>
      <c r="G150" t="n">
        <v>20.056030724015</v>
      </c>
      <c r="H150" t="n">
        <v>39.02</v>
      </c>
      <c r="I150" t="n">
        <v>39.02</v>
      </c>
      <c r="J150" t="n">
        <v>39.02</v>
      </c>
      <c r="K150" t="n">
        <v>39.02</v>
      </c>
      <c r="L150" t="n">
        <v>27.73864214427524</v>
      </c>
      <c r="M150" t="n">
        <v>27.73864214427524</v>
      </c>
      <c r="N150" t="n">
        <v>7.862702572370687</v>
      </c>
      <c r="O150" t="n">
        <v>5.03205347865084</v>
      </c>
      <c r="P150" t="n">
        <v>13.97621769688807</v>
      </c>
      <c r="Q150" t="n">
        <v>19.00827117553891</v>
      </c>
    </row>
    <row r="151">
      <c r="A151" s="8" t="n">
        <v>48731</v>
      </c>
      <c r="B151" t="n">
        <v>39.32746773109606</v>
      </c>
      <c r="C151" t="n">
        <v>9.402616570456376</v>
      </c>
      <c r="D151" t="n">
        <v>20.05895568567065</v>
      </c>
      <c r="E151" t="n">
        <v>39.32746773109606</v>
      </c>
      <c r="F151" t="n">
        <v>9.402616570456376</v>
      </c>
      <c r="G151" t="n">
        <v>20.05895568567065</v>
      </c>
      <c r="H151" t="n">
        <v>39.02</v>
      </c>
      <c r="I151" t="n">
        <v>39.02</v>
      </c>
      <c r="J151" t="n">
        <v>39.02</v>
      </c>
      <c r="K151" t="n">
        <v>39.02</v>
      </c>
      <c r="L151" t="n">
        <v>27.73864214427524</v>
      </c>
      <c r="M151" t="n">
        <v>27.73864214427524</v>
      </c>
      <c r="N151" t="n">
        <v>7.863714423002441</v>
      </c>
      <c r="O151" t="n">
        <v>5.032787350855007</v>
      </c>
      <c r="P151" t="n">
        <v>13.97825598160238</v>
      </c>
      <c r="Q151" t="n">
        <v>19.01104333245738</v>
      </c>
    </row>
    <row r="152">
      <c r="A152" s="8" t="n">
        <v>48761</v>
      </c>
      <c r="B152" t="n">
        <v>39.33611820311128</v>
      </c>
      <c r="C152" t="n">
        <v>9.40382659251042</v>
      </c>
      <c r="D152" t="n">
        <v>20.06188107390128</v>
      </c>
      <c r="E152" t="n">
        <v>39.33611820311128</v>
      </c>
      <c r="F152" t="n">
        <v>9.40382659251042</v>
      </c>
      <c r="G152" t="n">
        <v>20.06188107390128</v>
      </c>
      <c r="H152" t="n">
        <v>39.02</v>
      </c>
      <c r="I152" t="n">
        <v>39.02</v>
      </c>
      <c r="J152" t="n">
        <v>39.02</v>
      </c>
      <c r="K152" t="n">
        <v>39.02</v>
      </c>
      <c r="L152" t="n">
        <v>27.73864214427524</v>
      </c>
      <c r="M152" t="n">
        <v>27.73864214427524</v>
      </c>
      <c r="N152" t="n">
        <v>7.864726403849181</v>
      </c>
      <c r="O152" t="n">
        <v>5.033521330086734</v>
      </c>
      <c r="P152" t="n">
        <v>13.98029456357913</v>
      </c>
      <c r="Q152" t="n">
        <v>19.01381589366586</v>
      </c>
    </row>
    <row r="153">
      <c r="A153" s="8" t="n">
        <v>48792</v>
      </c>
      <c r="B153" t="n">
        <v>39.34477057788482</v>
      </c>
      <c r="C153" t="n">
        <v>9.405036770282116</v>
      </c>
      <c r="D153" t="n">
        <v>20.06480688876908</v>
      </c>
      <c r="E153" t="n">
        <v>39.34477057788482</v>
      </c>
      <c r="F153" t="n">
        <v>9.405036770282116</v>
      </c>
      <c r="G153" t="n">
        <v>20.06480688876908</v>
      </c>
      <c r="H153" t="n">
        <v>39.02</v>
      </c>
      <c r="I153" t="n">
        <v>39.02</v>
      </c>
      <c r="J153" t="n">
        <v>39.02</v>
      </c>
      <c r="K153" t="n">
        <v>39.02</v>
      </c>
      <c r="L153" t="n">
        <v>27.73864214427524</v>
      </c>
      <c r="M153" t="n">
        <v>27.73864214427524</v>
      </c>
      <c r="N153" t="n">
        <v>7.865738514927664</v>
      </c>
      <c r="O153" t="n">
        <v>5.034255416361632</v>
      </c>
      <c r="P153" t="n">
        <v>13.98233344286167</v>
      </c>
      <c r="Q153" t="n">
        <v>19.0165888592233</v>
      </c>
    </row>
    <row r="154">
      <c r="A154" s="8" t="n">
        <v>48823</v>
      </c>
      <c r="B154" t="n">
        <v>39.35342485583519</v>
      </c>
      <c r="C154" t="n">
        <v>9.406247103791502</v>
      </c>
      <c r="D154" t="n">
        <v>20.06773313033629</v>
      </c>
      <c r="E154" t="n">
        <v>39.35342485583519</v>
      </c>
      <c r="F154" t="n">
        <v>9.406247103791502</v>
      </c>
      <c r="G154" t="n">
        <v>20.06773313033629</v>
      </c>
      <c r="H154" t="n">
        <v>39.02</v>
      </c>
      <c r="I154" t="n">
        <v>39.02</v>
      </c>
      <c r="J154" t="n">
        <v>39.02</v>
      </c>
      <c r="K154" t="n">
        <v>39.02</v>
      </c>
      <c r="L154" t="n">
        <v>27.73864214427524</v>
      </c>
      <c r="M154" t="n">
        <v>27.73864214427524</v>
      </c>
      <c r="N154" t="n">
        <v>7.866750756254648</v>
      </c>
      <c r="O154" t="n">
        <v>5.034989609695312</v>
      </c>
      <c r="P154" t="n">
        <v>13.98437261949337</v>
      </c>
      <c r="Q154" t="n">
        <v>19.01936222918868</v>
      </c>
    </row>
    <row r="155">
      <c r="A155" s="8" t="n">
        <v>48853</v>
      </c>
      <c r="B155" t="n">
        <v>39.36208103738102</v>
      </c>
      <c r="C155" t="n">
        <v>9.407457593058622</v>
      </c>
      <c r="D155" t="n">
        <v>20.07065979866512</v>
      </c>
      <c r="E155" t="n">
        <v>39.36208103738102</v>
      </c>
      <c r="F155" t="n">
        <v>9.407457593058622</v>
      </c>
      <c r="G155" t="n">
        <v>20.07065979866512</v>
      </c>
      <c r="H155" t="n">
        <v>39.02</v>
      </c>
      <c r="I155" t="n">
        <v>39.02</v>
      </c>
      <c r="J155" t="n">
        <v>39.02</v>
      </c>
      <c r="K155" t="n">
        <v>39.02</v>
      </c>
      <c r="L155" t="n">
        <v>27.73864214427524</v>
      </c>
      <c r="M155" t="n">
        <v>27.73864214427524</v>
      </c>
      <c r="N155" t="n">
        <v>7.867763127846897</v>
      </c>
      <c r="O155" t="n">
        <v>5.035723910103385</v>
      </c>
      <c r="P155" t="n">
        <v>13.98641209351758</v>
      </c>
      <c r="Q155" t="n">
        <v>19.02213600362096</v>
      </c>
    </row>
    <row r="156">
      <c r="A156" s="8" t="n">
        <v>48884</v>
      </c>
      <c r="B156" t="n">
        <v>39.37073912294104</v>
      </c>
      <c r="C156" t="n">
        <v>9.408668238103518</v>
      </c>
      <c r="D156" t="n">
        <v>20.07358689381783</v>
      </c>
      <c r="E156" t="n">
        <v>39.37073912294104</v>
      </c>
      <c r="F156" t="n">
        <v>9.408668238103518</v>
      </c>
      <c r="G156" t="n">
        <v>20.07358689381783</v>
      </c>
      <c r="H156" t="n">
        <v>39.02</v>
      </c>
      <c r="I156" t="n">
        <v>39.02</v>
      </c>
      <c r="J156" t="n">
        <v>39.02</v>
      </c>
      <c r="K156" t="n">
        <v>39.02</v>
      </c>
      <c r="L156" t="n">
        <v>27.73864214427524</v>
      </c>
      <c r="M156" t="n">
        <v>27.73864214427524</v>
      </c>
      <c r="N156" t="n">
        <v>7.868775629721172</v>
      </c>
      <c r="O156" t="n">
        <v>5.036458317601468</v>
      </c>
      <c r="P156" t="n">
        <v>13.98845186497768</v>
      </c>
      <c r="Q156" t="n">
        <v>19.02491018257914</v>
      </c>
    </row>
    <row r="157">
      <c r="A157" s="8" t="n">
        <v>48914</v>
      </c>
      <c r="B157" t="n">
        <v>39.37939911293405</v>
      </c>
      <c r="C157" t="n">
        <v>9.409879038946238</v>
      </c>
      <c r="D157" t="n">
        <v>20.07651441585665</v>
      </c>
      <c r="E157" t="n">
        <v>39.37939911293405</v>
      </c>
      <c r="F157" t="n">
        <v>9.409879038946238</v>
      </c>
      <c r="G157" t="n">
        <v>20.07651441585665</v>
      </c>
      <c r="H157" t="n">
        <v>39.02</v>
      </c>
      <c r="I157" t="n">
        <v>39.02</v>
      </c>
      <c r="J157" t="n">
        <v>39.02</v>
      </c>
      <c r="K157" t="n">
        <v>39.02</v>
      </c>
      <c r="L157" t="n">
        <v>27.73864214427524</v>
      </c>
      <c r="M157" t="n">
        <v>27.73864214427524</v>
      </c>
      <c r="N157" t="n">
        <v>7.869788261894243</v>
      </c>
      <c r="O157" t="n">
        <v>5.037192832205181</v>
      </c>
      <c r="P157" t="n">
        <v>13.99049193391704</v>
      </c>
      <c r="Q157" t="n">
        <v>19.02768476612222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t="inlineStr">
        <is>
          <t>Month</t>
        </is>
      </c>
      <c r="B1" t="inlineStr">
        <is>
          <t>STEO Haynesville marketed</t>
        </is>
      </c>
      <c r="C1" t="inlineStr">
        <is>
          <t>Louisiana marketed production (EIA)</t>
        </is>
      </c>
      <c r="D1" t="inlineStr">
        <is>
          <t>Implied Louisiana share (upper bound)</t>
        </is>
      </c>
      <c r="E1" t="inlineStr">
        <is>
          <t>Implied East Texas share (lower bound)</t>
        </is>
      </c>
      <c r="F1" t="inlineStr">
        <is>
          <t>Texas share in the Texas workbook</t>
        </is>
      </c>
    </row>
    <row r="2">
      <c r="A2" s="10" t="n">
        <v>45292</v>
      </c>
      <c r="B2" t="n">
        <v>15.5129487</v>
      </c>
      <c r="C2" t="n">
        <v>10.96158064516129</v>
      </c>
      <c r="D2" t="n">
        <v>0.7066084506010961</v>
      </c>
      <c r="E2" t="n">
        <v>0.2933915493989039</v>
      </c>
      <c r="F2" t="n">
        <v>0.3</v>
      </c>
    </row>
    <row r="3">
      <c r="A3" s="10" t="n">
        <v>45323</v>
      </c>
      <c r="B3" t="n">
        <v>15.9884658</v>
      </c>
      <c r="C3" t="n">
        <v>11.36762068965517</v>
      </c>
      <c r="D3" t="n">
        <v>0.7109888360680092</v>
      </c>
      <c r="E3" t="n">
        <v>0.2890111639319908</v>
      </c>
      <c r="F3" t="n">
        <v>0.3</v>
      </c>
    </row>
    <row r="4">
      <c r="A4" s="10" t="n">
        <v>45352</v>
      </c>
      <c r="B4" t="n">
        <v>15.37384573</v>
      </c>
      <c r="C4" t="n">
        <v>10.72558064516129</v>
      </c>
      <c r="D4" t="n">
        <v>0.6976511169376285</v>
      </c>
      <c r="E4" t="n">
        <v>0.3023488830623715</v>
      </c>
      <c r="F4" t="n">
        <v>0.3</v>
      </c>
    </row>
    <row r="5">
      <c r="A5" s="10" t="n">
        <v>45383</v>
      </c>
      <c r="B5" t="n">
        <v>14.5398331</v>
      </c>
      <c r="C5" t="n">
        <v>10.038</v>
      </c>
      <c r="D5" t="n">
        <v>0.6903793139138579</v>
      </c>
      <c r="E5" t="n">
        <v>0.3096206860861421</v>
      </c>
      <c r="F5" t="n">
        <v>0.3</v>
      </c>
    </row>
    <row r="6">
      <c r="A6" s="10" t="n">
        <v>45413</v>
      </c>
      <c r="B6" t="n">
        <v>13.99121042</v>
      </c>
      <c r="C6" t="n">
        <v>9.496387096774193</v>
      </c>
      <c r="D6" t="n">
        <v>0.6787394951332733</v>
      </c>
      <c r="E6" t="n">
        <v>0.3212605048667267</v>
      </c>
      <c r="F6" t="n">
        <v>0.3</v>
      </c>
    </row>
    <row r="7">
      <c r="A7" s="10" t="n">
        <v>45444</v>
      </c>
      <c r="B7" t="n">
        <v>13.97312853</v>
      </c>
      <c r="C7" t="n">
        <v>9.4376</v>
      </c>
      <c r="D7" t="n">
        <v>0.6754106626685412</v>
      </c>
      <c r="E7" t="n">
        <v>0.3245893373314588</v>
      </c>
      <c r="F7" t="n">
        <v>0.3</v>
      </c>
    </row>
    <row r="8">
      <c r="A8" s="10" t="n">
        <v>45474</v>
      </c>
      <c r="B8" t="n">
        <v>14.36683294</v>
      </c>
      <c r="C8" t="n">
        <v>9.901064516129033</v>
      </c>
      <c r="D8" t="n">
        <v>0.6891612478184098</v>
      </c>
      <c r="E8" t="n">
        <v>0.3108387521815902</v>
      </c>
      <c r="F8" t="n">
        <v>0.3</v>
      </c>
    </row>
    <row r="9">
      <c r="A9" s="10" t="n">
        <v>45505</v>
      </c>
      <c r="B9" t="n">
        <v>14.31622364</v>
      </c>
      <c r="C9" t="n">
        <v>9.705612903225807</v>
      </c>
      <c r="D9" t="n">
        <v>0.6779450466328288</v>
      </c>
      <c r="E9" t="n">
        <v>0.3220549533671712</v>
      </c>
      <c r="F9" t="n">
        <v>0.3</v>
      </c>
    </row>
    <row r="10">
      <c r="A10" s="10" t="n">
        <v>45536</v>
      </c>
      <c r="B10" t="n">
        <v>13.88182986</v>
      </c>
      <c r="C10" t="n">
        <v>9.206899999999999</v>
      </c>
      <c r="D10" t="n">
        <v>0.6632338886769787</v>
      </c>
      <c r="E10" t="n">
        <v>0.3367661113230213</v>
      </c>
      <c r="F10" t="n">
        <v>0.3</v>
      </c>
    </row>
    <row r="11">
      <c r="A11" s="10" t="n">
        <v>45566</v>
      </c>
      <c r="B11" t="n">
        <v>13.86200819</v>
      </c>
      <c r="C11" t="n">
        <v>9.285354838709678</v>
      </c>
      <c r="D11" t="n">
        <v>0.6698419674436564</v>
      </c>
      <c r="E11" t="n">
        <v>0.3301580325563436</v>
      </c>
      <c r="F11" t="n">
        <v>0.3</v>
      </c>
    </row>
    <row r="12">
      <c r="A12" s="10" t="n">
        <v>45597</v>
      </c>
      <c r="B12" t="n">
        <v>13.96993097</v>
      </c>
      <c r="C12" t="n">
        <v>9.209133333333334</v>
      </c>
      <c r="D12" t="n">
        <v>0.6592110836560084</v>
      </c>
      <c r="E12" t="n">
        <v>0.3407889163439916</v>
      </c>
      <c r="F12" t="n">
        <v>0.3</v>
      </c>
    </row>
    <row r="13">
      <c r="A13" s="10" t="n">
        <v>45627</v>
      </c>
      <c r="B13" t="n">
        <v>13.96652865</v>
      </c>
      <c r="C13" t="n">
        <v>9.208354838709678</v>
      </c>
      <c r="D13" t="n">
        <v>0.6593159309281679</v>
      </c>
      <c r="E13" t="n">
        <v>0.3406840690718321</v>
      </c>
      <c r="F13" t="n">
        <v>0.3</v>
      </c>
    </row>
    <row r="14">
      <c r="A14" s="10" t="n">
        <v>45658</v>
      </c>
      <c r="B14" t="n">
        <v>14.07609478</v>
      </c>
      <c r="C14" t="n">
        <v>9.19641935483871</v>
      </c>
      <c r="D14" t="n">
        <v>0.6533359925869091</v>
      </c>
      <c r="E14" t="n">
        <v>0.3466640074130909</v>
      </c>
      <c r="F14" t="n">
        <v>0.3</v>
      </c>
    </row>
    <row r="15">
      <c r="A15" s="10" t="n">
        <v>45689</v>
      </c>
      <c r="B15" t="n">
        <v>14.19904244</v>
      </c>
      <c r="C15" t="n">
        <v>9.43807142857143</v>
      </c>
      <c r="D15" t="n">
        <v>0.6646977406014029</v>
      </c>
      <c r="E15" t="n">
        <v>0.3353022593985971</v>
      </c>
      <c r="F15" t="n">
        <v>0.3</v>
      </c>
    </row>
    <row r="16">
      <c r="A16" s="10" t="n">
        <v>45717</v>
      </c>
      <c r="B16" t="n">
        <v>15.64172846</v>
      </c>
      <c r="C16" t="n">
        <v>11.01461290322581</v>
      </c>
      <c r="D16" t="n">
        <v>0.7041813141938283</v>
      </c>
      <c r="E16" t="n">
        <v>0.2958186858061717</v>
      </c>
      <c r="F16" t="n">
        <v>0.3</v>
      </c>
    </row>
    <row r="17">
      <c r="A17" s="10" t="n">
        <v>45748</v>
      </c>
      <c r="B17" t="n">
        <v>15.25938095</v>
      </c>
      <c r="C17" t="n">
        <v>10.59606666666667</v>
      </c>
      <c r="D17" t="n">
        <v>0.6943968894535441</v>
      </c>
      <c r="E17" t="n">
        <v>0.3056031105464559</v>
      </c>
      <c r="F17" t="n">
        <v>0.3</v>
      </c>
    </row>
    <row r="18">
      <c r="A18" s="10" t="n">
        <v>45778</v>
      </c>
      <c r="B18" t="n">
        <v>15.16893331</v>
      </c>
      <c r="C18" t="n">
        <v>10.83312903225806</v>
      </c>
      <c r="D18" t="n">
        <v>0.7141655125556132</v>
      </c>
      <c r="E18" t="n">
        <v>0.2858344874443868</v>
      </c>
      <c r="F18" t="n">
        <v>0.3</v>
      </c>
    </row>
    <row r="19">
      <c r="A19" s="10" t="n">
        <v>45809</v>
      </c>
      <c r="B19" t="n">
        <v>14.30370188</v>
      </c>
      <c r="C19" t="n">
        <v>10.01503333333333</v>
      </c>
      <c r="D19" t="n">
        <v>0.7001707262465213</v>
      </c>
      <c r="E19" t="n">
        <v>0.2998292737534787</v>
      </c>
      <c r="F19" t="n">
        <v>0.3</v>
      </c>
    </row>
    <row r="20">
      <c r="A20" s="10" t="n">
        <v>45839</v>
      </c>
      <c r="B20" t="n">
        <v>14.86413226</v>
      </c>
      <c r="C20" t="n">
        <v>10.43825806451613</v>
      </c>
      <c r="D20" t="n">
        <v>0.7022446976340433</v>
      </c>
      <c r="E20" t="n">
        <v>0.2977553023659567</v>
      </c>
      <c r="F20" t="n">
        <v>0.3</v>
      </c>
    </row>
    <row r="21">
      <c r="A21" s="10" t="n">
        <v>45870</v>
      </c>
      <c r="B21" t="n">
        <v>15.26826744</v>
      </c>
      <c r="C21" t="n">
        <v>10.82367741935484</v>
      </c>
      <c r="D21" t="n">
        <v>0.7089001723272695</v>
      </c>
      <c r="E21" t="n">
        <v>0.2910998276727305</v>
      </c>
      <c r="F21" t="n">
        <v>0.3</v>
      </c>
    </row>
    <row r="22">
      <c r="A22" s="10" t="n">
        <v>45901</v>
      </c>
      <c r="B22" t="n">
        <v>14.88950594</v>
      </c>
      <c r="C22" t="n">
        <v>10.37103333333333</v>
      </c>
      <c r="D22" t="n">
        <v>0.6965330733689431</v>
      </c>
      <c r="E22" t="n">
        <v>0.3034669266310569</v>
      </c>
      <c r="F22" t="n">
        <v>0.3</v>
      </c>
    </row>
    <row r="23">
      <c r="A23" s="10" t="n">
        <v>45931</v>
      </c>
      <c r="B23" t="n">
        <v>15.03678872</v>
      </c>
      <c r="C23" t="n">
        <v>10.32416129032258</v>
      </c>
      <c r="D23" t="n">
        <v>0.6865934929703915</v>
      </c>
      <c r="E23" t="n">
        <v>0.3134065070296085</v>
      </c>
      <c r="F23" t="n">
        <v>0.3</v>
      </c>
    </row>
    <row r="24">
      <c r="A24" s="10" t="n">
        <v>45962</v>
      </c>
      <c r="B24" t="n">
        <v>15.72971333</v>
      </c>
      <c r="C24" t="n">
        <v>11.08976666666667</v>
      </c>
      <c r="D24" t="n">
        <v>0.7050202654053497</v>
      </c>
      <c r="E24" t="n">
        <v>0.2949797345946503</v>
      </c>
      <c r="F24" t="n">
        <v>0.3</v>
      </c>
    </row>
    <row r="25">
      <c r="A25" s="10" t="n">
        <v>45992</v>
      </c>
      <c r="B25" t="n">
        <v>15.89689881</v>
      </c>
      <c r="C25" t="n">
        <v>11.1621935483871</v>
      </c>
      <c r="D25" t="n">
        <v>0.7021617034742323</v>
      </c>
      <c r="E25" t="n">
        <v>0.2978382965257677</v>
      </c>
      <c r="F25" t="n">
        <v>0.3</v>
      </c>
    </row>
    <row r="26">
      <c r="A26" s="10" t="n">
        <v>46023</v>
      </c>
      <c r="B26" t="n">
        <v>15.44565525</v>
      </c>
      <c r="C26" t="n">
        <v>10.57648387096774</v>
      </c>
      <c r="D26" t="n">
        <v>0.6847546251537462</v>
      </c>
      <c r="E26" t="n">
        <v>0.3152453748462538</v>
      </c>
      <c r="F26" t="n">
        <v>0.3</v>
      </c>
    </row>
    <row r="27">
      <c r="A27" s="10" t="n">
        <v>46054</v>
      </c>
      <c r="B27" t="n">
        <v>16.2069536</v>
      </c>
      <c r="C27" t="n">
        <v>11.11892857142857</v>
      </c>
      <c r="D27" t="n">
        <v>0.6860591352238197</v>
      </c>
      <c r="E27" t="n">
        <v>0.3139408647761803</v>
      </c>
      <c r="F27" t="n">
        <v>0.3</v>
      </c>
    </row>
    <row r="28">
      <c r="A28" s="10" t="n">
        <v>46082</v>
      </c>
      <c r="B28" t="n">
        <v>16.36455215</v>
      </c>
      <c r="C28" t="n">
        <v>11.41641935483871</v>
      </c>
      <c r="D28" t="n">
        <v>0.6976310289578386</v>
      </c>
      <c r="E28" t="n">
        <v>0.3023689710421614</v>
      </c>
      <c r="F28" t="n">
        <v>0.3</v>
      </c>
    </row>
    <row r="29">
      <c r="A29" s="10" t="n">
        <v>46113</v>
      </c>
      <c r="B29" t="n">
        <v>16.66743313</v>
      </c>
      <c r="C29" t="n">
        <v>11.6874</v>
      </c>
      <c r="D29" t="n">
        <v>0.7012117528141539</v>
      </c>
      <c r="E29" t="n">
        <v>0.2987882471858461</v>
      </c>
      <c r="F29" t="n">
        <v>0.3</v>
      </c>
    </row>
    <row r="30">
      <c r="A30" s="10" t="n">
        <v>46143</v>
      </c>
      <c r="B30" t="n">
        <v>16.27373471</v>
      </c>
      <c r="C30" t="n">
        <v>11.32383870967742</v>
      </c>
      <c r="D30" t="n">
        <v>0.6958352776095745</v>
      </c>
      <c r="E30" t="n">
        <v>0.3041647223904255</v>
      </c>
      <c r="F30" t="n">
        <v>0.3</v>
      </c>
    </row>
    <row r="31">
      <c r="A31" s="10" t="n">
        <v>46174</v>
      </c>
      <c r="B31" t="n">
        <v>16.75236932</v>
      </c>
      <c r="C31" t="n">
        <v>11.7441</v>
      </c>
      <c r="D31" t="n">
        <v>0.701041134878705</v>
      </c>
      <c r="E31" t="n">
        <v>0.298958865121295</v>
      </c>
      <c r="F31" t="n">
        <v>0.3</v>
      </c>
    </row>
    <row r="32">
      <c r="A32" s="10" t="n">
        <v>46204</v>
      </c>
      <c r="B32" t="n">
        <v>17.04579952</v>
      </c>
      <c r="C32" t="n">
        <v>11.90309677419355</v>
      </c>
      <c r="D32" t="n">
        <v>0.6983008781857097</v>
      </c>
      <c r="E32" t="n">
        <v>0.3016991218142903</v>
      </c>
      <c r="F32" t="n">
        <v>0.3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Louisiana share of STEO Haynesville</t>
        </is>
      </c>
      <c r="B1" t="inlineStr">
        <is>
          <t>Change in Dec 2030 Haynesville supply growth vs the default, Bcf/d</t>
        </is>
      </c>
      <c r="C1" t="inlineStr">
        <is>
          <t>Extra supply required Dec 2030 (base, outflow held), Bcf/d</t>
        </is>
      </c>
    </row>
    <row r="2">
      <c r="A2" t="n">
        <v>0.6</v>
      </c>
      <c r="B2" t="n">
        <v>-0.391794767394382</v>
      </c>
      <c r="C2" t="n">
        <v>5.524164187188159</v>
      </c>
    </row>
    <row r="3">
      <c r="A3" t="n">
        <v>0.65</v>
      </c>
      <c r="B3" t="n">
        <v>-0.1958973836971908</v>
      </c>
      <c r="C3" t="n">
        <v>5.328266803490968</v>
      </c>
    </row>
    <row r="4">
      <c r="A4" t="n">
        <v>0.7</v>
      </c>
      <c r="B4" t="n">
        <v>0</v>
      </c>
      <c r="C4" t="n">
        <v>5.132369419793777</v>
      </c>
    </row>
    <row r="5">
      <c r="A5" t="n">
        <v>0.75</v>
      </c>
      <c r="B5" t="n">
        <v>0.1958973836971912</v>
      </c>
      <c r="C5" t="n">
        <v>4.936472036096586</v>
      </c>
    </row>
    <row r="6">
      <c r="A6" t="n">
        <v>0.8</v>
      </c>
      <c r="B6" t="n">
        <v>0.3917947673943824</v>
      </c>
      <c r="C6" t="n">
        <v>4.740574652399395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15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75" customHeight="1">
      <c r="A1" s="7" t="inlineStr">
        <is>
          <t>Month</t>
        </is>
      </c>
      <c r="B1" s="7" t="inlineStr">
        <is>
          <t>Texas: injection (Bcf/d)</t>
        </is>
      </c>
      <c r="C1" s="7" t="inlineStr">
        <is>
          <t>Texas: withdrawal (Bcf/d)</t>
        </is>
      </c>
      <c r="D1" s="7" t="inlineStr">
        <is>
          <t>Texas: net injection + / withdrawal - (Bcf/d)</t>
        </is>
      </c>
      <c r="E1" s="7" t="inlineStr">
        <is>
          <t>Texas: working gas, month end (Bcf)</t>
        </is>
      </c>
      <c r="F1" s="7" t="inlineStr">
        <is>
          <t>Texas: stock basis</t>
        </is>
      </c>
      <c r="G1" s="7" t="inlineStr">
        <is>
          <t>Texas: working gas capacity, EIA annual (Bcf)</t>
        </is>
      </c>
      <c r="H1" s="7" t="inlineStr">
        <is>
          <t>Texas: stock as % of capacity</t>
        </is>
      </c>
      <c r="I1" s="7" t="inlineStr">
        <is>
          <t>Louisiana: injection (Bcf/d)</t>
        </is>
      </c>
      <c r="J1" s="7" t="inlineStr">
        <is>
          <t>Louisiana: withdrawal (Bcf/d)</t>
        </is>
      </c>
      <c r="K1" s="7" t="inlineStr">
        <is>
          <t>Louisiana: net injection + / withdrawal - (Bcf/d)</t>
        </is>
      </c>
      <c r="L1" s="7" t="inlineStr">
        <is>
          <t>Louisiana: working gas, month end (Bcf)</t>
        </is>
      </c>
      <c r="M1" s="7" t="inlineStr">
        <is>
          <t>Louisiana: stock basis</t>
        </is>
      </c>
      <c r="N1" s="7" t="inlineStr">
        <is>
          <t>Louisiana: working gas capacity, EIA annual (Bcf)</t>
        </is>
      </c>
      <c r="O1" s="7" t="inlineStr">
        <is>
          <t>Louisiana: stock as % of capacity</t>
        </is>
      </c>
      <c r="P1" s="7" t="inlineStr">
        <is>
          <t>Gulf: working gas, month end (Bcf)</t>
        </is>
      </c>
    </row>
    <row r="2">
      <c r="A2" s="8" t="n">
        <v>44197</v>
      </c>
      <c r="B2" t="n">
        <v>0.5196451612903226</v>
      </c>
      <c r="C2" t="n">
        <v>2.56</v>
      </c>
      <c r="D2" t="n">
        <v>-2.040354838709677</v>
      </c>
      <c r="E2" t="n">
        <v>366.023</v>
      </c>
      <c r="F2" t="inlineStr">
        <is>
          <t>EIA</t>
        </is>
      </c>
      <c r="G2" t="n">
        <v>544.3150000000001</v>
      </c>
      <c r="H2" t="n">
        <v>67.24470205671348</v>
      </c>
      <c r="I2" t="n">
        <v>0.7892903225806451</v>
      </c>
      <c r="J2" t="n">
        <v>2.780032258064516</v>
      </c>
      <c r="K2" t="n">
        <v>-1.990741935483871</v>
      </c>
      <c r="L2" t="n">
        <v>298.613</v>
      </c>
      <c r="M2" t="inlineStr">
        <is>
          <t>EIA</t>
        </is>
      </c>
      <c r="N2" t="n">
        <v>461.434</v>
      </c>
      <c r="O2" t="n">
        <v>64.71413029815749</v>
      </c>
      <c r="P2" t="n">
        <v>664.636</v>
      </c>
    </row>
    <row r="3">
      <c r="A3" s="8" t="n">
        <v>44228</v>
      </c>
      <c r="B3" t="n">
        <v>1.272107142857143</v>
      </c>
      <c r="C3" t="n">
        <v>4.41275</v>
      </c>
      <c r="D3" t="n">
        <v>-3.140642857142857</v>
      </c>
      <c r="E3" t="n">
        <v>280.432</v>
      </c>
      <c r="F3" t="inlineStr">
        <is>
          <t>EIA</t>
        </is>
      </c>
      <c r="G3" t="n">
        <v>544.3150000000001</v>
      </c>
      <c r="H3" t="n">
        <v>51.52016755003995</v>
      </c>
      <c r="I3" t="n">
        <v>1.078357142857143</v>
      </c>
      <c r="J3" t="n">
        <v>4.318178571428572</v>
      </c>
      <c r="K3" t="n">
        <v>-3.239821428571429</v>
      </c>
      <c r="L3" t="n">
        <v>210.001</v>
      </c>
      <c r="M3" t="inlineStr">
        <is>
          <t>EIA</t>
        </is>
      </c>
      <c r="N3" t="n">
        <v>461.434</v>
      </c>
      <c r="O3" t="n">
        <v>45.51051721372937</v>
      </c>
      <c r="P3" t="n">
        <v>490.433</v>
      </c>
    </row>
    <row r="4">
      <c r="A4" s="8" t="n">
        <v>44256</v>
      </c>
      <c r="B4" t="n">
        <v>1.762354838709677</v>
      </c>
      <c r="C4" t="n">
        <v>1.144354838709677</v>
      </c>
      <c r="D4" t="n">
        <v>0.6179999999999999</v>
      </c>
      <c r="E4" t="n">
        <v>299.158</v>
      </c>
      <c r="F4" t="inlineStr">
        <is>
          <t>EIA</t>
        </is>
      </c>
      <c r="G4" t="n">
        <v>544.3150000000001</v>
      </c>
      <c r="H4" t="n">
        <v>54.96045488366111</v>
      </c>
      <c r="I4" t="n">
        <v>1.771612903225806</v>
      </c>
      <c r="J4" t="n">
        <v>0.9381935483870968</v>
      </c>
      <c r="K4" t="n">
        <v>0.8334193548387095</v>
      </c>
      <c r="L4" t="n">
        <v>235.319</v>
      </c>
      <c r="M4" t="inlineStr">
        <is>
          <t>EIA</t>
        </is>
      </c>
      <c r="N4" t="n">
        <v>461.434</v>
      </c>
      <c r="O4" t="n">
        <v>50.99732572805644</v>
      </c>
      <c r="P4" t="n">
        <v>534.477</v>
      </c>
    </row>
    <row r="5">
      <c r="A5" s="8" t="n">
        <v>44287</v>
      </c>
      <c r="B5" t="n">
        <v>1.559</v>
      </c>
      <c r="C5" t="n">
        <v>0.7668666666666667</v>
      </c>
      <c r="D5" t="n">
        <v>0.7921333333333332</v>
      </c>
      <c r="E5" t="n">
        <v>323.595</v>
      </c>
      <c r="F5" t="inlineStr">
        <is>
          <t>EIA</t>
        </is>
      </c>
      <c r="G5" t="n">
        <v>544.3150000000001</v>
      </c>
      <c r="H5" t="n">
        <v>59.44995085566263</v>
      </c>
      <c r="I5" t="n">
        <v>1.734566666666667</v>
      </c>
      <c r="J5" t="n">
        <v>1.191566666666667</v>
      </c>
      <c r="K5" t="n">
        <v>0.5429999999999999</v>
      </c>
      <c r="L5" t="n">
        <v>251.55</v>
      </c>
      <c r="M5" t="inlineStr">
        <is>
          <t>EIA</t>
        </is>
      </c>
      <c r="N5" t="n">
        <v>461.434</v>
      </c>
      <c r="O5" t="n">
        <v>54.51483852511952</v>
      </c>
      <c r="P5" t="n">
        <v>575.145</v>
      </c>
    </row>
    <row r="6">
      <c r="A6" s="8" t="n">
        <v>44317</v>
      </c>
      <c r="B6" t="n">
        <v>2.060290322580645</v>
      </c>
      <c r="C6" t="n">
        <v>0.3708387096774193</v>
      </c>
      <c r="D6" t="n">
        <v>1.689451612903226</v>
      </c>
      <c r="E6" t="n">
        <v>375.994</v>
      </c>
      <c r="F6" t="inlineStr">
        <is>
          <t>EIA</t>
        </is>
      </c>
      <c r="G6" t="n">
        <v>544.3150000000001</v>
      </c>
      <c r="H6" t="n">
        <v>69.07654575016305</v>
      </c>
      <c r="I6" t="n">
        <v>1.861903225806452</v>
      </c>
      <c r="J6" t="n">
        <v>0.7690645161290323</v>
      </c>
      <c r="K6" t="n">
        <v>1.092838709677419</v>
      </c>
      <c r="L6" t="n">
        <v>285.484</v>
      </c>
      <c r="M6" t="inlineStr">
        <is>
          <t>EIA</t>
        </is>
      </c>
      <c r="N6" t="n">
        <v>461.434</v>
      </c>
      <c r="O6" t="n">
        <v>61.86886965416505</v>
      </c>
      <c r="P6" t="n">
        <v>661.4780000000001</v>
      </c>
    </row>
    <row r="7">
      <c r="A7" s="8" t="n">
        <v>44348</v>
      </c>
      <c r="B7" t="n">
        <v>1.1406</v>
      </c>
      <c r="C7" t="n">
        <v>1.339333333333333</v>
      </c>
      <c r="D7" t="n">
        <v>-0.1987333333333334</v>
      </c>
      <c r="E7" t="n">
        <v>370.019</v>
      </c>
      <c r="F7" t="inlineStr">
        <is>
          <t>EIA</t>
        </is>
      </c>
      <c r="G7" t="n">
        <v>544.3150000000001</v>
      </c>
      <c r="H7" t="n">
        <v>67.97883578442629</v>
      </c>
      <c r="I7" t="n">
        <v>1.2744</v>
      </c>
      <c r="J7" t="n">
        <v>1.159133333333333</v>
      </c>
      <c r="K7" t="n">
        <v>0.1152666666666669</v>
      </c>
      <c r="L7" t="n">
        <v>288.26</v>
      </c>
      <c r="M7" t="inlineStr">
        <is>
          <t>EIA</t>
        </is>
      </c>
      <c r="N7" t="n">
        <v>461.434</v>
      </c>
      <c r="O7" t="n">
        <v>62.47047248360546</v>
      </c>
      <c r="P7" t="n">
        <v>658.279</v>
      </c>
    </row>
    <row r="8">
      <c r="A8" s="8" t="n">
        <v>44378</v>
      </c>
      <c r="B8" t="n">
        <v>0.9387096774193548</v>
      </c>
      <c r="C8" t="n">
        <v>1.255870967741935</v>
      </c>
      <c r="D8" t="n">
        <v>-0.3171612903225804</v>
      </c>
      <c r="E8" t="n">
        <v>360.18</v>
      </c>
      <c r="F8" t="inlineStr">
        <is>
          <t>EIA</t>
        </is>
      </c>
      <c r="G8" t="n">
        <v>544.3150000000001</v>
      </c>
      <c r="H8" t="n">
        <v>66.17124275465493</v>
      </c>
      <c r="I8" t="n">
        <v>0.9508709677419355</v>
      </c>
      <c r="J8" t="n">
        <v>1.447612903225806</v>
      </c>
      <c r="K8" t="n">
        <v>-0.4967419354838708</v>
      </c>
      <c r="L8" t="n">
        <v>272.861</v>
      </c>
      <c r="M8" t="inlineStr">
        <is>
          <t>EIA</t>
        </is>
      </c>
      <c r="N8" t="n">
        <v>461.434</v>
      </c>
      <c r="O8" t="n">
        <v>59.13326716280118</v>
      </c>
      <c r="P8" t="n">
        <v>633.0409999999999</v>
      </c>
    </row>
    <row r="9">
      <c r="A9" s="8" t="n">
        <v>44409</v>
      </c>
      <c r="B9" t="n">
        <v>1.041451612903226</v>
      </c>
      <c r="C9" t="n">
        <v>1.687774193548387</v>
      </c>
      <c r="D9" t="n">
        <v>-0.6463225806451611</v>
      </c>
      <c r="E9" t="n">
        <v>339.759</v>
      </c>
      <c r="F9" t="inlineStr">
        <is>
          <t>EIA</t>
        </is>
      </c>
      <c r="G9" t="n">
        <v>544.3150000000001</v>
      </c>
      <c r="H9" t="n">
        <v>62.41955485334778</v>
      </c>
      <c r="I9" t="n">
        <v>1.001129032258065</v>
      </c>
      <c r="J9" t="n">
        <v>1.347354838709677</v>
      </c>
      <c r="K9" t="n">
        <v>-0.3462258064516128</v>
      </c>
      <c r="L9" t="n">
        <v>266.275</v>
      </c>
      <c r="M9" t="inlineStr">
        <is>
          <t>EIA</t>
        </is>
      </c>
      <c r="N9" t="n">
        <v>461.434</v>
      </c>
      <c r="O9" t="n">
        <v>57.70597745289683</v>
      </c>
      <c r="P9" t="n">
        <v>606.034</v>
      </c>
    </row>
    <row r="10">
      <c r="A10" s="8" t="n">
        <v>44440</v>
      </c>
      <c r="B10" t="n">
        <v>2.160866666666667</v>
      </c>
      <c r="C10" t="n">
        <v>0.6753333333333333</v>
      </c>
      <c r="D10" t="n">
        <v>1.485533333333333</v>
      </c>
      <c r="E10" t="n">
        <v>382.958</v>
      </c>
      <c r="F10" t="inlineStr">
        <is>
          <t>EIA</t>
        </is>
      </c>
      <c r="G10" t="n">
        <v>544.3150000000001</v>
      </c>
      <c r="H10" t="n">
        <v>70.35595197633722</v>
      </c>
      <c r="I10" t="n">
        <v>1.545533333333333</v>
      </c>
      <c r="J10" t="n">
        <v>0.6167</v>
      </c>
      <c r="K10" t="n">
        <v>0.9288333333333332</v>
      </c>
      <c r="L10" t="n">
        <v>294.026</v>
      </c>
      <c r="M10" t="inlineStr">
        <is>
          <t>EIA</t>
        </is>
      </c>
      <c r="N10" t="n">
        <v>461.434</v>
      </c>
      <c r="O10" t="n">
        <v>63.72005530585088</v>
      </c>
      <c r="P10" t="n">
        <v>676.984</v>
      </c>
    </row>
    <row r="11">
      <c r="A11" s="8" t="n">
        <v>44470</v>
      </c>
      <c r="B11" t="n">
        <v>2.154032258064516</v>
      </c>
      <c r="C11" t="n">
        <v>0.5892903225806452</v>
      </c>
      <c r="D11" t="n">
        <v>1.564741935483871</v>
      </c>
      <c r="E11" t="n">
        <v>431.071</v>
      </c>
      <c r="F11" t="inlineStr">
        <is>
          <t>EIA</t>
        </is>
      </c>
      <c r="G11" t="n">
        <v>544.3150000000001</v>
      </c>
      <c r="H11" t="n">
        <v>79.19513516989242</v>
      </c>
      <c r="I11" t="n">
        <v>1.905483870967742</v>
      </c>
      <c r="J11" t="n">
        <v>0.5323548387096775</v>
      </c>
      <c r="K11" t="n">
        <v>1.373129032258064</v>
      </c>
      <c r="L11" t="n">
        <v>336.493</v>
      </c>
      <c r="M11" t="inlineStr">
        <is>
          <t>EIA</t>
        </is>
      </c>
      <c r="N11" t="n">
        <v>461.434</v>
      </c>
      <c r="O11" t="n">
        <v>72.92332164513235</v>
      </c>
      <c r="P11" t="n">
        <v>767.5640000000001</v>
      </c>
    </row>
    <row r="12">
      <c r="A12" s="8" t="n">
        <v>44501</v>
      </c>
      <c r="B12" t="n">
        <v>1.294366666666667</v>
      </c>
      <c r="C12" t="n">
        <v>1.114866666666666</v>
      </c>
      <c r="D12" t="n">
        <v>0.1795000000000002</v>
      </c>
      <c r="E12" t="n">
        <v>436.713</v>
      </c>
      <c r="F12" t="inlineStr">
        <is>
          <t>EIA</t>
        </is>
      </c>
      <c r="G12" t="n">
        <v>544.3150000000001</v>
      </c>
      <c r="H12" t="n">
        <v>80.23166732498645</v>
      </c>
      <c r="I12" t="n">
        <v>0.7987333333333333</v>
      </c>
      <c r="J12" t="n">
        <v>1.215066666666667</v>
      </c>
      <c r="K12" t="n">
        <v>-0.4163333333333332</v>
      </c>
      <c r="L12" t="n">
        <v>323.978</v>
      </c>
      <c r="M12" t="inlineStr">
        <is>
          <t>EIA</t>
        </is>
      </c>
      <c r="N12" t="n">
        <v>461.434</v>
      </c>
      <c r="O12" t="n">
        <v>70.21112445116745</v>
      </c>
      <c r="P12" t="n">
        <v>760.691</v>
      </c>
    </row>
    <row r="13">
      <c r="A13" s="8" t="n">
        <v>44531</v>
      </c>
      <c r="B13" t="n">
        <v>1.387967741935484</v>
      </c>
      <c r="C13" t="n">
        <v>1.367516129032258</v>
      </c>
      <c r="D13" t="n">
        <v>0.02045161290322595</v>
      </c>
      <c r="E13" t="n">
        <v>438.618</v>
      </c>
      <c r="F13" t="inlineStr">
        <is>
          <t>EIA</t>
        </is>
      </c>
      <c r="G13" t="n">
        <v>544.3150000000001</v>
      </c>
      <c r="H13" t="n">
        <v>80.58164849397866</v>
      </c>
      <c r="I13" t="n">
        <v>1.300709677419355</v>
      </c>
      <c r="J13" t="n">
        <v>1.549548387096774</v>
      </c>
      <c r="K13" t="n">
        <v>-0.2488387096774192</v>
      </c>
      <c r="L13" t="n">
        <v>316.08</v>
      </c>
      <c r="M13" t="inlineStr">
        <is>
          <t>EIA</t>
        </is>
      </c>
      <c r="N13" t="n">
        <v>461.434</v>
      </c>
      <c r="O13" t="n">
        <v>68.49950372100885</v>
      </c>
      <c r="P13" t="n">
        <v>754.698</v>
      </c>
    </row>
    <row r="14">
      <c r="A14" s="8" t="n">
        <v>44562</v>
      </c>
      <c r="B14" t="n">
        <v>0.5149677419354839</v>
      </c>
      <c r="C14" t="n">
        <v>4.000612903225806</v>
      </c>
      <c r="D14" t="n">
        <v>-3.485645161290322</v>
      </c>
      <c r="E14" t="n">
        <v>328.69</v>
      </c>
      <c r="F14" t="inlineStr">
        <is>
          <t>EIA</t>
        </is>
      </c>
      <c r="G14" t="n">
        <v>551.806</v>
      </c>
      <c r="H14" t="n">
        <v>59.56622436146036</v>
      </c>
      <c r="I14" t="n">
        <v>0.7069354838709677</v>
      </c>
      <c r="J14" t="n">
        <v>4.060741935483871</v>
      </c>
      <c r="K14" t="n">
        <v>-3.353806451612903</v>
      </c>
      <c r="L14" t="n">
        <v>213.347</v>
      </c>
      <c r="M14" t="inlineStr">
        <is>
          <t>EIA</t>
        </is>
      </c>
      <c r="N14" t="n">
        <v>454.124</v>
      </c>
      <c r="O14" t="n">
        <v>46.97989976306031</v>
      </c>
      <c r="P14" t="n">
        <v>542.037</v>
      </c>
    </row>
    <row r="15">
      <c r="A15" s="8" t="n">
        <v>44593</v>
      </c>
      <c r="B15" t="n">
        <v>0.7398571428571429</v>
      </c>
      <c r="C15" t="n">
        <v>3.681178571428572</v>
      </c>
      <c r="D15" t="n">
        <v>-2.941321428571429</v>
      </c>
      <c r="E15" t="n">
        <v>246.445</v>
      </c>
      <c r="F15" t="inlineStr">
        <is>
          <t>EIA</t>
        </is>
      </c>
      <c r="G15" t="n">
        <v>551.806</v>
      </c>
      <c r="H15" t="n">
        <v>44.66152959554626</v>
      </c>
      <c r="I15" t="n">
        <v>0.778</v>
      </c>
      <c r="J15" t="n">
        <v>3.243714285714286</v>
      </c>
      <c r="K15" t="n">
        <v>-2.465714285714286</v>
      </c>
      <c r="L15" t="n">
        <v>146.667</v>
      </c>
      <c r="M15" t="inlineStr">
        <is>
          <t>EIA</t>
        </is>
      </c>
      <c r="N15" t="n">
        <v>454.124</v>
      </c>
      <c r="O15" t="n">
        <v>32.29668548678335</v>
      </c>
      <c r="P15" t="n">
        <v>393.112</v>
      </c>
    </row>
    <row r="16">
      <c r="A16" s="8" t="n">
        <v>44621</v>
      </c>
      <c r="B16" t="n">
        <v>1.433064516129032</v>
      </c>
      <c r="C16" t="n">
        <v>1.425935483870968</v>
      </c>
      <c r="D16" t="n">
        <v>0.007129032258064605</v>
      </c>
      <c r="E16" t="n">
        <v>246.634</v>
      </c>
      <c r="F16" t="inlineStr">
        <is>
          <t>EIA</t>
        </is>
      </c>
      <c r="G16" t="n">
        <v>551.806</v>
      </c>
      <c r="H16" t="n">
        <v>44.69578076352921</v>
      </c>
      <c r="I16" t="n">
        <v>1.611612903225806</v>
      </c>
      <c r="J16" t="n">
        <v>1.301129032258065</v>
      </c>
      <c r="K16" t="n">
        <v>0.3104838709677418</v>
      </c>
      <c r="L16" t="n">
        <v>155.944</v>
      </c>
      <c r="M16" t="inlineStr">
        <is>
          <t>EIA</t>
        </is>
      </c>
      <c r="N16" t="n">
        <v>454.124</v>
      </c>
      <c r="O16" t="n">
        <v>34.3395196025755</v>
      </c>
      <c r="P16" t="n">
        <v>402.578</v>
      </c>
    </row>
    <row r="17">
      <c r="A17" s="8" t="n">
        <v>44652</v>
      </c>
      <c r="B17" t="n">
        <v>2.011033333333333</v>
      </c>
      <c r="C17" t="n">
        <v>0.5206000000000001</v>
      </c>
      <c r="D17" t="n">
        <v>1.490433333333333</v>
      </c>
      <c r="E17" t="n">
        <v>291.172</v>
      </c>
      <c r="F17" t="inlineStr">
        <is>
          <t>EIA</t>
        </is>
      </c>
      <c r="G17" t="n">
        <v>551.806</v>
      </c>
      <c r="H17" t="n">
        <v>52.76709568217816</v>
      </c>
      <c r="I17" t="n">
        <v>2.4075</v>
      </c>
      <c r="J17" t="n">
        <v>0.6063</v>
      </c>
      <c r="K17" t="n">
        <v>1.8012</v>
      </c>
      <c r="L17" t="n">
        <v>209.527</v>
      </c>
      <c r="M17" t="inlineStr">
        <is>
          <t>EIA</t>
        </is>
      </c>
      <c r="N17" t="n">
        <v>454.124</v>
      </c>
      <c r="O17" t="n">
        <v>46.13871982101804</v>
      </c>
      <c r="P17" t="n">
        <v>500.699</v>
      </c>
    </row>
    <row r="18">
      <c r="A18" s="8" t="n">
        <v>44682</v>
      </c>
      <c r="B18" t="n">
        <v>1.664612903225806</v>
      </c>
      <c r="C18" t="n">
        <v>0.6686129032258065</v>
      </c>
      <c r="D18" t="n">
        <v>0.9959999999999999</v>
      </c>
      <c r="E18" t="n">
        <v>322.46</v>
      </c>
      <c r="F18" t="inlineStr">
        <is>
          <t>EIA</t>
        </is>
      </c>
      <c r="G18" t="n">
        <v>551.806</v>
      </c>
      <c r="H18" t="n">
        <v>58.43720437980014</v>
      </c>
      <c r="I18" t="n">
        <v>1.907806451612903</v>
      </c>
      <c r="J18" t="n">
        <v>0.6745806451612903</v>
      </c>
      <c r="K18" t="n">
        <v>1.233225806451613</v>
      </c>
      <c r="L18" t="n">
        <v>247.357</v>
      </c>
      <c r="M18" t="inlineStr">
        <is>
          <t>EIA</t>
        </is>
      </c>
      <c r="N18" t="n">
        <v>454.124</v>
      </c>
      <c r="O18" t="n">
        <v>54.46904369731615</v>
      </c>
      <c r="P18" t="n">
        <v>569.817</v>
      </c>
    </row>
    <row r="19">
      <c r="A19" s="8" t="n">
        <v>44713</v>
      </c>
      <c r="B19" t="n">
        <v>1.453166666666667</v>
      </c>
      <c r="C19" t="n">
        <v>0.7817999999999999</v>
      </c>
      <c r="D19" t="n">
        <v>0.6713666666666668</v>
      </c>
      <c r="E19" t="n">
        <v>343.02</v>
      </c>
      <c r="F19" t="inlineStr">
        <is>
          <t>EIA</t>
        </is>
      </c>
      <c r="G19" t="n">
        <v>551.806</v>
      </c>
      <c r="H19" t="n">
        <v>62.1631515423899</v>
      </c>
      <c r="I19" t="n">
        <v>1.3559</v>
      </c>
      <c r="J19" t="n">
        <v>0.7397333333333334</v>
      </c>
      <c r="K19" t="n">
        <v>0.6161666666666668</v>
      </c>
      <c r="L19" t="n">
        <v>265.711</v>
      </c>
      <c r="M19" t="inlineStr">
        <is>
          <t>EIA</t>
        </is>
      </c>
      <c r="N19" t="n">
        <v>454.124</v>
      </c>
      <c r="O19" t="n">
        <v>58.51067109423857</v>
      </c>
      <c r="P19" t="n">
        <v>608.731</v>
      </c>
    </row>
    <row r="20">
      <c r="A20" s="8" t="n">
        <v>44743</v>
      </c>
      <c r="B20" t="n">
        <v>1.202129032258065</v>
      </c>
      <c r="C20" t="n">
        <v>1.388</v>
      </c>
      <c r="D20" t="n">
        <v>-0.1858709677419352</v>
      </c>
      <c r="E20" t="n">
        <v>335.775</v>
      </c>
      <c r="F20" t="inlineStr">
        <is>
          <t>EIA</t>
        </is>
      </c>
      <c r="G20" t="n">
        <v>551.806</v>
      </c>
      <c r="H20" t="n">
        <v>60.85019010304345</v>
      </c>
      <c r="I20" t="n">
        <v>1.14058064516129</v>
      </c>
      <c r="J20" t="n">
        <v>1.543677419354839</v>
      </c>
      <c r="K20" t="n">
        <v>-0.4030967741935485</v>
      </c>
      <c r="L20" t="n">
        <v>254.091</v>
      </c>
      <c r="M20" t="inlineStr">
        <is>
          <t>EIA</t>
        </is>
      </c>
      <c r="N20" t="n">
        <v>454.124</v>
      </c>
      <c r="O20" t="n">
        <v>55.95189860038228</v>
      </c>
      <c r="P20" t="n">
        <v>589.866</v>
      </c>
    </row>
    <row r="21">
      <c r="A21" s="8" t="n">
        <v>44774</v>
      </c>
      <c r="B21" t="n">
        <v>1.73141935483871</v>
      </c>
      <c r="C21" t="n">
        <v>1.743612903225806</v>
      </c>
      <c r="D21" t="n">
        <v>-0.01219354838709652</v>
      </c>
      <c r="E21" t="n">
        <v>334.806</v>
      </c>
      <c r="F21" t="inlineStr">
        <is>
          <t>EIA</t>
        </is>
      </c>
      <c r="G21" t="n">
        <v>551.806</v>
      </c>
      <c r="H21" t="n">
        <v>60.6745849084642</v>
      </c>
      <c r="I21" t="n">
        <v>1.008129032258064</v>
      </c>
      <c r="J21" t="n">
        <v>1.174612903225806</v>
      </c>
      <c r="K21" t="n">
        <v>-0.1664838709677419</v>
      </c>
      <c r="L21" t="n">
        <v>248.644</v>
      </c>
      <c r="M21" t="inlineStr">
        <is>
          <t>EIA</t>
        </is>
      </c>
      <c r="N21" t="n">
        <v>454.124</v>
      </c>
      <c r="O21" t="n">
        <v>54.75244646836547</v>
      </c>
      <c r="P21" t="n">
        <v>583.45</v>
      </c>
    </row>
    <row r="22">
      <c r="A22" s="8" t="n">
        <v>44805</v>
      </c>
      <c r="B22" t="n">
        <v>2.6006</v>
      </c>
      <c r="C22" t="n">
        <v>1.136133333333333</v>
      </c>
      <c r="D22" t="n">
        <v>1.464466666666667</v>
      </c>
      <c r="E22" t="n">
        <v>378.599</v>
      </c>
      <c r="F22" t="inlineStr">
        <is>
          <t>EIA</t>
        </is>
      </c>
      <c r="G22" t="n">
        <v>551.806</v>
      </c>
      <c r="H22" t="n">
        <v>68.61088860940258</v>
      </c>
      <c r="I22" t="n">
        <v>1.651</v>
      </c>
      <c r="J22" t="n">
        <v>0.9509666666666667</v>
      </c>
      <c r="K22" t="n">
        <v>0.7000333333333333</v>
      </c>
      <c r="L22" t="n">
        <v>270.963</v>
      </c>
      <c r="M22" t="inlineStr">
        <is>
          <t>EIA</t>
        </is>
      </c>
      <c r="N22" t="n">
        <v>454.124</v>
      </c>
      <c r="O22" t="n">
        <v>59.66718341246003</v>
      </c>
      <c r="P22" t="n">
        <v>649.562</v>
      </c>
    </row>
    <row r="23">
      <c r="A23" s="8" t="n">
        <v>44835</v>
      </c>
      <c r="B23" t="n">
        <v>2.467064516129032</v>
      </c>
      <c r="C23" t="n">
        <v>0.4530645161290323</v>
      </c>
      <c r="D23" t="n">
        <v>2.014</v>
      </c>
      <c r="E23" t="n">
        <v>440.783</v>
      </c>
      <c r="F23" t="inlineStr">
        <is>
          <t>EIA</t>
        </is>
      </c>
      <c r="G23" t="n">
        <v>551.806</v>
      </c>
      <c r="H23" t="n">
        <v>79.88006654512635</v>
      </c>
      <c r="I23" t="n">
        <v>2.212612903225806</v>
      </c>
      <c r="J23" t="n">
        <v>0.5782903225806452</v>
      </c>
      <c r="K23" t="n">
        <v>1.634322580645161</v>
      </c>
      <c r="L23" t="n">
        <v>321.253</v>
      </c>
      <c r="M23" t="inlineStr">
        <is>
          <t>EIA</t>
        </is>
      </c>
      <c r="N23" t="n">
        <v>454.124</v>
      </c>
      <c r="O23" t="n">
        <v>70.74125128819441</v>
      </c>
      <c r="P23" t="n">
        <v>762.0360000000001</v>
      </c>
    </row>
    <row r="24">
      <c r="A24" s="8" t="n">
        <v>44866</v>
      </c>
      <c r="B24" t="n">
        <v>1.554566666666667</v>
      </c>
      <c r="C24" t="n">
        <v>1.4176</v>
      </c>
      <c r="D24" t="n">
        <v>0.1369666666666667</v>
      </c>
      <c r="E24" t="n">
        <v>445.661</v>
      </c>
      <c r="F24" t="inlineStr">
        <is>
          <t>EIA</t>
        </is>
      </c>
      <c r="G24" t="n">
        <v>551.806</v>
      </c>
      <c r="H24" t="n">
        <v>80.76407288068633</v>
      </c>
      <c r="I24" t="n">
        <v>1.6076</v>
      </c>
      <c r="J24" t="n">
        <v>1.167233333333333</v>
      </c>
      <c r="K24" t="n">
        <v>0.4403666666666666</v>
      </c>
      <c r="L24" t="n">
        <v>334.846</v>
      </c>
      <c r="M24" t="inlineStr">
        <is>
          <t>EIA</t>
        </is>
      </c>
      <c r="N24" t="n">
        <v>454.124</v>
      </c>
      <c r="O24" t="n">
        <v>73.73448661599035</v>
      </c>
      <c r="P24" t="n">
        <v>780.5070000000001</v>
      </c>
    </row>
    <row r="25">
      <c r="A25" s="8" t="n">
        <v>44896</v>
      </c>
      <c r="B25" t="n">
        <v>1.395903225806452</v>
      </c>
      <c r="C25" t="n">
        <v>2.284096774193548</v>
      </c>
      <c r="D25" t="n">
        <v>-0.8881935483870966</v>
      </c>
      <c r="E25" t="n">
        <v>417.487</v>
      </c>
      <c r="F25" t="inlineStr">
        <is>
          <t>EIA</t>
        </is>
      </c>
      <c r="G25" t="n">
        <v>551.806</v>
      </c>
      <c r="H25" t="n">
        <v>75.65829295078342</v>
      </c>
      <c r="I25" t="n">
        <v>1.216612903225806</v>
      </c>
      <c r="J25" t="n">
        <v>2.626612903225806</v>
      </c>
      <c r="K25" t="n">
        <v>-1.41</v>
      </c>
      <c r="L25" t="n">
        <v>291.45</v>
      </c>
      <c r="M25" t="inlineStr">
        <is>
          <t>EIA</t>
        </is>
      </c>
      <c r="N25" t="n">
        <v>454.124</v>
      </c>
      <c r="O25" t="n">
        <v>64.17850631105159</v>
      </c>
      <c r="P25" t="n">
        <v>708.937</v>
      </c>
    </row>
    <row r="26">
      <c r="A26" s="8" t="n">
        <v>44927</v>
      </c>
      <c r="B26" t="n">
        <v>1.189967741935484</v>
      </c>
      <c r="C26" t="n">
        <v>1.932354838709677</v>
      </c>
      <c r="D26" t="n">
        <v>-0.7423870967741935</v>
      </c>
      <c r="E26" t="n">
        <v>394.359</v>
      </c>
      <c r="F26" t="inlineStr">
        <is>
          <t>EIA</t>
        </is>
      </c>
      <c r="G26" t="n">
        <v>554.4829999999999</v>
      </c>
      <c r="H26" t="n">
        <v>71.12192799418557</v>
      </c>
      <c r="I26" t="n">
        <v>1.299064516129032</v>
      </c>
      <c r="J26" t="n">
        <v>1.674225806451613</v>
      </c>
      <c r="K26" t="n">
        <v>-0.3751612903225807</v>
      </c>
      <c r="L26" t="n">
        <v>280.044</v>
      </c>
      <c r="M26" t="inlineStr">
        <is>
          <t>EIA</t>
        </is>
      </c>
      <c r="N26" t="n">
        <v>455.751</v>
      </c>
      <c r="O26" t="n">
        <v>61.44671103299828</v>
      </c>
      <c r="P26" t="n">
        <v>674.403</v>
      </c>
    </row>
    <row r="27">
      <c r="A27" s="8" t="n">
        <v>44958</v>
      </c>
      <c r="B27" t="n">
        <v>1.318821428571429</v>
      </c>
      <c r="C27" t="n">
        <v>1.893642857142857</v>
      </c>
      <c r="D27" t="n">
        <v>-0.5748214285714286</v>
      </c>
      <c r="E27" t="n">
        <v>378.107</v>
      </c>
      <c r="F27" t="inlineStr">
        <is>
          <t>EIA</t>
        </is>
      </c>
      <c r="G27" t="n">
        <v>554.4829999999999</v>
      </c>
      <c r="H27" t="n">
        <v>68.19090936962901</v>
      </c>
      <c r="I27" t="n">
        <v>1.072214285714286</v>
      </c>
      <c r="J27" t="n">
        <v>1.698857142857143</v>
      </c>
      <c r="K27" t="n">
        <v>-0.6266428571428571</v>
      </c>
      <c r="L27" t="n">
        <v>262.774</v>
      </c>
      <c r="M27" t="inlineStr">
        <is>
          <t>EIA</t>
        </is>
      </c>
      <c r="N27" t="n">
        <v>455.751</v>
      </c>
      <c r="O27" t="n">
        <v>57.65736114676655</v>
      </c>
      <c r="P27" t="n">
        <v>640.8810000000001</v>
      </c>
    </row>
    <row r="28">
      <c r="A28" s="8" t="n">
        <v>44986</v>
      </c>
      <c r="B28" t="n">
        <v>1.539709677419355</v>
      </c>
      <c r="C28" t="n">
        <v>1.019161290322581</v>
      </c>
      <c r="D28" t="n">
        <v>0.5205483870967742</v>
      </c>
      <c r="E28" t="n">
        <v>394.207</v>
      </c>
      <c r="F28" t="inlineStr">
        <is>
          <t>EIA</t>
        </is>
      </c>
      <c r="G28" t="n">
        <v>554.4829999999999</v>
      </c>
      <c r="H28" t="n">
        <v>71.09451507079568</v>
      </c>
      <c r="I28" t="n">
        <v>1.372548387096774</v>
      </c>
      <c r="J28" t="n">
        <v>1.445290322580645</v>
      </c>
      <c r="K28" t="n">
        <v>-0.07274193548387098</v>
      </c>
      <c r="L28" t="n">
        <v>260.967</v>
      </c>
      <c r="M28" t="inlineStr">
        <is>
          <t>EIA</t>
        </is>
      </c>
      <c r="N28" t="n">
        <v>455.751</v>
      </c>
      <c r="O28" t="n">
        <v>57.26087271338955</v>
      </c>
      <c r="P28" t="n">
        <v>655.174</v>
      </c>
    </row>
    <row r="29">
      <c r="A29" s="8" t="n">
        <v>45017</v>
      </c>
      <c r="B29" t="n">
        <v>1.441633333333334</v>
      </c>
      <c r="C29" t="n">
        <v>0.6953333333333334</v>
      </c>
      <c r="D29" t="n">
        <v>0.7463000000000002</v>
      </c>
      <c r="E29" t="n">
        <v>416.4</v>
      </c>
      <c r="F29" t="inlineStr">
        <is>
          <t>EIA</t>
        </is>
      </c>
      <c r="G29" t="n">
        <v>554.4829999999999</v>
      </c>
      <c r="H29" t="n">
        <v>75.09698223390076</v>
      </c>
      <c r="I29" t="n">
        <v>1.4105</v>
      </c>
      <c r="J29" t="n">
        <v>1.134666666666667</v>
      </c>
      <c r="K29" t="n">
        <v>0.2758333333333334</v>
      </c>
      <c r="L29" t="n">
        <v>269.507</v>
      </c>
      <c r="M29" t="inlineStr">
        <is>
          <t>EIA</t>
        </is>
      </c>
      <c r="N29" t="n">
        <v>455.751</v>
      </c>
      <c r="O29" t="n">
        <v>59.13470294086025</v>
      </c>
      <c r="P29" t="n">
        <v>685.9069999999999</v>
      </c>
    </row>
    <row r="30">
      <c r="A30" s="8" t="n">
        <v>45047</v>
      </c>
      <c r="B30" t="n">
        <v>1.817225806451613</v>
      </c>
      <c r="C30" t="n">
        <v>0.7054838709677419</v>
      </c>
      <c r="D30" t="n">
        <v>1.111741935483871</v>
      </c>
      <c r="E30" t="n">
        <v>450.94</v>
      </c>
      <c r="F30" t="inlineStr">
        <is>
          <t>EIA</t>
        </is>
      </c>
      <c r="G30" t="n">
        <v>554.4829999999999</v>
      </c>
      <c r="H30" t="n">
        <v>81.32620837789437</v>
      </c>
      <c r="I30" t="n">
        <v>1.873677419354839</v>
      </c>
      <c r="J30" t="n">
        <v>0.8789032258064516</v>
      </c>
      <c r="K30" t="n">
        <v>0.994774193548387</v>
      </c>
      <c r="L30" t="n">
        <v>287.173</v>
      </c>
      <c r="M30" t="inlineStr">
        <is>
          <t>EIA</t>
        </is>
      </c>
      <c r="N30" t="n">
        <v>455.751</v>
      </c>
      <c r="O30" t="n">
        <v>63.01094237862341</v>
      </c>
      <c r="P30" t="n">
        <v>738.1130000000001</v>
      </c>
    </row>
    <row r="31">
      <c r="A31" s="8" t="n">
        <v>45078</v>
      </c>
      <c r="B31" t="n">
        <v>1.372766666666667</v>
      </c>
      <c r="C31" t="n">
        <v>1.0153</v>
      </c>
      <c r="D31" t="n">
        <v>0.3574666666666668</v>
      </c>
      <c r="E31" t="n">
        <v>461.639</v>
      </c>
      <c r="F31" t="inlineStr">
        <is>
          <t>EIA</t>
        </is>
      </c>
      <c r="G31" t="n">
        <v>554.4829999999999</v>
      </c>
      <c r="H31" t="n">
        <v>83.25575355781874</v>
      </c>
      <c r="I31" t="n">
        <v>1.526533333333333</v>
      </c>
      <c r="J31" t="n">
        <v>1.057866666666667</v>
      </c>
      <c r="K31" t="n">
        <v>0.4686666666666668</v>
      </c>
      <c r="L31" t="n">
        <v>301.097</v>
      </c>
      <c r="M31" t="inlineStr">
        <is>
          <t>EIA</t>
        </is>
      </c>
      <c r="N31" t="n">
        <v>455.751</v>
      </c>
      <c r="O31" t="n">
        <v>66.06611943802646</v>
      </c>
      <c r="P31" t="n">
        <v>762.736</v>
      </c>
    </row>
    <row r="32">
      <c r="A32" s="8" t="n">
        <v>45108</v>
      </c>
      <c r="B32" t="n">
        <v>0.9224516129032259</v>
      </c>
      <c r="C32" t="n">
        <v>1.486451612903226</v>
      </c>
      <c r="D32" t="n">
        <v>-0.5640000000000001</v>
      </c>
      <c r="E32" t="n">
        <v>444.124</v>
      </c>
      <c r="F32" t="inlineStr">
        <is>
          <t>EIA</t>
        </is>
      </c>
      <c r="G32" t="n">
        <v>554.4829999999999</v>
      </c>
      <c r="H32" t="n">
        <v>80.09695518167375</v>
      </c>
      <c r="I32" t="n">
        <v>1.063387096774194</v>
      </c>
      <c r="J32" t="n">
        <v>1.400967741935484</v>
      </c>
      <c r="K32" t="n">
        <v>-0.3375806451612902</v>
      </c>
      <c r="L32" t="n">
        <v>290.068</v>
      </c>
      <c r="M32" t="inlineStr">
        <is>
          <t>EIA</t>
        </is>
      </c>
      <c r="N32" t="n">
        <v>455.751</v>
      </c>
      <c r="O32" t="n">
        <v>63.64615766065241</v>
      </c>
      <c r="P32" t="n">
        <v>734.192</v>
      </c>
    </row>
    <row r="33">
      <c r="A33" s="8" t="n">
        <v>45139</v>
      </c>
      <c r="B33" t="n">
        <v>1.958129032258065</v>
      </c>
      <c r="C33" t="n">
        <v>3.372032258064516</v>
      </c>
      <c r="D33" t="n">
        <v>-1.413903225806451</v>
      </c>
      <c r="E33" t="n">
        <v>401.143</v>
      </c>
      <c r="F33" t="inlineStr">
        <is>
          <t>EIA</t>
        </is>
      </c>
      <c r="G33" t="n">
        <v>554.4829999999999</v>
      </c>
      <c r="H33" t="n">
        <v>72.34541004863991</v>
      </c>
      <c r="I33" t="n">
        <v>0.9764838709677419</v>
      </c>
      <c r="J33" t="n">
        <v>1.683161290322581</v>
      </c>
      <c r="K33" t="n">
        <v>-0.7066774193548389</v>
      </c>
      <c r="L33" t="n">
        <v>268.227</v>
      </c>
      <c r="M33" t="inlineStr">
        <is>
          <t>EIA</t>
        </is>
      </c>
      <c r="N33" t="n">
        <v>455.751</v>
      </c>
      <c r="O33" t="n">
        <v>58.85384782479907</v>
      </c>
      <c r="P33" t="n">
        <v>669.3699999999999</v>
      </c>
    </row>
    <row r="34">
      <c r="A34" s="8" t="n">
        <v>45170</v>
      </c>
      <c r="B34" t="n">
        <v>3.023566666666667</v>
      </c>
      <c r="C34" t="n">
        <v>2.7875</v>
      </c>
      <c r="D34" t="n">
        <v>0.2360666666666664</v>
      </c>
      <c r="E34" t="n">
        <v>408.178</v>
      </c>
      <c r="F34" t="inlineStr">
        <is>
          <t>EIA</t>
        </is>
      </c>
      <c r="G34" t="n">
        <v>554.4829999999999</v>
      </c>
      <c r="H34" t="n">
        <v>73.61415949632361</v>
      </c>
      <c r="I34" t="n">
        <v>1.516833333333333</v>
      </c>
      <c r="J34" t="n">
        <v>0.9531000000000001</v>
      </c>
      <c r="K34" t="n">
        <v>0.5637333333333332</v>
      </c>
      <c r="L34" t="n">
        <v>284.654</v>
      </c>
      <c r="M34" t="inlineStr">
        <is>
          <t>EIA</t>
        </is>
      </c>
      <c r="N34" t="n">
        <v>455.751</v>
      </c>
      <c r="O34" t="n">
        <v>62.45822828693739</v>
      </c>
      <c r="P34" t="n">
        <v>692.832</v>
      </c>
    </row>
    <row r="35">
      <c r="A35" s="8" t="n">
        <v>45200</v>
      </c>
      <c r="B35" t="n">
        <v>2.598548387096774</v>
      </c>
      <c r="C35" t="n">
        <v>1.050774193548387</v>
      </c>
      <c r="D35" t="n">
        <v>1.547774193548387</v>
      </c>
      <c r="E35" t="n">
        <v>453.602</v>
      </c>
      <c r="F35" t="inlineStr">
        <is>
          <t>EIA</t>
        </is>
      </c>
      <c r="G35" t="n">
        <v>554.4829999999999</v>
      </c>
      <c r="H35" t="n">
        <v>81.80629523357796</v>
      </c>
      <c r="I35" t="n">
        <v>1.867935483870968</v>
      </c>
      <c r="J35" t="n">
        <v>0.6557419354838709</v>
      </c>
      <c r="K35" t="n">
        <v>1.212193548387097</v>
      </c>
      <c r="L35" t="n">
        <v>322.43</v>
      </c>
      <c r="M35" t="inlineStr">
        <is>
          <t>EIA</t>
        </is>
      </c>
      <c r="N35" t="n">
        <v>455.751</v>
      </c>
      <c r="O35" t="n">
        <v>70.74696489969304</v>
      </c>
      <c r="P35" t="n">
        <v>776.0319999999999</v>
      </c>
    </row>
    <row r="36">
      <c r="A36" s="8" t="n">
        <v>45231</v>
      </c>
      <c r="B36" t="n">
        <v>1.747533333333333</v>
      </c>
      <c r="C36" t="n">
        <v>1.378966666666667</v>
      </c>
      <c r="D36" t="n">
        <v>0.3685666666666667</v>
      </c>
      <c r="E36" t="n">
        <v>464.64</v>
      </c>
      <c r="F36" t="inlineStr">
        <is>
          <t>EIA</t>
        </is>
      </c>
      <c r="G36" t="n">
        <v>554.4829999999999</v>
      </c>
      <c r="H36" t="n">
        <v>83.79697844658899</v>
      </c>
      <c r="I36" t="n">
        <v>1.4079</v>
      </c>
      <c r="J36" t="n">
        <v>0.9396</v>
      </c>
      <c r="K36" t="n">
        <v>0.4683000000000002</v>
      </c>
      <c r="L36" t="n">
        <v>334.745</v>
      </c>
      <c r="M36" t="inlineStr">
        <is>
          <t>EIA</t>
        </is>
      </c>
      <c r="N36" t="n">
        <v>455.751</v>
      </c>
      <c r="O36" t="n">
        <v>73.44909830148481</v>
      </c>
      <c r="P36" t="n">
        <v>799.385</v>
      </c>
    </row>
    <row r="37">
      <c r="A37" s="8" t="n">
        <v>45261</v>
      </c>
      <c r="B37" t="n">
        <v>1.347290322580645</v>
      </c>
      <c r="C37" t="n">
        <v>1.436451612903226</v>
      </c>
      <c r="D37" t="n">
        <v>-0.08916129032258069</v>
      </c>
      <c r="E37" t="n">
        <v>461.605</v>
      </c>
      <c r="F37" t="inlineStr">
        <is>
          <t>EIA</t>
        </is>
      </c>
      <c r="G37" t="n">
        <v>554.4829999999999</v>
      </c>
      <c r="H37" t="n">
        <v>83.24962171969204</v>
      </c>
      <c r="I37" t="n">
        <v>1.131612903225806</v>
      </c>
      <c r="J37" t="n">
        <v>1.384677419354839</v>
      </c>
      <c r="K37" t="n">
        <v>-0.2530645161290324</v>
      </c>
      <c r="L37" t="n">
        <v>326.362</v>
      </c>
      <c r="M37" t="inlineStr">
        <is>
          <t>EIA</t>
        </is>
      </c>
      <c r="N37" t="n">
        <v>455.751</v>
      </c>
      <c r="O37" t="n">
        <v>71.60971670934349</v>
      </c>
      <c r="P37" t="n">
        <v>787.9670000000001</v>
      </c>
    </row>
    <row r="38">
      <c r="A38" s="8" t="n">
        <v>45292</v>
      </c>
      <c r="B38" t="n">
        <v>0.917741935483871</v>
      </c>
      <c r="C38" t="n">
        <v>3.95441935483871</v>
      </c>
      <c r="D38" t="n">
        <v>-3.036677419354839</v>
      </c>
      <c r="E38" t="n">
        <v>367.458</v>
      </c>
      <c r="F38" t="inlineStr">
        <is>
          <t>EIA</t>
        </is>
      </c>
      <c r="G38" t="n">
        <v>563.188</v>
      </c>
      <c r="H38" t="n">
        <v>65.24606348146624</v>
      </c>
      <c r="I38" t="n">
        <v>0.9245806451612903</v>
      </c>
      <c r="J38" t="n">
        <v>3.587322580645162</v>
      </c>
      <c r="K38" t="n">
        <v>-2.662741935483871</v>
      </c>
      <c r="L38" t="n">
        <v>243.939</v>
      </c>
      <c r="M38" t="inlineStr">
        <is>
          <t>EIA</t>
        </is>
      </c>
      <c r="N38" t="n">
        <v>429.788</v>
      </c>
      <c r="O38" t="n">
        <v>56.75798300557484</v>
      </c>
      <c r="P38" t="n">
        <v>611.397</v>
      </c>
    </row>
    <row r="39">
      <c r="A39" s="8" t="n">
        <v>45323</v>
      </c>
      <c r="B39" t="n">
        <v>2.00796551724138</v>
      </c>
      <c r="C39" t="n">
        <v>1.601103448275862</v>
      </c>
      <c r="D39" t="n">
        <v>0.4068620689655174</v>
      </c>
      <c r="E39" t="n">
        <v>379.941</v>
      </c>
      <c r="F39" t="inlineStr">
        <is>
          <t>EIA</t>
        </is>
      </c>
      <c r="G39" t="n">
        <v>563.188</v>
      </c>
      <c r="H39" t="n">
        <v>67.46255246915773</v>
      </c>
      <c r="I39" t="n">
        <v>1.579551724137931</v>
      </c>
      <c r="J39" t="n">
        <v>1.068620689655172</v>
      </c>
      <c r="K39" t="n">
        <v>0.5109310344827585</v>
      </c>
      <c r="L39" t="n">
        <v>258.723</v>
      </c>
      <c r="M39" t="inlineStr">
        <is>
          <t>EIA</t>
        </is>
      </c>
      <c r="N39" t="n">
        <v>429.788</v>
      </c>
      <c r="O39" t="n">
        <v>60.19781845933344</v>
      </c>
      <c r="P39" t="n">
        <v>638.664</v>
      </c>
    </row>
    <row r="40">
      <c r="A40" s="8" t="n">
        <v>45352</v>
      </c>
      <c r="B40" t="n">
        <v>2.315548387096774</v>
      </c>
      <c r="C40" t="n">
        <v>1.130161290322581</v>
      </c>
      <c r="D40" t="n">
        <v>1.185387096774194</v>
      </c>
      <c r="E40" t="n">
        <v>419.212</v>
      </c>
      <c r="F40" t="inlineStr">
        <is>
          <t>EIA</t>
        </is>
      </c>
      <c r="G40" t="n">
        <v>563.188</v>
      </c>
      <c r="H40" t="n">
        <v>74.43553484804364</v>
      </c>
      <c r="I40" t="n">
        <v>1.678677419354839</v>
      </c>
      <c r="J40" t="n">
        <v>1.081741935483871</v>
      </c>
      <c r="K40" t="n">
        <v>0.596935483870968</v>
      </c>
      <c r="L40" t="n">
        <v>276.636</v>
      </c>
      <c r="M40" t="inlineStr">
        <is>
          <t>EIA</t>
        </is>
      </c>
      <c r="N40" t="n">
        <v>429.788</v>
      </c>
      <c r="O40" t="n">
        <v>64.3656872690722</v>
      </c>
      <c r="P40" t="n">
        <v>695.848</v>
      </c>
    </row>
    <row r="41">
      <c r="A41" s="8" t="n">
        <v>45383</v>
      </c>
      <c r="B41" t="n">
        <v>2.3053</v>
      </c>
      <c r="C41" t="n">
        <v>1.326766666666667</v>
      </c>
      <c r="D41" t="n">
        <v>0.9785333333333337</v>
      </c>
      <c r="E41" t="n">
        <v>448.511</v>
      </c>
      <c r="F41" t="inlineStr">
        <is>
          <t>EIA</t>
        </is>
      </c>
      <c r="G41" t="n">
        <v>563.188</v>
      </c>
      <c r="H41" t="n">
        <v>79.637882909437</v>
      </c>
      <c r="I41" t="n">
        <v>1.6405</v>
      </c>
      <c r="J41" t="n">
        <v>1.005433333333333</v>
      </c>
      <c r="K41" t="n">
        <v>0.6350666666666669</v>
      </c>
      <c r="L41" t="n">
        <v>295.937</v>
      </c>
      <c r="M41" t="inlineStr">
        <is>
          <t>EIA</t>
        </is>
      </c>
      <c r="N41" t="n">
        <v>429.788</v>
      </c>
      <c r="O41" t="n">
        <v>68.85650599830613</v>
      </c>
      <c r="P41" t="n">
        <v>744.4480000000001</v>
      </c>
    </row>
    <row r="42">
      <c r="A42" s="8" t="n">
        <v>45413</v>
      </c>
      <c r="B42" t="n">
        <v>1.905258064516129</v>
      </c>
      <c r="C42" t="n">
        <v>1.243225806451613</v>
      </c>
      <c r="D42" t="n">
        <v>0.6620322580645162</v>
      </c>
      <c r="E42" t="n">
        <v>469.057</v>
      </c>
      <c r="F42" t="inlineStr">
        <is>
          <t>EIA</t>
        </is>
      </c>
      <c r="G42" t="n">
        <v>563.188</v>
      </c>
      <c r="H42" t="n">
        <v>83.28604302648495</v>
      </c>
      <c r="I42" t="n">
        <v>1.474096774193548</v>
      </c>
      <c r="J42" t="n">
        <v>0.9017419354838709</v>
      </c>
      <c r="K42" t="n">
        <v>0.5723548387096773</v>
      </c>
      <c r="L42" t="n">
        <v>313.379</v>
      </c>
      <c r="M42" t="inlineStr">
        <is>
          <t>EIA</t>
        </is>
      </c>
      <c r="N42" t="n">
        <v>429.788</v>
      </c>
      <c r="O42" t="n">
        <v>72.91478589444098</v>
      </c>
      <c r="P42" t="n">
        <v>782.436</v>
      </c>
    </row>
    <row r="43">
      <c r="A43" s="8" t="n">
        <v>45444</v>
      </c>
      <c r="B43" t="n">
        <v>1.550366666666667</v>
      </c>
      <c r="C43" t="n">
        <v>1.3302</v>
      </c>
      <c r="D43" t="n">
        <v>0.2201666666666666</v>
      </c>
      <c r="E43" t="n">
        <v>475.85</v>
      </c>
      <c r="F43" t="inlineStr">
        <is>
          <t>EIA</t>
        </is>
      </c>
      <c r="G43" t="n">
        <v>563.188</v>
      </c>
      <c r="H43" t="n">
        <v>84.49221219202114</v>
      </c>
      <c r="I43" t="n">
        <v>1.3514</v>
      </c>
      <c r="J43" t="n">
        <v>1.071233333333333</v>
      </c>
      <c r="K43" t="n">
        <v>0.2801666666666669</v>
      </c>
      <c r="L43" t="n">
        <v>321.908</v>
      </c>
      <c r="M43" t="inlineStr">
        <is>
          <t>EIA</t>
        </is>
      </c>
      <c r="N43" t="n">
        <v>429.788</v>
      </c>
      <c r="O43" t="n">
        <v>74.89925265479725</v>
      </c>
      <c r="P43" t="n">
        <v>797.758</v>
      </c>
    </row>
    <row r="44">
      <c r="A44" s="8" t="n">
        <v>45474</v>
      </c>
      <c r="B44" t="n">
        <v>1.135903225806452</v>
      </c>
      <c r="C44" t="n">
        <v>1.670774193548387</v>
      </c>
      <c r="D44" t="n">
        <v>-0.5348709677419354</v>
      </c>
      <c r="E44" t="n">
        <v>459.361</v>
      </c>
      <c r="F44" t="inlineStr">
        <is>
          <t>EIA</t>
        </is>
      </c>
      <c r="G44" t="n">
        <v>563.188</v>
      </c>
      <c r="H44" t="n">
        <v>81.56441543498796</v>
      </c>
      <c r="I44" t="n">
        <v>1.037870967741935</v>
      </c>
      <c r="J44" t="n">
        <v>1.078096774193548</v>
      </c>
      <c r="K44" t="n">
        <v>-0.040225806451613</v>
      </c>
      <c r="L44" t="n">
        <v>320.542</v>
      </c>
      <c r="M44" t="inlineStr">
        <is>
          <t>EIA</t>
        </is>
      </c>
      <c r="N44" t="n">
        <v>429.788</v>
      </c>
      <c r="O44" t="n">
        <v>74.58142153806062</v>
      </c>
      <c r="P44" t="n">
        <v>779.903</v>
      </c>
    </row>
    <row r="45">
      <c r="A45" s="8" t="n">
        <v>45505</v>
      </c>
      <c r="B45" t="n">
        <v>1.875322580645161</v>
      </c>
      <c r="C45" t="n">
        <v>3.474741935483871</v>
      </c>
      <c r="D45" t="n">
        <v>-1.599419354838709</v>
      </c>
      <c r="E45" t="n">
        <v>408.159</v>
      </c>
      <c r="F45" t="inlineStr">
        <is>
          <t>EIA</t>
        </is>
      </c>
      <c r="G45" t="n">
        <v>563.188</v>
      </c>
      <c r="H45" t="n">
        <v>72.47295752040172</v>
      </c>
      <c r="I45" t="n">
        <v>0.8859677419354839</v>
      </c>
      <c r="J45" t="n">
        <v>1.348645161290323</v>
      </c>
      <c r="K45" t="n">
        <v>-0.4626774193548389</v>
      </c>
      <c r="L45" t="n">
        <v>306.521</v>
      </c>
      <c r="M45" t="inlineStr">
        <is>
          <t>EIA</t>
        </is>
      </c>
      <c r="N45" t="n">
        <v>429.788</v>
      </c>
      <c r="O45" t="n">
        <v>71.31911547088332</v>
      </c>
      <c r="P45" t="n">
        <v>714.6800000000001</v>
      </c>
    </row>
    <row r="46">
      <c r="A46" s="8" t="n">
        <v>45536</v>
      </c>
      <c r="B46" t="n">
        <v>2.5233</v>
      </c>
      <c r="C46" t="n">
        <v>2.227366666666667</v>
      </c>
      <c r="D46" t="n">
        <v>0.2959333333333336</v>
      </c>
      <c r="E46" t="n">
        <v>415.999</v>
      </c>
      <c r="F46" t="inlineStr">
        <is>
          <t>EIA</t>
        </is>
      </c>
      <c r="G46" t="n">
        <v>563.188</v>
      </c>
      <c r="H46" t="n">
        <v>73.86503263563856</v>
      </c>
      <c r="I46" t="n">
        <v>1.326166666666667</v>
      </c>
      <c r="J46" t="n">
        <v>0.9736</v>
      </c>
      <c r="K46" t="n">
        <v>0.3525666666666667</v>
      </c>
      <c r="L46" t="n">
        <v>309.556</v>
      </c>
      <c r="M46" t="inlineStr">
        <is>
          <t>EIA</t>
        </is>
      </c>
      <c r="N46" t="n">
        <v>429.788</v>
      </c>
      <c r="O46" t="n">
        <v>72.02527757871322</v>
      </c>
      <c r="P46" t="n">
        <v>725.5550000000001</v>
      </c>
    </row>
    <row r="47">
      <c r="A47" s="8" t="n">
        <v>45566</v>
      </c>
      <c r="B47" t="n">
        <v>2.784935483870968</v>
      </c>
      <c r="C47" t="n">
        <v>0.9893548387096774</v>
      </c>
      <c r="D47" t="n">
        <v>1.79558064516129</v>
      </c>
      <c r="E47" t="n">
        <v>471.529</v>
      </c>
      <c r="F47" t="inlineStr">
        <is>
          <t>EIA</t>
        </is>
      </c>
      <c r="G47" t="n">
        <v>563.188</v>
      </c>
      <c r="H47" t="n">
        <v>83.72497283322798</v>
      </c>
      <c r="I47" t="n">
        <v>1.740064516129032</v>
      </c>
      <c r="J47" t="n">
        <v>0.5116129032258064</v>
      </c>
      <c r="K47" t="n">
        <v>1.228451612903226</v>
      </c>
      <c r="L47" t="n">
        <v>346.891</v>
      </c>
      <c r="M47" t="inlineStr">
        <is>
          <t>EIA</t>
        </is>
      </c>
      <c r="N47" t="n">
        <v>429.788</v>
      </c>
      <c r="O47" t="n">
        <v>80.71211853285807</v>
      </c>
      <c r="P47" t="n">
        <v>818.4200000000001</v>
      </c>
    </row>
    <row r="48">
      <c r="A48" s="8" t="n">
        <v>45597</v>
      </c>
      <c r="B48" t="n">
        <v>1.816766666666667</v>
      </c>
      <c r="C48" t="n">
        <v>1.256833333333333</v>
      </c>
      <c r="D48" t="n">
        <v>0.5599333333333334</v>
      </c>
      <c r="E48" t="n">
        <v>487.899</v>
      </c>
      <c r="F48" t="inlineStr">
        <is>
          <t>EIA</t>
        </is>
      </c>
      <c r="G48" t="n">
        <v>563.188</v>
      </c>
      <c r="H48" t="n">
        <v>86.63163987869061</v>
      </c>
      <c r="I48" t="n">
        <v>1.2597</v>
      </c>
      <c r="J48" t="n">
        <v>0.8722000000000001</v>
      </c>
      <c r="K48" t="n">
        <v>0.3875</v>
      </c>
      <c r="L48" t="n">
        <v>358.887</v>
      </c>
      <c r="M48" t="inlineStr">
        <is>
          <t>EIA</t>
        </is>
      </c>
      <c r="N48" t="n">
        <v>429.788</v>
      </c>
      <c r="O48" t="n">
        <v>83.50326207339432</v>
      </c>
      <c r="P48" t="n">
        <v>846.7860000000001</v>
      </c>
    </row>
    <row r="49">
      <c r="A49" s="8" t="n">
        <v>45627</v>
      </c>
      <c r="B49" t="n">
        <v>1.449032258064516</v>
      </c>
      <c r="C49" t="n">
        <v>1.874064516129032</v>
      </c>
      <c r="D49" t="n">
        <v>-0.4250322580645161</v>
      </c>
      <c r="E49" t="n">
        <v>473.928</v>
      </c>
      <c r="F49" t="inlineStr">
        <is>
          <t>EIA</t>
        </is>
      </c>
      <c r="G49" t="n">
        <v>563.188</v>
      </c>
      <c r="H49" t="n">
        <v>84.15094071606639</v>
      </c>
      <c r="I49" t="n">
        <v>1.070516129032258</v>
      </c>
      <c r="J49" t="n">
        <v>1.701064516129032</v>
      </c>
      <c r="K49" t="n">
        <v>-0.6305483870967741</v>
      </c>
      <c r="L49" t="n">
        <v>339.264</v>
      </c>
      <c r="M49" t="inlineStr">
        <is>
          <t>EIA</t>
        </is>
      </c>
      <c r="N49" t="n">
        <v>429.788</v>
      </c>
      <c r="O49" t="n">
        <v>78.93752268560313</v>
      </c>
      <c r="P49" t="n">
        <v>813.192</v>
      </c>
    </row>
    <row r="50">
      <c r="A50" s="8" t="n">
        <v>45658</v>
      </c>
      <c r="B50" t="n">
        <v>1.033096774193548</v>
      </c>
      <c r="C50" t="n">
        <v>4.680032258064516</v>
      </c>
      <c r="D50" t="n">
        <v>-3.646935483870968</v>
      </c>
      <c r="E50" t="n">
        <v>358.838</v>
      </c>
      <c r="F50" t="inlineStr">
        <is>
          <t>EIA</t>
        </is>
      </c>
      <c r="G50" t="n">
        <v>563.188</v>
      </c>
      <c r="H50" t="n">
        <v>63.71549109711145</v>
      </c>
      <c r="I50" t="n">
        <v>0.6349354838709677</v>
      </c>
      <c r="J50" t="n">
        <v>4.16483870967742</v>
      </c>
      <c r="K50" t="n">
        <v>-3.529903225806452</v>
      </c>
      <c r="L50" t="n">
        <v>227.377</v>
      </c>
      <c r="M50" t="inlineStr">
        <is>
          <t>EIA</t>
        </is>
      </c>
      <c r="N50" t="n">
        <v>429.788</v>
      </c>
      <c r="O50" t="n">
        <v>52.90445521978278</v>
      </c>
      <c r="P50" t="n">
        <v>586.215</v>
      </c>
    </row>
    <row r="51">
      <c r="A51" s="8" t="n">
        <v>45689</v>
      </c>
      <c r="B51" t="n">
        <v>1.292535714285714</v>
      </c>
      <c r="C51" t="n">
        <v>4.061928571428572</v>
      </c>
      <c r="D51" t="n">
        <v>-2.769392857142858</v>
      </c>
      <c r="E51" t="n">
        <v>281.412</v>
      </c>
      <c r="F51" t="inlineStr">
        <is>
          <t>EIA</t>
        </is>
      </c>
      <c r="G51" t="n">
        <v>563.188</v>
      </c>
      <c r="H51" t="n">
        <v>49.96768397053914</v>
      </c>
      <c r="I51" t="n">
        <v>0.9550714285714286</v>
      </c>
      <c r="J51" t="n">
        <v>3.354357142857143</v>
      </c>
      <c r="K51" t="n">
        <v>-2.399285714285714</v>
      </c>
      <c r="L51" t="n">
        <v>160.97</v>
      </c>
      <c r="M51" t="inlineStr">
        <is>
          <t>EIA</t>
        </is>
      </c>
      <c r="N51" t="n">
        <v>429.788</v>
      </c>
      <c r="O51" t="n">
        <v>37.45334909304122</v>
      </c>
      <c r="P51" t="n">
        <v>442.3819999999999</v>
      </c>
    </row>
    <row r="52">
      <c r="A52" s="8" t="n">
        <v>45717</v>
      </c>
      <c r="B52" t="n">
        <v>2.661516129032258</v>
      </c>
      <c r="C52" t="n">
        <v>1.247129032258065</v>
      </c>
      <c r="D52" t="n">
        <v>1.414387096774193</v>
      </c>
      <c r="E52" t="n">
        <v>325.574</v>
      </c>
      <c r="F52" t="inlineStr">
        <is>
          <t>EIA</t>
        </is>
      </c>
      <c r="G52" t="n">
        <v>563.188</v>
      </c>
      <c r="H52" t="n">
        <v>57.80911525103518</v>
      </c>
      <c r="I52" t="n">
        <v>2.002258064516129</v>
      </c>
      <c r="J52" t="n">
        <v>0.8719354838709676</v>
      </c>
      <c r="K52" t="n">
        <v>1.130322580645162</v>
      </c>
      <c r="L52" t="n">
        <v>194.936</v>
      </c>
      <c r="M52" t="inlineStr">
        <is>
          <t>EIA</t>
        </is>
      </c>
      <c r="N52" t="n">
        <v>429.788</v>
      </c>
      <c r="O52" t="n">
        <v>45.35631520656696</v>
      </c>
      <c r="P52" t="n">
        <v>520.51</v>
      </c>
    </row>
    <row r="53">
      <c r="A53" s="8" t="n">
        <v>45748</v>
      </c>
      <c r="B53" t="n">
        <v>2.422766666666667</v>
      </c>
      <c r="C53" t="n">
        <v>1.021366666666667</v>
      </c>
      <c r="D53" t="n">
        <v>1.4014</v>
      </c>
      <c r="E53" t="n">
        <v>367.289</v>
      </c>
      <c r="F53" t="inlineStr">
        <is>
          <t>EIA</t>
        </is>
      </c>
      <c r="G53" t="n">
        <v>563.188</v>
      </c>
      <c r="H53" t="n">
        <v>65.216055739824</v>
      </c>
      <c r="I53" t="n">
        <v>2.1286</v>
      </c>
      <c r="J53" t="n">
        <v>0.8767333333333334</v>
      </c>
      <c r="K53" t="n">
        <v>1.251866666666667</v>
      </c>
      <c r="L53" t="n">
        <v>233.107</v>
      </c>
      <c r="M53" t="inlineStr">
        <is>
          <t>EIA</t>
        </is>
      </c>
      <c r="N53" t="n">
        <v>429.788</v>
      </c>
      <c r="O53" t="n">
        <v>54.23767066553743</v>
      </c>
      <c r="P53" t="n">
        <v>600.396</v>
      </c>
    </row>
    <row r="54">
      <c r="A54" s="8" t="n">
        <v>45778</v>
      </c>
      <c r="B54" t="n">
        <v>2.441677419354839</v>
      </c>
      <c r="C54" t="n">
        <v>0.8430322580645161</v>
      </c>
      <c r="D54" t="n">
        <v>1.598645161290323</v>
      </c>
      <c r="E54" t="n">
        <v>416.461</v>
      </c>
      <c r="F54" t="inlineStr">
        <is>
          <t>EIA</t>
        </is>
      </c>
      <c r="G54" t="n">
        <v>563.188</v>
      </c>
      <c r="H54" t="n">
        <v>73.94706563350071</v>
      </c>
      <c r="I54" t="n">
        <v>2.077935483870968</v>
      </c>
      <c r="J54" t="n">
        <v>0.5091612903225806</v>
      </c>
      <c r="K54" t="n">
        <v>1.568774193548387</v>
      </c>
      <c r="L54" t="n">
        <v>281.128</v>
      </c>
      <c r="M54" t="inlineStr">
        <is>
          <t>EIA</t>
        </is>
      </c>
      <c r="N54" t="n">
        <v>429.788</v>
      </c>
      <c r="O54" t="n">
        <v>65.41085372323099</v>
      </c>
      <c r="P54" t="n">
        <v>697.5889999999999</v>
      </c>
    </row>
    <row r="55">
      <c r="A55" s="8" t="n">
        <v>45809</v>
      </c>
      <c r="B55" t="n">
        <v>2.011666666666667</v>
      </c>
      <c r="C55" t="n">
        <v>0.7972</v>
      </c>
      <c r="D55" t="n">
        <v>1.214466666666667</v>
      </c>
      <c r="E55" t="n">
        <v>452.267</v>
      </c>
      <c r="F55" t="inlineStr">
        <is>
          <t>EIA</t>
        </is>
      </c>
      <c r="G55" t="n">
        <v>563.188</v>
      </c>
      <c r="H55" t="n">
        <v>80.30480052842034</v>
      </c>
      <c r="I55" t="n">
        <v>1.604333333333333</v>
      </c>
      <c r="J55" t="n">
        <v>0.8182</v>
      </c>
      <c r="K55" t="n">
        <v>0.7861333333333331</v>
      </c>
      <c r="L55" t="n">
        <v>305.182</v>
      </c>
      <c r="M55" t="inlineStr">
        <is>
          <t>EIA</t>
        </is>
      </c>
      <c r="N55" t="n">
        <v>429.788</v>
      </c>
      <c r="O55" t="n">
        <v>71.00756652116857</v>
      </c>
      <c r="P55" t="n">
        <v>757.4490000000001</v>
      </c>
    </row>
    <row r="56">
      <c r="A56" s="8" t="n">
        <v>45839</v>
      </c>
      <c r="B56" t="n">
        <v>1.676290322580645</v>
      </c>
      <c r="C56" t="n">
        <v>1.450903225806452</v>
      </c>
      <c r="D56" t="n">
        <v>0.2253870967741936</v>
      </c>
      <c r="E56" t="n">
        <v>458.453</v>
      </c>
      <c r="F56" t="inlineStr">
        <is>
          <t>EIA</t>
        </is>
      </c>
      <c r="G56" t="n">
        <v>563.188</v>
      </c>
      <c r="H56" t="n">
        <v>81.40319040888654</v>
      </c>
      <c r="I56" t="n">
        <v>1.273677419354839</v>
      </c>
      <c r="J56" t="n">
        <v>1.166677419354839</v>
      </c>
      <c r="K56" t="n">
        <v>0.107</v>
      </c>
      <c r="L56" t="n">
        <v>308.253</v>
      </c>
      <c r="M56" t="inlineStr">
        <is>
          <t>EIA</t>
        </is>
      </c>
      <c r="N56" t="n">
        <v>429.788</v>
      </c>
      <c r="O56" t="n">
        <v>71.72210485169433</v>
      </c>
      <c r="P56" t="n">
        <v>766.7059999999999</v>
      </c>
    </row>
    <row r="57">
      <c r="A57" s="8" t="n">
        <v>45870</v>
      </c>
      <c r="B57" t="n">
        <v>1.391838709677419</v>
      </c>
      <c r="C57" t="n">
        <v>1.803870967741935</v>
      </c>
      <c r="D57" t="n">
        <v>-0.4120322580645162</v>
      </c>
      <c r="E57" t="n">
        <v>445.611</v>
      </c>
      <c r="F57" t="inlineStr">
        <is>
          <t>EIA</t>
        </is>
      </c>
      <c r="G57" t="n">
        <v>563.188</v>
      </c>
      <c r="H57" t="n">
        <v>79.12295716528051</v>
      </c>
      <c r="I57" t="n">
        <v>1.090322580645161</v>
      </c>
      <c r="J57" t="n">
        <v>1.017387096774194</v>
      </c>
      <c r="K57" t="n">
        <v>0.07293548387096771</v>
      </c>
      <c r="L57" t="n">
        <v>309.658</v>
      </c>
      <c r="M57" t="inlineStr">
        <is>
          <t>EIA</t>
        </is>
      </c>
      <c r="N57" t="n">
        <v>429.788</v>
      </c>
      <c r="O57" t="n">
        <v>72.04901020968477</v>
      </c>
      <c r="P57" t="n">
        <v>755.269</v>
      </c>
    </row>
    <row r="58">
      <c r="A58" s="8" t="n">
        <v>45901</v>
      </c>
      <c r="B58" t="n">
        <v>1.689533333333333</v>
      </c>
      <c r="C58" t="n">
        <v>1.2997</v>
      </c>
      <c r="D58" t="n">
        <v>0.3898333333333333</v>
      </c>
      <c r="E58" t="n">
        <v>456.882</v>
      </c>
      <c r="F58" t="inlineStr">
        <is>
          <t>EIA</t>
        </is>
      </c>
      <c r="G58" t="n">
        <v>563.188</v>
      </c>
      <c r="H58" t="n">
        <v>81.12424270403488</v>
      </c>
      <c r="I58" t="n">
        <v>1.092633333333333</v>
      </c>
      <c r="J58" t="n">
        <v>1.024833333333333</v>
      </c>
      <c r="K58" t="n">
        <v>0.06780000000000008</v>
      </c>
      <c r="L58" t="n">
        <v>311.091</v>
      </c>
      <c r="M58" t="inlineStr">
        <is>
          <t>EIA</t>
        </is>
      </c>
      <c r="N58" t="n">
        <v>429.788</v>
      </c>
      <c r="O58" t="n">
        <v>72.38243040754978</v>
      </c>
      <c r="P58" t="n">
        <v>767.973</v>
      </c>
    </row>
    <row r="59">
      <c r="A59" s="8" t="n">
        <v>45931</v>
      </c>
      <c r="B59" t="n">
        <v>2.187</v>
      </c>
      <c r="C59" t="n">
        <v>1.130225806451613</v>
      </c>
      <c r="D59" t="n">
        <v>1.056774193548387</v>
      </c>
      <c r="E59" t="n">
        <v>488.923</v>
      </c>
      <c r="F59" t="inlineStr">
        <is>
          <t>EIA</t>
        </is>
      </c>
      <c r="G59" t="n">
        <v>563.188</v>
      </c>
      <c r="H59" t="n">
        <v>86.81346193455826</v>
      </c>
      <c r="I59" t="n">
        <v>1.729741935483871</v>
      </c>
      <c r="J59" t="n">
        <v>0.6537741935483871</v>
      </c>
      <c r="K59" t="n">
        <v>1.075967741935484</v>
      </c>
      <c r="L59" t="n">
        <v>344.047</v>
      </c>
      <c r="M59" t="inlineStr">
        <is>
          <t>EIA</t>
        </is>
      </c>
      <c r="N59" t="n">
        <v>429.788</v>
      </c>
      <c r="O59" t="n">
        <v>80.05039693988665</v>
      </c>
      <c r="P59" t="n">
        <v>832.97</v>
      </c>
    </row>
    <row r="60">
      <c r="A60" s="8" t="n">
        <v>45962</v>
      </c>
      <c r="B60" t="n">
        <v>2.081066666666667</v>
      </c>
      <c r="C60" t="n">
        <v>1.227233333333333</v>
      </c>
      <c r="D60" t="n">
        <v>0.8538333333333332</v>
      </c>
      <c r="E60" t="n">
        <v>515.843</v>
      </c>
      <c r="F60" t="inlineStr">
        <is>
          <t>EIA</t>
        </is>
      </c>
      <c r="G60" t="n">
        <v>563.188</v>
      </c>
      <c r="H60" t="n">
        <v>91.59339332514188</v>
      </c>
      <c r="I60" t="n">
        <v>1.2458</v>
      </c>
      <c r="J60" t="n">
        <v>0.7593</v>
      </c>
      <c r="K60" t="n">
        <v>0.4865</v>
      </c>
      <c r="L60" t="n">
        <v>358.752</v>
      </c>
      <c r="M60" t="inlineStr">
        <is>
          <t>EIA</t>
        </is>
      </c>
      <c r="N60" t="n">
        <v>429.788</v>
      </c>
      <c r="O60" t="n">
        <v>83.47185123828493</v>
      </c>
      <c r="P60" t="n">
        <v>874.595</v>
      </c>
    </row>
    <row r="61">
      <c r="A61" s="8" t="n">
        <v>45992</v>
      </c>
      <c r="B61" t="n">
        <v>1.341290322580645</v>
      </c>
      <c r="C61" t="n">
        <v>3.165806451612903</v>
      </c>
      <c r="D61" t="n">
        <v>-1.824516129032258</v>
      </c>
      <c r="E61" t="n">
        <v>458.395</v>
      </c>
      <c r="F61" t="inlineStr">
        <is>
          <t>EIA</t>
        </is>
      </c>
      <c r="G61" t="n">
        <v>563.188</v>
      </c>
      <c r="H61" t="n">
        <v>81.39289189400343</v>
      </c>
      <c r="I61" t="n">
        <v>1.228096774193548</v>
      </c>
      <c r="J61" t="n">
        <v>1.938967741935484</v>
      </c>
      <c r="K61" t="n">
        <v>-0.7108709677419356</v>
      </c>
      <c r="L61" t="n">
        <v>336.853</v>
      </c>
      <c r="M61" t="inlineStr">
        <is>
          <t>EIA</t>
        </is>
      </c>
      <c r="N61" t="n">
        <v>429.788</v>
      </c>
      <c r="O61" t="n">
        <v>78.37654843783447</v>
      </c>
      <c r="P61" t="n">
        <v>795.248</v>
      </c>
    </row>
    <row r="62">
      <c r="A62" s="8" t="n">
        <v>46023</v>
      </c>
      <c r="B62" t="n">
        <v>1.035096774193548</v>
      </c>
      <c r="C62" t="n">
        <v>4.671580645161291</v>
      </c>
      <c r="D62" t="n">
        <v>-3.636483870967743</v>
      </c>
      <c r="E62" t="n">
        <v>347.764</v>
      </c>
      <c r="F62" t="inlineStr">
        <is>
          <t>EIA</t>
        </is>
      </c>
      <c r="G62" t="n">
        <v>563.188</v>
      </c>
      <c r="H62" t="n">
        <v>61.74918499683942</v>
      </c>
      <c r="I62" t="n">
        <v>0.6324838709677419</v>
      </c>
      <c r="J62" t="n">
        <v>3.943548387096774</v>
      </c>
      <c r="K62" t="n">
        <v>-3.311064516129032</v>
      </c>
      <c r="L62" t="n">
        <v>235.002</v>
      </c>
      <c r="M62" t="inlineStr">
        <is>
          <t>EIA</t>
        </is>
      </c>
      <c r="N62" t="n">
        <v>429.788</v>
      </c>
      <c r="O62" t="n">
        <v>54.67858572133238</v>
      </c>
      <c r="P62" t="n">
        <v>582.7660000000001</v>
      </c>
    </row>
    <row r="63">
      <c r="A63" s="8" t="n">
        <v>46054</v>
      </c>
      <c r="B63" t="n">
        <v>1.613321428571429</v>
      </c>
      <c r="C63" t="n">
        <v>2.895678571428572</v>
      </c>
      <c r="D63" t="n">
        <v>-1.282357142857143</v>
      </c>
      <c r="E63" t="n">
        <v>311.856</v>
      </c>
      <c r="F63" t="inlineStr">
        <is>
          <t>EIA</t>
        </is>
      </c>
      <c r="G63" t="n">
        <v>563.188</v>
      </c>
      <c r="H63" t="n">
        <v>55.37333892057359</v>
      </c>
      <c r="I63" t="n">
        <v>0.7897142857142857</v>
      </c>
      <c r="J63" t="n">
        <v>3.143107142857143</v>
      </c>
      <c r="K63" t="n">
        <v>-2.353392857142857</v>
      </c>
      <c r="L63" t="n">
        <v>169.28</v>
      </c>
      <c r="M63" t="inlineStr">
        <is>
          <t>EIA</t>
        </is>
      </c>
      <c r="N63" t="n">
        <v>429.788</v>
      </c>
      <c r="O63" t="n">
        <v>39.38686049866445</v>
      </c>
      <c r="P63" t="n">
        <v>481.136</v>
      </c>
    </row>
    <row r="64">
      <c r="A64" s="8" t="n">
        <v>46082</v>
      </c>
      <c r="B64" t="n">
        <v>2.199451612903226</v>
      </c>
      <c r="C64" t="n">
        <v>1.184516129032258</v>
      </c>
      <c r="D64" t="n">
        <v>1.014935483870968</v>
      </c>
      <c r="E64" t="n">
        <v>341.7</v>
      </c>
      <c r="F64" t="inlineStr">
        <is>
          <t>EIA</t>
        </is>
      </c>
      <c r="G64" t="n">
        <v>563.188</v>
      </c>
      <c r="H64" t="n">
        <v>60.67245750974808</v>
      </c>
      <c r="I64" t="n">
        <v>1.828258064516129</v>
      </c>
      <c r="J64" t="n">
        <v>1.164451612903226</v>
      </c>
      <c r="K64" t="n">
        <v>0.6638064516129032</v>
      </c>
      <c r="L64" t="n">
        <v>190.267</v>
      </c>
      <c r="M64" t="inlineStr">
        <is>
          <t>EIA</t>
        </is>
      </c>
      <c r="N64" t="n">
        <v>429.788</v>
      </c>
      <c r="O64" t="n">
        <v>44.26996565748694</v>
      </c>
      <c r="P64" t="n">
        <v>531.967</v>
      </c>
    </row>
    <row r="65">
      <c r="A65" s="8" t="n">
        <v>46113</v>
      </c>
      <c r="B65" t="n">
        <v>2.0877</v>
      </c>
      <c r="C65" t="n">
        <v>1.130866666666666</v>
      </c>
      <c r="D65" t="n">
        <v>0.9568333333333334</v>
      </c>
      <c r="E65" t="n">
        <v>370.631</v>
      </c>
      <c r="F65" t="inlineStr">
        <is>
          <t>EIA</t>
        </is>
      </c>
      <c r="G65" t="n">
        <v>563.188</v>
      </c>
      <c r="H65" t="n">
        <v>65.80946326981399</v>
      </c>
      <c r="I65" t="n">
        <v>1.869033333333333</v>
      </c>
      <c r="J65" t="n">
        <v>0.8215333333333333</v>
      </c>
      <c r="K65" t="n">
        <v>1.0475</v>
      </c>
      <c r="L65" t="n">
        <v>221.739</v>
      </c>
      <c r="M65" t="inlineStr">
        <is>
          <t>EIA</t>
        </is>
      </c>
      <c r="N65" t="n">
        <v>429.788</v>
      </c>
      <c r="O65" t="n">
        <v>51.59264567647305</v>
      </c>
      <c r="P65" t="n">
        <v>592.37</v>
      </c>
    </row>
    <row r="66">
      <c r="A66" s="8" t="n">
        <v>46143</v>
      </c>
      <c r="B66" t="n">
        <v>2.190806451612903</v>
      </c>
      <c r="C66" t="n">
        <v>1.282838709677419</v>
      </c>
      <c r="D66" t="n">
        <v>0.9079677419354841</v>
      </c>
      <c r="E66" t="n">
        <v>398.667</v>
      </c>
      <c r="F66" t="inlineStr">
        <is>
          <t>EIA</t>
        </is>
      </c>
      <c r="G66" t="n">
        <v>563.188</v>
      </c>
      <c r="H66" t="n">
        <v>70.78755229159712</v>
      </c>
      <c r="I66" t="n">
        <v>2.153838709677419</v>
      </c>
      <c r="J66" t="n">
        <v>0.4980645161290322</v>
      </c>
      <c r="K66" t="n">
        <v>1.655774193548387</v>
      </c>
      <c r="L66" t="n">
        <v>272.778</v>
      </c>
      <c r="M66" t="inlineStr">
        <is>
          <t>EIA</t>
        </is>
      </c>
      <c r="N66" t="n">
        <v>429.788</v>
      </c>
      <c r="O66" t="n">
        <v>63.46803540350127</v>
      </c>
      <c r="P66" t="n">
        <v>671.4449999999999</v>
      </c>
    </row>
    <row r="67">
      <c r="A67" s="8" t="n">
        <v>46174</v>
      </c>
      <c r="B67" t="n">
        <v>1.944366666666667</v>
      </c>
      <c r="C67" t="n">
        <v>1.320233333333333</v>
      </c>
      <c r="D67" t="n">
        <v>0.6241333333333332</v>
      </c>
      <c r="E67" t="n">
        <v>417.361</v>
      </c>
      <c r="F67" t="inlineStr">
        <is>
          <t>EIA</t>
        </is>
      </c>
      <c r="G67" t="n">
        <v>563.188</v>
      </c>
      <c r="H67" t="n">
        <v>74.10687017479066</v>
      </c>
      <c r="I67" t="n">
        <v>1.878433333333333</v>
      </c>
      <c r="J67" t="n">
        <v>0.6569666666666667</v>
      </c>
      <c r="K67" t="n">
        <v>1.221466666666667</v>
      </c>
      <c r="L67" t="n">
        <v>309.765</v>
      </c>
      <c r="M67" t="inlineStr">
        <is>
          <t>EIA</t>
        </is>
      </c>
      <c r="N67" t="n">
        <v>429.788</v>
      </c>
      <c r="O67" t="n">
        <v>72.07390620491962</v>
      </c>
      <c r="P67" t="n">
        <v>727.126</v>
      </c>
    </row>
    <row r="68">
      <c r="A68" s="8" t="n">
        <v>46204</v>
      </c>
      <c r="B68" t="n">
        <v>1.523032258064516</v>
      </c>
      <c r="C68" t="n">
        <v>1.442483870967742</v>
      </c>
      <c r="D68" t="n">
        <v>0.08054838709677425</v>
      </c>
      <c r="E68" t="n">
        <v>420.105</v>
      </c>
      <c r="F68" t="inlineStr">
        <is>
          <t>EIA</t>
        </is>
      </c>
      <c r="G68" t="n">
        <v>563.188</v>
      </c>
      <c r="H68" t="n">
        <v>74.59409646512356</v>
      </c>
      <c r="I68" t="n">
        <v>1.386161290322581</v>
      </c>
      <c r="J68" t="n">
        <v>1.055967741935484</v>
      </c>
      <c r="K68" t="n">
        <v>0.3301935483870968</v>
      </c>
      <c r="L68" t="n">
        <v>320.375</v>
      </c>
      <c r="M68" t="inlineStr">
        <is>
          <t>EIA</t>
        </is>
      </c>
      <c r="N68" t="n">
        <v>429.788</v>
      </c>
      <c r="O68" t="n">
        <v>74.54256517166603</v>
      </c>
      <c r="P68" t="n">
        <v>740.48</v>
      </c>
    </row>
    <row r="69">
      <c r="A69" s="8" t="n">
        <v>46235</v>
      </c>
      <c r="B69" t="n">
        <v>1.741763440860215</v>
      </c>
      <c r="C69" t="n">
        <v>2.883548387096774</v>
      </c>
      <c r="D69" t="n">
        <v>-1.141784946236559</v>
      </c>
      <c r="E69" t="n">
        <v>384.7096666666667</v>
      </c>
      <c r="F69" t="inlineStr">
        <is>
          <t>projected from net injection</t>
        </is>
      </c>
      <c r="G69" t="n">
        <v>563.188</v>
      </c>
      <c r="H69" t="n">
        <v>68.30927979052585</v>
      </c>
      <c r="I69" t="n">
        <v>0.9842580645161288</v>
      </c>
      <c r="J69" t="n">
        <v>1.349731182795699</v>
      </c>
      <c r="K69" t="n">
        <v>-0.3654731182795702</v>
      </c>
      <c r="L69" t="n">
        <v>309.0453333333333</v>
      </c>
      <c r="M69" t="inlineStr">
        <is>
          <t>projected from net injection</t>
        </is>
      </c>
      <c r="N69" t="n">
        <v>429.788</v>
      </c>
      <c r="O69" t="n">
        <v>71.90645930862036</v>
      </c>
      <c r="P69" t="n">
        <v>693.755</v>
      </c>
    </row>
    <row r="70">
      <c r="A70" s="8" t="n">
        <v>46266</v>
      </c>
      <c r="B70" t="n">
        <v>2.412133333333333</v>
      </c>
      <c r="C70" t="n">
        <v>2.104855555555555</v>
      </c>
      <c r="D70" t="n">
        <v>0.3072777777777778</v>
      </c>
      <c r="E70" t="n">
        <v>393.928</v>
      </c>
      <c r="F70" t="inlineStr">
        <is>
          <t>projected from net injection</t>
        </is>
      </c>
      <c r="G70" t="n">
        <v>563.188</v>
      </c>
      <c r="H70" t="n">
        <v>69.94609260140486</v>
      </c>
      <c r="I70" t="n">
        <v>1.311877777777778</v>
      </c>
      <c r="J70" t="n">
        <v>0.9838444444444444</v>
      </c>
      <c r="K70" t="n">
        <v>0.3280333333333335</v>
      </c>
      <c r="L70" t="n">
        <v>318.8863333333333</v>
      </c>
      <c r="M70" t="inlineStr">
        <is>
          <t>projected from net injection</t>
        </is>
      </c>
      <c r="N70" t="n">
        <v>429.788</v>
      </c>
      <c r="O70" t="n">
        <v>74.19619285166949</v>
      </c>
      <c r="P70" t="n">
        <v>712.8143333333333</v>
      </c>
    </row>
    <row r="71">
      <c r="A71" s="8" t="n">
        <v>46296</v>
      </c>
      <c r="B71" t="n">
        <v>2.523494623655914</v>
      </c>
      <c r="C71" t="n">
        <v>1.056784946236559</v>
      </c>
      <c r="D71" t="n">
        <v>1.466709677419355</v>
      </c>
      <c r="E71" t="n">
        <v>439.396</v>
      </c>
      <c r="F71" t="inlineStr">
        <is>
          <t>projected from net injection</t>
        </is>
      </c>
      <c r="G71" t="n">
        <v>563.188</v>
      </c>
      <c r="H71" t="n">
        <v>78.01941802737275</v>
      </c>
      <c r="I71" t="n">
        <v>1.779247311827957</v>
      </c>
      <c r="J71" t="n">
        <v>0.6070430107526882</v>
      </c>
      <c r="K71" t="n">
        <v>1.172204301075269</v>
      </c>
      <c r="L71" t="n">
        <v>355.2246666666666</v>
      </c>
      <c r="M71" t="inlineStr">
        <is>
          <t>projected from net injection</t>
        </is>
      </c>
      <c r="N71" t="n">
        <v>429.788</v>
      </c>
      <c r="O71" t="n">
        <v>82.65113652932763</v>
      </c>
      <c r="P71" t="n">
        <v>794.6206666666667</v>
      </c>
    </row>
    <row r="72">
      <c r="A72" s="8" t="n">
        <v>46327</v>
      </c>
      <c r="B72" t="n">
        <v>1.881788888888889</v>
      </c>
      <c r="C72" t="n">
        <v>1.287677777777778</v>
      </c>
      <c r="D72" t="n">
        <v>0.5941111111111113</v>
      </c>
      <c r="E72" t="n">
        <v>457.2193333333333</v>
      </c>
      <c r="F72" t="inlineStr">
        <is>
          <t>projected from net injection</t>
        </is>
      </c>
      <c r="G72" t="n">
        <v>563.188</v>
      </c>
      <c r="H72" t="n">
        <v>81.18413981358505</v>
      </c>
      <c r="I72" t="n">
        <v>1.304466666666667</v>
      </c>
      <c r="J72" t="n">
        <v>0.8570333333333333</v>
      </c>
      <c r="K72" t="n">
        <v>0.4474333333333333</v>
      </c>
      <c r="L72" t="n">
        <v>368.6476666666666</v>
      </c>
      <c r="M72" t="inlineStr">
        <is>
          <t>projected from net injection</t>
        </is>
      </c>
      <c r="N72" t="n">
        <v>429.788</v>
      </c>
      <c r="O72" t="n">
        <v>85.77430423061291</v>
      </c>
      <c r="P72" t="n">
        <v>825.867</v>
      </c>
    </row>
    <row r="73">
      <c r="A73" s="8" t="n">
        <v>46357</v>
      </c>
      <c r="B73" t="n">
        <v>1.379204301075269</v>
      </c>
      <c r="C73" t="n">
        <v>2.158774193548387</v>
      </c>
      <c r="D73" t="n">
        <v>-0.7795698924731187</v>
      </c>
      <c r="E73" t="n">
        <v>433.0526666666667</v>
      </c>
      <c r="F73" t="inlineStr">
        <is>
          <t>projected from net injection</t>
        </is>
      </c>
      <c r="G73" t="n">
        <v>563.188</v>
      </c>
      <c r="H73" t="n">
        <v>76.89309194561437</v>
      </c>
      <c r="I73" t="n">
        <v>1.143408602150538</v>
      </c>
      <c r="J73" t="n">
        <v>1.674903225806452</v>
      </c>
      <c r="K73" t="n">
        <v>-0.5314946236559139</v>
      </c>
      <c r="L73" t="n">
        <v>352.1713333333333</v>
      </c>
      <c r="M73" t="inlineStr">
        <is>
          <t>projected from net injection</t>
        </is>
      </c>
      <c r="N73" t="n">
        <v>429.788</v>
      </c>
      <c r="O73" t="n">
        <v>81.94070875253225</v>
      </c>
      <c r="P73" t="n">
        <v>785.2239999999999</v>
      </c>
    </row>
    <row r="74">
      <c r="A74" s="8" t="n">
        <v>46388</v>
      </c>
      <c r="B74" t="n">
        <v>0.9953118279569892</v>
      </c>
      <c r="C74" t="n">
        <v>4.435344086021505</v>
      </c>
      <c r="D74" t="n">
        <v>-3.440032258064516</v>
      </c>
      <c r="E74" t="n">
        <v>326.4116666666666</v>
      </c>
      <c r="F74" t="inlineStr">
        <is>
          <t>projected from net injection</t>
        </is>
      </c>
      <c r="G74" t="n">
        <v>563.188</v>
      </c>
      <c r="H74" t="n">
        <v>57.95785184816911</v>
      </c>
      <c r="I74" t="n">
        <v>0.7306666666666666</v>
      </c>
      <c r="J74" t="n">
        <v>3.898569892473118</v>
      </c>
      <c r="K74" t="n">
        <v>-3.167903225806452</v>
      </c>
      <c r="L74" t="n">
        <v>253.9663333333333</v>
      </c>
      <c r="M74" t="inlineStr">
        <is>
          <t>projected from net injection</t>
        </is>
      </c>
      <c r="N74" t="n">
        <v>429.788</v>
      </c>
      <c r="O74" t="n">
        <v>59.09107125683669</v>
      </c>
      <c r="P74" t="n">
        <v>580.3779999999999</v>
      </c>
    </row>
    <row r="75">
      <c r="A75" s="8" t="n">
        <v>46419</v>
      </c>
      <c r="B75" t="n">
        <v>1.637940886699507</v>
      </c>
      <c r="C75" t="n">
        <v>2.852903530377668</v>
      </c>
      <c r="D75" t="n">
        <v>-1.214962643678161</v>
      </c>
      <c r="E75" t="n">
        <v>292.3927126436781</v>
      </c>
      <c r="F75" t="inlineStr">
        <is>
          <t>projected from net injection</t>
        </is>
      </c>
      <c r="G75" t="n">
        <v>563.188</v>
      </c>
      <c r="H75" t="n">
        <v>51.91742591171654</v>
      </c>
      <c r="I75" t="n">
        <v>1.108112479474548</v>
      </c>
      <c r="J75" t="n">
        <v>2.522028325123153</v>
      </c>
      <c r="K75" t="n">
        <v>-1.413915845648604</v>
      </c>
      <c r="L75" t="n">
        <v>214.3766896551724</v>
      </c>
      <c r="M75" t="inlineStr">
        <is>
          <t>projected from net injection</t>
        </is>
      </c>
      <c r="N75" t="n">
        <v>429.788</v>
      </c>
      <c r="O75" t="n">
        <v>49.87963592635727</v>
      </c>
      <c r="P75" t="n">
        <v>506.7694022988505</v>
      </c>
    </row>
    <row r="76">
      <c r="A76" s="8" t="n">
        <v>46447</v>
      </c>
      <c r="B76" t="n">
        <v>2.392172043010753</v>
      </c>
      <c r="C76" t="n">
        <v>1.187268817204301</v>
      </c>
      <c r="D76" t="n">
        <v>1.204903225806452</v>
      </c>
      <c r="E76" t="n">
        <v>329.7447126436781</v>
      </c>
      <c r="F76" t="inlineStr">
        <is>
          <t>projected from net injection</t>
        </is>
      </c>
      <c r="G76" t="n">
        <v>563.188</v>
      </c>
      <c r="H76" t="n">
        <v>58.549669496452</v>
      </c>
      <c r="I76" t="n">
        <v>1.836397849462366</v>
      </c>
      <c r="J76" t="n">
        <v>1.039376344086022</v>
      </c>
      <c r="K76" t="n">
        <v>0.7970215053763443</v>
      </c>
      <c r="L76" t="n">
        <v>239.0843563218391</v>
      </c>
      <c r="M76" t="inlineStr">
        <is>
          <t>projected from net injection</t>
        </is>
      </c>
      <c r="N76" t="n">
        <v>429.788</v>
      </c>
      <c r="O76" t="n">
        <v>55.62843921231841</v>
      </c>
      <c r="P76" t="n">
        <v>568.8290689655172</v>
      </c>
    </row>
    <row r="77">
      <c r="A77" s="8" t="n">
        <v>46478</v>
      </c>
      <c r="B77" t="n">
        <v>2.271922222222222</v>
      </c>
      <c r="C77" t="n">
        <v>1.159666666666667</v>
      </c>
      <c r="D77" t="n">
        <v>1.112255555555556</v>
      </c>
      <c r="E77" t="n">
        <v>363.1123793103447</v>
      </c>
      <c r="F77" t="inlineStr">
        <is>
          <t>projected from net injection</t>
        </is>
      </c>
      <c r="G77" t="n">
        <v>563.188</v>
      </c>
      <c r="H77" t="n">
        <v>64.47445245821018</v>
      </c>
      <c r="I77" t="n">
        <v>1.879377777777778</v>
      </c>
      <c r="J77" t="n">
        <v>0.9012333333333333</v>
      </c>
      <c r="K77" t="n">
        <v>0.9781444444444447</v>
      </c>
      <c r="L77" t="n">
        <v>268.4286896551724</v>
      </c>
      <c r="M77" t="inlineStr">
        <is>
          <t>projected from net injection</t>
        </is>
      </c>
      <c r="N77" t="n">
        <v>429.788</v>
      </c>
      <c r="O77" t="n">
        <v>62.45606895845683</v>
      </c>
      <c r="P77" t="n">
        <v>631.5410689655172</v>
      </c>
    </row>
    <row r="78">
      <c r="A78" s="8" t="n">
        <v>46508</v>
      </c>
      <c r="B78" t="n">
        <v>2.179247311827957</v>
      </c>
      <c r="C78" t="n">
        <v>1.123032258064516</v>
      </c>
      <c r="D78" t="n">
        <v>1.056215053763441</v>
      </c>
      <c r="E78" t="n">
        <v>395.8550459770114</v>
      </c>
      <c r="F78" t="inlineStr">
        <is>
          <t>projected from net injection</t>
        </is>
      </c>
      <c r="G78" t="n">
        <v>563.188</v>
      </c>
      <c r="H78" t="n">
        <v>70.28826004407257</v>
      </c>
      <c r="I78" t="n">
        <v>1.901956989247312</v>
      </c>
      <c r="J78" t="n">
        <v>0.6363225806451612</v>
      </c>
      <c r="K78" t="n">
        <v>1.265634408602151</v>
      </c>
      <c r="L78" t="n">
        <v>307.6633563218391</v>
      </c>
      <c r="M78" t="inlineStr">
        <is>
          <t>projected from net injection</t>
        </is>
      </c>
      <c r="N78" t="n">
        <v>429.788</v>
      </c>
      <c r="O78" t="n">
        <v>71.58491077504236</v>
      </c>
      <c r="P78" t="n">
        <v>703.5184022988506</v>
      </c>
    </row>
    <row r="79">
      <c r="A79" s="8" t="n">
        <v>46539</v>
      </c>
      <c r="B79" t="n">
        <v>1.835466666666667</v>
      </c>
      <c r="C79" t="n">
        <v>1.149211111111111</v>
      </c>
      <c r="D79" t="n">
        <v>0.6862555555555556</v>
      </c>
      <c r="E79" t="n">
        <v>416.4427126436781</v>
      </c>
      <c r="F79" t="inlineStr">
        <is>
          <t>projected from net injection</t>
        </is>
      </c>
      <c r="G79" t="n">
        <v>563.188</v>
      </c>
      <c r="H79" t="n">
        <v>73.94381851951357</v>
      </c>
      <c r="I79" t="n">
        <v>1.611388888888889</v>
      </c>
      <c r="J79" t="n">
        <v>0.8488000000000001</v>
      </c>
      <c r="K79" t="n">
        <v>0.7625888888888886</v>
      </c>
      <c r="L79" t="n">
        <v>330.5410229885057</v>
      </c>
      <c r="M79" t="inlineStr">
        <is>
          <t>projected from net injection</t>
        </is>
      </c>
      <c r="N79" t="n">
        <v>429.788</v>
      </c>
      <c r="O79" t="n">
        <v>76.90792274063159</v>
      </c>
      <c r="P79" t="n">
        <v>746.9837356321839</v>
      </c>
    </row>
    <row r="80">
      <c r="A80" s="8" t="n">
        <v>46569</v>
      </c>
      <c r="B80" t="n">
        <v>1.445075268817204</v>
      </c>
      <c r="C80" t="n">
        <v>1.521387096774194</v>
      </c>
      <c r="D80" t="n">
        <v>-0.07631182795698943</v>
      </c>
      <c r="E80" t="n">
        <v>414.0770459770114</v>
      </c>
      <c r="F80" t="inlineStr">
        <is>
          <t>projected from net injection</t>
        </is>
      </c>
      <c r="G80" t="n">
        <v>563.188</v>
      </c>
      <c r="H80" t="n">
        <v>73.5237693233896</v>
      </c>
      <c r="I80" t="n">
        <v>1.232569892473118</v>
      </c>
      <c r="J80" t="n">
        <v>1.100247311827957</v>
      </c>
      <c r="K80" t="n">
        <v>0.1323225806451613</v>
      </c>
      <c r="L80" t="n">
        <v>334.6430229885057</v>
      </c>
      <c r="M80" t="inlineStr">
        <is>
          <t>projected from net injection</t>
        </is>
      </c>
      <c r="N80" t="n">
        <v>429.788</v>
      </c>
      <c r="O80" t="n">
        <v>77.86234678225212</v>
      </c>
      <c r="P80" t="n">
        <v>748.7200689655172</v>
      </c>
    </row>
    <row r="81">
      <c r="A81" s="8" t="n">
        <v>46600</v>
      </c>
      <c r="B81" t="n">
        <v>1.741763440860215</v>
      </c>
      <c r="C81" t="n">
        <v>2.883548387096774</v>
      </c>
      <c r="D81" t="n">
        <v>-1.141784946236559</v>
      </c>
      <c r="E81" t="n">
        <v>378.6817126436781</v>
      </c>
      <c r="F81" t="inlineStr">
        <is>
          <t>projected from net injection</t>
        </is>
      </c>
      <c r="G81" t="n">
        <v>563.188</v>
      </c>
      <c r="H81" t="n">
        <v>67.23895264879188</v>
      </c>
      <c r="I81" t="n">
        <v>0.9842580645161288</v>
      </c>
      <c r="J81" t="n">
        <v>1.349731182795699</v>
      </c>
      <c r="K81" t="n">
        <v>-0.3654731182795702</v>
      </c>
      <c r="L81" t="n">
        <v>323.313356321839</v>
      </c>
      <c r="M81" t="inlineStr">
        <is>
          <t>projected from net injection</t>
        </is>
      </c>
      <c r="N81" t="n">
        <v>429.788</v>
      </c>
      <c r="O81" t="n">
        <v>75.22624091920645</v>
      </c>
      <c r="P81" t="n">
        <v>701.995068965517</v>
      </c>
    </row>
    <row r="82">
      <c r="A82" s="8" t="n">
        <v>46631</v>
      </c>
      <c r="B82" t="n">
        <v>2.412133333333333</v>
      </c>
      <c r="C82" t="n">
        <v>2.104855555555555</v>
      </c>
      <c r="D82" t="n">
        <v>0.3072777777777778</v>
      </c>
      <c r="E82" t="n">
        <v>387.9000459770114</v>
      </c>
      <c r="F82" t="inlineStr">
        <is>
          <t>projected from net injection</t>
        </is>
      </c>
      <c r="G82" t="n">
        <v>563.188</v>
      </c>
      <c r="H82" t="n">
        <v>68.8757654596709</v>
      </c>
      <c r="I82" t="n">
        <v>1.311877777777778</v>
      </c>
      <c r="J82" t="n">
        <v>0.9838444444444444</v>
      </c>
      <c r="K82" t="n">
        <v>0.3280333333333335</v>
      </c>
      <c r="L82" t="n">
        <v>333.154356321839</v>
      </c>
      <c r="M82" t="inlineStr">
        <is>
          <t>projected from net injection</t>
        </is>
      </c>
      <c r="N82" t="n">
        <v>429.788</v>
      </c>
      <c r="O82" t="n">
        <v>77.51597446225558</v>
      </c>
      <c r="P82" t="n">
        <v>721.0544022988504</v>
      </c>
    </row>
    <row r="83">
      <c r="A83" s="8" t="n">
        <v>46661</v>
      </c>
      <c r="B83" t="n">
        <v>2.523494623655914</v>
      </c>
      <c r="C83" t="n">
        <v>1.056784946236559</v>
      </c>
      <c r="D83" t="n">
        <v>1.466709677419355</v>
      </c>
      <c r="E83" t="n">
        <v>433.3680459770114</v>
      </c>
      <c r="F83" t="inlineStr">
        <is>
          <t>projected from net injection</t>
        </is>
      </c>
      <c r="G83" t="n">
        <v>563.188</v>
      </c>
      <c r="H83" t="n">
        <v>76.9490908856388</v>
      </c>
      <c r="I83" t="n">
        <v>1.779247311827957</v>
      </c>
      <c r="J83" t="n">
        <v>0.6070430107526882</v>
      </c>
      <c r="K83" t="n">
        <v>1.172204301075269</v>
      </c>
      <c r="L83" t="n">
        <v>369.4926896551724</v>
      </c>
      <c r="M83" t="inlineStr">
        <is>
          <t>projected from net injection</t>
        </is>
      </c>
      <c r="N83" t="n">
        <v>429.788</v>
      </c>
      <c r="O83" t="n">
        <v>85.97091813991372</v>
      </c>
      <c r="P83" t="n">
        <v>802.8607356321838</v>
      </c>
    </row>
    <row r="84">
      <c r="A84" s="8" t="n">
        <v>46692</v>
      </c>
      <c r="B84" t="n">
        <v>1.881788888888889</v>
      </c>
      <c r="C84" t="n">
        <v>1.287677777777778</v>
      </c>
      <c r="D84" t="n">
        <v>0.5941111111111113</v>
      </c>
      <c r="E84" t="n">
        <v>451.1913793103447</v>
      </c>
      <c r="F84" t="inlineStr">
        <is>
          <t>projected from net injection</t>
        </is>
      </c>
      <c r="G84" t="n">
        <v>563.188</v>
      </c>
      <c r="H84" t="n">
        <v>80.11381267185109</v>
      </c>
      <c r="I84" t="n">
        <v>1.304466666666667</v>
      </c>
      <c r="J84" t="n">
        <v>0.8570333333333333</v>
      </c>
      <c r="K84" t="n">
        <v>0.4474333333333333</v>
      </c>
      <c r="L84" t="n">
        <v>382.9156896551724</v>
      </c>
      <c r="M84" t="inlineStr">
        <is>
          <t>projected from net injection</t>
        </is>
      </c>
      <c r="N84" t="n">
        <v>429.788</v>
      </c>
      <c r="O84" t="n">
        <v>89.09408584119902</v>
      </c>
      <c r="P84" t="n">
        <v>834.1070689655171</v>
      </c>
    </row>
    <row r="85">
      <c r="A85" s="8" t="n">
        <v>46722</v>
      </c>
      <c r="B85" t="n">
        <v>1.379204301075269</v>
      </c>
      <c r="C85" t="n">
        <v>2.158774193548387</v>
      </c>
      <c r="D85" t="n">
        <v>-0.7795698924731187</v>
      </c>
      <c r="E85" t="n">
        <v>427.024712643678</v>
      </c>
      <c r="F85" t="inlineStr">
        <is>
          <t>projected from net injection</t>
        </is>
      </c>
      <c r="G85" t="n">
        <v>563.188</v>
      </c>
      <c r="H85" t="n">
        <v>75.82276480388042</v>
      </c>
      <c r="I85" t="n">
        <v>1.143408602150538</v>
      </c>
      <c r="J85" t="n">
        <v>1.674903225806452</v>
      </c>
      <c r="K85" t="n">
        <v>-0.5314946236559139</v>
      </c>
      <c r="L85" t="n">
        <v>366.4393563218391</v>
      </c>
      <c r="M85" t="inlineStr">
        <is>
          <t>projected from net injection</t>
        </is>
      </c>
      <c r="N85" t="n">
        <v>429.788</v>
      </c>
      <c r="O85" t="n">
        <v>85.26049036311834</v>
      </c>
      <c r="P85" t="n">
        <v>793.4640689655171</v>
      </c>
    </row>
    <row r="86">
      <c r="A86" s="8" t="n">
        <v>46753</v>
      </c>
      <c r="B86" t="n">
        <v>0.9953118279569892</v>
      </c>
      <c r="C86" t="n">
        <v>4.435344086021505</v>
      </c>
      <c r="D86" t="n">
        <v>-3.440032258064516</v>
      </c>
      <c r="E86" t="n">
        <v>320.383712643678</v>
      </c>
      <c r="F86" t="inlineStr">
        <is>
          <t>projected from net injection</t>
        </is>
      </c>
      <c r="G86" t="n">
        <v>563.188</v>
      </c>
      <c r="H86" t="n">
        <v>56.88752470643516</v>
      </c>
      <c r="I86" t="n">
        <v>0.7306666666666666</v>
      </c>
      <c r="J86" t="n">
        <v>3.898569892473118</v>
      </c>
      <c r="K86" t="n">
        <v>-3.167903225806452</v>
      </c>
      <c r="L86" t="n">
        <v>268.2343563218391</v>
      </c>
      <c r="M86" t="inlineStr">
        <is>
          <t>projected from net injection</t>
        </is>
      </c>
      <c r="N86" t="n">
        <v>429.788</v>
      </c>
      <c r="O86" t="n">
        <v>62.4108528674228</v>
      </c>
      <c r="P86" t="n">
        <v>588.6180689655171</v>
      </c>
    </row>
    <row r="87">
      <c r="A87" s="8" t="n">
        <v>46784</v>
      </c>
      <c r="B87" t="n">
        <v>1.637940886699507</v>
      </c>
      <c r="C87" t="n">
        <v>2.852903530377668</v>
      </c>
      <c r="D87" t="n">
        <v>-1.214962643678161</v>
      </c>
      <c r="E87" t="n">
        <v>285.1497959770113</v>
      </c>
      <c r="F87" t="inlineStr">
        <is>
          <t>projected from net injection</t>
        </is>
      </c>
      <c r="G87" t="n">
        <v>563.188</v>
      </c>
      <c r="H87" t="n">
        <v>50.63136927225212</v>
      </c>
      <c r="I87" t="n">
        <v>1.108112479474548</v>
      </c>
      <c r="J87" t="n">
        <v>2.522028325123153</v>
      </c>
      <c r="K87" t="n">
        <v>-1.413915845648604</v>
      </c>
      <c r="L87" t="n">
        <v>227.2307967980296</v>
      </c>
      <c r="M87" t="inlineStr">
        <is>
          <t>projected from net injection</t>
        </is>
      </c>
      <c r="N87" t="n">
        <v>429.788</v>
      </c>
      <c r="O87" t="n">
        <v>52.87043770371196</v>
      </c>
      <c r="P87" t="n">
        <v>512.3805927750409</v>
      </c>
    </row>
    <row r="88">
      <c r="A88" s="8" t="n">
        <v>46813</v>
      </c>
      <c r="B88" t="n">
        <v>2.392172043010753</v>
      </c>
      <c r="C88" t="n">
        <v>1.187268817204301</v>
      </c>
      <c r="D88" t="n">
        <v>1.204903225806452</v>
      </c>
      <c r="E88" t="n">
        <v>322.5017959770113</v>
      </c>
      <c r="F88" t="inlineStr">
        <is>
          <t>projected from net injection</t>
        </is>
      </c>
      <c r="G88" t="n">
        <v>563.188</v>
      </c>
      <c r="H88" t="n">
        <v>57.26361285698759</v>
      </c>
      <c r="I88" t="n">
        <v>1.836397849462366</v>
      </c>
      <c r="J88" t="n">
        <v>1.039376344086022</v>
      </c>
      <c r="K88" t="n">
        <v>0.7970215053763443</v>
      </c>
      <c r="L88" t="n">
        <v>251.9384634646962</v>
      </c>
      <c r="M88" t="inlineStr">
        <is>
          <t>projected from net injection</t>
        </is>
      </c>
      <c r="N88" t="n">
        <v>429.788</v>
      </c>
      <c r="O88" t="n">
        <v>58.6192409896731</v>
      </c>
      <c r="P88" t="n">
        <v>574.4402594417076</v>
      </c>
    </row>
    <row r="89">
      <c r="A89" s="8" t="n">
        <v>46844</v>
      </c>
      <c r="B89" t="n">
        <v>2.271922222222222</v>
      </c>
      <c r="C89" t="n">
        <v>1.159666666666667</v>
      </c>
      <c r="D89" t="n">
        <v>1.112255555555556</v>
      </c>
      <c r="E89" t="n">
        <v>355.8694626436779</v>
      </c>
      <c r="F89" t="inlineStr">
        <is>
          <t>projected from net injection</t>
        </is>
      </c>
      <c r="G89" t="n">
        <v>563.188</v>
      </c>
      <c r="H89" t="n">
        <v>63.18839581874577</v>
      </c>
      <c r="I89" t="n">
        <v>1.879377777777778</v>
      </c>
      <c r="J89" t="n">
        <v>0.9012333333333333</v>
      </c>
      <c r="K89" t="n">
        <v>0.9781444444444447</v>
      </c>
      <c r="L89" t="n">
        <v>281.2827967980296</v>
      </c>
      <c r="M89" t="inlineStr">
        <is>
          <t>projected from net injection</t>
        </is>
      </c>
      <c r="N89" t="n">
        <v>429.788</v>
      </c>
      <c r="O89" t="n">
        <v>65.44687073581152</v>
      </c>
      <c r="P89" t="n">
        <v>637.1522594417075</v>
      </c>
    </row>
    <row r="90">
      <c r="A90" s="8" t="n">
        <v>46874</v>
      </c>
      <c r="B90" t="n">
        <v>2.179247311827957</v>
      </c>
      <c r="C90" t="n">
        <v>1.123032258064516</v>
      </c>
      <c r="D90" t="n">
        <v>1.056215053763441</v>
      </c>
      <c r="E90" t="n">
        <v>388.6121293103446</v>
      </c>
      <c r="F90" t="inlineStr">
        <is>
          <t>projected from net injection</t>
        </is>
      </c>
      <c r="G90" t="n">
        <v>563.188</v>
      </c>
      <c r="H90" t="n">
        <v>69.00220340460815</v>
      </c>
      <c r="I90" t="n">
        <v>1.901956989247312</v>
      </c>
      <c r="J90" t="n">
        <v>0.6363225806451612</v>
      </c>
      <c r="K90" t="n">
        <v>1.265634408602151</v>
      </c>
      <c r="L90" t="n">
        <v>320.5174634646963</v>
      </c>
      <c r="M90" t="inlineStr">
        <is>
          <t>projected from net injection</t>
        </is>
      </c>
      <c r="N90" t="n">
        <v>429.788</v>
      </c>
      <c r="O90" t="n">
        <v>74.57571255239705</v>
      </c>
      <c r="P90" t="n">
        <v>709.1295927750409</v>
      </c>
    </row>
    <row r="91">
      <c r="A91" s="8" t="n">
        <v>46905</v>
      </c>
      <c r="B91" t="n">
        <v>1.835466666666667</v>
      </c>
      <c r="C91" t="n">
        <v>1.149211111111111</v>
      </c>
      <c r="D91" t="n">
        <v>0.6862555555555556</v>
      </c>
      <c r="E91" t="n">
        <v>409.1997959770113</v>
      </c>
      <c r="F91" t="inlineStr">
        <is>
          <t>projected from net injection</t>
        </is>
      </c>
      <c r="G91" t="n">
        <v>563.188</v>
      </c>
      <c r="H91" t="n">
        <v>72.65776188004916</v>
      </c>
      <c r="I91" t="n">
        <v>1.611388888888889</v>
      </c>
      <c r="J91" t="n">
        <v>0.8488000000000001</v>
      </c>
      <c r="K91" t="n">
        <v>0.7625888888888886</v>
      </c>
      <c r="L91" t="n">
        <v>343.3951301313629</v>
      </c>
      <c r="M91" t="inlineStr">
        <is>
          <t>projected from net injection</t>
        </is>
      </c>
      <c r="N91" t="n">
        <v>429.788</v>
      </c>
      <c r="O91" t="n">
        <v>79.89872451798628</v>
      </c>
      <c r="P91" t="n">
        <v>752.5949261083742</v>
      </c>
    </row>
    <row r="92">
      <c r="A92" s="8" t="n">
        <v>46935</v>
      </c>
      <c r="B92" t="n">
        <v>1.445075268817204</v>
      </c>
      <c r="C92" t="n">
        <v>1.521387096774194</v>
      </c>
      <c r="D92" t="n">
        <v>-0.07631182795698943</v>
      </c>
      <c r="E92" t="n">
        <v>406.8341293103446</v>
      </c>
      <c r="F92" t="inlineStr">
        <is>
          <t>projected from net injection</t>
        </is>
      </c>
      <c r="G92" t="n">
        <v>563.188</v>
      </c>
      <c r="H92" t="n">
        <v>72.23771268392518</v>
      </c>
      <c r="I92" t="n">
        <v>1.232569892473118</v>
      </c>
      <c r="J92" t="n">
        <v>1.100247311827957</v>
      </c>
      <c r="K92" t="n">
        <v>0.1323225806451613</v>
      </c>
      <c r="L92" t="n">
        <v>347.4971301313629</v>
      </c>
      <c r="M92" t="inlineStr">
        <is>
          <t>projected from net injection</t>
        </is>
      </c>
      <c r="N92" t="n">
        <v>429.788</v>
      </c>
      <c r="O92" t="n">
        <v>80.85314855960681</v>
      </c>
      <c r="P92" t="n">
        <v>754.3312594417075</v>
      </c>
    </row>
    <row r="93">
      <c r="A93" s="8" t="n">
        <v>46966</v>
      </c>
      <c r="B93" t="n">
        <v>1.741763440860215</v>
      </c>
      <c r="C93" t="n">
        <v>2.883548387096774</v>
      </c>
      <c r="D93" t="n">
        <v>-1.141784946236559</v>
      </c>
      <c r="E93" t="n">
        <v>371.4387959770112</v>
      </c>
      <c r="F93" t="inlineStr">
        <is>
          <t>projected from net injection</t>
        </is>
      </c>
      <c r="G93" t="n">
        <v>563.188</v>
      </c>
      <c r="H93" t="n">
        <v>65.95289600932747</v>
      </c>
      <c r="I93" t="n">
        <v>0.9842580645161288</v>
      </c>
      <c r="J93" t="n">
        <v>1.349731182795699</v>
      </c>
      <c r="K93" t="n">
        <v>-0.3654731182795702</v>
      </c>
      <c r="L93" t="n">
        <v>336.1674634646962</v>
      </c>
      <c r="M93" t="inlineStr">
        <is>
          <t>projected from net injection</t>
        </is>
      </c>
      <c r="N93" t="n">
        <v>429.788</v>
      </c>
      <c r="O93" t="n">
        <v>78.21704269656114</v>
      </c>
      <c r="P93" t="n">
        <v>707.6062594417074</v>
      </c>
    </row>
    <row r="94">
      <c r="A94" s="8" t="n">
        <v>46997</v>
      </c>
      <c r="B94" t="n">
        <v>2.412133333333333</v>
      </c>
      <c r="C94" t="n">
        <v>2.104855555555555</v>
      </c>
      <c r="D94" t="n">
        <v>0.3072777777777778</v>
      </c>
      <c r="E94" t="n">
        <v>380.6571293103445</v>
      </c>
      <c r="F94" t="inlineStr">
        <is>
          <t>projected from net injection</t>
        </is>
      </c>
      <c r="G94" t="n">
        <v>563.188</v>
      </c>
      <c r="H94" t="n">
        <v>67.5897088202065</v>
      </c>
      <c r="I94" t="n">
        <v>1.311877777777778</v>
      </c>
      <c r="J94" t="n">
        <v>0.9838444444444444</v>
      </c>
      <c r="K94" t="n">
        <v>0.3280333333333335</v>
      </c>
      <c r="L94" t="n">
        <v>346.0084634646962</v>
      </c>
      <c r="M94" t="inlineStr">
        <is>
          <t>projected from net injection</t>
        </is>
      </c>
      <c r="N94" t="n">
        <v>429.788</v>
      </c>
      <c r="O94" t="n">
        <v>80.50677623961026</v>
      </c>
      <c r="P94" t="n">
        <v>726.6655927750407</v>
      </c>
    </row>
    <row r="95">
      <c r="A95" s="8" t="n">
        <v>47027</v>
      </c>
      <c r="B95" t="n">
        <v>2.523494623655914</v>
      </c>
      <c r="C95" t="n">
        <v>1.056784946236559</v>
      </c>
      <c r="D95" t="n">
        <v>1.466709677419355</v>
      </c>
      <c r="E95" t="n">
        <v>426.1251293103446</v>
      </c>
      <c r="F95" t="inlineStr">
        <is>
          <t>projected from net injection</t>
        </is>
      </c>
      <c r="G95" t="n">
        <v>563.188</v>
      </c>
      <c r="H95" t="n">
        <v>75.66303424617438</v>
      </c>
      <c r="I95" t="n">
        <v>1.779247311827957</v>
      </c>
      <c r="J95" t="n">
        <v>0.6070430107526882</v>
      </c>
      <c r="K95" t="n">
        <v>1.172204301075269</v>
      </c>
      <c r="L95" t="n">
        <v>382.3467967980296</v>
      </c>
      <c r="M95" t="inlineStr">
        <is>
          <t>projected from net injection</t>
        </is>
      </c>
      <c r="N95" t="n">
        <v>429.788</v>
      </c>
      <c r="O95" t="n">
        <v>88.96171991726841</v>
      </c>
      <c r="P95" t="n">
        <v>808.4719261083742</v>
      </c>
    </row>
    <row r="96">
      <c r="A96" s="8" t="n">
        <v>47058</v>
      </c>
      <c r="B96" t="n">
        <v>1.881788888888889</v>
      </c>
      <c r="C96" t="n">
        <v>1.287677777777778</v>
      </c>
      <c r="D96" t="n">
        <v>0.5941111111111113</v>
      </c>
      <c r="E96" t="n">
        <v>443.9484626436779</v>
      </c>
      <c r="F96" t="inlineStr">
        <is>
          <t>projected from net injection</t>
        </is>
      </c>
      <c r="G96" t="n">
        <v>563.188</v>
      </c>
      <c r="H96" t="n">
        <v>78.82775603238667</v>
      </c>
      <c r="I96" t="n">
        <v>1.304466666666667</v>
      </c>
      <c r="J96" t="n">
        <v>0.8570333333333333</v>
      </c>
      <c r="K96" t="n">
        <v>0.4474333333333333</v>
      </c>
      <c r="L96" t="n">
        <v>395.7697967980296</v>
      </c>
      <c r="M96" t="inlineStr">
        <is>
          <t>projected from net injection</t>
        </is>
      </c>
      <c r="N96" t="n">
        <v>429.788</v>
      </c>
      <c r="O96" t="n">
        <v>92.08488761855371</v>
      </c>
      <c r="P96" t="n">
        <v>839.7182594417075</v>
      </c>
    </row>
    <row r="97">
      <c r="A97" s="8" t="n">
        <v>47088</v>
      </c>
      <c r="B97" t="n">
        <v>1.379204301075269</v>
      </c>
      <c r="C97" t="n">
        <v>2.158774193548387</v>
      </c>
      <c r="D97" t="n">
        <v>-0.7795698924731187</v>
      </c>
      <c r="E97" t="n">
        <v>419.7817959770112</v>
      </c>
      <c r="F97" t="inlineStr">
        <is>
          <t>projected from net injection</t>
        </is>
      </c>
      <c r="G97" t="n">
        <v>563.188</v>
      </c>
      <c r="H97" t="n">
        <v>74.53670816441601</v>
      </c>
      <c r="I97" t="n">
        <v>1.143408602150538</v>
      </c>
      <c r="J97" t="n">
        <v>1.674903225806452</v>
      </c>
      <c r="K97" t="n">
        <v>-0.5314946236559139</v>
      </c>
      <c r="L97" t="n">
        <v>379.2934634646962</v>
      </c>
      <c r="M97" t="inlineStr">
        <is>
          <t>projected from net injection</t>
        </is>
      </c>
      <c r="N97" t="n">
        <v>429.788</v>
      </c>
      <c r="O97" t="n">
        <v>88.25129214047303</v>
      </c>
      <c r="P97" t="n">
        <v>799.0752594417074</v>
      </c>
    </row>
    <row r="98">
      <c r="A98" s="8" t="n">
        <v>47119</v>
      </c>
      <c r="B98" t="n">
        <v>0.9953118279569892</v>
      </c>
      <c r="C98" t="n">
        <v>4.435344086021505</v>
      </c>
      <c r="D98" t="n">
        <v>-3.440032258064516</v>
      </c>
      <c r="E98" t="n">
        <v>313.1407959770112</v>
      </c>
      <c r="F98" t="inlineStr">
        <is>
          <t>projected from net injection</t>
        </is>
      </c>
      <c r="G98" t="n">
        <v>563.188</v>
      </c>
      <c r="H98" t="n">
        <v>55.60146806697074</v>
      </c>
      <c r="I98" t="n">
        <v>0.7306666666666666</v>
      </c>
      <c r="J98" t="n">
        <v>3.898569892473118</v>
      </c>
      <c r="K98" t="n">
        <v>-3.167903225806452</v>
      </c>
      <c r="L98" t="n">
        <v>281.0884634646962</v>
      </c>
      <c r="M98" t="inlineStr">
        <is>
          <t>projected from net injection</t>
        </is>
      </c>
      <c r="N98" t="n">
        <v>429.788</v>
      </c>
      <c r="O98" t="n">
        <v>65.40165464477748</v>
      </c>
      <c r="P98" t="n">
        <v>594.2292594417074</v>
      </c>
    </row>
    <row r="99">
      <c r="A99" s="8" t="n">
        <v>47150</v>
      </c>
      <c r="B99" t="n">
        <v>1.637940886699507</v>
      </c>
      <c r="C99" t="n">
        <v>2.852903530377668</v>
      </c>
      <c r="D99" t="n">
        <v>-1.214962643678161</v>
      </c>
      <c r="E99" t="n">
        <v>279.1218419540227</v>
      </c>
      <c r="F99" t="inlineStr">
        <is>
          <t>projected from net injection</t>
        </is>
      </c>
      <c r="G99" t="n">
        <v>563.188</v>
      </c>
      <c r="H99" t="n">
        <v>49.56104213051817</v>
      </c>
      <c r="I99" t="n">
        <v>1.108112479474548</v>
      </c>
      <c r="J99" t="n">
        <v>2.522028325123153</v>
      </c>
      <c r="K99" t="n">
        <v>-1.413915845648604</v>
      </c>
      <c r="L99" t="n">
        <v>241.4988197865353</v>
      </c>
      <c r="M99" t="inlineStr">
        <is>
          <t>projected from net injection</t>
        </is>
      </c>
      <c r="N99" t="n">
        <v>429.788</v>
      </c>
      <c r="O99" t="n">
        <v>56.19021931429805</v>
      </c>
      <c r="P99" t="n">
        <v>520.620661740558</v>
      </c>
    </row>
    <row r="100">
      <c r="A100" s="8" t="n">
        <v>47178</v>
      </c>
      <c r="B100" t="n">
        <v>2.392172043010753</v>
      </c>
      <c r="C100" t="n">
        <v>1.187268817204301</v>
      </c>
      <c r="D100" t="n">
        <v>1.204903225806452</v>
      </c>
      <c r="E100" t="n">
        <v>316.4738419540226</v>
      </c>
      <c r="F100" t="inlineStr">
        <is>
          <t>projected from net injection</t>
        </is>
      </c>
      <c r="G100" t="n">
        <v>563.188</v>
      </c>
      <c r="H100" t="n">
        <v>56.19328571525364</v>
      </c>
      <c r="I100" t="n">
        <v>1.836397849462366</v>
      </c>
      <c r="J100" t="n">
        <v>1.039376344086022</v>
      </c>
      <c r="K100" t="n">
        <v>0.7970215053763443</v>
      </c>
      <c r="L100" t="n">
        <v>266.206486453202</v>
      </c>
      <c r="M100" t="inlineStr">
        <is>
          <t>projected from net injection</t>
        </is>
      </c>
      <c r="N100" t="n">
        <v>429.788</v>
      </c>
      <c r="O100" t="n">
        <v>61.9390226002592</v>
      </c>
      <c r="P100" t="n">
        <v>582.6803284072246</v>
      </c>
    </row>
    <row r="101">
      <c r="A101" s="8" t="n">
        <v>47209</v>
      </c>
      <c r="B101" t="n">
        <v>2.271922222222222</v>
      </c>
      <c r="C101" t="n">
        <v>1.159666666666667</v>
      </c>
      <c r="D101" t="n">
        <v>1.112255555555556</v>
      </c>
      <c r="E101" t="n">
        <v>349.8415086206893</v>
      </c>
      <c r="F101" t="inlineStr">
        <is>
          <t>projected from net injection</t>
        </is>
      </c>
      <c r="G101" t="n">
        <v>563.188</v>
      </c>
      <c r="H101" t="n">
        <v>62.11806867701182</v>
      </c>
      <c r="I101" t="n">
        <v>1.879377777777778</v>
      </c>
      <c r="J101" t="n">
        <v>0.9012333333333333</v>
      </c>
      <c r="K101" t="n">
        <v>0.9781444444444447</v>
      </c>
      <c r="L101" t="n">
        <v>295.5508197865353</v>
      </c>
      <c r="M101" t="inlineStr">
        <is>
          <t>projected from net injection</t>
        </is>
      </c>
      <c r="N101" t="n">
        <v>429.788</v>
      </c>
      <c r="O101" t="n">
        <v>68.76665234639761</v>
      </c>
      <c r="P101" t="n">
        <v>645.3923284072246</v>
      </c>
    </row>
    <row r="102">
      <c r="A102" s="8" t="n">
        <v>47239</v>
      </c>
      <c r="B102" t="n">
        <v>2.179247311827957</v>
      </c>
      <c r="C102" t="n">
        <v>1.123032258064516</v>
      </c>
      <c r="D102" t="n">
        <v>1.056215053763441</v>
      </c>
      <c r="E102" t="n">
        <v>382.5841752873559</v>
      </c>
      <c r="F102" t="inlineStr">
        <is>
          <t>projected from net injection</t>
        </is>
      </c>
      <c r="G102" t="n">
        <v>563.188</v>
      </c>
      <c r="H102" t="n">
        <v>67.9318762628742</v>
      </c>
      <c r="I102" t="n">
        <v>1.901956989247312</v>
      </c>
      <c r="J102" t="n">
        <v>0.6363225806451612</v>
      </c>
      <c r="K102" t="n">
        <v>1.265634408602151</v>
      </c>
      <c r="L102" t="n">
        <v>334.785486453202</v>
      </c>
      <c r="M102" t="inlineStr">
        <is>
          <t>projected from net injection</t>
        </is>
      </c>
      <c r="N102" t="n">
        <v>429.788</v>
      </c>
      <c r="O102" t="n">
        <v>77.89549416298314</v>
      </c>
      <c r="P102" t="n">
        <v>717.3696617405579</v>
      </c>
    </row>
    <row r="103">
      <c r="A103" s="8" t="n">
        <v>47270</v>
      </c>
      <c r="B103" t="n">
        <v>1.835466666666667</v>
      </c>
      <c r="C103" t="n">
        <v>1.149211111111111</v>
      </c>
      <c r="D103" t="n">
        <v>0.6862555555555556</v>
      </c>
      <c r="E103" t="n">
        <v>403.1718419540226</v>
      </c>
      <c r="F103" t="inlineStr">
        <is>
          <t>projected from net injection</t>
        </is>
      </c>
      <c r="G103" t="n">
        <v>563.188</v>
      </c>
      <c r="H103" t="n">
        <v>71.58743473831521</v>
      </c>
      <c r="I103" t="n">
        <v>1.611388888888889</v>
      </c>
      <c r="J103" t="n">
        <v>0.8488000000000001</v>
      </c>
      <c r="K103" t="n">
        <v>0.7625888888888886</v>
      </c>
      <c r="L103" t="n">
        <v>357.6631531198686</v>
      </c>
      <c r="M103" t="inlineStr">
        <is>
          <t>projected from net injection</t>
        </is>
      </c>
      <c r="N103" t="n">
        <v>429.788</v>
      </c>
      <c r="O103" t="n">
        <v>83.21850612857237</v>
      </c>
      <c r="P103" t="n">
        <v>760.8349950738913</v>
      </c>
    </row>
    <row r="104">
      <c r="A104" s="8" t="n">
        <v>47300</v>
      </c>
      <c r="B104" t="n">
        <v>1.445075268817204</v>
      </c>
      <c r="C104" t="n">
        <v>1.521387096774194</v>
      </c>
      <c r="D104" t="n">
        <v>-0.07631182795698943</v>
      </c>
      <c r="E104" t="n">
        <v>400.8061752873559</v>
      </c>
      <c r="F104" t="inlineStr">
        <is>
          <t>projected from net injection</t>
        </is>
      </c>
      <c r="G104" t="n">
        <v>563.188</v>
      </c>
      <c r="H104" t="n">
        <v>71.16738554219123</v>
      </c>
      <c r="I104" t="n">
        <v>1.232569892473118</v>
      </c>
      <c r="J104" t="n">
        <v>1.100247311827957</v>
      </c>
      <c r="K104" t="n">
        <v>0.1323225806451613</v>
      </c>
      <c r="L104" t="n">
        <v>361.7651531198686</v>
      </c>
      <c r="M104" t="inlineStr">
        <is>
          <t>projected from net injection</t>
        </is>
      </c>
      <c r="N104" t="n">
        <v>429.788</v>
      </c>
      <c r="O104" t="n">
        <v>84.17293017019288</v>
      </c>
      <c r="P104" t="n">
        <v>762.5713284072245</v>
      </c>
    </row>
    <row r="105">
      <c r="A105" s="8" t="n">
        <v>47331</v>
      </c>
      <c r="B105" t="n">
        <v>1.741763440860215</v>
      </c>
      <c r="C105" t="n">
        <v>2.883548387096774</v>
      </c>
      <c r="D105" t="n">
        <v>-1.141784946236559</v>
      </c>
      <c r="E105" t="n">
        <v>365.4108419540226</v>
      </c>
      <c r="F105" t="inlineStr">
        <is>
          <t>projected from net injection</t>
        </is>
      </c>
      <c r="G105" t="n">
        <v>563.188</v>
      </c>
      <c r="H105" t="n">
        <v>64.88256886759352</v>
      </c>
      <c r="I105" t="n">
        <v>0.9842580645161288</v>
      </c>
      <c r="J105" t="n">
        <v>1.349731182795699</v>
      </c>
      <c r="K105" t="n">
        <v>-0.3654731182795702</v>
      </c>
      <c r="L105" t="n">
        <v>350.4354864532019</v>
      </c>
      <c r="M105" t="inlineStr">
        <is>
          <t>projected from net injection</t>
        </is>
      </c>
      <c r="N105" t="n">
        <v>429.788</v>
      </c>
      <c r="O105" t="n">
        <v>81.53682430714723</v>
      </c>
      <c r="P105" t="n">
        <v>715.8463284072245</v>
      </c>
    </row>
    <row r="106">
      <c r="A106" s="8" t="n">
        <v>47362</v>
      </c>
      <c r="B106" t="n">
        <v>2.412133333333333</v>
      </c>
      <c r="C106" t="n">
        <v>2.104855555555555</v>
      </c>
      <c r="D106" t="n">
        <v>0.3072777777777778</v>
      </c>
      <c r="E106" t="n">
        <v>374.6291752873559</v>
      </c>
      <c r="F106" t="inlineStr">
        <is>
          <t>projected from net injection</t>
        </is>
      </c>
      <c r="G106" t="n">
        <v>563.188</v>
      </c>
      <c r="H106" t="n">
        <v>66.51938167847253</v>
      </c>
      <c r="I106" t="n">
        <v>1.311877777777778</v>
      </c>
      <c r="J106" t="n">
        <v>0.9838444444444444</v>
      </c>
      <c r="K106" t="n">
        <v>0.3280333333333335</v>
      </c>
      <c r="L106" t="n">
        <v>360.2764864532019</v>
      </c>
      <c r="M106" t="inlineStr">
        <is>
          <t>projected from net injection</t>
        </is>
      </c>
      <c r="N106" t="n">
        <v>429.788</v>
      </c>
      <c r="O106" t="n">
        <v>83.82655785019637</v>
      </c>
      <c r="P106" t="n">
        <v>734.9056617405579</v>
      </c>
    </row>
    <row r="107">
      <c r="A107" s="8" t="n">
        <v>47392</v>
      </c>
      <c r="B107" t="n">
        <v>2.523494623655914</v>
      </c>
      <c r="C107" t="n">
        <v>1.056784946236559</v>
      </c>
      <c r="D107" t="n">
        <v>1.466709677419355</v>
      </c>
      <c r="E107" t="n">
        <v>420.0971752873559</v>
      </c>
      <c r="F107" t="inlineStr">
        <is>
          <t>projected from net injection</t>
        </is>
      </c>
      <c r="G107" t="n">
        <v>563.188</v>
      </c>
      <c r="H107" t="n">
        <v>74.59270710444042</v>
      </c>
      <c r="I107" t="n">
        <v>1.779247311827957</v>
      </c>
      <c r="J107" t="n">
        <v>0.6070430107526882</v>
      </c>
      <c r="K107" t="n">
        <v>1.172204301075269</v>
      </c>
      <c r="L107" t="n">
        <v>396.6148197865352</v>
      </c>
      <c r="M107" t="inlineStr">
        <is>
          <t>projected from net injection</t>
        </is>
      </c>
      <c r="N107" t="n">
        <v>429.788</v>
      </c>
      <c r="O107" t="n">
        <v>92.28150152785449</v>
      </c>
      <c r="P107" t="n">
        <v>816.7119950738911</v>
      </c>
    </row>
    <row r="108">
      <c r="A108" s="8" t="n">
        <v>47423</v>
      </c>
      <c r="B108" t="n">
        <v>1.881788888888889</v>
      </c>
      <c r="C108" t="n">
        <v>1.287677777777778</v>
      </c>
      <c r="D108" t="n">
        <v>0.5941111111111113</v>
      </c>
      <c r="E108" t="n">
        <v>437.9205086206892</v>
      </c>
      <c r="F108" t="inlineStr">
        <is>
          <t>projected from net injection</t>
        </is>
      </c>
      <c r="G108" t="n">
        <v>563.188</v>
      </c>
      <c r="H108" t="n">
        <v>77.75742889065272</v>
      </c>
      <c r="I108" t="n">
        <v>1.304466666666667</v>
      </c>
      <c r="J108" t="n">
        <v>0.8570333333333333</v>
      </c>
      <c r="K108" t="n">
        <v>0.4474333333333333</v>
      </c>
      <c r="L108" t="n">
        <v>410.0378197865352</v>
      </c>
      <c r="M108" t="inlineStr">
        <is>
          <t>projected from net injection</t>
        </is>
      </c>
      <c r="N108" t="n">
        <v>429.788</v>
      </c>
      <c r="O108" t="n">
        <v>95.40466922913977</v>
      </c>
      <c r="P108" t="n">
        <v>847.9583284072245</v>
      </c>
    </row>
    <row r="109">
      <c r="A109" s="8" t="n">
        <v>47453</v>
      </c>
      <c r="B109" t="n">
        <v>1.379204301075269</v>
      </c>
      <c r="C109" t="n">
        <v>2.158774193548387</v>
      </c>
      <c r="D109" t="n">
        <v>-0.7795698924731187</v>
      </c>
      <c r="E109" t="n">
        <v>413.7538419540226</v>
      </c>
      <c r="F109" t="inlineStr">
        <is>
          <t>projected from net injection</t>
        </is>
      </c>
      <c r="G109" t="n">
        <v>563.188</v>
      </c>
      <c r="H109" t="n">
        <v>73.46638102268204</v>
      </c>
      <c r="I109" t="n">
        <v>1.143408602150538</v>
      </c>
      <c r="J109" t="n">
        <v>1.674903225806452</v>
      </c>
      <c r="K109" t="n">
        <v>-0.5314946236559139</v>
      </c>
      <c r="L109" t="n">
        <v>393.5614864532019</v>
      </c>
      <c r="M109" t="inlineStr">
        <is>
          <t>projected from net injection</t>
        </is>
      </c>
      <c r="N109" t="n">
        <v>429.788</v>
      </c>
      <c r="O109" t="n">
        <v>91.57107375105909</v>
      </c>
      <c r="P109" t="n">
        <v>807.3153284072245</v>
      </c>
    </row>
    <row r="110">
      <c r="A110" s="8" t="n">
        <v>47484</v>
      </c>
      <c r="B110" t="n">
        <v>0.9953118279569892</v>
      </c>
      <c r="C110" t="n">
        <v>4.435344086021505</v>
      </c>
      <c r="D110" t="n">
        <v>-3.440032258064516</v>
      </c>
      <c r="E110" t="n">
        <v>307.1128419540225</v>
      </c>
      <c r="F110" t="inlineStr">
        <is>
          <t>projected from net injection</t>
        </is>
      </c>
      <c r="G110" t="n">
        <v>563.188</v>
      </c>
      <c r="H110" t="n">
        <v>54.53114092523678</v>
      </c>
      <c r="I110" t="n">
        <v>0.7306666666666666</v>
      </c>
      <c r="J110" t="n">
        <v>3.898569892473118</v>
      </c>
      <c r="K110" t="n">
        <v>-3.167903225806452</v>
      </c>
      <c r="L110" t="n">
        <v>295.3564864532019</v>
      </c>
      <c r="M110" t="inlineStr">
        <is>
          <t>projected from net injection</t>
        </is>
      </c>
      <c r="N110" t="n">
        <v>429.788</v>
      </c>
      <c r="O110" t="n">
        <v>68.72143625536356</v>
      </c>
      <c r="P110" t="n">
        <v>602.4693284072245</v>
      </c>
    </row>
    <row r="111">
      <c r="A111" s="8" t="n">
        <v>47515</v>
      </c>
      <c r="B111" t="n">
        <v>1.637940886699507</v>
      </c>
      <c r="C111" t="n">
        <v>2.852903530377668</v>
      </c>
      <c r="D111" t="n">
        <v>-1.214962643678161</v>
      </c>
      <c r="E111" t="n">
        <v>273.093887931034</v>
      </c>
      <c r="F111" t="inlineStr">
        <is>
          <t>projected from net injection</t>
        </is>
      </c>
      <c r="G111" t="n">
        <v>563.188</v>
      </c>
      <c r="H111" t="n">
        <v>48.49071498878421</v>
      </c>
      <c r="I111" t="n">
        <v>1.108112479474548</v>
      </c>
      <c r="J111" t="n">
        <v>2.522028325123153</v>
      </c>
      <c r="K111" t="n">
        <v>-1.413915845648604</v>
      </c>
      <c r="L111" t="n">
        <v>255.766842775041</v>
      </c>
      <c r="M111" t="inlineStr">
        <is>
          <t>projected from net injection</t>
        </is>
      </c>
      <c r="N111" t="n">
        <v>429.788</v>
      </c>
      <c r="O111" t="n">
        <v>59.51000092488413</v>
      </c>
      <c r="P111" t="n">
        <v>528.8607307060751</v>
      </c>
    </row>
    <row r="112">
      <c r="A112" s="8" t="n">
        <v>47543</v>
      </c>
      <c r="B112" t="n">
        <v>2.392172043010753</v>
      </c>
      <c r="C112" t="n">
        <v>1.187268817204301</v>
      </c>
      <c r="D112" t="n">
        <v>1.204903225806452</v>
      </c>
      <c r="E112" t="n">
        <v>310.445887931034</v>
      </c>
      <c r="F112" t="inlineStr">
        <is>
          <t>projected from net injection</t>
        </is>
      </c>
      <c r="G112" t="n">
        <v>563.188</v>
      </c>
      <c r="H112" t="n">
        <v>55.12295857351967</v>
      </c>
      <c r="I112" t="n">
        <v>1.836397849462366</v>
      </c>
      <c r="J112" t="n">
        <v>1.039376344086022</v>
      </c>
      <c r="K112" t="n">
        <v>0.7970215053763443</v>
      </c>
      <c r="L112" t="n">
        <v>280.4745094417077</v>
      </c>
      <c r="M112" t="inlineStr">
        <is>
          <t>projected from net injection</t>
        </is>
      </c>
      <c r="N112" t="n">
        <v>429.788</v>
      </c>
      <c r="O112" t="n">
        <v>65.25880421084527</v>
      </c>
      <c r="P112" t="n">
        <v>590.9203973727417</v>
      </c>
    </row>
    <row r="113">
      <c r="A113" s="8" t="n">
        <v>47574</v>
      </c>
      <c r="B113" t="n">
        <v>2.271922222222222</v>
      </c>
      <c r="C113" t="n">
        <v>1.159666666666667</v>
      </c>
      <c r="D113" t="n">
        <v>1.112255555555556</v>
      </c>
      <c r="E113" t="n">
        <v>343.8135545977007</v>
      </c>
      <c r="F113" t="inlineStr">
        <is>
          <t>projected from net injection</t>
        </is>
      </c>
      <c r="G113" t="n">
        <v>563.188</v>
      </c>
      <c r="H113" t="n">
        <v>61.04774153527786</v>
      </c>
      <c r="I113" t="n">
        <v>1.879377777777778</v>
      </c>
      <c r="J113" t="n">
        <v>0.9012333333333333</v>
      </c>
      <c r="K113" t="n">
        <v>0.9781444444444447</v>
      </c>
      <c r="L113" t="n">
        <v>309.818842775041</v>
      </c>
      <c r="M113" t="inlineStr">
        <is>
          <t>projected from net injection</t>
        </is>
      </c>
      <c r="N113" t="n">
        <v>429.788</v>
      </c>
      <c r="O113" t="n">
        <v>72.08643395698367</v>
      </c>
      <c r="P113" t="n">
        <v>653.6323973727417</v>
      </c>
    </row>
    <row r="114">
      <c r="A114" s="8" t="n">
        <v>47604</v>
      </c>
      <c r="B114" t="n">
        <v>2.179247311827957</v>
      </c>
      <c r="C114" t="n">
        <v>1.123032258064516</v>
      </c>
      <c r="D114" t="n">
        <v>1.056215053763441</v>
      </c>
      <c r="E114" t="n">
        <v>376.5562212643673</v>
      </c>
      <c r="F114" t="inlineStr">
        <is>
          <t>projected from net injection</t>
        </is>
      </c>
      <c r="G114" t="n">
        <v>563.188</v>
      </c>
      <c r="H114" t="n">
        <v>66.86154912114024</v>
      </c>
      <c r="I114" t="n">
        <v>1.901956989247312</v>
      </c>
      <c r="J114" t="n">
        <v>0.6363225806451612</v>
      </c>
      <c r="K114" t="n">
        <v>1.265634408602151</v>
      </c>
      <c r="L114" t="n">
        <v>349.0535094417077</v>
      </c>
      <c r="M114" t="inlineStr">
        <is>
          <t>projected from net injection</t>
        </is>
      </c>
      <c r="N114" t="n">
        <v>429.788</v>
      </c>
      <c r="O114" t="n">
        <v>81.21527577356922</v>
      </c>
      <c r="P114" t="n">
        <v>725.609730706075</v>
      </c>
    </row>
    <row r="115">
      <c r="A115" s="8" t="n">
        <v>47635</v>
      </c>
      <c r="B115" t="n">
        <v>1.835466666666667</v>
      </c>
      <c r="C115" t="n">
        <v>1.149211111111111</v>
      </c>
      <c r="D115" t="n">
        <v>0.6862555555555556</v>
      </c>
      <c r="E115" t="n">
        <v>397.143887931034</v>
      </c>
      <c r="F115" t="inlineStr">
        <is>
          <t>projected from net injection</t>
        </is>
      </c>
      <c r="G115" t="n">
        <v>563.188</v>
      </c>
      <c r="H115" t="n">
        <v>70.51710759658125</v>
      </c>
      <c r="I115" t="n">
        <v>1.611388888888889</v>
      </c>
      <c r="J115" t="n">
        <v>0.8488000000000001</v>
      </c>
      <c r="K115" t="n">
        <v>0.7625888888888886</v>
      </c>
      <c r="L115" t="n">
        <v>371.9311761083743</v>
      </c>
      <c r="M115" t="inlineStr">
        <is>
          <t>projected from net injection</t>
        </is>
      </c>
      <c r="N115" t="n">
        <v>429.788</v>
      </c>
      <c r="O115" t="n">
        <v>86.53828773915845</v>
      </c>
      <c r="P115" t="n">
        <v>769.0750640394083</v>
      </c>
    </row>
    <row r="116">
      <c r="A116" s="8" t="n">
        <v>47665</v>
      </c>
      <c r="B116" t="n">
        <v>1.445075268817204</v>
      </c>
      <c r="C116" t="n">
        <v>1.521387096774194</v>
      </c>
      <c r="D116" t="n">
        <v>-0.07631182795698943</v>
      </c>
      <c r="E116" t="n">
        <v>394.7782212643673</v>
      </c>
      <c r="F116" t="inlineStr">
        <is>
          <t>projected from net injection</t>
        </is>
      </c>
      <c r="G116" t="n">
        <v>563.188</v>
      </c>
      <c r="H116" t="n">
        <v>70.09705840045727</v>
      </c>
      <c r="I116" t="n">
        <v>1.232569892473118</v>
      </c>
      <c r="J116" t="n">
        <v>1.100247311827957</v>
      </c>
      <c r="K116" t="n">
        <v>0.1323225806451613</v>
      </c>
      <c r="L116" t="n">
        <v>376.0331761083743</v>
      </c>
      <c r="M116" t="inlineStr">
        <is>
          <t>projected from net injection</t>
        </is>
      </c>
      <c r="N116" t="n">
        <v>429.788</v>
      </c>
      <c r="O116" t="n">
        <v>87.49271178077895</v>
      </c>
      <c r="P116" t="n">
        <v>770.8113973727416</v>
      </c>
    </row>
    <row r="117">
      <c r="A117" s="8" t="n">
        <v>47696</v>
      </c>
      <c r="B117" t="n">
        <v>1.741763440860215</v>
      </c>
      <c r="C117" t="n">
        <v>2.883548387096774</v>
      </c>
      <c r="D117" t="n">
        <v>-1.141784946236559</v>
      </c>
      <c r="E117" t="n">
        <v>359.382887931034</v>
      </c>
      <c r="F117" t="inlineStr">
        <is>
          <t>projected from net injection</t>
        </is>
      </c>
      <c r="G117" t="n">
        <v>563.188</v>
      </c>
      <c r="H117" t="n">
        <v>63.81224172585956</v>
      </c>
      <c r="I117" t="n">
        <v>0.9842580645161288</v>
      </c>
      <c r="J117" t="n">
        <v>1.349731182795699</v>
      </c>
      <c r="K117" t="n">
        <v>-0.3654731182795702</v>
      </c>
      <c r="L117" t="n">
        <v>364.7035094417076</v>
      </c>
      <c r="M117" t="inlineStr">
        <is>
          <t>projected from net injection</t>
        </is>
      </c>
      <c r="N117" t="n">
        <v>429.788</v>
      </c>
      <c r="O117" t="n">
        <v>84.85660591773329</v>
      </c>
      <c r="P117" t="n">
        <v>724.0863973727415</v>
      </c>
    </row>
    <row r="118">
      <c r="A118" s="8" t="n">
        <v>47727</v>
      </c>
      <c r="B118" t="n">
        <v>2.412133333333333</v>
      </c>
      <c r="C118" t="n">
        <v>2.104855555555555</v>
      </c>
      <c r="D118" t="n">
        <v>0.3072777777777778</v>
      </c>
      <c r="E118" t="n">
        <v>368.6012212643673</v>
      </c>
      <c r="F118" t="inlineStr">
        <is>
          <t>projected from net injection</t>
        </is>
      </c>
      <c r="G118" t="n">
        <v>563.188</v>
      </c>
      <c r="H118" t="n">
        <v>65.44905453673859</v>
      </c>
      <c r="I118" t="n">
        <v>1.311877777777778</v>
      </c>
      <c r="J118" t="n">
        <v>0.9838444444444444</v>
      </c>
      <c r="K118" t="n">
        <v>0.3280333333333335</v>
      </c>
      <c r="L118" t="n">
        <v>374.5445094417076</v>
      </c>
      <c r="M118" t="inlineStr">
        <is>
          <t>projected from net injection</t>
        </is>
      </c>
      <c r="N118" t="n">
        <v>429.788</v>
      </c>
      <c r="O118" t="n">
        <v>87.14633946078243</v>
      </c>
      <c r="P118" t="n">
        <v>743.1457307060748</v>
      </c>
    </row>
    <row r="119">
      <c r="A119" s="8" t="n">
        <v>47757</v>
      </c>
      <c r="B119" t="n">
        <v>2.523494623655914</v>
      </c>
      <c r="C119" t="n">
        <v>1.056784946236559</v>
      </c>
      <c r="D119" t="n">
        <v>1.466709677419355</v>
      </c>
      <c r="E119" t="n">
        <v>414.0692212643673</v>
      </c>
      <c r="F119" t="inlineStr">
        <is>
          <t>projected from net injection</t>
        </is>
      </c>
      <c r="G119" t="n">
        <v>563.188</v>
      </c>
      <c r="H119" t="n">
        <v>73.52237996270647</v>
      </c>
      <c r="I119" t="n">
        <v>1.779247311827957</v>
      </c>
      <c r="J119" t="n">
        <v>0.6070430107526882</v>
      </c>
      <c r="K119" t="n">
        <v>1.172204301075269</v>
      </c>
      <c r="L119" t="n">
        <v>410.8828427750409</v>
      </c>
      <c r="M119" t="inlineStr">
        <is>
          <t>projected from net injection</t>
        </is>
      </c>
      <c r="N119" t="n">
        <v>429.788</v>
      </c>
      <c r="O119" t="n">
        <v>95.60128313844055</v>
      </c>
      <c r="P119" t="n">
        <v>824.9520640394082</v>
      </c>
    </row>
    <row r="120">
      <c r="A120" s="8" t="n">
        <v>47788</v>
      </c>
      <c r="B120" t="n">
        <v>1.881788888888889</v>
      </c>
      <c r="C120" t="n">
        <v>1.287677777777778</v>
      </c>
      <c r="D120" t="n">
        <v>0.5941111111111113</v>
      </c>
      <c r="E120" t="n">
        <v>431.8925545977006</v>
      </c>
      <c r="F120" t="inlineStr">
        <is>
          <t>projected from net injection</t>
        </is>
      </c>
      <c r="G120" t="n">
        <v>563.188</v>
      </c>
      <c r="H120" t="n">
        <v>76.68710174891876</v>
      </c>
      <c r="I120" t="n">
        <v>1.304466666666667</v>
      </c>
      <c r="J120" t="n">
        <v>0.8570333333333333</v>
      </c>
      <c r="K120" t="n">
        <v>0.4474333333333333</v>
      </c>
      <c r="L120" t="n">
        <v>424.3058427750409</v>
      </c>
      <c r="M120" t="inlineStr">
        <is>
          <t>projected from net injection</t>
        </is>
      </c>
      <c r="N120" t="n">
        <v>429.788</v>
      </c>
      <c r="O120" t="n">
        <v>98.72445083972585</v>
      </c>
      <c r="P120" t="n">
        <v>856.1983973727415</v>
      </c>
    </row>
    <row r="121">
      <c r="A121" s="8" t="n">
        <v>47818</v>
      </c>
      <c r="B121" t="n">
        <v>1.379204301075269</v>
      </c>
      <c r="C121" t="n">
        <v>2.158774193548387</v>
      </c>
      <c r="D121" t="n">
        <v>-0.7795698924731187</v>
      </c>
      <c r="E121" t="n">
        <v>407.7258879310339</v>
      </c>
      <c r="F121" t="inlineStr">
        <is>
          <t>projected from net injection</t>
        </is>
      </c>
      <c r="G121" t="n">
        <v>563.188</v>
      </c>
      <c r="H121" t="n">
        <v>72.39605388094809</v>
      </c>
      <c r="I121" t="n">
        <v>1.143408602150538</v>
      </c>
      <c r="J121" t="n">
        <v>1.674903225806452</v>
      </c>
      <c r="K121" t="n">
        <v>-0.5314946236559139</v>
      </c>
      <c r="L121" t="n">
        <v>407.8295094417076</v>
      </c>
      <c r="M121" t="inlineStr">
        <is>
          <t>projected from net injection</t>
        </is>
      </c>
      <c r="N121" t="n">
        <v>429.788</v>
      </c>
      <c r="O121" t="n">
        <v>94.89085536164517</v>
      </c>
      <c r="P121" t="n">
        <v>815.5553973727415</v>
      </c>
    </row>
    <row r="122">
      <c r="A122" s="8" t="n">
        <v>47849</v>
      </c>
      <c r="B122" t="n">
        <v>0.9953118279569892</v>
      </c>
      <c r="C122" t="n">
        <v>4.435344086021505</v>
      </c>
      <c r="D122" t="n">
        <v>-3.440032258064516</v>
      </c>
      <c r="E122" t="n">
        <v>301.0848879310339</v>
      </c>
      <c r="F122" t="inlineStr">
        <is>
          <t>projected from net injection</t>
        </is>
      </c>
      <c r="G122" t="n">
        <v>563.188</v>
      </c>
      <c r="H122" t="n">
        <v>53.46081378350283</v>
      </c>
      <c r="I122" t="n">
        <v>0.7306666666666666</v>
      </c>
      <c r="J122" t="n">
        <v>3.898569892473118</v>
      </c>
      <c r="K122" t="n">
        <v>-3.167903225806452</v>
      </c>
      <c r="L122" t="n">
        <v>309.6245094417076</v>
      </c>
      <c r="M122" t="inlineStr">
        <is>
          <t>projected from net injection</t>
        </is>
      </c>
      <c r="N122" t="n">
        <v>429.788</v>
      </c>
      <c r="O122" t="n">
        <v>72.04121786594962</v>
      </c>
      <c r="P122" t="n">
        <v>610.7093973727415</v>
      </c>
    </row>
    <row r="123">
      <c r="A123" s="8" t="n">
        <v>47880</v>
      </c>
      <c r="B123" t="n">
        <v>1.637940886699507</v>
      </c>
      <c r="C123" t="n">
        <v>2.852903530377668</v>
      </c>
      <c r="D123" t="n">
        <v>-1.214962643678161</v>
      </c>
      <c r="E123" t="n">
        <v>267.0659339080454</v>
      </c>
      <c r="F123" t="inlineStr">
        <is>
          <t>projected from net injection</t>
        </is>
      </c>
      <c r="G123" t="n">
        <v>563.188</v>
      </c>
      <c r="H123" t="n">
        <v>47.42038784705026</v>
      </c>
      <c r="I123" t="n">
        <v>1.108112479474548</v>
      </c>
      <c r="J123" t="n">
        <v>2.522028325123153</v>
      </c>
      <c r="K123" t="n">
        <v>-1.413915845648604</v>
      </c>
      <c r="L123" t="n">
        <v>270.0348657635467</v>
      </c>
      <c r="M123" t="inlineStr">
        <is>
          <t>projected from net injection</t>
        </is>
      </c>
      <c r="N123" t="n">
        <v>429.788</v>
      </c>
      <c r="O123" t="n">
        <v>62.8297825354702</v>
      </c>
      <c r="P123" t="n">
        <v>537.1007996715921</v>
      </c>
    </row>
    <row r="124">
      <c r="A124" s="8" t="n">
        <v>47908</v>
      </c>
      <c r="B124" t="n">
        <v>2.392172043010753</v>
      </c>
      <c r="C124" t="n">
        <v>1.187268817204301</v>
      </c>
      <c r="D124" t="n">
        <v>1.204903225806452</v>
      </c>
      <c r="E124" t="n">
        <v>304.4179339080454</v>
      </c>
      <c r="F124" t="inlineStr">
        <is>
          <t>projected from net injection</t>
        </is>
      </c>
      <c r="G124" t="n">
        <v>563.188</v>
      </c>
      <c r="H124" t="n">
        <v>54.05263143178573</v>
      </c>
      <c r="I124" t="n">
        <v>1.836397849462366</v>
      </c>
      <c r="J124" t="n">
        <v>1.039376344086022</v>
      </c>
      <c r="K124" t="n">
        <v>0.7970215053763443</v>
      </c>
      <c r="L124" t="n">
        <v>294.7425324302134</v>
      </c>
      <c r="M124" t="inlineStr">
        <is>
          <t>projected from net injection</t>
        </is>
      </c>
      <c r="N124" t="n">
        <v>429.788</v>
      </c>
      <c r="O124" t="n">
        <v>68.57858582143135</v>
      </c>
      <c r="P124" t="n">
        <v>599.1604663382587</v>
      </c>
    </row>
    <row r="125">
      <c r="A125" s="8" t="n">
        <v>47939</v>
      </c>
      <c r="B125" t="n">
        <v>2.271922222222222</v>
      </c>
      <c r="C125" t="n">
        <v>1.159666666666667</v>
      </c>
      <c r="D125" t="n">
        <v>1.112255555555556</v>
      </c>
      <c r="E125" t="n">
        <v>337.785600574712</v>
      </c>
      <c r="F125" t="inlineStr">
        <is>
          <t>projected from net injection</t>
        </is>
      </c>
      <c r="G125" t="n">
        <v>563.188</v>
      </c>
      <c r="H125" t="n">
        <v>59.9774143935439</v>
      </c>
      <c r="I125" t="n">
        <v>1.879377777777778</v>
      </c>
      <c r="J125" t="n">
        <v>0.9012333333333333</v>
      </c>
      <c r="K125" t="n">
        <v>0.9781444444444447</v>
      </c>
      <c r="L125" t="n">
        <v>324.0868657635467</v>
      </c>
      <c r="M125" t="inlineStr">
        <is>
          <t>projected from net injection</t>
        </is>
      </c>
      <c r="N125" t="n">
        <v>429.788</v>
      </c>
      <c r="O125" t="n">
        <v>75.40621556756976</v>
      </c>
      <c r="P125" t="n">
        <v>661.8724663382587</v>
      </c>
    </row>
    <row r="126">
      <c r="A126" s="8" t="n">
        <v>47969</v>
      </c>
      <c r="B126" t="n">
        <v>2.179247311827957</v>
      </c>
      <c r="C126" t="n">
        <v>1.123032258064516</v>
      </c>
      <c r="D126" t="n">
        <v>1.056215053763441</v>
      </c>
      <c r="E126" t="n">
        <v>370.5282672413787</v>
      </c>
      <c r="F126" t="inlineStr">
        <is>
          <t>projected from net injection</t>
        </is>
      </c>
      <c r="G126" t="n">
        <v>563.188</v>
      </c>
      <c r="H126" t="n">
        <v>65.79122197940629</v>
      </c>
      <c r="I126" t="n">
        <v>1.901956989247312</v>
      </c>
      <c r="J126" t="n">
        <v>0.6363225806451612</v>
      </c>
      <c r="K126" t="n">
        <v>1.265634408602151</v>
      </c>
      <c r="L126" t="n">
        <v>363.3215324302134</v>
      </c>
      <c r="M126" t="inlineStr">
        <is>
          <t>projected from net injection</t>
        </is>
      </c>
      <c r="N126" t="n">
        <v>429.788</v>
      </c>
      <c r="O126" t="n">
        <v>84.53505738415529</v>
      </c>
      <c r="P126" t="n">
        <v>733.8497996715921</v>
      </c>
    </row>
    <row r="127">
      <c r="A127" s="8" t="n">
        <v>48000</v>
      </c>
      <c r="B127" t="n">
        <v>1.835466666666667</v>
      </c>
      <c r="C127" t="n">
        <v>1.149211111111111</v>
      </c>
      <c r="D127" t="n">
        <v>0.6862555555555556</v>
      </c>
      <c r="E127" t="n">
        <v>391.1159339080453</v>
      </c>
      <c r="F127" t="inlineStr">
        <is>
          <t>projected from net injection</t>
        </is>
      </c>
      <c r="G127" t="n">
        <v>563.188</v>
      </c>
      <c r="H127" t="n">
        <v>69.44678045484729</v>
      </c>
      <c r="I127" t="n">
        <v>1.611388888888889</v>
      </c>
      <c r="J127" t="n">
        <v>0.8488000000000001</v>
      </c>
      <c r="K127" t="n">
        <v>0.7625888888888886</v>
      </c>
      <c r="L127" t="n">
        <v>386.19919909688</v>
      </c>
      <c r="M127" t="inlineStr">
        <is>
          <t>projected from net injection</t>
        </is>
      </c>
      <c r="N127" t="n">
        <v>429.788</v>
      </c>
      <c r="O127" t="n">
        <v>89.85806934974453</v>
      </c>
      <c r="P127" t="n">
        <v>777.3151330049254</v>
      </c>
    </row>
    <row r="128">
      <c r="A128" s="8" t="n">
        <v>48030</v>
      </c>
      <c r="B128" t="n">
        <v>1.445075268817204</v>
      </c>
      <c r="C128" t="n">
        <v>1.521387096774194</v>
      </c>
      <c r="D128" t="n">
        <v>-0.07631182795698943</v>
      </c>
      <c r="E128" t="n">
        <v>388.7502672413787</v>
      </c>
      <c r="F128" t="inlineStr">
        <is>
          <t>projected from net injection</t>
        </is>
      </c>
      <c r="G128" t="n">
        <v>563.188</v>
      </c>
      <c r="H128" t="n">
        <v>69.02673125872332</v>
      </c>
      <c r="I128" t="n">
        <v>1.232569892473118</v>
      </c>
      <c r="J128" t="n">
        <v>1.100247311827957</v>
      </c>
      <c r="K128" t="n">
        <v>0.1323225806451613</v>
      </c>
      <c r="L128" t="n">
        <v>390.30119909688</v>
      </c>
      <c r="M128" t="inlineStr">
        <is>
          <t>projected from net injection</t>
        </is>
      </c>
      <c r="N128" t="n">
        <v>429.788</v>
      </c>
      <c r="O128" t="n">
        <v>90.81249339136505</v>
      </c>
      <c r="P128" t="n">
        <v>779.0514663382587</v>
      </c>
    </row>
    <row r="129">
      <c r="A129" s="8" t="n">
        <v>48061</v>
      </c>
      <c r="B129" t="n">
        <v>1.741763440860215</v>
      </c>
      <c r="C129" t="n">
        <v>2.883548387096774</v>
      </c>
      <c r="D129" t="n">
        <v>-1.141784946236559</v>
      </c>
      <c r="E129" t="n">
        <v>353.3549339080453</v>
      </c>
      <c r="F129" t="inlineStr">
        <is>
          <t>projected from net injection</t>
        </is>
      </c>
      <c r="G129" t="n">
        <v>563.188</v>
      </c>
      <c r="H129" t="n">
        <v>62.74191458412561</v>
      </c>
      <c r="I129" t="n">
        <v>0.9842580645161288</v>
      </c>
      <c r="J129" t="n">
        <v>1.349731182795699</v>
      </c>
      <c r="K129" t="n">
        <v>-0.3654731182795702</v>
      </c>
      <c r="L129" t="n">
        <v>378.9715324302133</v>
      </c>
      <c r="M129" t="inlineStr">
        <is>
          <t>projected from net injection</t>
        </is>
      </c>
      <c r="N129" t="n">
        <v>429.788</v>
      </c>
      <c r="O129" t="n">
        <v>88.17638752831938</v>
      </c>
      <c r="P129" t="n">
        <v>732.3264663382586</v>
      </c>
    </row>
    <row r="130">
      <c r="A130" s="8" t="n">
        <v>48092</v>
      </c>
      <c r="B130" t="n">
        <v>2.412133333333333</v>
      </c>
      <c r="C130" t="n">
        <v>2.104855555555555</v>
      </c>
      <c r="D130" t="n">
        <v>0.3072777777777778</v>
      </c>
      <c r="E130" t="n">
        <v>362.5732672413786</v>
      </c>
      <c r="F130" t="inlineStr">
        <is>
          <t>projected from net injection</t>
        </is>
      </c>
      <c r="G130" t="n">
        <v>563.188</v>
      </c>
      <c r="H130" t="n">
        <v>64.37872739500462</v>
      </c>
      <c r="I130" t="n">
        <v>1.311877777777778</v>
      </c>
      <c r="J130" t="n">
        <v>0.9838444444444444</v>
      </c>
      <c r="K130" t="n">
        <v>0.3280333333333335</v>
      </c>
      <c r="L130" t="n">
        <v>388.8125324302133</v>
      </c>
      <c r="M130" t="inlineStr">
        <is>
          <t>projected from net injection</t>
        </is>
      </c>
      <c r="N130" t="n">
        <v>429.788</v>
      </c>
      <c r="O130" t="n">
        <v>90.46612107136851</v>
      </c>
      <c r="P130" t="n">
        <v>751.3857996715919</v>
      </c>
    </row>
    <row r="131">
      <c r="A131" s="8" t="n">
        <v>48122</v>
      </c>
      <c r="B131" t="n">
        <v>2.523494623655914</v>
      </c>
      <c r="C131" t="n">
        <v>1.056784946236559</v>
      </c>
      <c r="D131" t="n">
        <v>1.466709677419355</v>
      </c>
      <c r="E131" t="n">
        <v>408.0412672413786</v>
      </c>
      <c r="F131" t="inlineStr">
        <is>
          <t>projected from net injection</t>
        </is>
      </c>
      <c r="G131" t="n">
        <v>563.188</v>
      </c>
      <c r="H131" t="n">
        <v>72.45205282097251</v>
      </c>
      <c r="I131" t="n">
        <v>1.779247311827957</v>
      </c>
      <c r="J131" t="n">
        <v>0.6070430107526882</v>
      </c>
      <c r="K131" t="n">
        <v>1.172204301075269</v>
      </c>
      <c r="L131" t="n">
        <v>425.1508657635467</v>
      </c>
      <c r="M131" t="inlineStr">
        <is>
          <t>projected from net injection</t>
        </is>
      </c>
      <c r="N131" t="n">
        <v>429.788</v>
      </c>
      <c r="O131" t="n">
        <v>98.92106474902666</v>
      </c>
      <c r="P131" t="n">
        <v>833.1921330049254</v>
      </c>
    </row>
    <row r="132">
      <c r="A132" s="8" t="n">
        <v>48153</v>
      </c>
      <c r="B132" t="n">
        <v>1.881788888888889</v>
      </c>
      <c r="C132" t="n">
        <v>1.287677777777778</v>
      </c>
      <c r="D132" t="n">
        <v>0.5941111111111113</v>
      </c>
      <c r="E132" t="n">
        <v>425.864600574712</v>
      </c>
      <c r="F132" t="inlineStr">
        <is>
          <t>projected from net injection</t>
        </is>
      </c>
      <c r="G132" t="n">
        <v>563.188</v>
      </c>
      <c r="H132" t="n">
        <v>75.61677460718481</v>
      </c>
      <c r="I132" t="n">
        <v>1.304466666666667</v>
      </c>
      <c r="J132" t="n">
        <v>0.8570333333333333</v>
      </c>
      <c r="K132" t="n">
        <v>0.4474333333333333</v>
      </c>
      <c r="L132" t="n">
        <v>438.5738657635467</v>
      </c>
      <c r="M132" t="inlineStr">
        <is>
          <t>projected from net injection</t>
        </is>
      </c>
      <c r="N132" t="n">
        <v>429.788</v>
      </c>
      <c r="O132" t="n">
        <v>102.0442324503119</v>
      </c>
      <c r="P132" t="n">
        <v>864.4384663382586</v>
      </c>
    </row>
    <row r="133">
      <c r="A133" s="8" t="n">
        <v>48183</v>
      </c>
      <c r="B133" t="n">
        <v>1.379204301075269</v>
      </c>
      <c r="C133" t="n">
        <v>2.158774193548387</v>
      </c>
      <c r="D133" t="n">
        <v>-0.7795698924731187</v>
      </c>
      <c r="E133" t="n">
        <v>401.6979339080453</v>
      </c>
      <c r="F133" t="inlineStr">
        <is>
          <t>projected from net injection</t>
        </is>
      </c>
      <c r="G133" t="n">
        <v>563.188</v>
      </c>
      <c r="H133" t="n">
        <v>71.32572673921413</v>
      </c>
      <c r="I133" t="n">
        <v>1.143408602150538</v>
      </c>
      <c r="J133" t="n">
        <v>1.674903225806452</v>
      </c>
      <c r="K133" t="n">
        <v>-0.5314946236559139</v>
      </c>
      <c r="L133" t="n">
        <v>422.0975324302133</v>
      </c>
      <c r="M133" t="inlineStr">
        <is>
          <t>projected from net injection</t>
        </is>
      </c>
      <c r="N133" t="n">
        <v>429.788</v>
      </c>
      <c r="O133" t="n">
        <v>98.21063697223127</v>
      </c>
      <c r="P133" t="n">
        <v>823.7954663382586</v>
      </c>
    </row>
    <row r="134">
      <c r="A134" s="8" t="n">
        <v>48214</v>
      </c>
      <c r="B134" t="n">
        <v>0.9953118279569892</v>
      </c>
      <c r="C134" t="n">
        <v>4.435344086021505</v>
      </c>
      <c r="D134" t="n">
        <v>-3.440032258064516</v>
      </c>
      <c r="E134" t="n">
        <v>295.0569339080453</v>
      </c>
      <c r="F134" t="inlineStr">
        <is>
          <t>projected from net injection</t>
        </is>
      </c>
      <c r="G134" t="n">
        <v>563.188</v>
      </c>
      <c r="H134" t="n">
        <v>52.39048664176887</v>
      </c>
      <c r="I134" t="n">
        <v>0.7306666666666666</v>
      </c>
      <c r="J134" t="n">
        <v>3.898569892473118</v>
      </c>
      <c r="K134" t="n">
        <v>-3.167903225806452</v>
      </c>
      <c r="L134" t="n">
        <v>323.8925324302134</v>
      </c>
      <c r="M134" t="inlineStr">
        <is>
          <t>projected from net injection</t>
        </is>
      </c>
      <c r="N134" t="n">
        <v>429.788</v>
      </c>
      <c r="O134" t="n">
        <v>75.36099947653571</v>
      </c>
      <c r="P134" t="n">
        <v>618.9494663382586</v>
      </c>
    </row>
    <row r="135">
      <c r="A135" s="8" t="n">
        <v>48245</v>
      </c>
      <c r="B135" t="n">
        <v>1.637940886699507</v>
      </c>
      <c r="C135" t="n">
        <v>2.852903530377668</v>
      </c>
      <c r="D135" t="n">
        <v>-1.214962643678161</v>
      </c>
      <c r="E135" t="n">
        <v>259.8230172413786</v>
      </c>
      <c r="F135" t="inlineStr">
        <is>
          <t>projected from net injection</t>
        </is>
      </c>
      <c r="G135" t="n">
        <v>563.188</v>
      </c>
      <c r="H135" t="n">
        <v>46.13433120758585</v>
      </c>
      <c r="I135" t="n">
        <v>1.108112479474548</v>
      </c>
      <c r="J135" t="n">
        <v>2.522028325123153</v>
      </c>
      <c r="K135" t="n">
        <v>-1.413915845648604</v>
      </c>
      <c r="L135" t="n">
        <v>282.8889729064038</v>
      </c>
      <c r="M135" t="inlineStr">
        <is>
          <t>projected from net injection</t>
        </is>
      </c>
      <c r="N135" t="n">
        <v>429.788</v>
      </c>
      <c r="O135" t="n">
        <v>65.82058431282488</v>
      </c>
      <c r="P135" t="n">
        <v>542.7119901477824</v>
      </c>
    </row>
    <row r="136">
      <c r="A136" s="8" t="n">
        <v>48274</v>
      </c>
      <c r="B136" t="n">
        <v>2.392172043010753</v>
      </c>
      <c r="C136" t="n">
        <v>1.187268817204301</v>
      </c>
      <c r="D136" t="n">
        <v>1.204903225806452</v>
      </c>
      <c r="E136" t="n">
        <v>297.1750172413786</v>
      </c>
      <c r="F136" t="inlineStr">
        <is>
          <t>projected from net injection</t>
        </is>
      </c>
      <c r="G136" t="n">
        <v>563.188</v>
      </c>
      <c r="H136" t="n">
        <v>52.76657479232132</v>
      </c>
      <c r="I136" t="n">
        <v>1.836397849462366</v>
      </c>
      <c r="J136" t="n">
        <v>1.039376344086022</v>
      </c>
      <c r="K136" t="n">
        <v>0.7970215053763443</v>
      </c>
      <c r="L136" t="n">
        <v>307.5966395730705</v>
      </c>
      <c r="M136" t="inlineStr">
        <is>
          <t>projected from net injection</t>
        </is>
      </c>
      <c r="N136" t="n">
        <v>429.788</v>
      </c>
      <c r="O136" t="n">
        <v>71.56938759878602</v>
      </c>
      <c r="P136" t="n">
        <v>604.771656814449</v>
      </c>
    </row>
    <row r="137">
      <c r="A137" s="8" t="n">
        <v>48305</v>
      </c>
      <c r="B137" t="n">
        <v>2.271922222222222</v>
      </c>
      <c r="C137" t="n">
        <v>1.159666666666667</v>
      </c>
      <c r="D137" t="n">
        <v>1.112255555555556</v>
      </c>
      <c r="E137" t="n">
        <v>330.5426839080452</v>
      </c>
      <c r="F137" t="inlineStr">
        <is>
          <t>projected from net injection</t>
        </is>
      </c>
      <c r="G137" t="n">
        <v>563.188</v>
      </c>
      <c r="H137" t="n">
        <v>58.69135775407949</v>
      </c>
      <c r="I137" t="n">
        <v>1.879377777777778</v>
      </c>
      <c r="J137" t="n">
        <v>0.9012333333333333</v>
      </c>
      <c r="K137" t="n">
        <v>0.9781444444444447</v>
      </c>
      <c r="L137" t="n">
        <v>336.9409729064038</v>
      </c>
      <c r="M137" t="inlineStr">
        <is>
          <t>projected from net injection</t>
        </is>
      </c>
      <c r="N137" t="n">
        <v>429.788</v>
      </c>
      <c r="O137" t="n">
        <v>78.39701734492444</v>
      </c>
      <c r="P137" t="n">
        <v>667.483656814449</v>
      </c>
    </row>
    <row r="138">
      <c r="A138" s="8" t="n">
        <v>48335</v>
      </c>
      <c r="B138" t="n">
        <v>2.179247311827957</v>
      </c>
      <c r="C138" t="n">
        <v>1.123032258064516</v>
      </c>
      <c r="D138" t="n">
        <v>1.056215053763441</v>
      </c>
      <c r="E138" t="n">
        <v>363.2853505747119</v>
      </c>
      <c r="F138" t="inlineStr">
        <is>
          <t>projected from net injection</t>
        </is>
      </c>
      <c r="G138" t="n">
        <v>563.188</v>
      </c>
      <c r="H138" t="n">
        <v>64.50516533994188</v>
      </c>
      <c r="I138" t="n">
        <v>1.901956989247312</v>
      </c>
      <c r="J138" t="n">
        <v>0.6363225806451612</v>
      </c>
      <c r="K138" t="n">
        <v>1.265634408602151</v>
      </c>
      <c r="L138" t="n">
        <v>376.1756395730705</v>
      </c>
      <c r="M138" t="inlineStr">
        <is>
          <t>projected from net injection</t>
        </is>
      </c>
      <c r="N138" t="n">
        <v>429.788</v>
      </c>
      <c r="O138" t="n">
        <v>87.52585916150998</v>
      </c>
      <c r="P138" t="n">
        <v>739.4609901477824</v>
      </c>
    </row>
    <row r="139">
      <c r="A139" s="8" t="n">
        <v>48366</v>
      </c>
      <c r="B139" t="n">
        <v>1.835466666666667</v>
      </c>
      <c r="C139" t="n">
        <v>1.149211111111111</v>
      </c>
      <c r="D139" t="n">
        <v>0.6862555555555556</v>
      </c>
      <c r="E139" t="n">
        <v>383.8730172413785</v>
      </c>
      <c r="F139" t="inlineStr">
        <is>
          <t>projected from net injection</t>
        </is>
      </c>
      <c r="G139" t="n">
        <v>563.188</v>
      </c>
      <c r="H139" t="n">
        <v>68.16072381538288</v>
      </c>
      <c r="I139" t="n">
        <v>1.611388888888889</v>
      </c>
      <c r="J139" t="n">
        <v>0.8488000000000001</v>
      </c>
      <c r="K139" t="n">
        <v>0.7625888888888886</v>
      </c>
      <c r="L139" t="n">
        <v>399.0533062397371</v>
      </c>
      <c r="M139" t="inlineStr">
        <is>
          <t>projected from net injection</t>
        </is>
      </c>
      <c r="N139" t="n">
        <v>429.788</v>
      </c>
      <c r="O139" t="n">
        <v>92.84887112709922</v>
      </c>
      <c r="P139" t="n">
        <v>782.9263234811157</v>
      </c>
    </row>
    <row r="140">
      <c r="A140" s="8" t="n">
        <v>48396</v>
      </c>
      <c r="B140" t="n">
        <v>1.445075268817204</v>
      </c>
      <c r="C140" t="n">
        <v>1.521387096774194</v>
      </c>
      <c r="D140" t="n">
        <v>-0.07631182795698943</v>
      </c>
      <c r="E140" t="n">
        <v>381.5073505747118</v>
      </c>
      <c r="F140" t="inlineStr">
        <is>
          <t>projected from net injection</t>
        </is>
      </c>
      <c r="G140" t="n">
        <v>563.188</v>
      </c>
      <c r="H140" t="n">
        <v>67.7406746192589</v>
      </c>
      <c r="I140" t="n">
        <v>1.232569892473118</v>
      </c>
      <c r="J140" t="n">
        <v>1.100247311827957</v>
      </c>
      <c r="K140" t="n">
        <v>0.1323225806451613</v>
      </c>
      <c r="L140" t="n">
        <v>403.1553062397371</v>
      </c>
      <c r="M140" t="inlineStr">
        <is>
          <t>projected from net injection</t>
        </is>
      </c>
      <c r="N140" t="n">
        <v>429.788</v>
      </c>
      <c r="O140" t="n">
        <v>93.80329516871971</v>
      </c>
      <c r="P140" t="n">
        <v>784.662656814449</v>
      </c>
    </row>
    <row r="141">
      <c r="A141" s="8" t="n">
        <v>48427</v>
      </c>
      <c r="B141" t="n">
        <v>1.741763440860215</v>
      </c>
      <c r="C141" t="n">
        <v>2.883548387096774</v>
      </c>
      <c r="D141" t="n">
        <v>-1.141784946236559</v>
      </c>
      <c r="E141" t="n">
        <v>346.1120172413785</v>
      </c>
      <c r="F141" t="inlineStr">
        <is>
          <t>projected from net injection</t>
        </is>
      </c>
      <c r="G141" t="n">
        <v>563.188</v>
      </c>
      <c r="H141" t="n">
        <v>61.4558579446612</v>
      </c>
      <c r="I141" t="n">
        <v>0.9842580645161288</v>
      </c>
      <c r="J141" t="n">
        <v>1.349731182795699</v>
      </c>
      <c r="K141" t="n">
        <v>-0.3654731182795702</v>
      </c>
      <c r="L141" t="n">
        <v>391.8256395730704</v>
      </c>
      <c r="M141" t="inlineStr">
        <is>
          <t>projected from net injection</t>
        </is>
      </c>
      <c r="N141" t="n">
        <v>429.788</v>
      </c>
      <c r="O141" t="n">
        <v>91.16718930567406</v>
      </c>
      <c r="P141" t="n">
        <v>737.9376568144489</v>
      </c>
    </row>
    <row r="142">
      <c r="A142" s="8" t="n">
        <v>48458</v>
      </c>
      <c r="B142" t="n">
        <v>2.412133333333333</v>
      </c>
      <c r="C142" t="n">
        <v>2.104855555555555</v>
      </c>
      <c r="D142" t="n">
        <v>0.3072777777777778</v>
      </c>
      <c r="E142" t="n">
        <v>355.3303505747118</v>
      </c>
      <c r="F142" t="inlineStr">
        <is>
          <t>projected from net injection</t>
        </is>
      </c>
      <c r="G142" t="n">
        <v>563.188</v>
      </c>
      <c r="H142" t="n">
        <v>63.09267075554021</v>
      </c>
      <c r="I142" t="n">
        <v>1.311877777777778</v>
      </c>
      <c r="J142" t="n">
        <v>0.9838444444444444</v>
      </c>
      <c r="K142" t="n">
        <v>0.3280333333333335</v>
      </c>
      <c r="L142" t="n">
        <v>401.6666395730704</v>
      </c>
      <c r="M142" t="inlineStr">
        <is>
          <t>projected from net injection</t>
        </is>
      </c>
      <c r="N142" t="n">
        <v>429.788</v>
      </c>
      <c r="O142" t="n">
        <v>93.4569228487232</v>
      </c>
      <c r="P142" t="n">
        <v>756.9969901477823</v>
      </c>
    </row>
    <row r="143">
      <c r="A143" s="8" t="n">
        <v>48488</v>
      </c>
      <c r="B143" t="n">
        <v>2.523494623655914</v>
      </c>
      <c r="C143" t="n">
        <v>1.056784946236559</v>
      </c>
      <c r="D143" t="n">
        <v>1.466709677419355</v>
      </c>
      <c r="E143" t="n">
        <v>400.7983505747118</v>
      </c>
      <c r="F143" t="inlineStr">
        <is>
          <t>projected from net injection</t>
        </is>
      </c>
      <c r="G143" t="n">
        <v>563.188</v>
      </c>
      <c r="H143" t="n">
        <v>71.16599618150809</v>
      </c>
      <c r="I143" t="n">
        <v>1.779247311827957</v>
      </c>
      <c r="J143" t="n">
        <v>0.6070430107526882</v>
      </c>
      <c r="K143" t="n">
        <v>1.172204301075269</v>
      </c>
      <c r="L143" t="n">
        <v>438.0049729064037</v>
      </c>
      <c r="M143" t="inlineStr">
        <is>
          <t>projected from net injection</t>
        </is>
      </c>
      <c r="N143" t="n">
        <v>429.788</v>
      </c>
      <c r="O143" t="n">
        <v>101.9118665263813</v>
      </c>
      <c r="P143" t="n">
        <v>838.8033234811155</v>
      </c>
    </row>
    <row r="144">
      <c r="A144" s="8" t="n">
        <v>48519</v>
      </c>
      <c r="B144" t="n">
        <v>1.881788888888889</v>
      </c>
      <c r="C144" t="n">
        <v>1.287677777777778</v>
      </c>
      <c r="D144" t="n">
        <v>0.5941111111111113</v>
      </c>
      <c r="E144" t="n">
        <v>418.6216839080452</v>
      </c>
      <c r="F144" t="inlineStr">
        <is>
          <t>projected from net injection</t>
        </is>
      </c>
      <c r="G144" t="n">
        <v>563.188</v>
      </c>
      <c r="H144" t="n">
        <v>74.33071796772039</v>
      </c>
      <c r="I144" t="n">
        <v>1.304466666666667</v>
      </c>
      <c r="J144" t="n">
        <v>0.8570333333333333</v>
      </c>
      <c r="K144" t="n">
        <v>0.4474333333333333</v>
      </c>
      <c r="L144" t="n">
        <v>451.4279729064037</v>
      </c>
      <c r="M144" t="inlineStr">
        <is>
          <t>projected from net injection</t>
        </is>
      </c>
      <c r="N144" t="n">
        <v>429.788</v>
      </c>
      <c r="O144" t="n">
        <v>105.0350342276666</v>
      </c>
      <c r="P144" t="n">
        <v>870.0496568144489</v>
      </c>
    </row>
    <row r="145">
      <c r="A145" s="8" t="n">
        <v>48549</v>
      </c>
      <c r="B145" t="n">
        <v>1.379204301075269</v>
      </c>
      <c r="C145" t="n">
        <v>2.158774193548387</v>
      </c>
      <c r="D145" t="n">
        <v>-0.7795698924731187</v>
      </c>
      <c r="E145" t="n">
        <v>394.4550172413785</v>
      </c>
      <c r="F145" t="inlineStr">
        <is>
          <t>projected from net injection</t>
        </is>
      </c>
      <c r="G145" t="n">
        <v>563.188</v>
      </c>
      <c r="H145" t="n">
        <v>70.03967009974973</v>
      </c>
      <c r="I145" t="n">
        <v>1.143408602150538</v>
      </c>
      <c r="J145" t="n">
        <v>1.674903225806452</v>
      </c>
      <c r="K145" t="n">
        <v>-0.5314946236559139</v>
      </c>
      <c r="L145" t="n">
        <v>434.9516395730704</v>
      </c>
      <c r="M145" t="inlineStr">
        <is>
          <t>projected from net injection</t>
        </is>
      </c>
      <c r="N145" t="n">
        <v>429.788</v>
      </c>
      <c r="O145" t="n">
        <v>101.2014387495859</v>
      </c>
      <c r="P145" t="n">
        <v>829.4066568144489</v>
      </c>
    </row>
    <row r="146">
      <c r="A146" s="8" t="n">
        <v>48580</v>
      </c>
      <c r="B146" t="n">
        <v>0.9953118279569892</v>
      </c>
      <c r="C146" t="n">
        <v>4.435344086021505</v>
      </c>
      <c r="D146" t="n">
        <v>-3.440032258064516</v>
      </c>
      <c r="E146" t="n">
        <v>287.8140172413785</v>
      </c>
      <c r="F146" t="inlineStr">
        <is>
          <t>projected from net injection</t>
        </is>
      </c>
      <c r="G146" t="n">
        <v>563.188</v>
      </c>
      <c r="H146" t="n">
        <v>51.10443000230445</v>
      </c>
      <c r="I146" t="n">
        <v>0.7306666666666666</v>
      </c>
      <c r="J146" t="n">
        <v>3.898569892473118</v>
      </c>
      <c r="K146" t="n">
        <v>-3.167903225806452</v>
      </c>
      <c r="L146" t="n">
        <v>336.7466395730704</v>
      </c>
      <c r="M146" t="inlineStr">
        <is>
          <t>projected from net injection</t>
        </is>
      </c>
      <c r="N146" t="n">
        <v>429.788</v>
      </c>
      <c r="O146" t="n">
        <v>78.35180125389039</v>
      </c>
      <c r="P146" t="n">
        <v>624.5606568144489</v>
      </c>
    </row>
    <row r="147">
      <c r="A147" s="8" t="n">
        <v>48611</v>
      </c>
      <c r="B147" t="n">
        <v>1.637940886699507</v>
      </c>
      <c r="C147" t="n">
        <v>2.852903530377668</v>
      </c>
      <c r="D147" t="n">
        <v>-1.214962643678161</v>
      </c>
      <c r="E147" t="n">
        <v>253.7950632183899</v>
      </c>
      <c r="F147" t="inlineStr">
        <is>
          <t>projected from net injection</t>
        </is>
      </c>
      <c r="G147" t="n">
        <v>563.188</v>
      </c>
      <c r="H147" t="n">
        <v>45.06400406585189</v>
      </c>
      <c r="I147" t="n">
        <v>1.108112479474548</v>
      </c>
      <c r="J147" t="n">
        <v>2.522028325123153</v>
      </c>
      <c r="K147" t="n">
        <v>-1.413915845648604</v>
      </c>
      <c r="L147" t="n">
        <v>297.1569958949095</v>
      </c>
      <c r="M147" t="inlineStr">
        <is>
          <t>projected from net injection</t>
        </is>
      </c>
      <c r="N147" t="n">
        <v>429.788</v>
      </c>
      <c r="O147" t="n">
        <v>69.14036592341097</v>
      </c>
      <c r="P147" t="n">
        <v>550.9520591132995</v>
      </c>
    </row>
    <row r="148">
      <c r="A148" s="8" t="n">
        <v>48639</v>
      </c>
      <c r="B148" t="n">
        <v>2.392172043010753</v>
      </c>
      <c r="C148" t="n">
        <v>1.187268817204301</v>
      </c>
      <c r="D148" t="n">
        <v>1.204903225806452</v>
      </c>
      <c r="E148" t="n">
        <v>291.1470632183899</v>
      </c>
      <c r="F148" t="inlineStr">
        <is>
          <t>projected from net injection</t>
        </is>
      </c>
      <c r="G148" t="n">
        <v>563.188</v>
      </c>
      <c r="H148" t="n">
        <v>51.69624765058736</v>
      </c>
      <c r="I148" t="n">
        <v>1.836397849462366</v>
      </c>
      <c r="J148" t="n">
        <v>1.039376344086022</v>
      </c>
      <c r="K148" t="n">
        <v>0.7970215053763443</v>
      </c>
      <c r="L148" t="n">
        <v>321.8646625615762</v>
      </c>
      <c r="M148" t="inlineStr">
        <is>
          <t>projected from net injection</t>
        </is>
      </c>
      <c r="N148" t="n">
        <v>429.788</v>
      </c>
      <c r="O148" t="n">
        <v>74.88916920937211</v>
      </c>
      <c r="P148" t="n">
        <v>613.0117257799661</v>
      </c>
    </row>
    <row r="149">
      <c r="A149" s="8" t="n">
        <v>48670</v>
      </c>
      <c r="B149" t="n">
        <v>2.271922222222222</v>
      </c>
      <c r="C149" t="n">
        <v>1.159666666666667</v>
      </c>
      <c r="D149" t="n">
        <v>1.112255555555556</v>
      </c>
      <c r="E149" t="n">
        <v>324.5147298850566</v>
      </c>
      <c r="F149" t="inlineStr">
        <is>
          <t>projected from net injection</t>
        </is>
      </c>
      <c r="G149" t="n">
        <v>563.188</v>
      </c>
      <c r="H149" t="n">
        <v>57.62103061234554</v>
      </c>
      <c r="I149" t="n">
        <v>1.879377777777778</v>
      </c>
      <c r="J149" t="n">
        <v>0.9012333333333333</v>
      </c>
      <c r="K149" t="n">
        <v>0.9781444444444447</v>
      </c>
      <c r="L149" t="n">
        <v>351.2089958949095</v>
      </c>
      <c r="M149" t="inlineStr">
        <is>
          <t>projected from net injection</t>
        </is>
      </c>
      <c r="N149" t="n">
        <v>429.788</v>
      </c>
      <c r="O149" t="n">
        <v>81.71679895551051</v>
      </c>
      <c r="P149" t="n">
        <v>675.7237257799661</v>
      </c>
    </row>
    <row r="150">
      <c r="A150" s="8" t="n">
        <v>48700</v>
      </c>
      <c r="B150" t="n">
        <v>2.179247311827957</v>
      </c>
      <c r="C150" t="n">
        <v>1.123032258064516</v>
      </c>
      <c r="D150" t="n">
        <v>1.056215053763441</v>
      </c>
      <c r="E150" t="n">
        <v>357.2573965517232</v>
      </c>
      <c r="F150" t="inlineStr">
        <is>
          <t>projected from net injection</t>
        </is>
      </c>
      <c r="G150" t="n">
        <v>563.188</v>
      </c>
      <c r="H150" t="n">
        <v>63.43483819820792</v>
      </c>
      <c r="I150" t="n">
        <v>1.901956989247312</v>
      </c>
      <c r="J150" t="n">
        <v>0.6363225806451612</v>
      </c>
      <c r="K150" t="n">
        <v>1.265634408602151</v>
      </c>
      <c r="L150" t="n">
        <v>390.4436625615762</v>
      </c>
      <c r="M150" t="inlineStr">
        <is>
          <t>projected from net injection</t>
        </is>
      </c>
      <c r="N150" t="n">
        <v>429.788</v>
      </c>
      <c r="O150" t="n">
        <v>90.84564077209606</v>
      </c>
      <c r="P150" t="n">
        <v>747.7010591132994</v>
      </c>
    </row>
    <row r="151">
      <c r="A151" s="8" t="n">
        <v>48731</v>
      </c>
      <c r="B151" t="n">
        <v>1.835466666666667</v>
      </c>
      <c r="C151" t="n">
        <v>1.149211111111111</v>
      </c>
      <c r="D151" t="n">
        <v>0.6862555555555556</v>
      </c>
      <c r="E151" t="n">
        <v>377.8450632183899</v>
      </c>
      <c r="F151" t="inlineStr">
        <is>
          <t>projected from net injection</t>
        </is>
      </c>
      <c r="G151" t="n">
        <v>563.188</v>
      </c>
      <c r="H151" t="n">
        <v>67.09039667364893</v>
      </c>
      <c r="I151" t="n">
        <v>1.611388888888889</v>
      </c>
      <c r="J151" t="n">
        <v>0.8488000000000001</v>
      </c>
      <c r="K151" t="n">
        <v>0.7625888888888886</v>
      </c>
      <c r="L151" t="n">
        <v>413.3213292282429</v>
      </c>
      <c r="M151" t="inlineStr">
        <is>
          <t>projected from net injection</t>
        </is>
      </c>
      <c r="N151" t="n">
        <v>429.788</v>
      </c>
      <c r="O151" t="n">
        <v>96.16865273768529</v>
      </c>
      <c r="P151" t="n">
        <v>791.1663924466327</v>
      </c>
    </row>
    <row r="152">
      <c r="A152" s="8" t="n">
        <v>48761</v>
      </c>
      <c r="B152" t="n">
        <v>1.445075268817204</v>
      </c>
      <c r="C152" t="n">
        <v>1.521387096774194</v>
      </c>
      <c r="D152" t="n">
        <v>-0.07631182795698943</v>
      </c>
      <c r="E152" t="n">
        <v>375.4793965517232</v>
      </c>
      <c r="F152" t="inlineStr">
        <is>
          <t>projected from net injection</t>
        </is>
      </c>
      <c r="G152" t="n">
        <v>563.188</v>
      </c>
      <c r="H152" t="n">
        <v>66.67034747752496</v>
      </c>
      <c r="I152" t="n">
        <v>1.232569892473118</v>
      </c>
      <c r="J152" t="n">
        <v>1.100247311827957</v>
      </c>
      <c r="K152" t="n">
        <v>0.1323225806451613</v>
      </c>
      <c r="L152" t="n">
        <v>417.4233292282428</v>
      </c>
      <c r="M152" t="inlineStr">
        <is>
          <t>projected from net injection</t>
        </is>
      </c>
      <c r="N152" t="n">
        <v>429.788</v>
      </c>
      <c r="O152" t="n">
        <v>97.1230767793058</v>
      </c>
      <c r="P152" t="n">
        <v>792.902725779966</v>
      </c>
    </row>
    <row r="153">
      <c r="A153" s="8" t="n">
        <v>48792</v>
      </c>
      <c r="B153" t="n">
        <v>1.741763440860215</v>
      </c>
      <c r="C153" t="n">
        <v>2.883548387096774</v>
      </c>
      <c r="D153" t="n">
        <v>-1.141784946236559</v>
      </c>
      <c r="E153" t="n">
        <v>340.0840632183899</v>
      </c>
      <c r="F153" t="inlineStr">
        <is>
          <t>projected from net injection</t>
        </is>
      </c>
      <c r="G153" t="n">
        <v>563.188</v>
      </c>
      <c r="H153" t="n">
        <v>60.38553080292724</v>
      </c>
      <c r="I153" t="n">
        <v>0.9842580645161288</v>
      </c>
      <c r="J153" t="n">
        <v>1.349731182795699</v>
      </c>
      <c r="K153" t="n">
        <v>-0.3654731182795702</v>
      </c>
      <c r="L153" t="n">
        <v>406.0936625615761</v>
      </c>
      <c r="M153" t="inlineStr">
        <is>
          <t>projected from net injection</t>
        </is>
      </c>
      <c r="N153" t="n">
        <v>429.788</v>
      </c>
      <c r="O153" t="n">
        <v>94.48697091626013</v>
      </c>
      <c r="P153" t="n">
        <v>746.1777257799661</v>
      </c>
    </row>
    <row r="154">
      <c r="A154" s="8" t="n">
        <v>48823</v>
      </c>
      <c r="B154" t="n">
        <v>2.412133333333333</v>
      </c>
      <c r="C154" t="n">
        <v>2.104855555555555</v>
      </c>
      <c r="D154" t="n">
        <v>0.3072777777777778</v>
      </c>
      <c r="E154" t="n">
        <v>349.3023965517232</v>
      </c>
      <c r="F154" t="inlineStr">
        <is>
          <t>projected from net injection</t>
        </is>
      </c>
      <c r="G154" t="n">
        <v>563.188</v>
      </c>
      <c r="H154" t="n">
        <v>62.02234361380625</v>
      </c>
      <c r="I154" t="n">
        <v>1.311877777777778</v>
      </c>
      <c r="J154" t="n">
        <v>0.9838444444444444</v>
      </c>
      <c r="K154" t="n">
        <v>0.3280333333333335</v>
      </c>
      <c r="L154" t="n">
        <v>415.9346625615761</v>
      </c>
      <c r="M154" t="inlineStr">
        <is>
          <t>projected from net injection</t>
        </is>
      </c>
      <c r="N154" t="n">
        <v>429.788</v>
      </c>
      <c r="O154" t="n">
        <v>96.77670445930927</v>
      </c>
      <c r="P154" t="n">
        <v>765.2370591132993</v>
      </c>
    </row>
    <row r="155">
      <c r="A155" s="8" t="n">
        <v>48853</v>
      </c>
      <c r="B155" t="n">
        <v>2.523494623655914</v>
      </c>
      <c r="C155" t="n">
        <v>1.056784946236559</v>
      </c>
      <c r="D155" t="n">
        <v>1.466709677419355</v>
      </c>
      <c r="E155" t="n">
        <v>394.7703965517232</v>
      </c>
      <c r="F155" t="inlineStr">
        <is>
          <t>projected from net injection</t>
        </is>
      </c>
      <c r="G155" t="n">
        <v>563.188</v>
      </c>
      <c r="H155" t="n">
        <v>70.09566903977415</v>
      </c>
      <c r="I155" t="n">
        <v>1.779247311827957</v>
      </c>
      <c r="J155" t="n">
        <v>0.6070430107526882</v>
      </c>
      <c r="K155" t="n">
        <v>1.172204301075269</v>
      </c>
      <c r="L155" t="n">
        <v>452.2729958949095</v>
      </c>
      <c r="M155" t="inlineStr">
        <is>
          <t>projected from net injection</t>
        </is>
      </c>
      <c r="N155" t="n">
        <v>429.788</v>
      </c>
      <c r="O155" t="n">
        <v>105.2316481369674</v>
      </c>
      <c r="P155" t="n">
        <v>847.0433924466327</v>
      </c>
    </row>
    <row r="156">
      <c r="A156" s="8" t="n">
        <v>48884</v>
      </c>
      <c r="B156" t="n">
        <v>1.881788888888889</v>
      </c>
      <c r="C156" t="n">
        <v>1.287677777777778</v>
      </c>
      <c r="D156" t="n">
        <v>0.5941111111111113</v>
      </c>
      <c r="E156" t="n">
        <v>412.5937298850565</v>
      </c>
      <c r="F156" t="inlineStr">
        <is>
          <t>projected from net injection</t>
        </is>
      </c>
      <c r="G156" t="n">
        <v>563.188</v>
      </c>
      <c r="H156" t="n">
        <v>73.26039082598645</v>
      </c>
      <c r="I156" t="n">
        <v>1.304466666666667</v>
      </c>
      <c r="J156" t="n">
        <v>0.8570333333333333</v>
      </c>
      <c r="K156" t="n">
        <v>0.4474333333333333</v>
      </c>
      <c r="L156" t="n">
        <v>465.6959958949095</v>
      </c>
      <c r="M156" t="inlineStr">
        <is>
          <t>projected from net injection</t>
        </is>
      </c>
      <c r="N156" t="n">
        <v>429.788</v>
      </c>
      <c r="O156" t="n">
        <v>108.3548158382527</v>
      </c>
      <c r="P156" t="n">
        <v>878.289725779966</v>
      </c>
    </row>
    <row r="157">
      <c r="A157" s="8" t="n">
        <v>48914</v>
      </c>
      <c r="B157" t="n">
        <v>1.379204301075269</v>
      </c>
      <c r="C157" t="n">
        <v>2.158774193548387</v>
      </c>
      <c r="D157" t="n">
        <v>-0.7795698924731187</v>
      </c>
      <c r="E157" t="n">
        <v>388.4270632183898</v>
      </c>
      <c r="F157" t="inlineStr">
        <is>
          <t>projected from net injection</t>
        </is>
      </c>
      <c r="G157" t="n">
        <v>563.188</v>
      </c>
      <c r="H157" t="n">
        <v>68.96934295801577</v>
      </c>
      <c r="I157" t="n">
        <v>1.143408602150538</v>
      </c>
      <c r="J157" t="n">
        <v>1.674903225806452</v>
      </c>
      <c r="K157" t="n">
        <v>-0.5314946236559139</v>
      </c>
      <c r="L157" t="n">
        <v>449.2196625615762</v>
      </c>
      <c r="M157" t="inlineStr">
        <is>
          <t>projected from net injection</t>
        </is>
      </c>
      <c r="N157" t="n">
        <v>429.788</v>
      </c>
      <c r="O157" t="n">
        <v>104.521220360172</v>
      </c>
      <c r="P157" t="n">
        <v>837.646725779966</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Z140"/>
  <sheetViews>
    <sheetView workbookViewId="0">
      <selection activeCell="A1" sqref="A1"/>
    </sheetView>
  </sheetViews>
  <sheetFormatPr baseColWidth="8" defaultRowHeight="15"/>
  <sheetData>
    <row r="1">
      <c r="A1" t="inlineStr">
        <is>
          <t>Month</t>
        </is>
      </c>
      <c r="B1" t="inlineStr">
        <is>
          <t>ENG|Calcasieu Pass</t>
        </is>
      </c>
      <c r="C1" t="inlineStr">
        <is>
          <t>ENG|Cameron</t>
        </is>
      </c>
      <c r="D1" t="inlineStr">
        <is>
          <t>ENG|Plaquemines</t>
        </is>
      </c>
      <c r="E1" t="inlineStr">
        <is>
          <t>ENG|Sabine Pass</t>
        </is>
      </c>
      <c r="F1" t="inlineStr">
        <is>
          <t>cap|Total Underground Storage Capacity</t>
        </is>
      </c>
      <c r="G1" t="inlineStr">
        <is>
          <t>cap|Underground Storage Acquifers Capacity</t>
        </is>
      </c>
      <c r="H1" t="inlineStr">
        <is>
          <t>cap|Underground Storage Depleted Fields Capacity</t>
        </is>
      </c>
      <c r="I1" t="inlineStr">
        <is>
          <t>cap|Underground Storage Salt Caverns Capacity</t>
        </is>
      </c>
      <c r="J1" t="inlineStr">
        <is>
          <t>cap|Working Underground Storage Acquifers Capacity</t>
        </is>
      </c>
      <c r="K1" t="inlineStr">
        <is>
          <t>cap|Working Underground Storage Capacity</t>
        </is>
      </c>
      <c r="L1" t="inlineStr">
        <is>
          <t>cap|Working Underground Storage Depleted Fields Capacity</t>
        </is>
      </c>
      <c r="M1" t="inlineStr">
        <is>
          <t>cap|Working Underground Storage Salt Caverns Capacity</t>
        </is>
      </c>
      <c r="N1" t="inlineStr">
        <is>
          <t>cons|Commercial</t>
        </is>
      </c>
      <c r="O1" t="inlineStr">
        <is>
          <t>cons|Delivered to consumers</t>
        </is>
      </c>
      <c r="P1" t="inlineStr">
        <is>
          <t>cons|Electric power</t>
        </is>
      </c>
      <c r="Q1" t="inlineStr">
        <is>
          <t>cons|Industrial</t>
        </is>
      </c>
      <c r="R1" t="inlineStr">
        <is>
          <t>cons|Residential</t>
        </is>
      </c>
      <c r="S1" t="inlineStr">
        <is>
          <t>cons|Vehicle fuel</t>
        </is>
      </c>
      <c r="T1" t="inlineStr">
        <is>
          <t>prod|Dry production</t>
        </is>
      </c>
      <c r="U1" t="inlineStr">
        <is>
          <t>prod|Extraction loss</t>
        </is>
      </c>
      <c r="V1" t="inlineStr">
        <is>
          <t>prod|Marketed production</t>
        </is>
      </c>
      <c r="W1" t="inlineStr">
        <is>
          <t>stor|Injections</t>
        </is>
      </c>
      <c r="X1" t="inlineStr">
        <is>
          <t>stor|Net withdrawals</t>
        </is>
      </c>
      <c r="Y1" t="inlineStr">
        <is>
          <t>stor|Withdrawals</t>
        </is>
      </c>
      <c r="Z1" t="inlineStr">
        <is>
          <t>stor|Working gas</t>
        </is>
      </c>
    </row>
    <row r="2">
      <c r="A2" s="10" t="n">
        <v>42005</v>
      </c>
      <c r="F2" t="n">
        <v>749867</v>
      </c>
      <c r="G2" t="n">
        <v>0</v>
      </c>
      <c r="H2" t="n">
        <v>520900</v>
      </c>
      <c r="I2" t="n">
        <v>228967</v>
      </c>
      <c r="J2" t="n">
        <v>0</v>
      </c>
      <c r="K2" t="n">
        <v>457530</v>
      </c>
      <c r="L2" t="n">
        <v>292380</v>
      </c>
      <c r="M2" t="n">
        <v>165150</v>
      </c>
      <c r="N2" t="n">
        <v>4292</v>
      </c>
      <c r="O2" t="n">
        <v>118589</v>
      </c>
      <c r="P2" t="n">
        <v>21979</v>
      </c>
      <c r="Q2" t="n">
        <v>83743</v>
      </c>
      <c r="R2" t="n">
        <v>8561</v>
      </c>
      <c r="S2" t="n">
        <v>14</v>
      </c>
      <c r="T2" t="n">
        <v>149459</v>
      </c>
      <c r="U2" t="n">
        <v>3506</v>
      </c>
      <c r="V2" t="n">
        <v>152965</v>
      </c>
      <c r="W2" t="n">
        <v>13326</v>
      </c>
      <c r="X2" t="n">
        <v>57369</v>
      </c>
      <c r="Y2" t="n">
        <v>70695</v>
      </c>
      <c r="Z2" t="n">
        <v>238001</v>
      </c>
    </row>
    <row r="3">
      <c r="A3" s="10" t="n">
        <v>42036</v>
      </c>
      <c r="N3" t="n">
        <v>3738</v>
      </c>
      <c r="O3" t="n">
        <v>108488</v>
      </c>
      <c r="P3" t="n">
        <v>22220</v>
      </c>
      <c r="Q3" t="n">
        <v>74946</v>
      </c>
      <c r="R3" t="n">
        <v>7572</v>
      </c>
      <c r="S3" t="n">
        <v>13</v>
      </c>
      <c r="T3" t="n">
        <v>137927</v>
      </c>
      <c r="U3" t="n">
        <v>3183</v>
      </c>
      <c r="V3" t="n">
        <v>141110</v>
      </c>
      <c r="W3" t="n">
        <v>8915</v>
      </c>
      <c r="X3" t="n">
        <v>73436</v>
      </c>
      <c r="Y3" t="n">
        <v>82351</v>
      </c>
      <c r="Z3" t="n">
        <v>164714</v>
      </c>
    </row>
    <row r="4">
      <c r="A4" s="10" t="n">
        <v>42064</v>
      </c>
      <c r="N4" t="n">
        <v>2553</v>
      </c>
      <c r="O4" t="n">
        <v>107330</v>
      </c>
      <c r="P4" t="n">
        <v>23542</v>
      </c>
      <c r="Q4" t="n">
        <v>76884</v>
      </c>
      <c r="R4" t="n">
        <v>4337</v>
      </c>
      <c r="S4" t="n">
        <v>14</v>
      </c>
      <c r="T4" t="n">
        <v>153151</v>
      </c>
      <c r="U4" t="n">
        <v>3539</v>
      </c>
      <c r="V4" t="n">
        <v>156690</v>
      </c>
      <c r="W4" t="n">
        <v>32682</v>
      </c>
      <c r="X4" t="n">
        <v>-1990</v>
      </c>
      <c r="Y4" t="n">
        <v>30691</v>
      </c>
      <c r="Z4" t="n">
        <v>165727</v>
      </c>
    </row>
    <row r="5">
      <c r="A5" s="10" t="n">
        <v>42095</v>
      </c>
      <c r="N5" t="n">
        <v>2032</v>
      </c>
      <c r="O5" t="n">
        <v>105050</v>
      </c>
      <c r="P5" t="n">
        <v>24985</v>
      </c>
      <c r="Q5" t="n">
        <v>76135</v>
      </c>
      <c r="R5" t="n">
        <v>1884</v>
      </c>
      <c r="S5" t="n">
        <v>14</v>
      </c>
      <c r="T5" t="n">
        <v>149282</v>
      </c>
      <c r="U5" t="n">
        <v>3474</v>
      </c>
      <c r="V5" t="n">
        <v>152756</v>
      </c>
      <c r="W5" t="n">
        <v>53310</v>
      </c>
      <c r="X5" t="n">
        <v>-45037</v>
      </c>
      <c r="Y5" t="n">
        <v>8272</v>
      </c>
      <c r="Z5" t="n">
        <v>210648</v>
      </c>
    </row>
    <row r="6">
      <c r="A6" s="10" t="n">
        <v>42125</v>
      </c>
      <c r="N6" t="n">
        <v>2068</v>
      </c>
      <c r="O6" t="n">
        <v>111508</v>
      </c>
      <c r="P6" t="n">
        <v>27765</v>
      </c>
      <c r="Q6" t="n">
        <v>79982</v>
      </c>
      <c r="R6" t="n">
        <v>1679</v>
      </c>
      <c r="S6" t="n">
        <v>14</v>
      </c>
      <c r="T6" t="n">
        <v>152773</v>
      </c>
      <c r="U6" t="n">
        <v>3539</v>
      </c>
      <c r="V6" t="n">
        <v>156312</v>
      </c>
      <c r="W6" t="n">
        <v>45268</v>
      </c>
      <c r="X6" t="n">
        <v>-36612</v>
      </c>
      <c r="Y6" t="n">
        <v>8656</v>
      </c>
      <c r="Z6" t="n">
        <v>245405</v>
      </c>
    </row>
    <row r="7">
      <c r="A7" s="10" t="n">
        <v>42156</v>
      </c>
      <c r="N7" t="n">
        <v>1869</v>
      </c>
      <c r="O7" t="n">
        <v>112809</v>
      </c>
      <c r="P7" t="n">
        <v>33952</v>
      </c>
      <c r="Q7" t="n">
        <v>75687</v>
      </c>
      <c r="R7" t="n">
        <v>1288</v>
      </c>
      <c r="S7" t="n">
        <v>14</v>
      </c>
      <c r="T7" t="n">
        <v>141719</v>
      </c>
      <c r="U7" t="n">
        <v>3416</v>
      </c>
      <c r="V7" t="n">
        <v>145136</v>
      </c>
      <c r="W7" t="n">
        <v>30446</v>
      </c>
      <c r="X7" t="n">
        <v>-16431</v>
      </c>
      <c r="Y7" t="n">
        <v>14015</v>
      </c>
      <c r="Z7" t="n">
        <v>261379</v>
      </c>
    </row>
    <row r="8">
      <c r="A8" s="10" t="n">
        <v>42186</v>
      </c>
      <c r="N8" t="n">
        <v>1772</v>
      </c>
      <c r="O8" t="n">
        <v>117126</v>
      </c>
      <c r="P8" t="n">
        <v>36917</v>
      </c>
      <c r="Q8" t="n">
        <v>77128</v>
      </c>
      <c r="R8" t="n">
        <v>1295</v>
      </c>
      <c r="S8" t="n">
        <v>14</v>
      </c>
      <c r="T8" t="n">
        <v>147985</v>
      </c>
      <c r="U8" t="n">
        <v>3542</v>
      </c>
      <c r="V8" t="n">
        <v>151526</v>
      </c>
      <c r="W8" t="n">
        <v>29488</v>
      </c>
      <c r="X8" t="n">
        <v>-17892</v>
      </c>
      <c r="Y8" t="n">
        <v>11596</v>
      </c>
      <c r="Z8" t="n">
        <v>279164</v>
      </c>
    </row>
    <row r="9">
      <c r="A9" s="10" t="n">
        <v>42217</v>
      </c>
      <c r="N9" t="n">
        <v>1868</v>
      </c>
      <c r="O9" t="n">
        <v>117620</v>
      </c>
      <c r="P9" t="n">
        <v>33918</v>
      </c>
      <c r="Q9" t="n">
        <v>80615</v>
      </c>
      <c r="R9" t="n">
        <v>1205</v>
      </c>
      <c r="S9" t="n">
        <v>14</v>
      </c>
      <c r="T9" t="n">
        <v>147511</v>
      </c>
      <c r="U9" t="n">
        <v>3546</v>
      </c>
      <c r="V9" t="n">
        <v>151056</v>
      </c>
      <c r="W9" t="n">
        <v>30371</v>
      </c>
      <c r="X9" t="n">
        <v>-20717</v>
      </c>
      <c r="Y9" t="n">
        <v>9653</v>
      </c>
      <c r="Z9" t="n">
        <v>299733</v>
      </c>
    </row>
    <row r="10">
      <c r="A10" s="10" t="n">
        <v>42248</v>
      </c>
      <c r="N10" t="n">
        <v>2175</v>
      </c>
      <c r="O10" t="n">
        <v>108898</v>
      </c>
      <c r="P10" t="n">
        <v>27478</v>
      </c>
      <c r="Q10" t="n">
        <v>77875</v>
      </c>
      <c r="R10" t="n">
        <v>1356</v>
      </c>
      <c r="S10" t="n">
        <v>14</v>
      </c>
      <c r="T10" t="n">
        <v>146062</v>
      </c>
      <c r="U10" t="n">
        <v>3453</v>
      </c>
      <c r="V10" t="n">
        <v>149515</v>
      </c>
      <c r="W10" t="n">
        <v>41820</v>
      </c>
      <c r="X10" t="n">
        <v>-33722</v>
      </c>
      <c r="Y10" t="n">
        <v>8098</v>
      </c>
      <c r="Z10" t="n">
        <v>333557</v>
      </c>
    </row>
    <row r="11">
      <c r="A11" s="10" t="n">
        <v>42278</v>
      </c>
      <c r="N11" t="n">
        <v>2247</v>
      </c>
      <c r="O11" t="n">
        <v>112583</v>
      </c>
      <c r="P11" t="n">
        <v>29206</v>
      </c>
      <c r="Q11" t="n">
        <v>79578</v>
      </c>
      <c r="R11" t="n">
        <v>1537</v>
      </c>
      <c r="S11" t="n">
        <v>14</v>
      </c>
      <c r="T11" t="n">
        <v>147780</v>
      </c>
      <c r="U11" t="n">
        <v>3542</v>
      </c>
      <c r="V11" t="n">
        <v>151322</v>
      </c>
      <c r="W11" t="n">
        <v>49042</v>
      </c>
      <c r="X11" t="n">
        <v>-40257</v>
      </c>
      <c r="Y11" t="n">
        <v>8785</v>
      </c>
      <c r="Z11" t="n">
        <v>373879</v>
      </c>
    </row>
    <row r="12">
      <c r="A12" s="10" t="n">
        <v>42309</v>
      </c>
      <c r="N12" t="n">
        <v>2739</v>
      </c>
      <c r="O12" t="n">
        <v>116055</v>
      </c>
      <c r="P12" t="n">
        <v>29293</v>
      </c>
      <c r="Q12" t="n">
        <v>81626</v>
      </c>
      <c r="R12" t="n">
        <v>2384</v>
      </c>
      <c r="S12" t="n">
        <v>14</v>
      </c>
      <c r="T12" t="n">
        <v>142011</v>
      </c>
      <c r="U12" t="n">
        <v>3413</v>
      </c>
      <c r="V12" t="n">
        <v>145424</v>
      </c>
      <c r="W12" t="n">
        <v>32808</v>
      </c>
      <c r="X12" t="n">
        <v>-15244</v>
      </c>
      <c r="Y12" t="n">
        <v>17564</v>
      </c>
      <c r="Z12" t="n">
        <v>389402</v>
      </c>
    </row>
    <row r="13">
      <c r="A13" s="10" t="n">
        <v>42339</v>
      </c>
      <c r="N13" t="n">
        <v>2917</v>
      </c>
      <c r="O13" t="n">
        <v>123166</v>
      </c>
      <c r="P13" t="n">
        <v>31251</v>
      </c>
      <c r="Q13" t="n">
        <v>85222</v>
      </c>
      <c r="R13" t="n">
        <v>3762</v>
      </c>
      <c r="S13" t="n">
        <v>14</v>
      </c>
      <c r="T13" t="n">
        <v>147858</v>
      </c>
      <c r="U13" t="n">
        <v>3527</v>
      </c>
      <c r="V13" t="n">
        <v>151385</v>
      </c>
      <c r="W13" t="n">
        <v>21664</v>
      </c>
      <c r="X13" t="n">
        <v>8860</v>
      </c>
      <c r="Y13" t="n">
        <v>30524</v>
      </c>
      <c r="Z13" t="n">
        <v>380456</v>
      </c>
    </row>
    <row r="14">
      <c r="A14" s="10" t="n">
        <v>42370</v>
      </c>
      <c r="F14" t="n">
        <v>743169</v>
      </c>
      <c r="H14" t="n">
        <v>520900</v>
      </c>
      <c r="I14" t="n">
        <v>222269</v>
      </c>
      <c r="K14" t="n">
        <v>454753</v>
      </c>
      <c r="L14" t="n">
        <v>292979</v>
      </c>
      <c r="M14" t="n">
        <v>161774</v>
      </c>
      <c r="N14" t="n">
        <v>4243</v>
      </c>
      <c r="O14" t="n">
        <v>130023</v>
      </c>
      <c r="P14" t="n">
        <v>27974</v>
      </c>
      <c r="Q14" t="n">
        <v>90371</v>
      </c>
      <c r="R14" t="n">
        <v>7419</v>
      </c>
      <c r="S14" t="n">
        <v>16</v>
      </c>
      <c r="T14" t="n">
        <v>149704</v>
      </c>
      <c r="U14" t="n">
        <v>3633</v>
      </c>
      <c r="V14" t="n">
        <v>153337</v>
      </c>
      <c r="W14" t="n">
        <v>10677</v>
      </c>
      <c r="X14" t="n">
        <v>56058</v>
      </c>
      <c r="Y14" t="n">
        <v>66735</v>
      </c>
      <c r="Z14" t="n">
        <v>326850</v>
      </c>
    </row>
    <row r="15">
      <c r="A15" s="10" t="n">
        <v>42401</v>
      </c>
      <c r="E15" t="n">
        <v>4574</v>
      </c>
      <c r="N15" t="n">
        <v>2777</v>
      </c>
      <c r="O15" t="n">
        <v>115837</v>
      </c>
      <c r="P15" t="n">
        <v>24798</v>
      </c>
      <c r="Q15" t="n">
        <v>83366</v>
      </c>
      <c r="R15" t="n">
        <v>4881</v>
      </c>
      <c r="S15" t="n">
        <v>15</v>
      </c>
      <c r="T15" t="n">
        <v>142004</v>
      </c>
      <c r="U15" t="n">
        <v>3447</v>
      </c>
      <c r="V15" t="n">
        <v>145451</v>
      </c>
      <c r="W15" t="n">
        <v>23206</v>
      </c>
      <c r="X15" t="n">
        <v>21175</v>
      </c>
      <c r="Y15" t="n">
        <v>44381</v>
      </c>
      <c r="Z15" t="n">
        <v>305571</v>
      </c>
    </row>
    <row r="16">
      <c r="A16" s="10" t="n">
        <v>42430</v>
      </c>
      <c r="E16" t="n">
        <v>10598</v>
      </c>
      <c r="N16" t="n">
        <v>2247</v>
      </c>
      <c r="O16" t="n">
        <v>120300</v>
      </c>
      <c r="P16" t="n">
        <v>27234</v>
      </c>
      <c r="Q16" t="n">
        <v>88194</v>
      </c>
      <c r="R16" t="n">
        <v>2610</v>
      </c>
      <c r="S16" t="n">
        <v>16</v>
      </c>
      <c r="T16" t="n">
        <v>149217</v>
      </c>
      <c r="U16" t="n">
        <v>3643</v>
      </c>
      <c r="V16" t="n">
        <v>152860</v>
      </c>
      <c r="W16" t="n">
        <v>38091</v>
      </c>
      <c r="X16" t="n">
        <v>-14011</v>
      </c>
      <c r="Y16" t="n">
        <v>24080</v>
      </c>
      <c r="Z16" t="n">
        <v>319646</v>
      </c>
    </row>
    <row r="17">
      <c r="A17" s="10" t="n">
        <v>42461</v>
      </c>
      <c r="E17" t="n">
        <v>10010</v>
      </c>
      <c r="N17" t="n">
        <v>2136</v>
      </c>
      <c r="O17" t="n">
        <v>115313</v>
      </c>
      <c r="P17" t="n">
        <v>25535</v>
      </c>
      <c r="Q17" t="n">
        <v>85724</v>
      </c>
      <c r="R17" t="n">
        <v>1902</v>
      </c>
      <c r="S17" t="n">
        <v>16</v>
      </c>
      <c r="T17" t="n">
        <v>150062</v>
      </c>
      <c r="U17" t="n">
        <v>3523</v>
      </c>
      <c r="V17" t="n">
        <v>153585</v>
      </c>
      <c r="W17" t="n">
        <v>36480</v>
      </c>
      <c r="X17" t="n">
        <v>-20296</v>
      </c>
      <c r="Y17" t="n">
        <v>16183</v>
      </c>
      <c r="Z17" t="n">
        <v>339766</v>
      </c>
    </row>
    <row r="18">
      <c r="A18" s="10" t="n">
        <v>42491</v>
      </c>
      <c r="E18" t="n">
        <v>9840</v>
      </c>
      <c r="N18" t="n">
        <v>2109</v>
      </c>
      <c r="O18" t="n">
        <v>122287</v>
      </c>
      <c r="P18" t="n">
        <v>30749</v>
      </c>
      <c r="Q18" t="n">
        <v>87931</v>
      </c>
      <c r="R18" t="n">
        <v>1481</v>
      </c>
      <c r="S18" t="n">
        <v>16</v>
      </c>
      <c r="T18" t="n">
        <v>147259</v>
      </c>
      <c r="U18" t="n">
        <v>3599</v>
      </c>
      <c r="V18" t="n">
        <v>150858</v>
      </c>
      <c r="W18" t="n">
        <v>30639</v>
      </c>
      <c r="X18" t="n">
        <v>-11540</v>
      </c>
      <c r="Y18" t="n">
        <v>19100</v>
      </c>
      <c r="Z18" t="n">
        <v>350030</v>
      </c>
    </row>
    <row r="19">
      <c r="A19" s="10" t="n">
        <v>42522</v>
      </c>
      <c r="E19" t="n">
        <v>16421</v>
      </c>
      <c r="N19" t="n">
        <v>1815</v>
      </c>
      <c r="O19" t="n">
        <v>121850</v>
      </c>
      <c r="P19" t="n">
        <v>33563</v>
      </c>
      <c r="Q19" t="n">
        <v>85217</v>
      </c>
      <c r="R19" t="n">
        <v>1239</v>
      </c>
      <c r="S19" t="n">
        <v>16</v>
      </c>
      <c r="T19" t="n">
        <v>136531</v>
      </c>
      <c r="U19" t="n">
        <v>3450</v>
      </c>
      <c r="V19" t="n">
        <v>139980</v>
      </c>
      <c r="W19" t="n">
        <v>23795</v>
      </c>
      <c r="X19" t="n">
        <v>-2585</v>
      </c>
      <c r="Y19" t="n">
        <v>21210</v>
      </c>
      <c r="Z19" t="n">
        <v>351921</v>
      </c>
    </row>
    <row r="20">
      <c r="A20" s="10" t="n">
        <v>42552</v>
      </c>
      <c r="E20" t="n">
        <v>15703</v>
      </c>
      <c r="N20" t="n">
        <v>1784</v>
      </c>
      <c r="O20" t="n">
        <v>130195</v>
      </c>
      <c r="P20" t="n">
        <v>38612</v>
      </c>
      <c r="Q20" t="n">
        <v>88601</v>
      </c>
      <c r="R20" t="n">
        <v>1182</v>
      </c>
      <c r="S20" t="n">
        <v>16</v>
      </c>
      <c r="T20" t="n">
        <v>152793</v>
      </c>
      <c r="U20" t="n">
        <v>3594</v>
      </c>
      <c r="V20" t="n">
        <v>156387</v>
      </c>
      <c r="W20" t="n">
        <v>23329</v>
      </c>
      <c r="X20" t="n">
        <v>16049</v>
      </c>
      <c r="Y20" t="n">
        <v>39378</v>
      </c>
      <c r="Z20" t="n">
        <v>335413</v>
      </c>
    </row>
    <row r="21">
      <c r="A21" s="10" t="n">
        <v>42583</v>
      </c>
      <c r="E21" t="n">
        <v>27481</v>
      </c>
      <c r="N21" t="n">
        <v>1969</v>
      </c>
      <c r="O21" t="n">
        <v>122541</v>
      </c>
      <c r="P21" t="n">
        <v>31944</v>
      </c>
      <c r="Q21" t="n">
        <v>87364</v>
      </c>
      <c r="R21" t="n">
        <v>1247</v>
      </c>
      <c r="S21" t="n">
        <v>16</v>
      </c>
      <c r="T21" t="n">
        <v>140740</v>
      </c>
      <c r="U21" t="n">
        <v>3565</v>
      </c>
      <c r="V21" t="n">
        <v>144306</v>
      </c>
      <c r="W21" t="n">
        <v>22050</v>
      </c>
      <c r="X21" t="n">
        <v>18506</v>
      </c>
      <c r="Y21" t="n">
        <v>40556</v>
      </c>
      <c r="Z21" t="n">
        <v>316530</v>
      </c>
    </row>
    <row r="22">
      <c r="A22" s="10" t="n">
        <v>42614</v>
      </c>
      <c r="E22" t="n">
        <v>16715</v>
      </c>
      <c r="N22" t="n">
        <v>1902</v>
      </c>
      <c r="O22" t="n">
        <v>116316</v>
      </c>
      <c r="P22" t="n">
        <v>28667</v>
      </c>
      <c r="Q22" t="n">
        <v>84510</v>
      </c>
      <c r="R22" t="n">
        <v>1222</v>
      </c>
      <c r="S22" t="n">
        <v>16</v>
      </c>
      <c r="T22" t="n">
        <v>141555</v>
      </c>
      <c r="U22" t="n">
        <v>3427</v>
      </c>
      <c r="V22" t="n">
        <v>144983</v>
      </c>
      <c r="W22" t="n">
        <v>30973</v>
      </c>
      <c r="X22" t="n">
        <v>-11031</v>
      </c>
      <c r="Y22" t="n">
        <v>19942</v>
      </c>
      <c r="Z22" t="n">
        <v>326593</v>
      </c>
    </row>
    <row r="23">
      <c r="A23" s="10" t="n">
        <v>42644</v>
      </c>
      <c r="E23" t="n">
        <v>2942</v>
      </c>
      <c r="N23" t="n">
        <v>2094</v>
      </c>
      <c r="O23" t="n">
        <v>111926</v>
      </c>
      <c r="P23" t="n">
        <v>22901</v>
      </c>
      <c r="Q23" t="n">
        <v>85526</v>
      </c>
      <c r="R23" t="n">
        <v>1388</v>
      </c>
      <c r="S23" t="n">
        <v>16</v>
      </c>
      <c r="T23" t="n">
        <v>147039</v>
      </c>
      <c r="U23" t="n">
        <v>3528</v>
      </c>
      <c r="V23" t="n">
        <v>150567</v>
      </c>
      <c r="W23" t="n">
        <v>64785</v>
      </c>
      <c r="X23" t="n">
        <v>-51370</v>
      </c>
      <c r="Y23" t="n">
        <v>13415</v>
      </c>
      <c r="Z23" t="n">
        <v>377356</v>
      </c>
    </row>
    <row r="24">
      <c r="A24" s="10" t="n">
        <v>42675</v>
      </c>
      <c r="E24" t="n">
        <v>32910</v>
      </c>
      <c r="N24" t="n">
        <v>2449</v>
      </c>
      <c r="O24" t="n">
        <v>112264</v>
      </c>
      <c r="P24" t="n">
        <v>19759</v>
      </c>
      <c r="Q24" t="n">
        <v>88053</v>
      </c>
      <c r="R24" t="n">
        <v>1988</v>
      </c>
      <c r="S24" t="n">
        <v>16</v>
      </c>
      <c r="T24" t="n">
        <v>138783</v>
      </c>
      <c r="U24" t="n">
        <v>3442</v>
      </c>
      <c r="V24" t="n">
        <v>142225</v>
      </c>
      <c r="W24" t="n">
        <v>27329</v>
      </c>
      <c r="X24" t="n">
        <v>-3970</v>
      </c>
      <c r="Y24" t="n">
        <v>23359</v>
      </c>
      <c r="Z24" t="n">
        <v>381600</v>
      </c>
    </row>
    <row r="25">
      <c r="A25" s="10" t="n">
        <v>42705</v>
      </c>
      <c r="E25" t="n">
        <v>41761</v>
      </c>
      <c r="N25" t="n">
        <v>3405</v>
      </c>
      <c r="O25" t="n">
        <v>120944</v>
      </c>
      <c r="P25" t="n">
        <v>18805</v>
      </c>
      <c r="Q25" t="n">
        <v>93894</v>
      </c>
      <c r="R25" t="n">
        <v>4824</v>
      </c>
      <c r="S25" t="n">
        <v>16</v>
      </c>
      <c r="T25" t="n">
        <v>146340</v>
      </c>
      <c r="U25" t="n">
        <v>3517</v>
      </c>
      <c r="V25" t="n">
        <v>149857</v>
      </c>
      <c r="W25" t="n">
        <v>19621</v>
      </c>
      <c r="X25" t="n">
        <v>42587</v>
      </c>
      <c r="Y25" t="n">
        <v>62208</v>
      </c>
      <c r="Z25" t="n">
        <v>338699</v>
      </c>
    </row>
    <row r="26">
      <c r="A26" s="10" t="n">
        <v>42736</v>
      </c>
      <c r="E26" t="n">
        <v>51235</v>
      </c>
      <c r="F26" t="n">
        <v>747923</v>
      </c>
      <c r="G26" t="n">
        <v>0</v>
      </c>
      <c r="H26" t="n">
        <v>520900</v>
      </c>
      <c r="I26" t="n">
        <v>227023</v>
      </c>
      <c r="J26" t="n">
        <v>0</v>
      </c>
      <c r="K26" t="n">
        <v>456952</v>
      </c>
      <c r="L26" t="n">
        <v>292979</v>
      </c>
      <c r="M26" t="n">
        <v>163973</v>
      </c>
      <c r="N26" t="n">
        <v>3169</v>
      </c>
      <c r="O26" t="n">
        <v>117968</v>
      </c>
      <c r="P26" t="n">
        <v>15644</v>
      </c>
      <c r="Q26" t="n">
        <v>94192</v>
      </c>
      <c r="R26" t="n">
        <v>4930</v>
      </c>
      <c r="S26" t="n">
        <v>33</v>
      </c>
      <c r="T26" t="n">
        <v>156991</v>
      </c>
      <c r="U26" t="n">
        <v>2566</v>
      </c>
      <c r="V26" t="n">
        <v>159557</v>
      </c>
      <c r="W26" t="n">
        <v>38205</v>
      </c>
      <c r="X26" t="n">
        <v>22579</v>
      </c>
      <c r="Y26" t="n">
        <v>60783</v>
      </c>
      <c r="Z26" t="n">
        <v>316708</v>
      </c>
    </row>
    <row r="27">
      <c r="A27" s="10" t="n">
        <v>42767</v>
      </c>
      <c r="E27" t="n">
        <v>51982</v>
      </c>
      <c r="N27" t="n">
        <v>2287</v>
      </c>
      <c r="O27" t="n">
        <v>103807</v>
      </c>
      <c r="P27" t="n">
        <v>16270</v>
      </c>
      <c r="Q27" t="n">
        <v>82312</v>
      </c>
      <c r="R27" t="n">
        <v>2908</v>
      </c>
      <c r="S27" t="n">
        <v>30</v>
      </c>
      <c r="T27" t="n">
        <v>141002</v>
      </c>
      <c r="U27" t="n">
        <v>2350</v>
      </c>
      <c r="V27" t="n">
        <v>143352</v>
      </c>
      <c r="W27" t="n">
        <v>23152</v>
      </c>
      <c r="X27" t="n">
        <v>11892</v>
      </c>
      <c r="Y27" t="n">
        <v>35044</v>
      </c>
      <c r="Z27" t="n">
        <v>304667</v>
      </c>
    </row>
    <row r="28">
      <c r="A28" s="10" t="n">
        <v>42795</v>
      </c>
      <c r="E28" t="n">
        <v>43469</v>
      </c>
      <c r="N28" t="n">
        <v>2588</v>
      </c>
      <c r="O28" t="n">
        <v>115745</v>
      </c>
      <c r="P28" t="n">
        <v>20329</v>
      </c>
      <c r="Q28" t="n">
        <v>90094</v>
      </c>
      <c r="R28" t="n">
        <v>2700</v>
      </c>
      <c r="S28" t="n">
        <v>33</v>
      </c>
      <c r="T28" t="n">
        <v>175809</v>
      </c>
      <c r="U28" t="n">
        <v>2661</v>
      </c>
      <c r="V28" t="n">
        <v>178470</v>
      </c>
      <c r="W28" t="n">
        <v>36283</v>
      </c>
      <c r="X28" t="n">
        <v>22982</v>
      </c>
      <c r="Y28" t="n">
        <v>59264</v>
      </c>
      <c r="Z28" t="n">
        <v>280486</v>
      </c>
    </row>
    <row r="29">
      <c r="A29" s="10" t="n">
        <v>42826</v>
      </c>
      <c r="E29" t="n">
        <v>50584</v>
      </c>
      <c r="N29" t="n">
        <v>2057</v>
      </c>
      <c r="O29" t="n">
        <v>115105</v>
      </c>
      <c r="P29" t="n">
        <v>23580</v>
      </c>
      <c r="Q29" t="n">
        <v>87730</v>
      </c>
      <c r="R29" t="n">
        <v>1706</v>
      </c>
      <c r="S29" t="n">
        <v>32</v>
      </c>
      <c r="T29" t="n">
        <v>151367</v>
      </c>
      <c r="U29" t="n">
        <v>2578</v>
      </c>
      <c r="V29" t="n">
        <v>153945</v>
      </c>
      <c r="W29" t="n">
        <v>48669</v>
      </c>
      <c r="X29" t="n">
        <v>-22014</v>
      </c>
      <c r="Y29" t="n">
        <v>26655</v>
      </c>
      <c r="Z29" t="n">
        <v>300910</v>
      </c>
    </row>
    <row r="30">
      <c r="A30" s="10" t="n">
        <v>42856</v>
      </c>
      <c r="E30" t="n">
        <v>60741</v>
      </c>
      <c r="N30" t="n">
        <v>2025</v>
      </c>
      <c r="O30" t="n">
        <v>117147</v>
      </c>
      <c r="P30" t="n">
        <v>24692</v>
      </c>
      <c r="Q30" t="n">
        <v>88967</v>
      </c>
      <c r="R30" t="n">
        <v>1430</v>
      </c>
      <c r="S30" t="n">
        <v>33</v>
      </c>
      <c r="T30" t="n">
        <v>159021</v>
      </c>
      <c r="U30" t="n">
        <v>2664</v>
      </c>
      <c r="V30" t="n">
        <v>161685</v>
      </c>
      <c r="W30" t="n">
        <v>43825</v>
      </c>
      <c r="X30" t="n">
        <v>-19393</v>
      </c>
      <c r="Y30" t="n">
        <v>24432</v>
      </c>
      <c r="Z30" t="n">
        <v>320446</v>
      </c>
    </row>
    <row r="31">
      <c r="A31" s="10" t="n">
        <v>42887</v>
      </c>
      <c r="E31" t="n">
        <v>52427</v>
      </c>
      <c r="N31" t="n">
        <v>1926</v>
      </c>
      <c r="O31" t="n">
        <v>118297</v>
      </c>
      <c r="P31" t="n">
        <v>26740</v>
      </c>
      <c r="Q31" t="n">
        <v>88312</v>
      </c>
      <c r="R31" t="n">
        <v>1288</v>
      </c>
      <c r="S31" t="n">
        <v>32</v>
      </c>
      <c r="T31" t="n">
        <v>163749</v>
      </c>
      <c r="U31" t="n">
        <v>2603</v>
      </c>
      <c r="V31" t="n">
        <v>166352</v>
      </c>
      <c r="W31" t="n">
        <v>33874</v>
      </c>
      <c r="X31" t="n">
        <v>-5251</v>
      </c>
      <c r="Y31" t="n">
        <v>28624</v>
      </c>
      <c r="Z31" t="n">
        <v>325565</v>
      </c>
    </row>
    <row r="32">
      <c r="A32" s="10" t="n">
        <v>42917</v>
      </c>
      <c r="E32" t="n">
        <v>53539</v>
      </c>
      <c r="N32" t="n">
        <v>1791</v>
      </c>
      <c r="O32" t="n">
        <v>123998</v>
      </c>
      <c r="P32" t="n">
        <v>30508</v>
      </c>
      <c r="Q32" t="n">
        <v>90435</v>
      </c>
      <c r="R32" t="n">
        <v>1232</v>
      </c>
      <c r="S32" t="n">
        <v>33</v>
      </c>
      <c r="T32" t="n">
        <v>163267</v>
      </c>
      <c r="U32" t="n">
        <v>2717</v>
      </c>
      <c r="V32" t="n">
        <v>165985</v>
      </c>
      <c r="W32" t="n">
        <v>25900</v>
      </c>
      <c r="X32" t="n">
        <v>1075</v>
      </c>
      <c r="Y32" t="n">
        <v>26975</v>
      </c>
      <c r="Z32" t="n">
        <v>323685</v>
      </c>
    </row>
    <row r="33">
      <c r="A33" s="10" t="n">
        <v>42948</v>
      </c>
      <c r="E33" t="n">
        <v>45419</v>
      </c>
      <c r="N33" t="n">
        <v>1907</v>
      </c>
      <c r="O33" t="n">
        <v>124792</v>
      </c>
      <c r="P33" t="n">
        <v>28721</v>
      </c>
      <c r="Q33" t="n">
        <v>92922</v>
      </c>
      <c r="R33" t="n">
        <v>1208</v>
      </c>
      <c r="S33" t="n">
        <v>33</v>
      </c>
      <c r="T33" t="n">
        <v>179952</v>
      </c>
      <c r="U33" t="n">
        <v>2716</v>
      </c>
      <c r="V33" t="n">
        <v>182668</v>
      </c>
      <c r="W33" t="n">
        <v>31103</v>
      </c>
      <c r="X33" t="n">
        <v>3696</v>
      </c>
      <c r="Y33" t="n">
        <v>34798</v>
      </c>
      <c r="Z33" t="n">
        <v>320096</v>
      </c>
    </row>
    <row r="34">
      <c r="A34" s="10" t="n">
        <v>42979</v>
      </c>
      <c r="E34" t="n">
        <v>54665</v>
      </c>
      <c r="N34" t="n">
        <v>1796</v>
      </c>
      <c r="O34" t="n">
        <v>119284</v>
      </c>
      <c r="P34" t="n">
        <v>26882</v>
      </c>
      <c r="Q34" t="n">
        <v>89354</v>
      </c>
      <c r="R34" t="n">
        <v>1221</v>
      </c>
      <c r="S34" t="n">
        <v>32</v>
      </c>
      <c r="T34" t="n">
        <v>183488</v>
      </c>
      <c r="U34" t="n">
        <v>2674</v>
      </c>
      <c r="V34" t="n">
        <v>186163</v>
      </c>
      <c r="W34" t="n">
        <v>49200</v>
      </c>
      <c r="X34" t="n">
        <v>-23167</v>
      </c>
      <c r="Y34" t="n">
        <v>26033</v>
      </c>
      <c r="Z34" t="n">
        <v>343283</v>
      </c>
    </row>
    <row r="35">
      <c r="A35" s="10" t="n">
        <v>43009</v>
      </c>
      <c r="E35" t="n">
        <v>80535</v>
      </c>
      <c r="N35" t="n">
        <v>2200</v>
      </c>
      <c r="O35" t="n">
        <v>123684</v>
      </c>
      <c r="P35" t="n">
        <v>26637</v>
      </c>
      <c r="Q35" t="n">
        <v>93278</v>
      </c>
      <c r="R35" t="n">
        <v>1537</v>
      </c>
      <c r="S35" t="n">
        <v>33</v>
      </c>
      <c r="T35" t="n">
        <v>203915</v>
      </c>
      <c r="U35" t="n">
        <v>2812</v>
      </c>
      <c r="V35" t="n">
        <v>206727</v>
      </c>
      <c r="W35" t="n">
        <v>45065</v>
      </c>
      <c r="X35" t="n">
        <v>-13491</v>
      </c>
      <c r="Y35" t="n">
        <v>31574</v>
      </c>
      <c r="Z35" t="n">
        <v>357153</v>
      </c>
    </row>
    <row r="36">
      <c r="A36" s="10" t="n">
        <v>43040</v>
      </c>
      <c r="E36" t="n">
        <v>79993</v>
      </c>
      <c r="N36" t="n">
        <v>2647</v>
      </c>
      <c r="O36" t="n">
        <v>117233</v>
      </c>
      <c r="P36" t="n">
        <v>16597</v>
      </c>
      <c r="Q36" t="n">
        <v>95296</v>
      </c>
      <c r="R36" t="n">
        <v>2661</v>
      </c>
      <c r="S36" t="n">
        <v>32</v>
      </c>
      <c r="T36" t="n">
        <v>205989</v>
      </c>
      <c r="U36" t="n">
        <v>2806</v>
      </c>
      <c r="V36" t="n">
        <v>208795</v>
      </c>
      <c r="W36" t="n">
        <v>35050</v>
      </c>
      <c r="X36" t="n">
        <v>-10494</v>
      </c>
      <c r="Y36" t="n">
        <v>24556</v>
      </c>
      <c r="Z36" t="n">
        <v>345315</v>
      </c>
    </row>
    <row r="37">
      <c r="A37" s="10" t="n">
        <v>43070</v>
      </c>
      <c r="E37" t="n">
        <v>82479</v>
      </c>
      <c r="N37" t="n">
        <v>3928</v>
      </c>
      <c r="O37" t="n">
        <v>132581</v>
      </c>
      <c r="P37" t="n">
        <v>22690</v>
      </c>
      <c r="Q37" t="n">
        <v>99676</v>
      </c>
      <c r="R37" t="n">
        <v>6254</v>
      </c>
      <c r="S37" t="n">
        <v>33</v>
      </c>
      <c r="T37" t="n">
        <v>223249</v>
      </c>
      <c r="U37" t="n">
        <v>2883</v>
      </c>
      <c r="V37" t="n">
        <v>226132</v>
      </c>
      <c r="W37" t="n">
        <v>27098</v>
      </c>
      <c r="X37" t="n">
        <v>57784</v>
      </c>
      <c r="Y37" t="n">
        <v>84882</v>
      </c>
      <c r="Z37" t="n">
        <v>309438</v>
      </c>
    </row>
    <row r="38">
      <c r="A38" s="10" t="n">
        <v>43101</v>
      </c>
      <c r="E38" t="n">
        <v>72334</v>
      </c>
      <c r="F38" t="n">
        <v>739063</v>
      </c>
      <c r="G38" t="n">
        <v>0</v>
      </c>
      <c r="H38" t="n">
        <v>520100</v>
      </c>
      <c r="I38" t="n">
        <v>218963</v>
      </c>
      <c r="J38" t="n">
        <v>0</v>
      </c>
      <c r="K38" t="n">
        <v>449172</v>
      </c>
      <c r="L38" t="n">
        <v>292979</v>
      </c>
      <c r="M38" t="n">
        <v>156193</v>
      </c>
      <c r="N38" t="n">
        <v>4953</v>
      </c>
      <c r="O38" t="n">
        <v>138962</v>
      </c>
      <c r="P38" t="n">
        <v>25206</v>
      </c>
      <c r="Q38" t="n">
        <v>98627</v>
      </c>
      <c r="R38" t="n">
        <v>10140</v>
      </c>
      <c r="S38" t="n">
        <v>36</v>
      </c>
      <c r="T38" t="n">
        <v>208394</v>
      </c>
      <c r="U38" t="n">
        <v>2460</v>
      </c>
      <c r="V38" t="n">
        <v>210854</v>
      </c>
      <c r="W38" t="n">
        <v>37331</v>
      </c>
      <c r="X38" t="n">
        <v>95750</v>
      </c>
      <c r="Y38" t="n">
        <v>133080</v>
      </c>
      <c r="Z38" t="n">
        <v>214636</v>
      </c>
    </row>
    <row r="39">
      <c r="A39" s="10" t="n">
        <v>43132</v>
      </c>
      <c r="E39" t="n">
        <v>73581</v>
      </c>
      <c r="N39" t="n">
        <v>2624</v>
      </c>
      <c r="O39" t="n">
        <v>117581</v>
      </c>
      <c r="P39" t="n">
        <v>19124</v>
      </c>
      <c r="Q39" t="n">
        <v>91759</v>
      </c>
      <c r="R39" t="n">
        <v>4041</v>
      </c>
      <c r="S39" t="n">
        <v>33</v>
      </c>
      <c r="T39" t="n">
        <v>197573</v>
      </c>
      <c r="U39" t="n">
        <v>2268</v>
      </c>
      <c r="V39" t="n">
        <v>199842</v>
      </c>
      <c r="W39" t="n">
        <v>30885</v>
      </c>
      <c r="X39" t="n">
        <v>16429</v>
      </c>
      <c r="Y39" t="n">
        <v>47314</v>
      </c>
      <c r="Z39" t="n">
        <v>197102</v>
      </c>
    </row>
    <row r="40">
      <c r="A40" s="10" t="n">
        <v>43160</v>
      </c>
      <c r="E40" t="n">
        <v>88460</v>
      </c>
      <c r="N40" t="n">
        <v>2976</v>
      </c>
      <c r="O40" t="n">
        <v>119958</v>
      </c>
      <c r="P40" t="n">
        <v>19373</v>
      </c>
      <c r="Q40" t="n">
        <v>94591</v>
      </c>
      <c r="R40" t="n">
        <v>2982</v>
      </c>
      <c r="S40" t="n">
        <v>36</v>
      </c>
      <c r="T40" t="n">
        <v>227250</v>
      </c>
      <c r="U40" t="n">
        <v>2541</v>
      </c>
      <c r="V40" t="n">
        <v>229791</v>
      </c>
      <c r="W40" t="n">
        <v>31412</v>
      </c>
      <c r="X40" t="n">
        <v>7193</v>
      </c>
      <c r="Y40" t="n">
        <v>38605</v>
      </c>
      <c r="Z40" t="n">
        <v>189931</v>
      </c>
    </row>
    <row r="41">
      <c r="A41" s="10" t="n">
        <v>43191</v>
      </c>
      <c r="E41" t="n">
        <v>76723</v>
      </c>
      <c r="N41" t="n">
        <v>2636</v>
      </c>
      <c r="O41" t="n">
        <v>119327</v>
      </c>
      <c r="P41" t="n">
        <v>21399</v>
      </c>
      <c r="Q41" t="n">
        <v>92901</v>
      </c>
      <c r="R41" t="n">
        <v>2356</v>
      </c>
      <c r="S41" t="n">
        <v>35</v>
      </c>
      <c r="T41" t="n">
        <v>219870</v>
      </c>
      <c r="U41" t="n">
        <v>2455</v>
      </c>
      <c r="V41" t="n">
        <v>222324</v>
      </c>
      <c r="W41" t="n">
        <v>30541</v>
      </c>
      <c r="X41" t="n">
        <v>7969</v>
      </c>
      <c r="Y41" t="n">
        <v>38510</v>
      </c>
      <c r="Z41" t="n">
        <v>183257</v>
      </c>
    </row>
    <row r="42">
      <c r="A42" s="10" t="n">
        <v>43221</v>
      </c>
      <c r="E42" t="n">
        <v>72857</v>
      </c>
      <c r="N42" t="n">
        <v>2139</v>
      </c>
      <c r="O42" t="n">
        <v>130658</v>
      </c>
      <c r="P42" t="n">
        <v>28966</v>
      </c>
      <c r="Q42" t="n">
        <v>97989</v>
      </c>
      <c r="R42" t="n">
        <v>1527</v>
      </c>
      <c r="S42" t="n">
        <v>36</v>
      </c>
      <c r="T42" t="n">
        <v>236176</v>
      </c>
      <c r="U42" t="n">
        <v>2566</v>
      </c>
      <c r="V42" t="n">
        <v>238742</v>
      </c>
      <c r="W42" t="n">
        <v>57009</v>
      </c>
      <c r="X42" t="n">
        <v>-42625</v>
      </c>
      <c r="Y42" t="n">
        <v>14384</v>
      </c>
      <c r="Z42" t="n">
        <v>225774</v>
      </c>
    </row>
    <row r="43">
      <c r="A43" s="10" t="n">
        <v>43252</v>
      </c>
      <c r="E43" t="n">
        <v>60915</v>
      </c>
      <c r="N43" t="n">
        <v>2011</v>
      </c>
      <c r="O43" t="n">
        <v>131324</v>
      </c>
      <c r="P43" t="n">
        <v>30696</v>
      </c>
      <c r="Q43" t="n">
        <v>97377</v>
      </c>
      <c r="R43" t="n">
        <v>1204</v>
      </c>
      <c r="S43" t="n">
        <v>35</v>
      </c>
      <c r="T43" t="n">
        <v>234316</v>
      </c>
      <c r="U43" t="n">
        <v>2495</v>
      </c>
      <c r="V43" t="n">
        <v>236812</v>
      </c>
      <c r="W43" t="n">
        <v>39168</v>
      </c>
      <c r="X43" t="n">
        <v>-17984</v>
      </c>
      <c r="Y43" t="n">
        <v>21184</v>
      </c>
      <c r="Z43" t="n">
        <v>243616</v>
      </c>
    </row>
    <row r="44">
      <c r="A44" s="10" t="n">
        <v>43282</v>
      </c>
      <c r="E44" t="n">
        <v>79002</v>
      </c>
      <c r="N44" t="n">
        <v>2113</v>
      </c>
      <c r="O44" t="n">
        <v>134296</v>
      </c>
      <c r="P44" t="n">
        <v>34918</v>
      </c>
      <c r="Q44" t="n">
        <v>96058</v>
      </c>
      <c r="R44" t="n">
        <v>1170</v>
      </c>
      <c r="S44" t="n">
        <v>36</v>
      </c>
      <c r="T44" t="n">
        <v>242874</v>
      </c>
      <c r="U44" t="n">
        <v>2630</v>
      </c>
      <c r="V44" t="n">
        <v>245504</v>
      </c>
      <c r="W44" t="n">
        <v>26398</v>
      </c>
      <c r="X44" t="n">
        <v>7158</v>
      </c>
      <c r="Y44" t="n">
        <v>33555</v>
      </c>
      <c r="Z44" t="n">
        <v>236424</v>
      </c>
    </row>
    <row r="45">
      <c r="A45" s="10" t="n">
        <v>43313</v>
      </c>
      <c r="E45" t="n">
        <v>72239</v>
      </c>
      <c r="N45" t="n">
        <v>2165</v>
      </c>
      <c r="O45" t="n">
        <v>129966</v>
      </c>
      <c r="P45" t="n">
        <v>31130</v>
      </c>
      <c r="Q45" t="n">
        <v>95551</v>
      </c>
      <c r="R45" t="n">
        <v>1084</v>
      </c>
      <c r="S45" t="n">
        <v>36</v>
      </c>
      <c r="T45" t="n">
        <v>245804</v>
      </c>
      <c r="U45" t="n">
        <v>2683</v>
      </c>
      <c r="V45" t="n">
        <v>248487</v>
      </c>
      <c r="W45" t="n">
        <v>34577</v>
      </c>
      <c r="X45" t="n">
        <v>-4409</v>
      </c>
      <c r="Y45" t="n">
        <v>30167</v>
      </c>
      <c r="Z45" t="n">
        <v>240740</v>
      </c>
    </row>
    <row r="46">
      <c r="A46" s="10" t="n">
        <v>43344</v>
      </c>
      <c r="E46" t="n">
        <v>68988</v>
      </c>
      <c r="N46" t="n">
        <v>2331</v>
      </c>
      <c r="O46" t="n">
        <v>129810</v>
      </c>
      <c r="P46" t="n">
        <v>30324</v>
      </c>
      <c r="Q46" t="n">
        <v>95855</v>
      </c>
      <c r="R46" t="n">
        <v>1265</v>
      </c>
      <c r="S46" t="n">
        <v>35</v>
      </c>
      <c r="T46" t="n">
        <v>237952</v>
      </c>
      <c r="U46" t="n">
        <v>2639</v>
      </c>
      <c r="V46" t="n">
        <v>240591</v>
      </c>
      <c r="W46" t="n">
        <v>50649</v>
      </c>
      <c r="X46" t="n">
        <v>-20246</v>
      </c>
      <c r="Y46" t="n">
        <v>30403</v>
      </c>
      <c r="Z46" t="n">
        <v>260372</v>
      </c>
    </row>
    <row r="47">
      <c r="A47" s="10" t="n">
        <v>43374</v>
      </c>
      <c r="E47" t="n">
        <v>83401</v>
      </c>
      <c r="N47" t="n">
        <v>2784</v>
      </c>
      <c r="O47" t="n">
        <v>126183</v>
      </c>
      <c r="P47" t="n">
        <v>27389</v>
      </c>
      <c r="Q47" t="n">
        <v>94256</v>
      </c>
      <c r="R47" t="n">
        <v>1717</v>
      </c>
      <c r="S47" t="n">
        <v>36</v>
      </c>
      <c r="T47" t="n">
        <v>256499</v>
      </c>
      <c r="U47" t="n">
        <v>2762</v>
      </c>
      <c r="V47" t="n">
        <v>259261</v>
      </c>
      <c r="W47" t="n">
        <v>56643</v>
      </c>
      <c r="X47" t="n">
        <v>-24437</v>
      </c>
      <c r="Y47" t="n">
        <v>32206</v>
      </c>
      <c r="Z47" t="n">
        <v>284892</v>
      </c>
    </row>
    <row r="48">
      <c r="A48" s="10" t="n">
        <v>43405</v>
      </c>
      <c r="E48" t="n">
        <v>88140</v>
      </c>
      <c r="N48" t="n">
        <v>4252</v>
      </c>
      <c r="O48" t="n">
        <v>118938</v>
      </c>
      <c r="P48" t="n">
        <v>16280</v>
      </c>
      <c r="Q48" t="n">
        <v>93988</v>
      </c>
      <c r="R48" t="n">
        <v>4382</v>
      </c>
      <c r="S48" t="n">
        <v>35</v>
      </c>
      <c r="T48" t="n">
        <v>244706</v>
      </c>
      <c r="U48" t="n">
        <v>2719</v>
      </c>
      <c r="V48" t="n">
        <v>247425</v>
      </c>
      <c r="W48" t="n">
        <v>37840</v>
      </c>
      <c r="X48" t="n">
        <v>22799</v>
      </c>
      <c r="Y48" t="n">
        <v>60639</v>
      </c>
      <c r="Z48" t="n">
        <v>261702</v>
      </c>
    </row>
    <row r="49">
      <c r="A49" s="10" t="n">
        <v>43435</v>
      </c>
      <c r="E49" t="n">
        <v>95562</v>
      </c>
      <c r="N49" t="n">
        <v>3863</v>
      </c>
      <c r="O49" t="n">
        <v>125100</v>
      </c>
      <c r="P49" t="n">
        <v>16112</v>
      </c>
      <c r="Q49" t="n">
        <v>99119</v>
      </c>
      <c r="R49" t="n">
        <v>5969</v>
      </c>
      <c r="S49" t="n">
        <v>36</v>
      </c>
      <c r="T49" t="n">
        <v>249976</v>
      </c>
      <c r="U49" t="n">
        <v>2796</v>
      </c>
      <c r="V49" t="n">
        <v>252772</v>
      </c>
      <c r="W49" t="n">
        <v>47684</v>
      </c>
      <c r="X49" t="n">
        <v>10719</v>
      </c>
      <c r="Y49" t="n">
        <v>58402</v>
      </c>
      <c r="Z49" t="n">
        <v>251292</v>
      </c>
    </row>
    <row r="50">
      <c r="A50" s="10" t="n">
        <v>43466</v>
      </c>
      <c r="E50" t="n">
        <v>95748</v>
      </c>
      <c r="F50" t="n">
        <v>739703</v>
      </c>
      <c r="G50" t="n">
        <v>0</v>
      </c>
      <c r="H50" t="n">
        <v>520900</v>
      </c>
      <c r="I50" t="n">
        <v>218803</v>
      </c>
      <c r="J50" t="n">
        <v>0</v>
      </c>
      <c r="K50" t="n">
        <v>446562</v>
      </c>
      <c r="L50" t="n">
        <v>292979</v>
      </c>
      <c r="M50" t="n">
        <v>153583</v>
      </c>
      <c r="N50" t="n">
        <v>4449</v>
      </c>
      <c r="O50" t="n">
        <v>138783</v>
      </c>
      <c r="P50" t="n">
        <v>25474</v>
      </c>
      <c r="Q50" t="n">
        <v>101564</v>
      </c>
      <c r="R50" t="n">
        <v>7262</v>
      </c>
      <c r="S50" t="n">
        <v>34</v>
      </c>
      <c r="T50" t="n">
        <v>256704</v>
      </c>
      <c r="U50" t="n">
        <v>2607</v>
      </c>
      <c r="V50" t="n">
        <v>259311</v>
      </c>
      <c r="W50" t="n">
        <v>24630</v>
      </c>
      <c r="X50" t="n">
        <v>60935</v>
      </c>
      <c r="Y50" t="n">
        <v>85565</v>
      </c>
      <c r="Z50" t="n">
        <v>190487</v>
      </c>
    </row>
    <row r="51">
      <c r="A51" s="10" t="n">
        <v>43497</v>
      </c>
      <c r="E51" t="n">
        <v>75564</v>
      </c>
      <c r="N51" t="n">
        <v>2894</v>
      </c>
      <c r="O51" t="n">
        <v>122025</v>
      </c>
      <c r="P51" t="n">
        <v>20594</v>
      </c>
      <c r="Q51" t="n">
        <v>93611</v>
      </c>
      <c r="R51" t="n">
        <v>4896</v>
      </c>
      <c r="S51" t="n">
        <v>31</v>
      </c>
      <c r="T51" t="n">
        <v>239705</v>
      </c>
      <c r="U51" t="n">
        <v>2371</v>
      </c>
      <c r="V51" t="n">
        <v>242076</v>
      </c>
      <c r="W51" t="n">
        <v>22838</v>
      </c>
      <c r="X51" t="n">
        <v>50759</v>
      </c>
      <c r="Y51" t="n">
        <v>73597</v>
      </c>
      <c r="Z51" t="n">
        <v>141083</v>
      </c>
    </row>
    <row r="52">
      <c r="A52" s="10" t="n">
        <v>43525</v>
      </c>
      <c r="E52" t="n">
        <v>93602</v>
      </c>
      <c r="N52" t="n">
        <v>3199</v>
      </c>
      <c r="O52" t="n">
        <v>127179</v>
      </c>
      <c r="P52" t="n">
        <v>22495</v>
      </c>
      <c r="Q52" t="n">
        <v>97218</v>
      </c>
      <c r="R52" t="n">
        <v>4232</v>
      </c>
      <c r="S52" t="n">
        <v>34</v>
      </c>
      <c r="T52" t="n">
        <v>264012</v>
      </c>
      <c r="U52" t="n">
        <v>2637</v>
      </c>
      <c r="V52" t="n">
        <v>266649</v>
      </c>
      <c r="W52" t="n">
        <v>36362</v>
      </c>
      <c r="X52" t="n">
        <v>17530</v>
      </c>
      <c r="Y52" t="n">
        <v>53891</v>
      </c>
      <c r="Z52" t="n">
        <v>123024</v>
      </c>
    </row>
    <row r="53">
      <c r="A53" s="10" t="n">
        <v>43556</v>
      </c>
      <c r="E53" t="n">
        <v>84065</v>
      </c>
      <c r="N53" t="n">
        <v>2374</v>
      </c>
      <c r="O53" t="n">
        <v>129316</v>
      </c>
      <c r="P53" t="n">
        <v>28824</v>
      </c>
      <c r="Q53" t="n">
        <v>95649</v>
      </c>
      <c r="R53" t="n">
        <v>2436</v>
      </c>
      <c r="S53" t="n">
        <v>33</v>
      </c>
      <c r="T53" t="n">
        <v>257185</v>
      </c>
      <c r="U53" t="n">
        <v>2564</v>
      </c>
      <c r="V53" t="n">
        <v>259749</v>
      </c>
      <c r="W53" t="n">
        <v>77491</v>
      </c>
      <c r="X53" t="n">
        <v>-56512</v>
      </c>
      <c r="Y53" t="n">
        <v>20979</v>
      </c>
      <c r="Z53" t="n">
        <v>177109</v>
      </c>
    </row>
    <row r="54">
      <c r="A54" s="10" t="n">
        <v>43586</v>
      </c>
      <c r="C54" t="n">
        <v>3210</v>
      </c>
      <c r="E54" t="n">
        <v>107005</v>
      </c>
      <c r="N54" t="n">
        <v>2098</v>
      </c>
      <c r="O54" t="n">
        <v>135102</v>
      </c>
      <c r="P54" t="n">
        <v>32296</v>
      </c>
      <c r="Q54" t="n">
        <v>99122</v>
      </c>
      <c r="R54" t="n">
        <v>1552</v>
      </c>
      <c r="S54" t="n">
        <v>34</v>
      </c>
      <c r="T54" t="n">
        <v>267390</v>
      </c>
      <c r="U54" t="n">
        <v>2670</v>
      </c>
      <c r="V54" t="n">
        <v>270060</v>
      </c>
      <c r="W54" t="n">
        <v>69115</v>
      </c>
      <c r="X54" t="n">
        <v>-42654</v>
      </c>
      <c r="Y54" t="n">
        <v>26461</v>
      </c>
      <c r="Z54" t="n">
        <v>218971</v>
      </c>
    </row>
    <row r="55">
      <c r="A55" s="10" t="n">
        <v>43617</v>
      </c>
      <c r="C55" t="n">
        <v>2917</v>
      </c>
      <c r="E55" t="n">
        <v>97739</v>
      </c>
      <c r="N55" t="n">
        <v>1978</v>
      </c>
      <c r="O55" t="n">
        <v>132243</v>
      </c>
      <c r="P55" t="n">
        <v>36076</v>
      </c>
      <c r="Q55" t="n">
        <v>92948</v>
      </c>
      <c r="R55" t="n">
        <v>1208</v>
      </c>
      <c r="S55" t="n">
        <v>33</v>
      </c>
      <c r="T55" t="n">
        <v>262712</v>
      </c>
      <c r="U55" t="n">
        <v>2591</v>
      </c>
      <c r="V55" t="n">
        <v>265302</v>
      </c>
      <c r="W55" t="n">
        <v>64630</v>
      </c>
      <c r="X55" t="n">
        <v>-39117</v>
      </c>
      <c r="Y55" t="n">
        <v>25513</v>
      </c>
      <c r="Z55" t="n">
        <v>258072</v>
      </c>
    </row>
    <row r="56">
      <c r="A56" s="10" t="n">
        <v>43647</v>
      </c>
      <c r="C56" t="n">
        <v>7054</v>
      </c>
      <c r="E56" t="n">
        <v>95194</v>
      </c>
      <c r="N56" t="n">
        <v>1976</v>
      </c>
      <c r="O56" t="n">
        <v>133586</v>
      </c>
      <c r="P56" t="n">
        <v>38523</v>
      </c>
      <c r="Q56" t="n">
        <v>91998</v>
      </c>
      <c r="R56" t="n">
        <v>1055</v>
      </c>
      <c r="S56" t="n">
        <v>34</v>
      </c>
      <c r="T56" t="n">
        <v>274798</v>
      </c>
      <c r="U56" t="n">
        <v>2692</v>
      </c>
      <c r="V56" t="n">
        <v>277490</v>
      </c>
      <c r="W56" t="n">
        <v>57660</v>
      </c>
      <c r="X56" t="n">
        <v>-18409</v>
      </c>
      <c r="Y56" t="n">
        <v>39251</v>
      </c>
      <c r="Z56" t="n">
        <v>276103</v>
      </c>
    </row>
    <row r="57">
      <c r="A57" s="10" t="n">
        <v>43678</v>
      </c>
      <c r="C57" t="n">
        <v>11048</v>
      </c>
      <c r="E57" t="n">
        <v>76669</v>
      </c>
      <c r="N57" t="n">
        <v>2308</v>
      </c>
      <c r="O57" t="n">
        <v>135032</v>
      </c>
      <c r="P57" t="n">
        <v>38278</v>
      </c>
      <c r="Q57" t="n">
        <v>93167</v>
      </c>
      <c r="R57" t="n">
        <v>1246</v>
      </c>
      <c r="S57" t="n">
        <v>34</v>
      </c>
      <c r="T57" t="n">
        <v>273605</v>
      </c>
      <c r="U57" t="n">
        <v>2757</v>
      </c>
      <c r="V57" t="n">
        <v>276362</v>
      </c>
      <c r="W57" t="n">
        <v>46599</v>
      </c>
      <c r="X57" t="n">
        <v>-10645</v>
      </c>
      <c r="Y57" t="n">
        <v>35954</v>
      </c>
      <c r="Z57" t="n">
        <v>286411</v>
      </c>
    </row>
    <row r="58">
      <c r="A58" s="10" t="n">
        <v>43709</v>
      </c>
      <c r="C58" t="n">
        <v>10008</v>
      </c>
      <c r="E58" t="n">
        <v>95250</v>
      </c>
      <c r="N58" t="n">
        <v>2018</v>
      </c>
      <c r="O58" t="n">
        <v>127351</v>
      </c>
      <c r="P58" t="n">
        <v>32681</v>
      </c>
      <c r="Q58" t="n">
        <v>91451</v>
      </c>
      <c r="R58" t="n">
        <v>1168</v>
      </c>
      <c r="S58" t="n">
        <v>33</v>
      </c>
      <c r="T58" t="n">
        <v>263961</v>
      </c>
      <c r="U58" t="n">
        <v>2678</v>
      </c>
      <c r="V58" t="n">
        <v>266639</v>
      </c>
      <c r="W58" t="n">
        <v>60011</v>
      </c>
      <c r="X58" t="n">
        <v>-37776</v>
      </c>
      <c r="Y58" t="n">
        <v>22235</v>
      </c>
      <c r="Z58" t="n">
        <v>324885</v>
      </c>
    </row>
    <row r="59">
      <c r="A59" s="10" t="n">
        <v>43739</v>
      </c>
      <c r="C59" t="n">
        <v>10791</v>
      </c>
      <c r="E59" t="n">
        <v>107359</v>
      </c>
      <c r="N59" t="n">
        <v>2527</v>
      </c>
      <c r="O59" t="n">
        <v>124467</v>
      </c>
      <c r="P59" t="n">
        <v>27833</v>
      </c>
      <c r="Q59" t="n">
        <v>92571</v>
      </c>
      <c r="R59" t="n">
        <v>1503</v>
      </c>
      <c r="S59" t="n">
        <v>34</v>
      </c>
      <c r="T59" t="n">
        <v>272728</v>
      </c>
      <c r="U59" t="n">
        <v>2792</v>
      </c>
      <c r="V59" t="n">
        <v>275520</v>
      </c>
      <c r="W59" t="n">
        <v>68455</v>
      </c>
      <c r="X59" t="n">
        <v>-44922</v>
      </c>
      <c r="Y59" t="n">
        <v>23532</v>
      </c>
      <c r="Z59" t="n">
        <v>369521</v>
      </c>
    </row>
    <row r="60">
      <c r="A60" s="10" t="n">
        <v>43770</v>
      </c>
      <c r="C60" t="n">
        <v>13945</v>
      </c>
      <c r="E60" t="n">
        <v>106014</v>
      </c>
      <c r="N60" t="n">
        <v>3528</v>
      </c>
      <c r="O60" t="n">
        <v>121323</v>
      </c>
      <c r="P60" t="n">
        <v>19353</v>
      </c>
      <c r="Q60" t="n">
        <v>94297</v>
      </c>
      <c r="R60" t="n">
        <v>4113</v>
      </c>
      <c r="S60" t="n">
        <v>33</v>
      </c>
      <c r="T60" t="n">
        <v>267922</v>
      </c>
      <c r="U60" t="n">
        <v>2746</v>
      </c>
      <c r="V60" t="n">
        <v>270668</v>
      </c>
      <c r="W60" t="n">
        <v>37370</v>
      </c>
      <c r="X60" t="n">
        <v>3691</v>
      </c>
      <c r="Y60" t="n">
        <v>41062</v>
      </c>
      <c r="Z60" t="n">
        <v>365594</v>
      </c>
    </row>
    <row r="61">
      <c r="A61" s="10" t="n">
        <v>43800</v>
      </c>
      <c r="C61" t="n">
        <v>23902</v>
      </c>
      <c r="E61" t="n">
        <v>108451</v>
      </c>
      <c r="N61" t="n">
        <v>3575</v>
      </c>
      <c r="O61" t="n">
        <v>129802</v>
      </c>
      <c r="P61" t="n">
        <v>19420</v>
      </c>
      <c r="Q61" t="n">
        <v>101508</v>
      </c>
      <c r="R61" t="n">
        <v>5265</v>
      </c>
      <c r="S61" t="n">
        <v>34</v>
      </c>
      <c r="T61" t="n">
        <v>279658</v>
      </c>
      <c r="U61" t="n">
        <v>2835</v>
      </c>
      <c r="V61" t="n">
        <v>282493</v>
      </c>
      <c r="W61" t="n">
        <v>34872</v>
      </c>
      <c r="X61" t="n">
        <v>19539</v>
      </c>
      <c r="Y61" t="n">
        <v>54412</v>
      </c>
      <c r="Z61" t="n">
        <v>345746</v>
      </c>
    </row>
    <row r="62">
      <c r="A62" s="10" t="n">
        <v>43831</v>
      </c>
      <c r="C62" t="n">
        <v>27879</v>
      </c>
      <c r="E62" t="n">
        <v>114283</v>
      </c>
      <c r="F62" t="n">
        <v>747223</v>
      </c>
      <c r="G62" t="n">
        <v>0</v>
      </c>
      <c r="H62" t="n">
        <v>520900</v>
      </c>
      <c r="I62" t="n">
        <v>226323</v>
      </c>
      <c r="J62" t="n">
        <v>0</v>
      </c>
      <c r="K62" t="n">
        <v>450992</v>
      </c>
      <c r="L62" t="n">
        <v>292979</v>
      </c>
      <c r="M62" t="n">
        <v>158013</v>
      </c>
      <c r="N62" t="n">
        <v>3203</v>
      </c>
      <c r="O62" t="n">
        <v>133394</v>
      </c>
      <c r="P62" t="n">
        <v>24579</v>
      </c>
      <c r="Q62" t="n">
        <v>100824</v>
      </c>
      <c r="R62" t="n">
        <v>4683</v>
      </c>
      <c r="S62" t="n">
        <v>104</v>
      </c>
      <c r="T62" t="n">
        <v>271489</v>
      </c>
      <c r="U62" t="n">
        <v>2246</v>
      </c>
      <c r="V62" t="n">
        <v>273735</v>
      </c>
      <c r="W62" t="n">
        <v>22446</v>
      </c>
      <c r="X62" t="n">
        <v>49883</v>
      </c>
      <c r="Y62" t="n">
        <v>72329</v>
      </c>
      <c r="Z62" t="n">
        <v>295150</v>
      </c>
    </row>
    <row r="63">
      <c r="A63" s="10" t="n">
        <v>43862</v>
      </c>
      <c r="C63" t="n">
        <v>27777</v>
      </c>
      <c r="E63" t="n">
        <v>98008</v>
      </c>
      <c r="N63" t="n">
        <v>3253</v>
      </c>
      <c r="O63" t="n">
        <v>127228</v>
      </c>
      <c r="P63" t="n">
        <v>25679</v>
      </c>
      <c r="Q63" t="n">
        <v>93525</v>
      </c>
      <c r="R63" t="n">
        <v>4674</v>
      </c>
      <c r="S63" t="n">
        <v>98</v>
      </c>
      <c r="T63" t="n">
        <v>253787</v>
      </c>
      <c r="U63" t="n">
        <v>2098</v>
      </c>
      <c r="V63" t="n">
        <v>255886</v>
      </c>
      <c r="W63" t="n">
        <v>16599</v>
      </c>
      <c r="X63" t="n">
        <v>52915</v>
      </c>
      <c r="Y63" t="n">
        <v>69513</v>
      </c>
      <c r="Z63" t="n">
        <v>241475</v>
      </c>
    </row>
    <row r="64">
      <c r="A64" s="10" t="n">
        <v>43891</v>
      </c>
      <c r="C64" t="n">
        <v>34363</v>
      </c>
      <c r="E64" t="n">
        <v>98021</v>
      </c>
      <c r="N64" t="n">
        <v>2573</v>
      </c>
      <c r="O64" t="n">
        <v>128382</v>
      </c>
      <c r="P64" t="n">
        <v>28779</v>
      </c>
      <c r="Q64" t="n">
        <v>94003</v>
      </c>
      <c r="R64" t="n">
        <v>2922</v>
      </c>
      <c r="S64" t="n">
        <v>104</v>
      </c>
      <c r="T64" t="n">
        <v>273848</v>
      </c>
      <c r="U64" t="n">
        <v>2247</v>
      </c>
      <c r="V64" t="n">
        <v>276095</v>
      </c>
      <c r="W64" t="n">
        <v>51650</v>
      </c>
      <c r="X64" t="n">
        <v>-26675</v>
      </c>
      <c r="Y64" t="n">
        <v>24975</v>
      </c>
      <c r="Z64" t="n">
        <v>265786</v>
      </c>
    </row>
    <row r="65">
      <c r="A65" s="10" t="n">
        <v>43922</v>
      </c>
      <c r="C65" t="n">
        <v>35797</v>
      </c>
      <c r="E65" t="n">
        <v>91733</v>
      </c>
      <c r="N65" t="n">
        <v>2154</v>
      </c>
      <c r="O65" t="n">
        <v>120919</v>
      </c>
      <c r="P65" t="n">
        <v>27116</v>
      </c>
      <c r="Q65" t="n">
        <v>89588</v>
      </c>
      <c r="R65" t="n">
        <v>1961</v>
      </c>
      <c r="S65" t="n">
        <v>101</v>
      </c>
      <c r="T65" t="n">
        <v>262402</v>
      </c>
      <c r="U65" t="n">
        <v>2118</v>
      </c>
      <c r="V65" t="n">
        <v>264519</v>
      </c>
      <c r="W65" t="n">
        <v>76764</v>
      </c>
      <c r="X65" t="n">
        <v>-50797</v>
      </c>
      <c r="Y65" t="n">
        <v>25967</v>
      </c>
      <c r="Z65" t="n">
        <v>315949</v>
      </c>
    </row>
    <row r="66">
      <c r="A66" s="10" t="n">
        <v>43952</v>
      </c>
      <c r="C66" t="n">
        <v>32275</v>
      </c>
      <c r="E66" t="n">
        <v>77635</v>
      </c>
      <c r="N66" t="n">
        <v>1716</v>
      </c>
      <c r="O66" t="n">
        <v>126132</v>
      </c>
      <c r="P66" t="n">
        <v>29743</v>
      </c>
      <c r="Q66" t="n">
        <v>92962</v>
      </c>
      <c r="R66" t="n">
        <v>1607</v>
      </c>
      <c r="S66" t="n">
        <v>104</v>
      </c>
      <c r="T66" t="n">
        <v>278528</v>
      </c>
      <c r="U66" t="n">
        <v>2058</v>
      </c>
      <c r="V66" t="n">
        <v>280586</v>
      </c>
      <c r="W66" t="n">
        <v>51378</v>
      </c>
      <c r="X66" t="n">
        <v>-33607</v>
      </c>
      <c r="Y66" t="n">
        <v>17771</v>
      </c>
      <c r="Z66" t="n">
        <v>349112</v>
      </c>
    </row>
    <row r="67">
      <c r="A67" s="10" t="n">
        <v>43983</v>
      </c>
      <c r="C67" t="n">
        <v>37602</v>
      </c>
      <c r="E67" t="n">
        <v>26910</v>
      </c>
      <c r="N67" t="n">
        <v>1993</v>
      </c>
      <c r="O67" t="n">
        <v>130740</v>
      </c>
      <c r="P67" t="n">
        <v>32775</v>
      </c>
      <c r="Q67" t="n">
        <v>94535</v>
      </c>
      <c r="R67" t="n">
        <v>1336</v>
      </c>
      <c r="S67" t="n">
        <v>101</v>
      </c>
      <c r="T67" t="n">
        <v>262055</v>
      </c>
      <c r="U67" t="n">
        <v>2020</v>
      </c>
      <c r="V67" t="n">
        <v>264075</v>
      </c>
      <c r="W67" t="n">
        <v>45467</v>
      </c>
      <c r="X67" t="n">
        <v>-23311</v>
      </c>
      <c r="Y67" t="n">
        <v>22157</v>
      </c>
      <c r="Z67" t="n">
        <v>372342</v>
      </c>
    </row>
    <row r="68">
      <c r="A68" s="10" t="n">
        <v>44013</v>
      </c>
      <c r="C68" t="n">
        <v>31261</v>
      </c>
      <c r="E68" t="n">
        <v>30230</v>
      </c>
      <c r="N68" t="n">
        <v>1955</v>
      </c>
      <c r="O68" t="n">
        <v>138469</v>
      </c>
      <c r="P68" t="n">
        <v>40719</v>
      </c>
      <c r="Q68" t="n">
        <v>94337</v>
      </c>
      <c r="R68" t="n">
        <v>1353</v>
      </c>
      <c r="S68" t="n">
        <v>104</v>
      </c>
      <c r="T68" t="n">
        <v>264241</v>
      </c>
      <c r="U68" t="n">
        <v>2124</v>
      </c>
      <c r="V68" t="n">
        <v>266365</v>
      </c>
      <c r="W68" t="n">
        <v>29254</v>
      </c>
      <c r="X68" t="n">
        <v>5790</v>
      </c>
      <c r="Y68" t="n">
        <v>35044</v>
      </c>
      <c r="Z68" t="n">
        <v>366734</v>
      </c>
    </row>
    <row r="69">
      <c r="A69" s="10" t="n">
        <v>44044</v>
      </c>
      <c r="C69" t="n">
        <v>31755</v>
      </c>
      <c r="E69" t="n">
        <v>29316</v>
      </c>
      <c r="N69" t="n">
        <v>1958</v>
      </c>
      <c r="O69" t="n">
        <v>135573</v>
      </c>
      <c r="P69" t="n">
        <v>35064</v>
      </c>
      <c r="Q69" t="n">
        <v>97251</v>
      </c>
      <c r="R69" t="n">
        <v>1197</v>
      </c>
      <c r="S69" t="n">
        <v>104</v>
      </c>
      <c r="T69" t="n">
        <v>258110</v>
      </c>
      <c r="U69" t="n">
        <v>2117</v>
      </c>
      <c r="V69" t="n">
        <v>260228</v>
      </c>
      <c r="W69" t="n">
        <v>44504</v>
      </c>
      <c r="X69" t="n">
        <v>-15845</v>
      </c>
      <c r="Y69" t="n">
        <v>28659</v>
      </c>
      <c r="Z69" t="n">
        <v>382368</v>
      </c>
    </row>
    <row r="70">
      <c r="A70" s="10" t="n">
        <v>44075</v>
      </c>
      <c r="E70" t="n">
        <v>61674</v>
      </c>
      <c r="N70" t="n">
        <v>2183</v>
      </c>
      <c r="O70" t="n">
        <v>127791</v>
      </c>
      <c r="P70" t="n">
        <v>29384</v>
      </c>
      <c r="Q70" t="n">
        <v>94643</v>
      </c>
      <c r="R70" t="n">
        <v>1480</v>
      </c>
      <c r="S70" t="n">
        <v>101</v>
      </c>
      <c r="T70" t="n">
        <v>253640</v>
      </c>
      <c r="U70" t="n">
        <v>2051</v>
      </c>
      <c r="V70" t="n">
        <v>255691</v>
      </c>
      <c r="W70" t="n">
        <v>50586</v>
      </c>
      <c r="X70" t="n">
        <v>-21814</v>
      </c>
      <c r="Y70" t="n">
        <v>28773</v>
      </c>
      <c r="Z70" t="n">
        <v>400617</v>
      </c>
    </row>
    <row r="71">
      <c r="A71" s="10" t="n">
        <v>44105</v>
      </c>
      <c r="C71" t="n">
        <v>18831</v>
      </c>
      <c r="E71" t="n">
        <v>88331</v>
      </c>
      <c r="N71" t="n">
        <v>2414</v>
      </c>
      <c r="O71" t="n">
        <v>132779</v>
      </c>
      <c r="P71" t="n">
        <v>31351</v>
      </c>
      <c r="Q71" t="n">
        <v>96985</v>
      </c>
      <c r="R71" t="n">
        <v>1924</v>
      </c>
      <c r="S71" t="n">
        <v>104</v>
      </c>
      <c r="T71" t="n">
        <v>260734</v>
      </c>
      <c r="U71" t="n">
        <v>2104</v>
      </c>
      <c r="V71" t="n">
        <v>262837</v>
      </c>
      <c r="W71" t="n">
        <v>34164</v>
      </c>
      <c r="X71" t="n">
        <v>5951</v>
      </c>
      <c r="Y71" t="n">
        <v>40114</v>
      </c>
      <c r="Z71" t="n">
        <v>392916</v>
      </c>
    </row>
    <row r="72">
      <c r="A72" s="10" t="n">
        <v>44136</v>
      </c>
      <c r="C72" t="n">
        <v>50585</v>
      </c>
      <c r="E72" t="n">
        <v>101396</v>
      </c>
      <c r="N72" t="n">
        <v>2664</v>
      </c>
      <c r="O72" t="n">
        <v>127666</v>
      </c>
      <c r="P72" t="n">
        <v>25369</v>
      </c>
      <c r="Q72" t="n">
        <v>96555</v>
      </c>
      <c r="R72" t="n">
        <v>2977</v>
      </c>
      <c r="S72" t="n">
        <v>101</v>
      </c>
      <c r="T72" t="n">
        <v>265510</v>
      </c>
      <c r="U72" t="n">
        <v>2098</v>
      </c>
      <c r="V72" t="n">
        <v>267608</v>
      </c>
      <c r="W72" t="n">
        <v>36455</v>
      </c>
      <c r="X72" t="n">
        <v>-9396</v>
      </c>
      <c r="Y72" t="n">
        <v>27060</v>
      </c>
      <c r="Z72" t="n">
        <v>402814</v>
      </c>
    </row>
    <row r="73">
      <c r="A73" s="10" t="n">
        <v>44166</v>
      </c>
      <c r="C73" t="n">
        <v>55134</v>
      </c>
      <c r="E73" t="n">
        <v>109365</v>
      </c>
      <c r="N73" t="n">
        <v>3691</v>
      </c>
      <c r="O73" t="n">
        <v>139411</v>
      </c>
      <c r="P73" t="n">
        <v>25356</v>
      </c>
      <c r="Q73" t="n">
        <v>104276</v>
      </c>
      <c r="R73" t="n">
        <v>5983</v>
      </c>
      <c r="S73" t="n">
        <v>104</v>
      </c>
      <c r="T73" t="n">
        <v>275777</v>
      </c>
      <c r="U73" t="n">
        <v>2172</v>
      </c>
      <c r="V73" t="n">
        <v>277948</v>
      </c>
      <c r="W73" t="n">
        <v>23314</v>
      </c>
      <c r="X73" t="n">
        <v>43071</v>
      </c>
      <c r="Y73" t="n">
        <v>66385</v>
      </c>
      <c r="Z73" t="n">
        <v>359753</v>
      </c>
    </row>
    <row r="74">
      <c r="A74" s="10" t="n">
        <v>44197</v>
      </c>
      <c r="C74" t="n">
        <v>55260</v>
      </c>
      <c r="E74" t="n">
        <v>111069</v>
      </c>
      <c r="F74" t="n">
        <v>747223</v>
      </c>
      <c r="G74" t="n">
        <v>0</v>
      </c>
      <c r="H74" t="n">
        <v>520900</v>
      </c>
      <c r="I74" t="n">
        <v>226323</v>
      </c>
      <c r="J74" t="n">
        <v>0</v>
      </c>
      <c r="K74" t="n">
        <v>461434</v>
      </c>
      <c r="L74" t="n">
        <v>301511</v>
      </c>
      <c r="M74" t="n">
        <v>159923</v>
      </c>
      <c r="N74" t="n">
        <v>3877</v>
      </c>
      <c r="O74" t="n">
        <v>132315</v>
      </c>
      <c r="P74" t="n">
        <v>20206</v>
      </c>
      <c r="Q74" t="n">
        <v>100951</v>
      </c>
      <c r="R74" t="n">
        <v>7251</v>
      </c>
      <c r="S74" t="n">
        <v>31</v>
      </c>
      <c r="T74" t="n">
        <v>275244</v>
      </c>
      <c r="U74" t="n">
        <v>2177</v>
      </c>
      <c r="V74" t="n">
        <v>277421</v>
      </c>
      <c r="W74" t="n">
        <v>24468</v>
      </c>
      <c r="X74" t="n">
        <v>61714</v>
      </c>
      <c r="Y74" t="n">
        <v>86181</v>
      </c>
      <c r="Z74" t="n">
        <v>298613</v>
      </c>
    </row>
    <row r="75">
      <c r="A75" s="10" t="n">
        <v>44228</v>
      </c>
      <c r="C75" t="n">
        <v>36484</v>
      </c>
      <c r="E75" t="n">
        <v>83808</v>
      </c>
      <c r="N75" t="n">
        <v>4222</v>
      </c>
      <c r="O75" t="n">
        <v>117219</v>
      </c>
      <c r="P75" t="n">
        <v>22561</v>
      </c>
      <c r="Q75" t="n">
        <v>82781</v>
      </c>
      <c r="R75" t="n">
        <v>7627</v>
      </c>
      <c r="S75" t="n">
        <v>28</v>
      </c>
      <c r="T75" t="n">
        <v>221452</v>
      </c>
      <c r="U75" t="n">
        <v>1821</v>
      </c>
      <c r="V75" t="n">
        <v>223272</v>
      </c>
      <c r="W75" t="n">
        <v>30194</v>
      </c>
      <c r="X75" t="n">
        <v>90715</v>
      </c>
      <c r="Y75" t="n">
        <v>120909</v>
      </c>
      <c r="Z75" t="n">
        <v>210001</v>
      </c>
    </row>
    <row r="76">
      <c r="A76" s="10" t="n">
        <v>44256</v>
      </c>
      <c r="C76" t="n">
        <v>49901</v>
      </c>
      <c r="E76" t="n">
        <v>114128</v>
      </c>
      <c r="N76" t="n">
        <v>2994</v>
      </c>
      <c r="O76" t="n">
        <v>117546</v>
      </c>
      <c r="P76" t="n">
        <v>24360</v>
      </c>
      <c r="Q76" t="n">
        <v>85951</v>
      </c>
      <c r="R76" t="n">
        <v>4211</v>
      </c>
      <c r="S76" t="n">
        <v>31</v>
      </c>
      <c r="T76" t="n">
        <v>280813</v>
      </c>
      <c r="U76" t="n">
        <v>2198</v>
      </c>
      <c r="V76" t="n">
        <v>283012</v>
      </c>
      <c r="W76" t="n">
        <v>54920</v>
      </c>
      <c r="X76" t="n">
        <v>-25836</v>
      </c>
      <c r="Y76" t="n">
        <v>29084</v>
      </c>
      <c r="Z76" t="n">
        <v>235319</v>
      </c>
    </row>
    <row r="77">
      <c r="A77" s="10" t="n">
        <v>44287</v>
      </c>
      <c r="C77" t="n">
        <v>50863</v>
      </c>
      <c r="E77" t="n">
        <v>108858</v>
      </c>
      <c r="N77" t="n">
        <v>2918</v>
      </c>
      <c r="O77" t="n">
        <v>115261</v>
      </c>
      <c r="P77" t="n">
        <v>23650</v>
      </c>
      <c r="Q77" t="n">
        <v>86051</v>
      </c>
      <c r="R77" t="n">
        <v>2613</v>
      </c>
      <c r="S77" t="n">
        <v>30</v>
      </c>
      <c r="T77" t="n">
        <v>271500</v>
      </c>
      <c r="U77" t="n">
        <v>2144</v>
      </c>
      <c r="V77" t="n">
        <v>273644</v>
      </c>
      <c r="W77" t="n">
        <v>52037</v>
      </c>
      <c r="X77" t="n">
        <v>-16290</v>
      </c>
      <c r="Y77" t="n">
        <v>35747</v>
      </c>
      <c r="Z77" t="n">
        <v>251550</v>
      </c>
    </row>
    <row r="78">
      <c r="A78" s="10" t="n">
        <v>44317</v>
      </c>
      <c r="C78" t="n">
        <v>52767</v>
      </c>
      <c r="E78" t="n">
        <v>108224</v>
      </c>
      <c r="N78" t="n">
        <v>2240</v>
      </c>
      <c r="O78" t="n">
        <v>115941</v>
      </c>
      <c r="P78" t="n">
        <v>26785</v>
      </c>
      <c r="Q78" t="n">
        <v>85161</v>
      </c>
      <c r="R78" t="n">
        <v>1725</v>
      </c>
      <c r="S78" t="n">
        <v>31</v>
      </c>
      <c r="T78" t="n">
        <v>281359</v>
      </c>
      <c r="U78" t="n">
        <v>2214</v>
      </c>
      <c r="V78" t="n">
        <v>283573</v>
      </c>
      <c r="W78" t="n">
        <v>57719</v>
      </c>
      <c r="X78" t="n">
        <v>-33878</v>
      </c>
      <c r="Y78" t="n">
        <v>23841</v>
      </c>
      <c r="Z78" t="n">
        <v>285484</v>
      </c>
    </row>
    <row r="79">
      <c r="A79" s="10" t="n">
        <v>44348</v>
      </c>
      <c r="C79" t="n">
        <v>39017</v>
      </c>
      <c r="E79" t="n">
        <v>85813</v>
      </c>
      <c r="N79" t="n">
        <v>2140</v>
      </c>
      <c r="O79" t="n">
        <v>123408</v>
      </c>
      <c r="P79" t="n">
        <v>34277</v>
      </c>
      <c r="Q79" t="n">
        <v>85721</v>
      </c>
      <c r="R79" t="n">
        <v>1239</v>
      </c>
      <c r="S79" t="n">
        <v>30</v>
      </c>
      <c r="T79" t="n">
        <v>274014</v>
      </c>
      <c r="U79" t="n">
        <v>2135</v>
      </c>
      <c r="V79" t="n">
        <v>276148</v>
      </c>
      <c r="W79" t="n">
        <v>38232</v>
      </c>
      <c r="X79" t="n">
        <v>-3457</v>
      </c>
      <c r="Y79" t="n">
        <v>34774</v>
      </c>
      <c r="Z79" t="n">
        <v>288260</v>
      </c>
    </row>
    <row r="80">
      <c r="A80" s="10" t="n">
        <v>44378</v>
      </c>
      <c r="C80" t="n">
        <v>51774</v>
      </c>
      <c r="E80" t="n">
        <v>96748</v>
      </c>
      <c r="N80" t="n">
        <v>2181</v>
      </c>
      <c r="O80" t="n">
        <v>135679</v>
      </c>
      <c r="P80" t="n">
        <v>34385</v>
      </c>
      <c r="Q80" t="n">
        <v>97705</v>
      </c>
      <c r="R80" t="n">
        <v>1377</v>
      </c>
      <c r="S80" t="n">
        <v>31</v>
      </c>
      <c r="T80" t="n">
        <v>297718</v>
      </c>
      <c r="U80" t="n">
        <v>2227</v>
      </c>
      <c r="V80" t="n">
        <v>299944</v>
      </c>
      <c r="W80" t="n">
        <v>29477</v>
      </c>
      <c r="X80" t="n">
        <v>15400</v>
      </c>
      <c r="Y80" t="n">
        <v>44876</v>
      </c>
      <c r="Z80" t="n">
        <v>272861</v>
      </c>
    </row>
    <row r="81">
      <c r="A81" s="10" t="n">
        <v>44409</v>
      </c>
      <c r="C81" t="n">
        <v>41733</v>
      </c>
      <c r="E81" t="n">
        <v>99325</v>
      </c>
      <c r="N81" t="n">
        <v>1843</v>
      </c>
      <c r="O81" t="n">
        <v>126077</v>
      </c>
      <c r="P81" t="n">
        <v>33463</v>
      </c>
      <c r="Q81" t="n">
        <v>89643</v>
      </c>
      <c r="R81" t="n">
        <v>1097</v>
      </c>
      <c r="S81" t="n">
        <v>31</v>
      </c>
      <c r="T81" t="n">
        <v>290562</v>
      </c>
      <c r="U81" t="n">
        <v>2233</v>
      </c>
      <c r="V81" t="n">
        <v>292795</v>
      </c>
      <c r="W81" t="n">
        <v>31035</v>
      </c>
      <c r="X81" t="n">
        <v>10733</v>
      </c>
      <c r="Y81" t="n">
        <v>41768</v>
      </c>
      <c r="Z81" t="n">
        <v>266275</v>
      </c>
    </row>
    <row r="82">
      <c r="A82" s="10" t="n">
        <v>44440</v>
      </c>
      <c r="C82" t="n">
        <v>52808</v>
      </c>
      <c r="E82" t="n">
        <v>99615</v>
      </c>
      <c r="N82" t="n">
        <v>2197</v>
      </c>
      <c r="O82" t="n">
        <v>100554</v>
      </c>
      <c r="P82" t="n">
        <v>21787</v>
      </c>
      <c r="Q82" t="n">
        <v>74790</v>
      </c>
      <c r="R82" t="n">
        <v>1750</v>
      </c>
      <c r="S82" t="n">
        <v>30</v>
      </c>
      <c r="T82" t="n">
        <v>288433</v>
      </c>
      <c r="U82" t="n">
        <v>2176</v>
      </c>
      <c r="V82" t="n">
        <v>290609</v>
      </c>
      <c r="W82" t="n">
        <v>46366</v>
      </c>
      <c r="X82" t="n">
        <v>-27866</v>
      </c>
      <c r="Y82" t="n">
        <v>18501</v>
      </c>
      <c r="Z82" t="n">
        <v>294026</v>
      </c>
    </row>
    <row r="83">
      <c r="A83" s="10" t="n">
        <v>44470</v>
      </c>
      <c r="C83" t="n">
        <v>52670</v>
      </c>
      <c r="E83" t="n">
        <v>101288</v>
      </c>
      <c r="N83" t="n">
        <v>2254</v>
      </c>
      <c r="O83" t="n">
        <v>123057</v>
      </c>
      <c r="P83" t="n">
        <v>27077</v>
      </c>
      <c r="Q83" t="n">
        <v>91931</v>
      </c>
      <c r="R83" t="n">
        <v>1764</v>
      </c>
      <c r="S83" t="n">
        <v>31</v>
      </c>
      <c r="T83" t="n">
        <v>305455</v>
      </c>
      <c r="U83" t="n">
        <v>2284</v>
      </c>
      <c r="V83" t="n">
        <v>307739</v>
      </c>
      <c r="W83" t="n">
        <v>59070</v>
      </c>
      <c r="X83" t="n">
        <v>-42567</v>
      </c>
      <c r="Y83" t="n">
        <v>16503</v>
      </c>
      <c r="Z83" t="n">
        <v>336493</v>
      </c>
    </row>
    <row r="84">
      <c r="A84" s="10" t="n">
        <v>44501</v>
      </c>
      <c r="C84" t="n">
        <v>58144</v>
      </c>
      <c r="E84" t="n">
        <v>112754</v>
      </c>
      <c r="N84" t="n">
        <v>3076</v>
      </c>
      <c r="O84" t="n">
        <v>128440</v>
      </c>
      <c r="P84" t="n">
        <v>25319</v>
      </c>
      <c r="Q84" t="n">
        <v>97045</v>
      </c>
      <c r="R84" t="n">
        <v>2970</v>
      </c>
      <c r="S84" t="n">
        <v>30</v>
      </c>
      <c r="T84" t="n">
        <v>308171</v>
      </c>
      <c r="U84" t="n">
        <v>2235</v>
      </c>
      <c r="V84" t="n">
        <v>310407</v>
      </c>
      <c r="W84" t="n">
        <v>23962</v>
      </c>
      <c r="X84" t="n">
        <v>12490</v>
      </c>
      <c r="Y84" t="n">
        <v>36452</v>
      </c>
      <c r="Z84" t="n">
        <v>323978</v>
      </c>
    </row>
    <row r="85">
      <c r="A85" s="10" t="n">
        <v>44531</v>
      </c>
      <c r="C85" t="n">
        <v>61387</v>
      </c>
      <c r="E85" t="n">
        <v>119053</v>
      </c>
      <c r="N85" t="n">
        <v>2604</v>
      </c>
      <c r="O85" t="n">
        <v>129744</v>
      </c>
      <c r="P85" t="n">
        <v>23386</v>
      </c>
      <c r="Q85" t="n">
        <v>101078</v>
      </c>
      <c r="R85" t="n">
        <v>2646</v>
      </c>
      <c r="S85" t="n">
        <v>31</v>
      </c>
      <c r="T85" t="n">
        <v>322874</v>
      </c>
      <c r="U85" t="n">
        <v>2329</v>
      </c>
      <c r="V85" t="n">
        <v>325203</v>
      </c>
      <c r="W85" t="n">
        <v>40322</v>
      </c>
      <c r="X85" t="n">
        <v>7715</v>
      </c>
      <c r="Y85" t="n">
        <v>48036</v>
      </c>
      <c r="Z85" t="n">
        <v>316080</v>
      </c>
    </row>
    <row r="86">
      <c r="A86" s="10" t="n">
        <v>44562</v>
      </c>
      <c r="C86" t="n">
        <v>61166</v>
      </c>
      <c r="E86" t="n">
        <v>130131</v>
      </c>
      <c r="F86" t="n">
        <v>739213</v>
      </c>
      <c r="G86" t="n">
        <v>0</v>
      </c>
      <c r="H86" t="n">
        <v>520900</v>
      </c>
      <c r="I86" t="n">
        <v>218313</v>
      </c>
      <c r="J86" t="n">
        <v>0</v>
      </c>
      <c r="K86" t="n">
        <v>454124</v>
      </c>
      <c r="L86" t="n">
        <v>301511</v>
      </c>
      <c r="M86" t="n">
        <v>152613</v>
      </c>
      <c r="N86" t="n">
        <v>4087</v>
      </c>
      <c r="O86" t="n">
        <v>148400</v>
      </c>
      <c r="P86" t="n">
        <v>28744</v>
      </c>
      <c r="Q86" t="n">
        <v>107712</v>
      </c>
      <c r="R86" t="n">
        <v>7828</v>
      </c>
      <c r="S86" t="n">
        <v>29</v>
      </c>
      <c r="T86" t="n">
        <v>317373</v>
      </c>
      <c r="U86" t="n">
        <v>2083</v>
      </c>
      <c r="V86" t="n">
        <v>319456</v>
      </c>
      <c r="W86" t="n">
        <v>21915</v>
      </c>
      <c r="X86" t="n">
        <v>103968</v>
      </c>
      <c r="Y86" t="n">
        <v>125883</v>
      </c>
      <c r="Z86" t="n">
        <v>213347</v>
      </c>
    </row>
    <row r="87">
      <c r="A87" s="10" t="n">
        <v>44593</v>
      </c>
      <c r="C87" t="n">
        <v>54354</v>
      </c>
      <c r="E87" t="n">
        <v>110916</v>
      </c>
      <c r="N87" t="n">
        <v>2853</v>
      </c>
      <c r="O87" t="n">
        <v>124654</v>
      </c>
      <c r="P87" t="n">
        <v>23755</v>
      </c>
      <c r="Q87" t="n">
        <v>93084</v>
      </c>
      <c r="R87" t="n">
        <v>4935</v>
      </c>
      <c r="S87" t="n">
        <v>26</v>
      </c>
      <c r="T87" t="n">
        <v>289590</v>
      </c>
      <c r="U87" t="n">
        <v>1899</v>
      </c>
      <c r="V87" t="n">
        <v>291489</v>
      </c>
      <c r="W87" t="n">
        <v>21784</v>
      </c>
      <c r="X87" t="n">
        <v>69040</v>
      </c>
      <c r="Y87" t="n">
        <v>90824</v>
      </c>
      <c r="Z87" t="n">
        <v>146667</v>
      </c>
    </row>
    <row r="88">
      <c r="A88" s="10" t="n">
        <v>44621</v>
      </c>
      <c r="B88" t="n">
        <v>18193</v>
      </c>
      <c r="C88" t="n">
        <v>60374</v>
      </c>
      <c r="E88" t="n">
        <v>130486</v>
      </c>
      <c r="N88" t="n">
        <v>3130</v>
      </c>
      <c r="O88" t="n">
        <v>130936</v>
      </c>
      <c r="P88" t="n">
        <v>20791</v>
      </c>
      <c r="Q88" t="n">
        <v>102788</v>
      </c>
      <c r="R88" t="n">
        <v>4197</v>
      </c>
      <c r="S88" t="n">
        <v>29</v>
      </c>
      <c r="T88" t="n">
        <v>318546</v>
      </c>
      <c r="U88" t="n">
        <v>2137</v>
      </c>
      <c r="V88" t="n">
        <v>320683</v>
      </c>
      <c r="W88" t="n">
        <v>49960</v>
      </c>
      <c r="X88" t="n">
        <v>-9625</v>
      </c>
      <c r="Y88" t="n">
        <v>40335</v>
      </c>
      <c r="Z88" t="n">
        <v>155944</v>
      </c>
    </row>
    <row r="89">
      <c r="A89" s="10" t="n">
        <v>44652</v>
      </c>
      <c r="B89" t="n">
        <v>17738</v>
      </c>
      <c r="C89" t="n">
        <v>57657</v>
      </c>
      <c r="E89" t="n">
        <v>124560</v>
      </c>
      <c r="N89" t="n">
        <v>2420</v>
      </c>
      <c r="O89" t="n">
        <v>130686</v>
      </c>
      <c r="P89" t="n">
        <v>27183</v>
      </c>
      <c r="Q89" t="n">
        <v>98877</v>
      </c>
      <c r="R89" t="n">
        <v>2178</v>
      </c>
      <c r="S89" t="n">
        <v>28</v>
      </c>
      <c r="T89" t="n">
        <v>322879</v>
      </c>
      <c r="U89" t="n">
        <v>2089</v>
      </c>
      <c r="V89" t="n">
        <v>324968</v>
      </c>
      <c r="W89" t="n">
        <v>72225</v>
      </c>
      <c r="X89" t="n">
        <v>-54036</v>
      </c>
      <c r="Y89" t="n">
        <v>18189</v>
      </c>
      <c r="Z89" t="n">
        <v>209527</v>
      </c>
    </row>
    <row r="90">
      <c r="A90" s="10" t="n">
        <v>44682</v>
      </c>
      <c r="B90" t="n">
        <v>25223</v>
      </c>
      <c r="C90" t="n">
        <v>40545</v>
      </c>
      <c r="E90" t="n">
        <v>130733</v>
      </c>
      <c r="N90" t="n">
        <v>1961</v>
      </c>
      <c r="O90" t="n">
        <v>136215</v>
      </c>
      <c r="P90" t="n">
        <v>35284</v>
      </c>
      <c r="Q90" t="n">
        <v>97657</v>
      </c>
      <c r="R90" t="n">
        <v>1284</v>
      </c>
      <c r="S90" t="n">
        <v>29</v>
      </c>
      <c r="T90" t="n">
        <v>346628</v>
      </c>
      <c r="U90" t="n">
        <v>2160</v>
      </c>
      <c r="V90" t="n">
        <v>348787</v>
      </c>
      <c r="W90" t="n">
        <v>59142</v>
      </c>
      <c r="X90" t="n">
        <v>-38230</v>
      </c>
      <c r="Y90" t="n">
        <v>20912</v>
      </c>
      <c r="Z90" t="n">
        <v>247357</v>
      </c>
    </row>
    <row r="91">
      <c r="A91" s="10" t="n">
        <v>44713</v>
      </c>
      <c r="B91" t="n">
        <v>32118</v>
      </c>
      <c r="C91" t="n">
        <v>51192</v>
      </c>
      <c r="E91" t="n">
        <v>105690</v>
      </c>
      <c r="N91" t="n">
        <v>1987</v>
      </c>
      <c r="O91" t="n">
        <v>137069</v>
      </c>
      <c r="P91" t="n">
        <v>41827</v>
      </c>
      <c r="Q91" t="n">
        <v>92146</v>
      </c>
      <c r="R91" t="n">
        <v>1081</v>
      </c>
      <c r="S91" t="n">
        <v>28</v>
      </c>
      <c r="T91" t="n">
        <v>336323</v>
      </c>
      <c r="U91" t="n">
        <v>2096</v>
      </c>
      <c r="V91" t="n">
        <v>338419</v>
      </c>
      <c r="W91" t="n">
        <v>40677</v>
      </c>
      <c r="X91" t="n">
        <v>-18485</v>
      </c>
      <c r="Y91" t="n">
        <v>22192</v>
      </c>
      <c r="Z91" t="n">
        <v>265711</v>
      </c>
    </row>
    <row r="92">
      <c r="A92" s="10" t="n">
        <v>44743</v>
      </c>
      <c r="B92" t="n">
        <v>33140</v>
      </c>
      <c r="C92" t="n">
        <v>52099</v>
      </c>
      <c r="E92" t="n">
        <v>118542</v>
      </c>
      <c r="N92" t="n">
        <v>1966</v>
      </c>
      <c r="O92" t="n">
        <v>143988</v>
      </c>
      <c r="P92" t="n">
        <v>46335</v>
      </c>
      <c r="Q92" t="n">
        <v>94577</v>
      </c>
      <c r="R92" t="n">
        <v>1080</v>
      </c>
      <c r="S92" t="n">
        <v>29</v>
      </c>
      <c r="T92" t="n">
        <v>349497</v>
      </c>
      <c r="U92" t="n">
        <v>2183</v>
      </c>
      <c r="V92" t="n">
        <v>351681</v>
      </c>
      <c r="W92" t="n">
        <v>35358</v>
      </c>
      <c r="X92" t="n">
        <v>12496</v>
      </c>
      <c r="Y92" t="n">
        <v>47854</v>
      </c>
      <c r="Z92" t="n">
        <v>254091</v>
      </c>
    </row>
    <row r="93">
      <c r="A93" s="10" t="n">
        <v>44774</v>
      </c>
      <c r="B93" t="n">
        <v>33770</v>
      </c>
      <c r="C93" t="n">
        <v>53456</v>
      </c>
      <c r="E93" t="n">
        <v>118672</v>
      </c>
      <c r="N93" t="n">
        <v>2030</v>
      </c>
      <c r="O93" t="n">
        <v>135970</v>
      </c>
      <c r="P93" t="n">
        <v>37147</v>
      </c>
      <c r="Q93" t="n">
        <v>95537</v>
      </c>
      <c r="R93" t="n">
        <v>1226</v>
      </c>
      <c r="S93" t="n">
        <v>29</v>
      </c>
      <c r="T93" t="n">
        <v>357184</v>
      </c>
      <c r="U93" t="n">
        <v>2198</v>
      </c>
      <c r="V93" t="n">
        <v>359381</v>
      </c>
      <c r="W93" t="n">
        <v>31252</v>
      </c>
      <c r="X93" t="n">
        <v>5161</v>
      </c>
      <c r="Y93" t="n">
        <v>36413</v>
      </c>
      <c r="Z93" t="n">
        <v>248644</v>
      </c>
    </row>
    <row r="94">
      <c r="A94" s="10" t="n">
        <v>44805</v>
      </c>
      <c r="B94" t="n">
        <v>38474</v>
      </c>
      <c r="C94" t="n">
        <v>52629</v>
      </c>
      <c r="E94" t="n">
        <v>115637</v>
      </c>
      <c r="N94" t="n">
        <v>2140</v>
      </c>
      <c r="O94" t="n">
        <v>127474</v>
      </c>
      <c r="P94" t="n">
        <v>28427</v>
      </c>
      <c r="Q94" t="n">
        <v>95793</v>
      </c>
      <c r="R94" t="n">
        <v>1086</v>
      </c>
      <c r="S94" t="n">
        <v>28</v>
      </c>
      <c r="T94" t="n">
        <v>353418</v>
      </c>
      <c r="U94" t="n">
        <v>2160</v>
      </c>
      <c r="V94" t="n">
        <v>355577</v>
      </c>
      <c r="W94" t="n">
        <v>49530</v>
      </c>
      <c r="X94" t="n">
        <v>-21002</v>
      </c>
      <c r="Y94" t="n">
        <v>28529</v>
      </c>
      <c r="Z94" t="n">
        <v>270963</v>
      </c>
    </row>
    <row r="95">
      <c r="A95" s="10" t="n">
        <v>44835</v>
      </c>
      <c r="B95" t="n">
        <v>45308</v>
      </c>
      <c r="C95" t="n">
        <v>59549</v>
      </c>
      <c r="E95" t="n">
        <v>130421</v>
      </c>
      <c r="N95" t="n">
        <v>2379</v>
      </c>
      <c r="O95" t="n">
        <v>120764</v>
      </c>
      <c r="P95" t="n">
        <v>24988</v>
      </c>
      <c r="Q95" t="n">
        <v>91647</v>
      </c>
      <c r="R95" t="n">
        <v>1721</v>
      </c>
      <c r="S95" t="n">
        <v>29</v>
      </c>
      <c r="T95" t="n">
        <v>373110</v>
      </c>
      <c r="U95" t="n">
        <v>2228</v>
      </c>
      <c r="V95" t="n">
        <v>375337</v>
      </c>
      <c r="W95" t="n">
        <v>68591</v>
      </c>
      <c r="X95" t="n">
        <v>-50665</v>
      </c>
      <c r="Y95" t="n">
        <v>17927</v>
      </c>
      <c r="Z95" t="n">
        <v>321253</v>
      </c>
    </row>
    <row r="96">
      <c r="A96" s="10" t="n">
        <v>44866</v>
      </c>
      <c r="B96" t="n">
        <v>36129</v>
      </c>
      <c r="C96" t="n">
        <v>57984</v>
      </c>
      <c r="E96" t="n">
        <v>120073</v>
      </c>
      <c r="N96" t="n">
        <v>3285</v>
      </c>
      <c r="O96" t="n">
        <v>130979</v>
      </c>
      <c r="P96" t="n">
        <v>24010</v>
      </c>
      <c r="Q96" t="n">
        <v>100085</v>
      </c>
      <c r="R96" t="n">
        <v>3570</v>
      </c>
      <c r="S96" t="n">
        <v>28</v>
      </c>
      <c r="T96" t="n">
        <v>363945</v>
      </c>
      <c r="U96" t="n">
        <v>2158</v>
      </c>
      <c r="V96" t="n">
        <v>366103</v>
      </c>
      <c r="W96" t="n">
        <v>48228</v>
      </c>
      <c r="X96" t="n">
        <v>-13211</v>
      </c>
      <c r="Y96" t="n">
        <v>35017</v>
      </c>
      <c r="Z96" t="n">
        <v>334846</v>
      </c>
    </row>
    <row r="97">
      <c r="A97" s="10" t="n">
        <v>44896</v>
      </c>
      <c r="B97" t="n">
        <v>37750</v>
      </c>
      <c r="C97" t="n">
        <v>59389</v>
      </c>
      <c r="E97" t="n">
        <v>139166</v>
      </c>
      <c r="N97" t="n">
        <v>3510</v>
      </c>
      <c r="O97" t="n">
        <v>135664</v>
      </c>
      <c r="P97" t="n">
        <v>26306</v>
      </c>
      <c r="Q97" t="n">
        <v>100687</v>
      </c>
      <c r="R97" t="n">
        <v>5132</v>
      </c>
      <c r="S97" t="n">
        <v>29</v>
      </c>
      <c r="T97" t="n">
        <v>368362</v>
      </c>
      <c r="U97" t="n">
        <v>2198</v>
      </c>
      <c r="V97" t="n">
        <v>370560</v>
      </c>
      <c r="W97" t="n">
        <v>37715</v>
      </c>
      <c r="X97" t="n">
        <v>43710</v>
      </c>
      <c r="Y97" t="n">
        <v>81425</v>
      </c>
      <c r="Z97" t="n">
        <v>291450</v>
      </c>
    </row>
    <row r="98">
      <c r="A98" s="10" t="n">
        <v>44927</v>
      </c>
      <c r="B98" t="n">
        <v>42761</v>
      </c>
      <c r="C98" t="n">
        <v>62078</v>
      </c>
      <c r="E98" t="n">
        <v>139242</v>
      </c>
      <c r="F98" t="n">
        <v>741135</v>
      </c>
      <c r="G98" t="n">
        <v>0</v>
      </c>
      <c r="H98" t="n">
        <v>520900</v>
      </c>
      <c r="I98" t="n">
        <v>220235</v>
      </c>
      <c r="J98" t="n">
        <v>0</v>
      </c>
      <c r="K98" t="n">
        <v>455751</v>
      </c>
      <c r="L98" t="n">
        <v>301511</v>
      </c>
      <c r="M98" t="n">
        <v>154240</v>
      </c>
      <c r="N98" t="n">
        <v>3566</v>
      </c>
      <c r="O98" t="n">
        <v>126357</v>
      </c>
      <c r="P98" t="n">
        <v>19183</v>
      </c>
      <c r="Q98" t="n">
        <v>97888</v>
      </c>
      <c r="R98" t="n">
        <v>5696</v>
      </c>
      <c r="S98" t="n">
        <v>24</v>
      </c>
      <c r="T98" t="n">
        <v>372137</v>
      </c>
      <c r="U98" t="n">
        <v>1814</v>
      </c>
      <c r="V98" t="n">
        <v>373951</v>
      </c>
      <c r="W98" t="n">
        <v>40271</v>
      </c>
      <c r="X98" t="n">
        <v>11630</v>
      </c>
      <c r="Y98" t="n">
        <v>51901</v>
      </c>
      <c r="Z98" t="n">
        <v>280044</v>
      </c>
    </row>
    <row r="99">
      <c r="A99" s="10" t="n">
        <v>44958</v>
      </c>
      <c r="B99" t="n">
        <v>44969</v>
      </c>
      <c r="C99" t="n">
        <v>55868</v>
      </c>
      <c r="E99" t="n">
        <v>119455</v>
      </c>
      <c r="N99" t="n">
        <v>2961</v>
      </c>
      <c r="O99" t="n">
        <v>123865</v>
      </c>
      <c r="P99" t="n">
        <v>24893</v>
      </c>
      <c r="Q99" t="n">
        <v>92216</v>
      </c>
      <c r="R99" t="n">
        <v>3773</v>
      </c>
      <c r="S99" t="n">
        <v>22</v>
      </c>
      <c r="T99" t="n">
        <v>347295</v>
      </c>
      <c r="U99" t="n">
        <v>1632</v>
      </c>
      <c r="V99" t="n">
        <v>348928</v>
      </c>
      <c r="W99" t="n">
        <v>30022</v>
      </c>
      <c r="X99" t="n">
        <v>17546</v>
      </c>
      <c r="Y99" t="n">
        <v>47568</v>
      </c>
      <c r="Z99" t="n">
        <v>262774</v>
      </c>
    </row>
    <row r="100">
      <c r="A100" s="10" t="n">
        <v>44986</v>
      </c>
      <c r="B100" t="n">
        <v>38135</v>
      </c>
      <c r="C100" t="n">
        <v>61874</v>
      </c>
      <c r="E100" t="n">
        <v>130970</v>
      </c>
      <c r="N100" t="n">
        <v>2903</v>
      </c>
      <c r="O100" t="n">
        <v>134168</v>
      </c>
      <c r="P100" t="n">
        <v>27518</v>
      </c>
      <c r="Q100" t="n">
        <v>100472</v>
      </c>
      <c r="R100" t="n">
        <v>3250</v>
      </c>
      <c r="S100" t="n">
        <v>24</v>
      </c>
      <c r="T100" t="n">
        <v>372024</v>
      </c>
      <c r="U100" t="n">
        <v>1833</v>
      </c>
      <c r="V100" t="n">
        <v>373857</v>
      </c>
      <c r="W100" t="n">
        <v>42549</v>
      </c>
      <c r="X100" t="n">
        <v>2255</v>
      </c>
      <c r="Y100" t="n">
        <v>44804</v>
      </c>
      <c r="Z100" t="n">
        <v>260967</v>
      </c>
    </row>
    <row r="101">
      <c r="A101" s="10" t="n">
        <v>45017</v>
      </c>
      <c r="B101" t="n">
        <v>39668</v>
      </c>
      <c r="C101" t="n">
        <v>54825</v>
      </c>
      <c r="E101" t="n">
        <v>136989</v>
      </c>
      <c r="N101" t="n">
        <v>2398</v>
      </c>
      <c r="O101" t="n">
        <v>128796</v>
      </c>
      <c r="P101" t="n">
        <v>26890</v>
      </c>
      <c r="Q101" t="n">
        <v>97812</v>
      </c>
      <c r="R101" t="n">
        <v>1672</v>
      </c>
      <c r="S101" t="n">
        <v>23</v>
      </c>
      <c r="T101" t="n">
        <v>362675</v>
      </c>
      <c r="U101" t="n">
        <v>1759</v>
      </c>
      <c r="V101" t="n">
        <v>364434</v>
      </c>
      <c r="W101" t="n">
        <v>42315</v>
      </c>
      <c r="X101" t="n">
        <v>-8275</v>
      </c>
      <c r="Y101" t="n">
        <v>34040</v>
      </c>
      <c r="Z101" t="n">
        <v>269507</v>
      </c>
    </row>
    <row r="102">
      <c r="A102" s="10" t="n">
        <v>45047</v>
      </c>
      <c r="B102" t="n">
        <v>41844</v>
      </c>
      <c r="C102" t="n">
        <v>38893</v>
      </c>
      <c r="E102" t="n">
        <v>126154</v>
      </c>
      <c r="N102" t="n">
        <v>2183</v>
      </c>
      <c r="O102" t="n">
        <v>134788</v>
      </c>
      <c r="P102" t="n">
        <v>34818</v>
      </c>
      <c r="Q102" t="n">
        <v>96362</v>
      </c>
      <c r="R102" t="n">
        <v>1401</v>
      </c>
      <c r="S102" t="n">
        <v>24</v>
      </c>
      <c r="T102" t="n">
        <v>387104</v>
      </c>
      <c r="U102" t="n">
        <v>1833</v>
      </c>
      <c r="V102" t="n">
        <v>388937</v>
      </c>
      <c r="W102" t="n">
        <v>58084</v>
      </c>
      <c r="X102" t="n">
        <v>-30838</v>
      </c>
      <c r="Y102" t="n">
        <v>27246</v>
      </c>
      <c r="Z102" t="n">
        <v>287173</v>
      </c>
    </row>
    <row r="103">
      <c r="A103" s="10" t="n">
        <v>45078</v>
      </c>
      <c r="B103" t="n">
        <v>29856</v>
      </c>
      <c r="C103" t="n">
        <v>52181</v>
      </c>
      <c r="E103" t="n">
        <v>83744</v>
      </c>
      <c r="N103" t="n">
        <v>1819</v>
      </c>
      <c r="O103" t="n">
        <v>136454</v>
      </c>
      <c r="P103" t="n">
        <v>40344</v>
      </c>
      <c r="Q103" t="n">
        <v>93136</v>
      </c>
      <c r="R103" t="n">
        <v>1132</v>
      </c>
      <c r="S103" t="n">
        <v>23</v>
      </c>
      <c r="T103" t="n">
        <v>351110</v>
      </c>
      <c r="U103" t="n">
        <v>1753</v>
      </c>
      <c r="V103" t="n">
        <v>352863</v>
      </c>
      <c r="W103" t="n">
        <v>45796</v>
      </c>
      <c r="X103" t="n">
        <v>-14060</v>
      </c>
      <c r="Y103" t="n">
        <v>31736</v>
      </c>
      <c r="Z103" t="n">
        <v>301097</v>
      </c>
    </row>
    <row r="104">
      <c r="A104" s="10" t="n">
        <v>45108</v>
      </c>
      <c r="B104" t="n">
        <v>38728</v>
      </c>
      <c r="C104" t="n">
        <v>49802</v>
      </c>
      <c r="E104" t="n">
        <v>113328</v>
      </c>
      <c r="N104" t="n">
        <v>1825</v>
      </c>
      <c r="O104" t="n">
        <v>140641</v>
      </c>
      <c r="P104" t="n">
        <v>40984</v>
      </c>
      <c r="Q104" t="n">
        <v>96659</v>
      </c>
      <c r="R104" t="n">
        <v>1149</v>
      </c>
      <c r="S104" t="n">
        <v>24</v>
      </c>
      <c r="T104" t="n">
        <v>367499</v>
      </c>
      <c r="U104" t="n">
        <v>1825</v>
      </c>
      <c r="V104" t="n">
        <v>369324</v>
      </c>
      <c r="W104" t="n">
        <v>32965</v>
      </c>
      <c r="X104" t="n">
        <v>10465</v>
      </c>
      <c r="Y104" t="n">
        <v>43430</v>
      </c>
      <c r="Z104" t="n">
        <v>290068</v>
      </c>
    </row>
    <row r="105">
      <c r="A105" s="10" t="n">
        <v>45139</v>
      </c>
      <c r="B105" t="n">
        <v>35660</v>
      </c>
      <c r="C105" t="n">
        <v>50072</v>
      </c>
      <c r="E105" t="n">
        <v>118486</v>
      </c>
      <c r="N105" t="n">
        <v>1858</v>
      </c>
      <c r="O105" t="n">
        <v>143329</v>
      </c>
      <c r="P105" t="n">
        <v>44820</v>
      </c>
      <c r="Q105" t="n">
        <v>95592</v>
      </c>
      <c r="R105" t="n">
        <v>1035</v>
      </c>
      <c r="S105" t="n">
        <v>24</v>
      </c>
      <c r="T105" t="n">
        <v>368904</v>
      </c>
      <c r="U105" t="n">
        <v>1836</v>
      </c>
      <c r="V105" t="n">
        <v>370740</v>
      </c>
      <c r="W105" t="n">
        <v>30271</v>
      </c>
      <c r="X105" t="n">
        <v>21907</v>
      </c>
      <c r="Y105" t="n">
        <v>52178</v>
      </c>
      <c r="Z105" t="n">
        <v>268227</v>
      </c>
    </row>
    <row r="106">
      <c r="A106" s="10" t="n">
        <v>45170</v>
      </c>
      <c r="B106" t="n">
        <v>38997</v>
      </c>
      <c r="C106" t="n">
        <v>49361</v>
      </c>
      <c r="E106" t="n">
        <v>115400</v>
      </c>
      <c r="N106" t="n">
        <v>1892</v>
      </c>
      <c r="O106" t="n">
        <v>131098</v>
      </c>
      <c r="P106" t="n">
        <v>33447</v>
      </c>
      <c r="Q106" t="n">
        <v>94683</v>
      </c>
      <c r="R106" t="n">
        <v>1052</v>
      </c>
      <c r="S106" t="n">
        <v>23</v>
      </c>
      <c r="T106" t="n">
        <v>354458</v>
      </c>
      <c r="U106" t="n">
        <v>1781</v>
      </c>
      <c r="V106" t="n">
        <v>356239</v>
      </c>
      <c r="W106" t="n">
        <v>45505</v>
      </c>
      <c r="X106" t="n">
        <v>-16912</v>
      </c>
      <c r="Y106" t="n">
        <v>28593</v>
      </c>
      <c r="Z106" t="n">
        <v>284654</v>
      </c>
    </row>
    <row r="107">
      <c r="A107" s="10" t="n">
        <v>45200</v>
      </c>
      <c r="B107" t="n">
        <v>47860</v>
      </c>
      <c r="C107" t="n">
        <v>59543</v>
      </c>
      <c r="E107" t="n">
        <v>132427</v>
      </c>
      <c r="N107" t="n">
        <v>2186</v>
      </c>
      <c r="O107" t="n">
        <v>135037</v>
      </c>
      <c r="P107" t="n">
        <v>29122</v>
      </c>
      <c r="Q107" t="n">
        <v>102368</v>
      </c>
      <c r="R107" t="n">
        <v>1337</v>
      </c>
      <c r="S107" t="n">
        <v>24</v>
      </c>
      <c r="T107" t="n">
        <v>361448</v>
      </c>
      <c r="U107" t="n">
        <v>1842</v>
      </c>
      <c r="V107" t="n">
        <v>363290</v>
      </c>
      <c r="W107" t="n">
        <v>57906</v>
      </c>
      <c r="X107" t="n">
        <v>-37579</v>
      </c>
      <c r="Y107" t="n">
        <v>20328</v>
      </c>
      <c r="Z107" t="n">
        <v>322430</v>
      </c>
    </row>
    <row r="108">
      <c r="A108" s="10" t="n">
        <v>45231</v>
      </c>
      <c r="B108" t="n">
        <v>46509</v>
      </c>
      <c r="C108" t="n">
        <v>55662</v>
      </c>
      <c r="E108" t="n">
        <v>130427</v>
      </c>
      <c r="N108" t="n">
        <v>2958</v>
      </c>
      <c r="O108" t="n">
        <v>136393</v>
      </c>
      <c r="P108" t="n">
        <v>30709</v>
      </c>
      <c r="Q108" t="n">
        <v>99733</v>
      </c>
      <c r="R108" t="n">
        <v>2970</v>
      </c>
      <c r="S108" t="n">
        <v>23</v>
      </c>
      <c r="T108" t="n">
        <v>344417</v>
      </c>
      <c r="U108" t="n">
        <v>1810</v>
      </c>
      <c r="V108" t="n">
        <v>346227</v>
      </c>
      <c r="W108" t="n">
        <v>42237</v>
      </c>
      <c r="X108" t="n">
        <v>-14049</v>
      </c>
      <c r="Y108" t="n">
        <v>28188</v>
      </c>
      <c r="Z108" t="n">
        <v>334745</v>
      </c>
    </row>
    <row r="109">
      <c r="A109" s="10" t="n">
        <v>45261</v>
      </c>
      <c r="B109" t="n">
        <v>45150</v>
      </c>
      <c r="C109" t="n">
        <v>66379</v>
      </c>
      <c r="E109" t="n">
        <v>141519</v>
      </c>
      <c r="N109" t="n">
        <v>3571</v>
      </c>
      <c r="O109" t="n">
        <v>144658</v>
      </c>
      <c r="P109" t="n">
        <v>25837</v>
      </c>
      <c r="Q109" t="n">
        <v>110199</v>
      </c>
      <c r="R109" t="n">
        <v>5028</v>
      </c>
      <c r="S109" t="n">
        <v>24</v>
      </c>
      <c r="T109" t="n">
        <v>342008</v>
      </c>
      <c r="U109" t="n">
        <v>1873</v>
      </c>
      <c r="V109" t="n">
        <v>343880</v>
      </c>
      <c r="W109" t="n">
        <v>35080</v>
      </c>
      <c r="X109" t="n">
        <v>7844</v>
      </c>
      <c r="Y109" t="n">
        <v>42925</v>
      </c>
      <c r="Z109" t="n">
        <v>326362</v>
      </c>
    </row>
    <row r="110">
      <c r="A110" s="10" t="n">
        <v>45292</v>
      </c>
      <c r="B110" t="n">
        <v>50810</v>
      </c>
      <c r="C110" t="n">
        <v>61930</v>
      </c>
      <c r="E110" t="n">
        <v>137771</v>
      </c>
      <c r="F110" t="n">
        <v>742784</v>
      </c>
      <c r="G110" t="n">
        <v>0</v>
      </c>
      <c r="H110" t="n">
        <v>520900</v>
      </c>
      <c r="I110" t="n">
        <v>221884</v>
      </c>
      <c r="J110" t="n">
        <v>0</v>
      </c>
      <c r="K110" t="n">
        <v>429788</v>
      </c>
      <c r="L110" t="n">
        <v>287971</v>
      </c>
      <c r="M110" t="n">
        <v>141817</v>
      </c>
      <c r="N110" t="n">
        <v>3958</v>
      </c>
      <c r="O110" t="n">
        <v>142796</v>
      </c>
      <c r="P110" t="n">
        <v>32630</v>
      </c>
      <c r="Q110" t="n">
        <v>97871</v>
      </c>
      <c r="R110" t="n">
        <v>8314</v>
      </c>
      <c r="S110" t="n">
        <v>23</v>
      </c>
      <c r="T110" t="n">
        <v>338459</v>
      </c>
      <c r="U110" t="n">
        <v>1350</v>
      </c>
      <c r="V110" t="n">
        <v>339809</v>
      </c>
      <c r="W110" t="n">
        <v>28662</v>
      </c>
      <c r="X110" t="n">
        <v>82545</v>
      </c>
      <c r="Y110" t="n">
        <v>111207</v>
      </c>
      <c r="Z110" t="n">
        <v>243939</v>
      </c>
    </row>
    <row r="111">
      <c r="A111" s="10" t="n">
        <v>45323</v>
      </c>
      <c r="B111" t="n">
        <v>44349</v>
      </c>
      <c r="C111" t="n">
        <v>59314</v>
      </c>
      <c r="E111" t="n">
        <v>128285</v>
      </c>
      <c r="N111" t="n">
        <v>3052</v>
      </c>
      <c r="O111" t="n">
        <v>113704</v>
      </c>
      <c r="P111" t="n">
        <v>21809</v>
      </c>
      <c r="Q111" t="n">
        <v>84477</v>
      </c>
      <c r="R111" t="n">
        <v>4345</v>
      </c>
      <c r="S111" t="n">
        <v>21</v>
      </c>
      <c r="T111" t="n">
        <v>328363</v>
      </c>
      <c r="U111" t="n">
        <v>1297</v>
      </c>
      <c r="V111" t="n">
        <v>329661</v>
      </c>
      <c r="W111" t="n">
        <v>45807</v>
      </c>
      <c r="X111" t="n">
        <v>-14817</v>
      </c>
      <c r="Y111" t="n">
        <v>30990</v>
      </c>
      <c r="Z111" t="n">
        <v>258723</v>
      </c>
    </row>
    <row r="112">
      <c r="A112" s="10" t="n">
        <v>45352</v>
      </c>
      <c r="B112" t="n">
        <v>47063</v>
      </c>
      <c r="C112" t="n">
        <v>58931</v>
      </c>
      <c r="E112" t="n">
        <v>138259</v>
      </c>
      <c r="N112" t="n">
        <v>2516</v>
      </c>
      <c r="O112" t="n">
        <v>128844</v>
      </c>
      <c r="P112" t="n">
        <v>28069</v>
      </c>
      <c r="Q112" t="n">
        <v>95313</v>
      </c>
      <c r="R112" t="n">
        <v>2923</v>
      </c>
      <c r="S112" t="n">
        <v>23</v>
      </c>
      <c r="T112" t="n">
        <v>331136</v>
      </c>
      <c r="U112" t="n">
        <v>1357</v>
      </c>
      <c r="V112" t="n">
        <v>332493</v>
      </c>
      <c r="W112" t="n">
        <v>52039</v>
      </c>
      <c r="X112" t="n">
        <v>-18506</v>
      </c>
      <c r="Y112" t="n">
        <v>33534</v>
      </c>
      <c r="Z112" t="n">
        <v>276636</v>
      </c>
    </row>
    <row r="113">
      <c r="A113" s="10" t="n">
        <v>45383</v>
      </c>
      <c r="B113" t="n">
        <v>38095</v>
      </c>
      <c r="C113" t="n">
        <v>53559</v>
      </c>
      <c r="E113" t="n">
        <v>119718</v>
      </c>
      <c r="N113" t="n">
        <v>2172</v>
      </c>
      <c r="O113" t="n">
        <v>133549</v>
      </c>
      <c r="P113" t="n">
        <v>29454</v>
      </c>
      <c r="Q113" t="n">
        <v>100365</v>
      </c>
      <c r="R113" t="n">
        <v>1536</v>
      </c>
      <c r="S113" t="n">
        <v>22</v>
      </c>
      <c r="T113" t="n">
        <v>299839</v>
      </c>
      <c r="U113" t="n">
        <v>1301</v>
      </c>
      <c r="V113" t="n">
        <v>301140</v>
      </c>
      <c r="W113" t="n">
        <v>49215</v>
      </c>
      <c r="X113" t="n">
        <v>-19052</v>
      </c>
      <c r="Y113" t="n">
        <v>30163</v>
      </c>
      <c r="Z113" t="n">
        <v>295937</v>
      </c>
    </row>
    <row r="114">
      <c r="A114" s="10" t="n">
        <v>45413</v>
      </c>
      <c r="B114" t="n">
        <v>44911</v>
      </c>
      <c r="C114" t="n">
        <v>43444</v>
      </c>
      <c r="E114" t="n">
        <v>131501</v>
      </c>
      <c r="N114" t="n">
        <v>2037</v>
      </c>
      <c r="O114" t="n">
        <v>142564</v>
      </c>
      <c r="P114" t="n">
        <v>38106</v>
      </c>
      <c r="Q114" t="n">
        <v>101089</v>
      </c>
      <c r="R114" t="n">
        <v>1309</v>
      </c>
      <c r="S114" t="n">
        <v>23</v>
      </c>
      <c r="T114" t="n">
        <v>293042</v>
      </c>
      <c r="U114" t="n">
        <v>1346</v>
      </c>
      <c r="V114" t="n">
        <v>294388</v>
      </c>
      <c r="W114" t="n">
        <v>45697</v>
      </c>
      <c r="X114" t="n">
        <v>-17744</v>
      </c>
      <c r="Y114" t="n">
        <v>27954</v>
      </c>
      <c r="Z114" t="n">
        <v>313379</v>
      </c>
    </row>
    <row r="115">
      <c r="A115" s="10" t="n">
        <v>45444</v>
      </c>
      <c r="B115" t="n">
        <v>41805</v>
      </c>
      <c r="C115" t="n">
        <v>50901</v>
      </c>
      <c r="E115" t="n">
        <v>108544</v>
      </c>
      <c r="N115" t="n">
        <v>1970</v>
      </c>
      <c r="O115" t="n">
        <v>141829</v>
      </c>
      <c r="P115" t="n">
        <v>39784</v>
      </c>
      <c r="Q115" t="n">
        <v>98770</v>
      </c>
      <c r="R115" t="n">
        <v>1282</v>
      </c>
      <c r="S115" t="n">
        <v>22</v>
      </c>
      <c r="T115" t="n">
        <v>281810</v>
      </c>
      <c r="U115" t="n">
        <v>1319</v>
      </c>
      <c r="V115" t="n">
        <v>283128</v>
      </c>
      <c r="W115" t="n">
        <v>40542</v>
      </c>
      <c r="X115" t="n">
        <v>-8405</v>
      </c>
      <c r="Y115" t="n">
        <v>32137</v>
      </c>
      <c r="Z115" t="n">
        <v>321908</v>
      </c>
    </row>
    <row r="116">
      <c r="A116" s="10" t="n">
        <v>45474</v>
      </c>
      <c r="B116" t="n">
        <v>39271</v>
      </c>
      <c r="C116" t="n">
        <v>51606</v>
      </c>
      <c r="E116" t="n">
        <v>119812</v>
      </c>
      <c r="N116" t="n">
        <v>1874</v>
      </c>
      <c r="O116" t="n">
        <v>151361</v>
      </c>
      <c r="P116" t="n">
        <v>43868</v>
      </c>
      <c r="Q116" t="n">
        <v>104410</v>
      </c>
      <c r="R116" t="n">
        <v>1187</v>
      </c>
      <c r="S116" t="n">
        <v>23</v>
      </c>
      <c r="T116" t="n">
        <v>305553</v>
      </c>
      <c r="U116" t="n">
        <v>1380</v>
      </c>
      <c r="V116" t="n">
        <v>306933</v>
      </c>
      <c r="W116" t="n">
        <v>32174</v>
      </c>
      <c r="X116" t="n">
        <v>1247</v>
      </c>
      <c r="Y116" t="n">
        <v>33421</v>
      </c>
      <c r="Z116" t="n">
        <v>320542</v>
      </c>
    </row>
    <row r="117">
      <c r="A117" s="10" t="n">
        <v>45505</v>
      </c>
      <c r="B117" t="n">
        <v>32683</v>
      </c>
      <c r="C117" t="n">
        <v>52029</v>
      </c>
      <c r="E117" t="n">
        <v>118420</v>
      </c>
      <c r="N117" t="n">
        <v>1857</v>
      </c>
      <c r="O117" t="n">
        <v>153276</v>
      </c>
      <c r="P117" t="n">
        <v>45977</v>
      </c>
      <c r="Q117" t="n">
        <v>104262</v>
      </c>
      <c r="R117" t="n">
        <v>1157</v>
      </c>
      <c r="S117" t="n">
        <v>23</v>
      </c>
      <c r="T117" t="n">
        <v>299507</v>
      </c>
      <c r="U117" t="n">
        <v>1367</v>
      </c>
      <c r="V117" t="n">
        <v>300874</v>
      </c>
      <c r="W117" t="n">
        <v>27465</v>
      </c>
      <c r="X117" t="n">
        <v>14343</v>
      </c>
      <c r="Y117" t="n">
        <v>41808</v>
      </c>
      <c r="Z117" t="n">
        <v>306521</v>
      </c>
    </row>
    <row r="118">
      <c r="A118" s="10" t="n">
        <v>45536</v>
      </c>
      <c r="B118" t="n">
        <v>34908</v>
      </c>
      <c r="C118" t="n">
        <v>51894</v>
      </c>
      <c r="E118" t="n">
        <v>121139</v>
      </c>
      <c r="N118" t="n">
        <v>2039</v>
      </c>
      <c r="O118" t="n">
        <v>131443</v>
      </c>
      <c r="P118" t="n">
        <v>33171</v>
      </c>
      <c r="Q118" t="n">
        <v>94828</v>
      </c>
      <c r="R118" t="n">
        <v>1383</v>
      </c>
      <c r="S118" t="n">
        <v>22</v>
      </c>
      <c r="T118" t="n">
        <v>274893</v>
      </c>
      <c r="U118" t="n">
        <v>1314</v>
      </c>
      <c r="V118" t="n">
        <v>276207</v>
      </c>
      <c r="W118" t="n">
        <v>39785</v>
      </c>
      <c r="X118" t="n">
        <v>-10577</v>
      </c>
      <c r="Y118" t="n">
        <v>29208</v>
      </c>
      <c r="Z118" t="n">
        <v>309556</v>
      </c>
    </row>
    <row r="119">
      <c r="A119" s="10" t="n">
        <v>45566</v>
      </c>
      <c r="B119" t="n">
        <v>38557</v>
      </c>
      <c r="C119" t="n">
        <v>53660</v>
      </c>
      <c r="E119" t="n">
        <v>128921</v>
      </c>
      <c r="N119" t="n">
        <v>2287</v>
      </c>
      <c r="O119" t="n">
        <v>135454</v>
      </c>
      <c r="P119" t="n">
        <v>32545</v>
      </c>
      <c r="Q119" t="n">
        <v>99086</v>
      </c>
      <c r="R119" t="n">
        <v>1514</v>
      </c>
      <c r="S119" t="n">
        <v>23</v>
      </c>
      <c r="T119" t="n">
        <v>286469</v>
      </c>
      <c r="U119" t="n">
        <v>1376</v>
      </c>
      <c r="V119" t="n">
        <v>287846</v>
      </c>
      <c r="W119" t="n">
        <v>53942</v>
      </c>
      <c r="X119" t="n">
        <v>-38082</v>
      </c>
      <c r="Y119" t="n">
        <v>15860</v>
      </c>
      <c r="Z119" t="n">
        <v>346891</v>
      </c>
    </row>
    <row r="120">
      <c r="A120" s="10" t="n">
        <v>45597</v>
      </c>
      <c r="B120" t="n">
        <v>39052</v>
      </c>
      <c r="C120" t="n">
        <v>60071</v>
      </c>
      <c r="E120" t="n">
        <v>126862</v>
      </c>
      <c r="N120" t="n">
        <v>2446</v>
      </c>
      <c r="O120" t="n">
        <v>133665</v>
      </c>
      <c r="P120" t="n">
        <v>30875</v>
      </c>
      <c r="Q120" t="n">
        <v>98111</v>
      </c>
      <c r="R120" t="n">
        <v>2210</v>
      </c>
      <c r="S120" t="n">
        <v>22</v>
      </c>
      <c r="T120" t="n">
        <v>274942</v>
      </c>
      <c r="U120" t="n">
        <v>1332</v>
      </c>
      <c r="V120" t="n">
        <v>276274</v>
      </c>
      <c r="W120" t="n">
        <v>37791</v>
      </c>
      <c r="X120" t="n">
        <v>-11626</v>
      </c>
      <c r="Y120" t="n">
        <v>26166</v>
      </c>
      <c r="Z120" t="n">
        <v>358887</v>
      </c>
    </row>
    <row r="121">
      <c r="A121" s="10" t="n">
        <v>45627</v>
      </c>
      <c r="B121" t="n">
        <v>39115</v>
      </c>
      <c r="C121" t="n">
        <v>65160</v>
      </c>
      <c r="D121" t="n">
        <v>3649</v>
      </c>
      <c r="E121" t="n">
        <v>133012</v>
      </c>
      <c r="N121" t="n">
        <v>3037</v>
      </c>
      <c r="O121" t="n">
        <v>144126</v>
      </c>
      <c r="P121" t="n">
        <v>27555</v>
      </c>
      <c r="Q121" t="n">
        <v>108963</v>
      </c>
      <c r="R121" t="n">
        <v>4549</v>
      </c>
      <c r="S121" t="n">
        <v>23</v>
      </c>
      <c r="T121" t="n">
        <v>284057</v>
      </c>
      <c r="U121" t="n">
        <v>1402</v>
      </c>
      <c r="V121" t="n">
        <v>285459</v>
      </c>
      <c r="W121" t="n">
        <v>33186</v>
      </c>
      <c r="X121" t="n">
        <v>19548</v>
      </c>
      <c r="Y121" t="n">
        <v>52733</v>
      </c>
      <c r="Z121" t="n">
        <v>339264</v>
      </c>
    </row>
    <row r="122">
      <c r="A122" s="10" t="n">
        <v>45658</v>
      </c>
      <c r="B122" t="n">
        <v>39158</v>
      </c>
      <c r="C122" t="n">
        <v>62371</v>
      </c>
      <c r="D122" t="n">
        <v>21491</v>
      </c>
      <c r="E122" t="n">
        <v>138008</v>
      </c>
      <c r="N122" t="n">
        <v>4570</v>
      </c>
      <c r="O122" t="n">
        <v>151133</v>
      </c>
      <c r="P122" t="n">
        <v>29452</v>
      </c>
      <c r="Q122" t="n">
        <v>108524</v>
      </c>
      <c r="R122" t="n">
        <v>8567</v>
      </c>
      <c r="S122" t="n">
        <v>19</v>
      </c>
      <c r="V122" t="n">
        <v>285089</v>
      </c>
      <c r="W122" t="n">
        <v>19683</v>
      </c>
      <c r="X122" t="n">
        <v>109427</v>
      </c>
      <c r="Y122" t="n">
        <v>129110</v>
      </c>
      <c r="Z122" t="n">
        <v>227377</v>
      </c>
    </row>
    <row r="123">
      <c r="A123" s="10" t="n">
        <v>45689</v>
      </c>
      <c r="B123" t="n">
        <v>36605</v>
      </c>
      <c r="C123" t="n">
        <v>60182</v>
      </c>
      <c r="D123" t="n">
        <v>31610</v>
      </c>
      <c r="E123" t="n">
        <v>117492</v>
      </c>
      <c r="N123" t="n">
        <v>3191</v>
      </c>
      <c r="O123" t="n">
        <v>127389</v>
      </c>
      <c r="P123" t="n">
        <v>25132</v>
      </c>
      <c r="Q123" t="n">
        <v>93596</v>
      </c>
      <c r="R123" t="n">
        <v>5453</v>
      </c>
      <c r="S123" t="n">
        <v>17</v>
      </c>
      <c r="V123" t="n">
        <v>264266</v>
      </c>
      <c r="W123" t="n">
        <v>26742</v>
      </c>
      <c r="X123" t="n">
        <v>67179</v>
      </c>
      <c r="Y123" t="n">
        <v>93922</v>
      </c>
      <c r="Z123" t="n">
        <v>160970</v>
      </c>
    </row>
    <row r="124">
      <c r="A124" s="10" t="n">
        <v>45717</v>
      </c>
      <c r="B124" t="n">
        <v>46233</v>
      </c>
      <c r="C124" t="n">
        <v>59910</v>
      </c>
      <c r="D124" t="n">
        <v>49380</v>
      </c>
      <c r="E124" t="n">
        <v>137017</v>
      </c>
      <c r="N124" t="n">
        <v>2610</v>
      </c>
      <c r="O124" t="n">
        <v>129889</v>
      </c>
      <c r="P124" t="n">
        <v>23619</v>
      </c>
      <c r="Q124" t="n">
        <v>100397</v>
      </c>
      <c r="R124" t="n">
        <v>3245</v>
      </c>
      <c r="S124" t="n">
        <v>19</v>
      </c>
      <c r="V124" t="n">
        <v>341453</v>
      </c>
      <c r="W124" t="n">
        <v>62070</v>
      </c>
      <c r="X124" t="n">
        <v>-35040</v>
      </c>
      <c r="Y124" t="n">
        <v>27030</v>
      </c>
      <c r="Z124" t="n">
        <v>194936</v>
      </c>
    </row>
    <row r="125">
      <c r="A125" s="10" t="n">
        <v>45748</v>
      </c>
      <c r="B125" t="n">
        <v>46067</v>
      </c>
      <c r="C125" t="n">
        <v>60419</v>
      </c>
      <c r="D125" t="n">
        <v>53479</v>
      </c>
      <c r="E125" t="n">
        <v>127445</v>
      </c>
      <c r="N125" t="n">
        <v>2139</v>
      </c>
      <c r="O125" t="n">
        <v>128120</v>
      </c>
      <c r="P125" t="n">
        <v>26481</v>
      </c>
      <c r="Q125" t="n">
        <v>97965</v>
      </c>
      <c r="R125" t="n">
        <v>1516</v>
      </c>
      <c r="S125" t="n">
        <v>18</v>
      </c>
      <c r="V125" t="n">
        <v>317882</v>
      </c>
      <c r="W125" t="n">
        <v>63858</v>
      </c>
      <c r="X125" t="n">
        <v>-37557</v>
      </c>
      <c r="Y125" t="n">
        <v>26302</v>
      </c>
      <c r="Z125" t="n">
        <v>233107</v>
      </c>
    </row>
    <row r="126">
      <c r="A126" s="10" t="n">
        <v>45778</v>
      </c>
      <c r="B126" t="n">
        <v>46927</v>
      </c>
      <c r="C126" t="n">
        <v>41018</v>
      </c>
      <c r="D126" t="n">
        <v>60148</v>
      </c>
      <c r="E126" t="n">
        <v>124842</v>
      </c>
      <c r="N126" t="n">
        <v>2032</v>
      </c>
      <c r="O126" t="n">
        <v>140946</v>
      </c>
      <c r="P126" t="n">
        <v>33094</v>
      </c>
      <c r="Q126" t="n">
        <v>104423</v>
      </c>
      <c r="R126" t="n">
        <v>1379</v>
      </c>
      <c r="S126" t="n">
        <v>19</v>
      </c>
      <c r="V126" t="n">
        <v>335827</v>
      </c>
      <c r="W126" t="n">
        <v>64416</v>
      </c>
      <c r="X126" t="n">
        <v>-48632</v>
      </c>
      <c r="Y126" t="n">
        <v>15784</v>
      </c>
      <c r="Z126" t="n">
        <v>281128</v>
      </c>
    </row>
    <row r="127">
      <c r="A127" s="10" t="n">
        <v>45809</v>
      </c>
      <c r="B127" t="n">
        <v>43069</v>
      </c>
      <c r="C127" t="n">
        <v>46156</v>
      </c>
      <c r="D127" t="n">
        <v>67329</v>
      </c>
      <c r="E127" t="n">
        <v>84885</v>
      </c>
      <c r="N127" t="n">
        <v>1908</v>
      </c>
      <c r="O127" t="n">
        <v>138650</v>
      </c>
      <c r="P127" t="n">
        <v>37380</v>
      </c>
      <c r="Q127" t="n">
        <v>98144</v>
      </c>
      <c r="R127" t="n">
        <v>1199</v>
      </c>
      <c r="S127" t="n">
        <v>18</v>
      </c>
      <c r="V127" t="n">
        <v>300451</v>
      </c>
      <c r="W127" t="n">
        <v>48130</v>
      </c>
      <c r="X127" t="n">
        <v>-23584</v>
      </c>
      <c r="Y127" t="n">
        <v>24546</v>
      </c>
      <c r="Z127" t="n">
        <v>305182</v>
      </c>
    </row>
    <row r="128">
      <c r="A128" s="10" t="n">
        <v>45839</v>
      </c>
      <c r="B128" t="n">
        <v>43266</v>
      </c>
      <c r="C128" t="n">
        <v>54330</v>
      </c>
      <c r="D128" t="n">
        <v>69965</v>
      </c>
      <c r="E128" t="n">
        <v>114769</v>
      </c>
      <c r="N128" t="n">
        <v>1616</v>
      </c>
      <c r="O128" t="n">
        <v>149688</v>
      </c>
      <c r="P128" t="n">
        <v>41337</v>
      </c>
      <c r="Q128" t="n">
        <v>105702</v>
      </c>
      <c r="R128" t="n">
        <v>1014</v>
      </c>
      <c r="S128" t="n">
        <v>19</v>
      </c>
      <c r="V128" t="n">
        <v>323586</v>
      </c>
      <c r="W128" t="n">
        <v>39484</v>
      </c>
      <c r="X128" t="n">
        <v>-3317</v>
      </c>
      <c r="Y128" t="n">
        <v>36167</v>
      </c>
      <c r="Z128" t="n">
        <v>308253</v>
      </c>
    </row>
    <row r="129">
      <c r="A129" s="10" t="n">
        <v>45870</v>
      </c>
      <c r="B129" t="n">
        <v>42904</v>
      </c>
      <c r="C129" t="n">
        <v>55049</v>
      </c>
      <c r="D129" t="n">
        <v>78451</v>
      </c>
      <c r="E129" t="n">
        <v>118174</v>
      </c>
      <c r="N129" t="n">
        <v>1408</v>
      </c>
      <c r="O129" t="n">
        <v>146590</v>
      </c>
      <c r="P129" t="n">
        <v>39696</v>
      </c>
      <c r="Q129" t="n">
        <v>104524</v>
      </c>
      <c r="R129" t="n">
        <v>944</v>
      </c>
      <c r="S129" t="n">
        <v>19</v>
      </c>
      <c r="V129" t="n">
        <v>335534</v>
      </c>
      <c r="W129" t="n">
        <v>33800</v>
      </c>
      <c r="X129" t="n">
        <v>-2261</v>
      </c>
      <c r="Y129" t="n">
        <v>31539</v>
      </c>
      <c r="Z129" t="n">
        <v>309658</v>
      </c>
    </row>
    <row r="130">
      <c r="A130" s="10" t="n">
        <v>45901</v>
      </c>
      <c r="B130" t="n">
        <v>43103</v>
      </c>
      <c r="C130" t="n">
        <v>55377</v>
      </c>
      <c r="D130" t="n">
        <v>78594</v>
      </c>
      <c r="E130" t="n">
        <v>116188</v>
      </c>
      <c r="N130" t="n">
        <v>1552</v>
      </c>
      <c r="O130" t="n">
        <v>141133</v>
      </c>
      <c r="P130" t="n">
        <v>36910</v>
      </c>
      <c r="Q130" t="n">
        <v>101710</v>
      </c>
      <c r="R130" t="n">
        <v>943</v>
      </c>
      <c r="S130" t="n">
        <v>18</v>
      </c>
      <c r="V130" t="n">
        <v>311131</v>
      </c>
      <c r="W130" t="n">
        <v>32779</v>
      </c>
      <c r="X130" t="n">
        <v>-2034</v>
      </c>
      <c r="Y130" t="n">
        <v>30745</v>
      </c>
      <c r="Z130" t="n">
        <v>311091</v>
      </c>
    </row>
    <row r="131">
      <c r="A131" s="10" t="n">
        <v>45931</v>
      </c>
      <c r="B131" t="n">
        <v>39074</v>
      </c>
      <c r="C131" t="n">
        <v>56798</v>
      </c>
      <c r="D131" t="n">
        <v>107241</v>
      </c>
      <c r="E131" t="n">
        <v>127669</v>
      </c>
      <c r="N131" t="n">
        <v>1824</v>
      </c>
      <c r="O131" t="n">
        <v>134966</v>
      </c>
      <c r="P131" t="n">
        <v>32994</v>
      </c>
      <c r="Q131" t="n">
        <v>98961</v>
      </c>
      <c r="R131" t="n">
        <v>1168</v>
      </c>
      <c r="S131" t="n">
        <v>19</v>
      </c>
      <c r="V131" t="n">
        <v>320049</v>
      </c>
      <c r="W131" t="n">
        <v>53622</v>
      </c>
      <c r="X131" t="n">
        <v>-33355</v>
      </c>
      <c r="Y131" t="n">
        <v>20267</v>
      </c>
      <c r="Z131" t="n">
        <v>344047</v>
      </c>
    </row>
    <row r="132">
      <c r="A132" s="10" t="n">
        <v>45962</v>
      </c>
      <c r="B132" t="n">
        <v>46582</v>
      </c>
      <c r="C132" t="n">
        <v>58912</v>
      </c>
      <c r="D132" t="n">
        <v>104782</v>
      </c>
      <c r="E132" t="n">
        <v>135587</v>
      </c>
      <c r="N132" t="n">
        <v>1962</v>
      </c>
      <c r="O132" t="n">
        <v>138178</v>
      </c>
      <c r="P132" t="n">
        <v>30856</v>
      </c>
      <c r="Q132" t="n">
        <v>103482</v>
      </c>
      <c r="R132" t="n">
        <v>1859</v>
      </c>
      <c r="S132" t="n">
        <v>18</v>
      </c>
      <c r="V132" t="n">
        <v>332693</v>
      </c>
      <c r="W132" t="n">
        <v>37374</v>
      </c>
      <c r="X132" t="n">
        <v>-14594</v>
      </c>
      <c r="Y132" t="n">
        <v>22779</v>
      </c>
      <c r="Z132" t="n">
        <v>358752</v>
      </c>
    </row>
    <row r="133">
      <c r="A133" s="10" t="n">
        <v>45992</v>
      </c>
      <c r="B133" t="n">
        <v>50918</v>
      </c>
      <c r="C133" t="n">
        <v>70037</v>
      </c>
      <c r="D133" t="n">
        <v>110558</v>
      </c>
      <c r="E133" t="n">
        <v>134388</v>
      </c>
      <c r="N133" t="n">
        <v>2931</v>
      </c>
      <c r="O133" t="n">
        <v>145038</v>
      </c>
      <c r="P133" t="n">
        <v>27741</v>
      </c>
      <c r="Q133" t="n">
        <v>110395</v>
      </c>
      <c r="R133" t="n">
        <v>3953</v>
      </c>
      <c r="S133" t="n">
        <v>19</v>
      </c>
      <c r="V133" t="n">
        <v>346028</v>
      </c>
      <c r="W133" t="n">
        <v>38071</v>
      </c>
      <c r="X133" t="n">
        <v>22037</v>
      </c>
      <c r="Y133" t="n">
        <v>60108</v>
      </c>
      <c r="Z133" t="n">
        <v>336853</v>
      </c>
    </row>
    <row r="134">
      <c r="A134" s="10" t="n">
        <v>46023</v>
      </c>
      <c r="B134" t="n">
        <v>47227</v>
      </c>
      <c r="C134" t="n">
        <v>64069</v>
      </c>
      <c r="D134" t="n">
        <v>115867</v>
      </c>
      <c r="E134" t="n">
        <v>132215</v>
      </c>
      <c r="P134" t="n">
        <v>31226</v>
      </c>
      <c r="Q134" t="n">
        <v>105375</v>
      </c>
      <c r="R134" t="n">
        <v>7156</v>
      </c>
      <c r="S134" t="n">
        <v>19</v>
      </c>
      <c r="V134" t="n">
        <v>327871</v>
      </c>
      <c r="W134" t="n">
        <v>19607</v>
      </c>
      <c r="X134" t="n">
        <v>102643</v>
      </c>
      <c r="Y134" t="n">
        <v>122250</v>
      </c>
      <c r="Z134" t="n">
        <v>235002</v>
      </c>
    </row>
    <row r="135">
      <c r="A135" s="10" t="n">
        <v>46054</v>
      </c>
      <c r="B135" t="n">
        <v>43469</v>
      </c>
      <c r="C135" t="n">
        <v>58275</v>
      </c>
      <c r="D135" t="n">
        <v>96379</v>
      </c>
      <c r="E135" t="n">
        <v>122177</v>
      </c>
      <c r="P135" t="n">
        <v>27573</v>
      </c>
      <c r="Q135" t="n">
        <v>90760</v>
      </c>
      <c r="R135" t="n">
        <v>4031</v>
      </c>
      <c r="S135" t="n">
        <v>17</v>
      </c>
      <c r="V135" t="n">
        <v>311330</v>
      </c>
      <c r="W135" t="n">
        <v>22112</v>
      </c>
      <c r="X135" t="n">
        <v>65896</v>
      </c>
      <c r="Y135" t="n">
        <v>88007</v>
      </c>
      <c r="Z135" t="n">
        <v>169280</v>
      </c>
    </row>
    <row r="136">
      <c r="A136" s="10" t="n">
        <v>46082</v>
      </c>
      <c r="B136" t="n">
        <v>47162</v>
      </c>
      <c r="C136" t="n">
        <v>64947</v>
      </c>
      <c r="D136" t="n">
        <v>118514</v>
      </c>
      <c r="E136" t="n">
        <v>139879</v>
      </c>
      <c r="N136" t="n">
        <v>2275</v>
      </c>
      <c r="O136" t="n">
        <v>133079</v>
      </c>
      <c r="P136" t="n">
        <v>26354</v>
      </c>
      <c r="Q136" t="n">
        <v>102020</v>
      </c>
      <c r="R136" t="n">
        <v>2410</v>
      </c>
      <c r="S136" t="n">
        <v>19</v>
      </c>
      <c r="V136" t="n">
        <v>353909</v>
      </c>
      <c r="W136" t="n">
        <v>56676</v>
      </c>
      <c r="X136" t="n">
        <v>-20578</v>
      </c>
      <c r="Y136" t="n">
        <v>36098</v>
      </c>
      <c r="Z136" t="n">
        <v>190267</v>
      </c>
    </row>
    <row r="137">
      <c r="A137" s="10" t="n">
        <v>46113</v>
      </c>
      <c r="B137" t="n">
        <v>47301</v>
      </c>
      <c r="C137" t="n">
        <v>58150</v>
      </c>
      <c r="D137" t="n">
        <v>108576</v>
      </c>
      <c r="E137" t="n">
        <v>130592</v>
      </c>
      <c r="P137" t="n">
        <v>30457</v>
      </c>
      <c r="Q137" t="n">
        <v>102540</v>
      </c>
      <c r="R137" t="n">
        <v>1278</v>
      </c>
      <c r="S137" t="n">
        <v>18</v>
      </c>
      <c r="V137" t="n">
        <v>350622</v>
      </c>
      <c r="W137" t="n">
        <v>56071</v>
      </c>
      <c r="X137" t="n">
        <v>-31426</v>
      </c>
      <c r="Y137" t="n">
        <v>24646</v>
      </c>
      <c r="Z137" t="n">
        <v>221739</v>
      </c>
    </row>
    <row r="138">
      <c r="A138" s="10" t="n">
        <v>46143</v>
      </c>
      <c r="B138" t="n">
        <v>43598</v>
      </c>
      <c r="C138" t="n">
        <v>43978</v>
      </c>
      <c r="D138" t="n">
        <v>111570</v>
      </c>
      <c r="E138" t="n">
        <v>122686</v>
      </c>
      <c r="P138" t="n">
        <v>33392</v>
      </c>
      <c r="Q138" t="n">
        <v>102530</v>
      </c>
      <c r="S138" t="n">
        <v>19</v>
      </c>
      <c r="V138" t="n">
        <v>351039</v>
      </c>
      <c r="W138" t="n">
        <v>66769</v>
      </c>
      <c r="X138" t="n">
        <v>-51329</v>
      </c>
      <c r="Y138" t="n">
        <v>15440</v>
      </c>
      <c r="Z138" t="n">
        <v>272778</v>
      </c>
    </row>
    <row r="139">
      <c r="A139" s="10" t="n">
        <v>46174</v>
      </c>
      <c r="B139" t="n">
        <v>43722</v>
      </c>
      <c r="C139" t="n">
        <v>60188</v>
      </c>
      <c r="D139" t="n">
        <v>104869</v>
      </c>
      <c r="E139" t="n">
        <v>122086</v>
      </c>
      <c r="N139" t="n">
        <v>1583</v>
      </c>
      <c r="P139" t="n">
        <v>37998</v>
      </c>
      <c r="Q139" t="n">
        <v>99634</v>
      </c>
      <c r="S139" t="n">
        <v>18</v>
      </c>
      <c r="V139" t="n">
        <v>352323</v>
      </c>
      <c r="W139" t="n">
        <v>56353</v>
      </c>
      <c r="X139" t="n">
        <v>-36644</v>
      </c>
      <c r="Y139" t="n">
        <v>19709</v>
      </c>
      <c r="Z139" t="n">
        <v>309765</v>
      </c>
    </row>
    <row r="140">
      <c r="A140" s="10" t="n">
        <v>46204</v>
      </c>
      <c r="B140" t="n">
        <v>47292</v>
      </c>
      <c r="C140" t="n">
        <v>55232</v>
      </c>
      <c r="D140" t="n">
        <v>100810</v>
      </c>
      <c r="E140" t="n">
        <v>120445</v>
      </c>
      <c r="N140" t="n">
        <v>1709</v>
      </c>
      <c r="P140" t="n">
        <v>42349</v>
      </c>
      <c r="Q140" t="n">
        <v>102400</v>
      </c>
      <c r="S140" t="n">
        <v>19</v>
      </c>
      <c r="V140" t="n">
        <v>368996</v>
      </c>
      <c r="W140" t="n">
        <v>42971</v>
      </c>
      <c r="X140" t="n">
        <v>-10235</v>
      </c>
      <c r="Y140" t="n">
        <v>32735</v>
      </c>
      <c r="Z140" t="n">
        <v>320375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2026-10-28T01:47:16Z</dcterms:created>
  <dcterms:modified xsi:type="dcterms:W3CDTF">2026-10-28T01:47:18Z</dcterms:modified>
</cp:coreProperties>
</file>