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Marginal price" sheetId="3" state="visible" r:id="rId3"/>
    <sheet name="Sources" sheetId="4" state="visible" r:id="rId4"/>
    <sheet name="Inputs" sheetId="5" state="visible" r:id="rId5"/>
    <sheet name="Profile" sheetId="6" state="visible" r:id="rId6"/>
    <sheet name="Curve" sheetId="7" state="visible" r:id="rId7"/>
    <sheet name="Capacity over time" sheetId="8" state="visible" r:id="rId8"/>
    <sheet name="Mapping" sheetId="9" state="visible" r:id="rId9"/>
    <sheet name="BEG check" sheetId="10" state="visible" r:id="rId10"/>
    <sheet name="Cross-checks" sheetId="11" state="visible" r:id="rId11"/>
    <sheet name="Chart data" sheetId="12" state="visible" r:id="rId12"/>
    <sheet name="Not reachable" sheetId="13" state="visible" r:id="rId13"/>
    <sheet name="Snippets (unused)" sheetId="14" state="visible" r:id="rId14"/>
    <sheet name="Gulf key question" sheetId="15" state="visible" r:id="rId15"/>
    <sheet name="Henry Hub" sheetId="16" state="visible" r:id="rId16"/>
    <sheet name="Curve values" sheetId="17" state="visible" r:id="rId17"/>
    <sheet name="Mapping values" sheetId="18" state="visible" r:id="rId18"/>
    <sheet name="HH monthly values" sheetId="19" state="visible" r:id="rId19"/>
    <sheet name="Sensitivity valu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2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Haynesville supply cost curve: breakeven vs cumulative capacity (APPROXIMATE, from company disclosures)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strRef>
              <f>'Chart data'!$D$6</f>
            </strRef>
          </tx>
          <spPr>
            <a:ln w="2857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'Chart data'!$D$8:$D$23</f>
            </numRef>
          </xVal>
          <yVal>
            <numRef>
              <f>'Chart data'!$E$8:$E$23</f>
            </numRef>
          </yVal>
          <smooth val="0"/>
        </ser>
        <ser>
          <idx val="1"/>
          <order val="1"/>
          <tx>
            <strRef>
              <f>'Chart data'!$F$6</f>
            </strRef>
          </tx>
          <spPr>
            <a:ln w="2857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'Chart data'!$F$8:$F$23</f>
            </numRef>
          </xVal>
          <yVal>
            <numRef>
              <f>'Chart data'!$G$8:$G$23</f>
            </numRef>
          </yVal>
          <smooth val="0"/>
        </ser>
        <ser>
          <idx val="2"/>
          <order val="2"/>
          <tx>
            <strRef>
              <f>'Chart data'!$H$6</f>
            </strRef>
          </tx>
          <spPr>
            <a:ln w="28575">
              <a:solidFill>
                <a:srgbClr val="25252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'Chart data'!$H$8:$H$9</f>
            </numRef>
          </xVal>
          <yVal>
            <numRef>
              <f>'Chart data'!$I$8:$I$9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Cumulative capacity, Bcf/d (cost only; not rig or takeaway constrained)</a:t>
                </a:r>
              </a:p>
            </rich>
          </tx>
          <overlay val="0"/>
        </title>
        <numFmt formatCode="0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Breakeven, $/MMBtu Henry Hub (pre-tax, 10% discount)</a:t>
                </a:r>
              </a:p>
            </rich>
          </tx>
          <overlay val="0"/>
        </title>
        <numFmt formatCode="0.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Marginal breakeven of the Gulf 'Key question' Haynesville growth (STEO + extra), $/MMBtu Henry Hub - APPROXIMATE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'Chart data'!B26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data'!$A$27:$A$30</f>
            </numRef>
          </cat>
          <val>
            <numRef>
              <f>'Chart data'!$B$27:$B$30</f>
            </numRef>
          </val>
        </ser>
        <ser>
          <idx val="1"/>
          <order val="1"/>
          <tx>
            <strRef>
              <f>'Chart data'!C26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data'!$A$27:$A$30</f>
            </numRef>
          </cat>
          <val>
            <numRef>
              <f>'Chart data'!$C$27:$C$30</f>
            </numRef>
          </val>
        </ser>
        <gapWidth val="60"/>
        <axId val="10"/>
        <axId val="100"/>
      </barChart>
      <lineChart>
        <grouping val="standard"/>
        <ser>
          <idx val="2"/>
          <order val="2"/>
          <tx>
            <strRef>
              <f>'Chart data'!D26</f>
            </strRef>
          </tx>
          <spPr>
            <a:ln w="28575">
              <a:solidFill>
                <a:srgbClr val="25252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'Chart data'!$D$27:$D$30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$/MMBtu Henry Hub</a:t>
                </a:r>
              </a:p>
            </rich>
          </tx>
          <overlay val="0"/>
        </title>
        <numFmt formatCode="0.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Breakeven: US$ per MMBtu at Henry Hub (HH = needed wellhead price - basis), pre-tax, at the discount rate on 'Inputs'. Capacity: Bcf/d. Inventory: locations and 1,000 lateral ft.</t>
        </is>
      </c>
    </row>
    <row r="5">
      <c r="A5" s="1" t="inlineStr">
        <is>
          <t>WHAT THIS IS</t>
        </is>
      </c>
    </row>
    <row r="6">
      <c r="A6" t="inlineStr">
        <is>
          <t>APPROXIMATE - built from company disclosures and BEG tiering; breakevens are pre-tax model results, not a vendor curve. Question: what breakeven price does the extra Haynesville supply in gulf_coast_gas_balance.xlsx 'Key question' imply if only COST limited it?</t>
        </is>
      </c>
    </row>
    <row r="7">
      <c r="A7" t="inlineStr">
        <is>
          <t>The curve is a COST curve. It is NOT constrained by rigs, crews, sand, takeaway pipelines, leasing or midstream: with H = years to the Key-question date it assumes the whole developable inventory of a tier could be drilled evenly over those years.</t>
        </is>
      </c>
    </row>
    <row r="8">
      <c r="A8" t="inlineStr">
        <is>
          <t>NOT modelled: replacement of the base-production decline (maintenance drilling; the last EIA DPR, May 2024, showed legacy Haynesville gas falling 739 MMcf/d in one month on 15.6 Bcf/d), taxes, hedges, midstream returns, well-to-well variance inside a tier, inventory used since 2012, interference between tiers. The marginal prices are therefore LOWER bounds for a net increase in output.</t>
        </is>
      </c>
    </row>
    <row r="10">
      <c r="A10" s="1" t="inlineStr">
        <is>
          <t>HOW TO READ THE TABS</t>
        </is>
      </c>
    </row>
    <row r="11">
      <c r="A11" t="inlineStr">
        <is>
          <t>Chart / Chart - Marginal price: native Excel charts (no borders); their cells are formulas, so editing 'Inputs' redraws them in Excel. Sources: every opened document with value, unit, as-of, publisher, URL and type; then snippet-only claims (never used) and what was not reachable.</t>
        </is>
      </c>
    </row>
    <row r="12">
      <c r="A12" t="inlineStr">
        <is>
          <t>Inputs: yellow cells editable and kept on the next run. Block A assumptions (status SOURCED / ASSUMPTION), block B tiers. To use your own (paid) curve overwrite the 'Breakeven override' and 'Capacity override' columns of block B (and rename/add rows by overwriting the tier counts): override cells win over the model.</t>
        </is>
      </c>
    </row>
    <row r="13">
      <c r="A13" t="inlineStr">
        <is>
          <t>Profile: decline shape (stretched exponential fitted to BEG's 5- and 10-year recovery anchors), PV factor and the Tier 1 EUR anchor. Curve: live per-tier breakeven, capacity for H = 1..10 years, sorted curve. Capacity over time: Bcf/d build of a programme (live). Mapping: the Key-question increments and the implied marginal breakeven (live) beside Henry Hub. BEG check: BEG's published tiers and the formula run on BEG's own 2015 inputs. Cross-checks: company figures that were NOT used as inputs.</t>
        </is>
      </c>
    </row>
    <row r="15">
      <c r="A15" s="1" t="inlineStr">
        <is>
          <t>STATUS COUNTS</t>
        </is>
      </c>
    </row>
    <row r="16">
      <c r="A16" t="inlineStr">
        <is>
          <t>Assumption block: 18 inputs, 11 SOURCED, 7 ASSUMPTION. Tiers: 8 rows. Breakeven per tier is a MODEL RESULT; the only published tier breakevens are BEG's (2011 $, chart-read) and Expand's single '&lt;$2.75' (company basis). Western Haynesville EUR is NOT sourced (assumed equal to Tier 1 per foot).</t>
        </is>
      </c>
    </row>
    <row r="17">
      <c r="A17" t="inlineStr">
        <is>
          <t>Inventory caveats: BEG's counts are 2012 vintage (thousands of wells since are not deducted); Comstock's counts are operated locations (some 70-90% WI) and sit inside the same basin as BEG's legacy tiers (shown on 'Cross-checks', not added).</t>
        </is>
      </c>
    </row>
    <row r="19">
      <c r="A19" s="1" t="inlineStr">
        <is>
          <t>EDITING</t>
        </is>
      </c>
    </row>
    <row r="20">
      <c r="A20" t="inlineStr">
        <is>
          <t>Yellow cells on 'Inputs' only. Set the override columns blank to return to the model. Sheets Curve values / Mapping values / Sensitivity values (inventory haircut x Western productivity; NaN = beyond inventory) are the script's own copy of the same arithmetic (used by the PNG charts); after editing in Excel the live tabs and native charts follow, the values tabs do not.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APPROXIMATE - built from company disclosures and BEG tiering; breakevens are pre-tax model results, not a vendor curve. Cost curve only: NOT constrained by rigs, crews or takeaway. Step chart data and the editable horizons are on 'Chart data'.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APPROXIMATE - built from company disclosures and BEG tiering; breakevens are pre-tax model results, not a vendor curve. Marginal tier = STEO Haynesville growth + extra supply (Gulf 'Key question'), see 'Mapping'.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Item</t>
        </is>
      </c>
      <c r="D1" t="inlineStr">
        <is>
          <t>Value</t>
        </is>
      </c>
      <c r="E1" t="inlineStr">
        <is>
          <t>Unit</t>
        </is>
      </c>
      <c r="F1" t="inlineStr">
        <is>
          <t>As-of</t>
        </is>
      </c>
      <c r="G1" t="inlineStr">
        <is>
          <t>Publisher</t>
        </is>
      </c>
      <c r="H1" t="inlineStr">
        <is>
          <t>Document</t>
        </is>
      </c>
      <c r="I1" t="inlineStr">
        <is>
          <t>URL</t>
        </is>
      </c>
      <c r="J1" t="inlineStr">
        <is>
          <t>Status</t>
        </is>
      </c>
      <c r="K1" t="inlineStr">
        <is>
          <t>Used where</t>
        </is>
      </c>
    </row>
    <row r="2">
      <c r="A2" t="inlineStr">
        <is>
          <t>B1</t>
        </is>
      </c>
      <c r="B2" t="inlineStr">
        <is>
          <t>EUR</t>
        </is>
      </c>
      <c r="C2" t="inlineStr">
        <is>
          <t>Average EUR per 4,800-ft well, Tier 1 / 2 / 3 / 4 / 5 / 6</t>
        </is>
      </c>
      <c r="D2" t="inlineStr">
        <is>
          <t>7.9 / 5.9 / 4.5 / 3.3 / 2.4 / 1.4</t>
        </is>
      </c>
      <c r="E2" t="inlineStr">
        <is>
          <t>Bcf per 4,800-ft well</t>
        </is>
      </c>
      <c r="F2" t="inlineStr">
        <is>
          <t>Dec 2015 (wells to 2012)</t>
        </is>
      </c>
      <c r="G2" t="inlineStr">
        <is>
          <t>Bureau of Economic Geology, UT Austin (Browning, Ikonnikova et al.)</t>
        </is>
      </c>
      <c r="H2" t="inlineStr">
        <is>
          <t>Oil &amp; Gas Journal 7 Dec 2015, 'Study forecasts gradual Haynesville production recovery before final decline', Fig. 7 legend</t>
        </is>
      </c>
      <c r="I2" t="inlineStr">
        <is>
          <t>https://www.beg.utexas.edu/files/content/beg/research/shale/Haynesville%20Shale%20Gas%20Play.pdf</t>
        </is>
      </c>
      <c r="J2" t="inlineStr">
        <is>
          <t>OPENED in GitHub Actions 6 Oct 2026</t>
        </is>
      </c>
      <c r="K2" t="inlineStr">
        <is>
          <t>Inputs (tier productivity ratios), BEG check</t>
        </is>
      </c>
    </row>
    <row r="3">
      <c r="A3" t="inlineStr">
        <is>
          <t>B2</t>
        </is>
      </c>
      <c r="B3" t="inlineStr">
        <is>
          <t>inventory</t>
        </is>
      </c>
      <c r="C3" t="inlineStr">
        <is>
          <t>Remaining potential wells by tier: partly drilled blocks / undrilled blocks / drilled to 2012</t>
        </is>
      </c>
      <c r="D3" t="inlineStr">
        <is>
          <t>see 'BEG check' (T1 1,700/2,250/450 ... T6 1,170/5,700/180)</t>
        </is>
      </c>
      <c r="E3" t="inlineStr">
        <is>
          <t>wells (4,800-ft)</t>
        </is>
      </c>
      <c r="F3" t="inlineStr">
        <is>
          <t>2012 well data</t>
        </is>
      </c>
      <c r="G3" t="inlineStr">
        <is>
          <t>Bureau of Economic Geology</t>
        </is>
      </c>
      <c r="H3" t="inlineStr">
        <is>
          <t>OGJ 7 Dec 2015, Fig. 6 stacked bars</t>
        </is>
      </c>
      <c r="I3" t="inlineStr">
        <is>
          <t>https://www.beg.utexas.edu/files/content/beg/research/shale/Haynesville%20Shale%20Gas%20Play.pdf</t>
        </is>
      </c>
      <c r="J3" t="inlineStr">
        <is>
          <t>OPENED in GitHub Actions 6 Oct 2026; value READ OFF A CHART IMAGE (rendered page, approx. +/-3%)</t>
        </is>
      </c>
      <c r="K3" t="inlineStr">
        <is>
          <t>Inputs (tier inventory)</t>
        </is>
      </c>
    </row>
    <row r="4">
      <c r="A4" t="inlineStr">
        <is>
          <t>B3</t>
        </is>
      </c>
      <c r="B4" t="inlineStr">
        <is>
          <t>breakeven</t>
        </is>
      </c>
      <c r="C4" t="inlineStr">
        <is>
          <t>Breakeven Henry Hub price by tier at 0% / 10% / 20% IRR (2011 $)</t>
        </is>
      </c>
      <c r="D4" t="inlineStr">
        <is>
          <t>see 'BEG check' (10% IRR: T1 3.5, T2 4.4, T3 5.4, T4 6.8, T5 9.0, T6 15.2)</t>
        </is>
      </c>
      <c r="E4" t="inlineStr">
        <is>
          <t>$/MMBtu</t>
        </is>
      </c>
      <c r="F4" t="inlineStr">
        <is>
          <t>2011 $, 2015 study</t>
        </is>
      </c>
      <c r="G4" t="inlineStr">
        <is>
          <t>Bureau of Economic Geology</t>
        </is>
      </c>
      <c r="H4" t="inlineStr">
        <is>
          <t>OGJ 7 Dec 2015, Fig. 8</t>
        </is>
      </c>
      <c r="I4" t="inlineStr">
        <is>
          <t>https://www.beg.utexas.edu/files/content/beg/research/shale/Haynesville%20Shale%20Gas%20Play.pdf</t>
        </is>
      </c>
      <c r="J4" t="inlineStr">
        <is>
          <t>OPENED in GitHub Actions 6 Oct 2026; value READ OFF A CHART IMAGE (rendered page, approx. +/-3%)</t>
        </is>
      </c>
      <c r="K4" t="inlineStr">
        <is>
          <t>BEG check (validation of the formula)</t>
        </is>
      </c>
    </row>
    <row r="5">
      <c r="A5" t="inlineStr">
        <is>
          <t>B4</t>
        </is>
      </c>
      <c r="B5" t="inlineStr">
        <is>
          <t>well cost</t>
        </is>
      </c>
      <c r="C5" t="inlineStr">
        <is>
          <t>Drilling cost 12,000-ft TVD $10.5 million (20% tangible), related capex 13%, expense $82,500/well/yr +13% overhead, gathering/compression/treatment $0.49/Mcf, royalty 25%, severance 4% (2 yrs exempt), basis HH -$0.07, tax 40.2%</t>
        </is>
      </c>
      <c r="D5" t="inlineStr">
        <is>
          <t>10.5 / 13% / 82,500 / 0.49 / 25% / -0.07</t>
        </is>
      </c>
      <c r="E5" t="inlineStr">
        <is>
          <t>mixed</t>
        </is>
      </c>
      <c r="F5" t="inlineStr">
        <is>
          <t>2015 study</t>
        </is>
      </c>
      <c r="G5" t="inlineStr">
        <is>
          <t>Bureau of Economic Geology</t>
        </is>
      </c>
      <c r="H5" t="inlineStr">
        <is>
          <t>OGJ 7 Dec 2015, Table 1</t>
        </is>
      </c>
      <c r="I5" t="inlineStr">
        <is>
          <t>https://www.beg.utexas.edu/files/content/beg/research/shale/Haynesville%20Shale%20Gas%20Play.pdf</t>
        </is>
      </c>
      <c r="J5" t="inlineStr">
        <is>
          <t>OPENED in GitHub Actions 6 Oct 2026</t>
        </is>
      </c>
      <c r="K5" t="inlineStr">
        <is>
          <t>Inputs (royalty, basis, related capex), BEG check</t>
        </is>
      </c>
    </row>
    <row r="6">
      <c r="A6" t="inlineStr">
        <is>
          <t>B5</t>
        </is>
      </c>
      <c r="B6" t="inlineStr">
        <is>
          <t>inventory</t>
        </is>
      </c>
      <c r="C6" t="inlineStr">
        <is>
          <t>Development ceilings: 80% of partly drilled blocks, 40% of undrilled blocks; 20-yr well life; 4,800-ft normalised lateral</t>
        </is>
      </c>
      <c r="D6" t="inlineStr">
        <is>
          <t>80% / 40% / 20 / 4,800</t>
        </is>
      </c>
      <c r="E6" t="inlineStr">
        <is>
          <t>% / years / ft</t>
        </is>
      </c>
      <c r="F6" t="inlineStr">
        <is>
          <t>2015 study</t>
        </is>
      </c>
      <c r="G6" t="inlineStr">
        <is>
          <t>Bureau of Economic Geology</t>
        </is>
      </c>
      <c r="H6" t="inlineStr">
        <is>
          <t>OGJ 7 Dec 2015, Table 2 and text</t>
        </is>
      </c>
      <c r="I6" t="inlineStr">
        <is>
          <t>https://www.beg.utexas.edu/files/content/beg/research/shale/Haynesville%20Shale%20Gas%20Play.pdf</t>
        </is>
      </c>
      <c r="J6" t="inlineStr">
        <is>
          <t>OPENED in GitHub Actions 6 Oct 2026</t>
        </is>
      </c>
      <c r="K6" t="inlineStr">
        <is>
          <t>Inputs (developable shares, lateral)</t>
        </is>
      </c>
    </row>
    <row r="7">
      <c r="A7" t="inlineStr">
        <is>
          <t>B6</t>
        </is>
      </c>
      <c r="B7" t="inlineStr">
        <is>
          <t>EUR</t>
        </is>
      </c>
      <c r="C7" t="inlineStr">
        <is>
          <t>Share of EUR recovered in first 5 years: &gt;80% (Tier 1: 78%); nearly depleted by year 10 with &gt;90% produced</t>
        </is>
      </c>
      <c r="D7" t="inlineStr">
        <is>
          <t>&gt;80% (78% T1) / &gt;90%</t>
        </is>
      </c>
      <c r="E7" t="inlineStr">
        <is>
          <t>% of EUR</t>
        </is>
      </c>
      <c r="F7" t="inlineStr">
        <is>
          <t>2015 study</t>
        </is>
      </c>
      <c r="G7" t="inlineStr">
        <is>
          <t>Bureau of Economic Geology</t>
        </is>
      </c>
      <c r="H7" t="inlineStr">
        <is>
          <t>OGJ 7 Dec 2015, 'Well economics'</t>
        </is>
      </c>
      <c r="I7" t="inlineStr">
        <is>
          <t>https://www.beg.utexas.edu/files/content/beg/research/shale/Haynesville%20Shale%20Gas%20Play.pdf</t>
        </is>
      </c>
      <c r="J7" t="inlineStr">
        <is>
          <t>OPENED in GitHub Actions 6 Oct 2026</t>
        </is>
      </c>
      <c r="K7" t="inlineStr">
        <is>
          <t>Inputs (decline anchors C(5), C(10)) - anchors chosen inside BEG's bounds = ASSUMPTION</t>
        </is>
      </c>
    </row>
    <row r="8">
      <c r="A8" t="inlineStr">
        <is>
          <t>B7</t>
        </is>
      </c>
      <c r="B8" t="inlineStr">
        <is>
          <t>breakeven</t>
        </is>
      </c>
      <c r="C8" t="inlineStr">
        <is>
          <t>'A substantial portion of the reservoir has breakeven gas prices of $4-6/MMbtu'; remaining technically recoverable resource 177 Tcf; 2,527 wells to 2012 EUR 10.3 Tcf</t>
        </is>
      </c>
      <c r="D8" t="inlineStr">
        <is>
          <t>4-6 / 177 / 10.3</t>
        </is>
      </c>
      <c r="E8" t="inlineStr">
        <is>
          <t>$/MMBtu / Tcf</t>
        </is>
      </c>
      <c r="F8" t="inlineStr">
        <is>
          <t>Dec 2015</t>
        </is>
      </c>
      <c r="G8" t="inlineStr">
        <is>
          <t>Bureau of Economic Geology</t>
        </is>
      </c>
      <c r="H8" t="inlineStr">
        <is>
          <t>OGJ 7 Dec 2015 (also SNL 23 Dec 2015 summary)</t>
        </is>
      </c>
      <c r="I8" t="inlineStr">
        <is>
          <t>https://www.beg.utexas.edu/files/content/beg/research/shale/Haynesville%20Shale%20Gas%20Play.pdf</t>
        </is>
      </c>
      <c r="J8" t="inlineStr">
        <is>
          <t>OPENED in GitHub Actions 6 Oct 2026</t>
        </is>
      </c>
      <c r="K8" t="inlineStr">
        <is>
          <t>context (2011-15 costs)</t>
        </is>
      </c>
    </row>
    <row r="9">
      <c r="A9" t="inlineStr">
        <is>
          <t>C1</t>
        </is>
      </c>
      <c r="B9" t="inlineStr">
        <is>
          <t>inventory</t>
        </is>
      </c>
      <c r="C9" t="inlineStr">
        <is>
          <t>Legacy Haynesville + Bossier drilling inventory 30 Jun 2026: 1,705 gross / 816 net locations, average lateral 10,153 ft (Haynesville 881, Bossier 824 gross)</t>
        </is>
      </c>
      <c r="D9" t="inlineStr">
        <is>
          <t>1,705 / 816 / 10,153</t>
        </is>
      </c>
      <c r="E9" t="inlineStr">
        <is>
          <t>locations / ft</t>
        </is>
      </c>
      <c r="F9" t="inlineStr">
        <is>
          <t>30 Jun 2026</t>
        </is>
      </c>
      <c r="G9" t="inlineStr">
        <is>
          <t>Comstock Resources</t>
        </is>
      </c>
      <c r="H9" t="inlineStr">
        <is>
          <t>Investor Presentation October 2026, slide 13</t>
        </is>
      </c>
      <c r="I9" t="inlineStr">
        <is>
          <t>https://investors.comstockresources.com/static-files/5a596a22-02f6-4b49-a9cc-93ecfe0179c0</t>
        </is>
      </c>
      <c r="J9" t="inlineStr">
        <is>
          <t>OPENED in GitHub Actions 6 Oct 2026; value READ OFF A CHART IMAGE (rendered page, approx. +/-3%)</t>
        </is>
      </c>
      <c r="K9" t="inlineStr">
        <is>
          <t>Cross-check table (inside BEG's legacy inventory, not added)</t>
        </is>
      </c>
    </row>
    <row r="10">
      <c r="A10" t="inlineStr">
        <is>
          <t>C2</t>
        </is>
      </c>
      <c r="B10" t="inlineStr">
        <is>
          <t>inventory</t>
        </is>
      </c>
      <c r="C10" t="inlineStr">
        <is>
          <t>Western Haynesville operated drilling locations 30 Jun 2026: 3,277 gross / 2,528 net (Haynesville 1,206, Bossier 2,071 gross), average lateral 8,875 ft; assumes 70-90% WI</t>
        </is>
      </c>
      <c r="D10" t="inlineStr">
        <is>
          <t>3,277 / 2,528 / 8,875</t>
        </is>
      </c>
      <c r="E10" t="inlineStr">
        <is>
          <t>locations / ft</t>
        </is>
      </c>
      <c r="F10" t="inlineStr">
        <is>
          <t>30 Jun 2026</t>
        </is>
      </c>
      <c r="G10" t="inlineStr">
        <is>
          <t>Comstock Resources</t>
        </is>
      </c>
      <c r="H10" t="inlineStr">
        <is>
          <t>Investor Presentation October 2026, slide 14</t>
        </is>
      </c>
      <c r="I10" t="inlineStr">
        <is>
          <t>https://investors.comstockresources.com/static-files/5a596a22-02f6-4b49-a9cc-93ecfe0179c0</t>
        </is>
      </c>
      <c r="J10" t="inlineStr">
        <is>
          <t>OPENED in GitHub Actions 6 Oct 2026; value READ OFF A CHART IMAGE (rendered page, approx. +/-3%)</t>
        </is>
      </c>
      <c r="K10" t="inlineStr">
        <is>
          <t>Inputs (Western Haynesville row)</t>
        </is>
      </c>
    </row>
    <row r="11">
      <c r="A11" t="inlineStr">
        <is>
          <t>C3</t>
        </is>
      </c>
      <c r="B11" t="inlineStr">
        <is>
          <t>well cost</t>
        </is>
      </c>
      <c r="C11" t="inlineStr">
        <is>
          <t>Legacy Haynesville D&amp;C cost, laterals &gt;8,500 ft, Q2 2026: drilling $710 + completion $680 per lateral foot</t>
        </is>
      </c>
      <c r="D11" t="inlineStr">
        <is>
          <t>1,390</t>
        </is>
      </c>
      <c r="E11" t="inlineStr">
        <is>
          <t>$ per lateral ft</t>
        </is>
      </c>
      <c r="F11" t="inlineStr">
        <is>
          <t>Q2 2026</t>
        </is>
      </c>
      <c r="G11" t="inlineStr">
        <is>
          <t>Comstock Resources</t>
        </is>
      </c>
      <c r="H11" t="inlineStr">
        <is>
          <t>Investor Presentation October 2026, slide 21 (bar labels)</t>
        </is>
      </c>
      <c r="I11" t="inlineStr">
        <is>
          <t>https://investors.comstockresources.com/static-files/5a596a22-02f6-4b49-a9cc-93ecfe0179c0</t>
        </is>
      </c>
      <c r="J11" t="inlineStr">
        <is>
          <t>OPENED in GitHub Actions 6 Oct 2026; value READ OFF A CHART IMAGE (rendered page, approx. +/-3%)</t>
        </is>
      </c>
      <c r="K11" t="inlineStr">
        <is>
          <t>Inputs (Legacy tiers $/ft)</t>
        </is>
      </c>
    </row>
    <row r="12">
      <c r="A12" t="inlineStr">
        <is>
          <t>C4</t>
        </is>
      </c>
      <c r="B12" t="inlineStr">
        <is>
          <t>well cost</t>
        </is>
      </c>
      <c r="C12" t="inlineStr">
        <is>
          <t>Western Haynesville D&amp;C cost Q2 2026: drilling $1,738 + completion $1,609 per lateral foot (Q1 2026: 1,534 + 1,537; 2025 Q2: 1,817 + 1,305)</t>
        </is>
      </c>
      <c r="D12" t="inlineStr">
        <is>
          <t>3,347</t>
        </is>
      </c>
      <c r="E12" t="inlineStr">
        <is>
          <t>$ per lateral ft</t>
        </is>
      </c>
      <c r="F12" t="inlineStr">
        <is>
          <t>Q2 2026</t>
        </is>
      </c>
      <c r="G12" t="inlineStr">
        <is>
          <t>Comstock Resources</t>
        </is>
      </c>
      <c r="H12" t="inlineStr">
        <is>
          <t>Investor Presentation October 2026, slide 22 (bar labels)</t>
        </is>
      </c>
      <c r="I12" t="inlineStr">
        <is>
          <t>https://investors.comstockresources.com/static-files/5a596a22-02f6-4b49-a9cc-93ecfe0179c0</t>
        </is>
      </c>
      <c r="J12" t="inlineStr">
        <is>
          <t>OPENED in GitHub Actions 6 Oct 2026; value READ OFF A CHART IMAGE (rendered page, approx. +/-3%)</t>
        </is>
      </c>
      <c r="K12" t="inlineStr">
        <is>
          <t>Inputs (Western Haynesville $/ft)</t>
        </is>
      </c>
    </row>
    <row r="13">
      <c r="A13" t="inlineStr">
        <is>
          <t>C5</t>
        </is>
      </c>
      <c r="B13" t="inlineStr">
        <is>
          <t>opex</t>
        </is>
      </c>
      <c r="C13" t="inlineStr">
        <is>
          <t>Production cost Q2 2026: gathering &amp; transportation $0.38, lease operating $0.25, production &amp; other taxes $0.06 (+ cash G&amp;A $0.08; total $0.77) per Mcfe; realised $2.55/Mcfe before hedging</t>
        </is>
      </c>
      <c r="D13" t="inlineStr">
        <is>
          <t>0.38 / 0.25 / 0.06</t>
        </is>
      </c>
      <c r="E13" t="inlineStr">
        <is>
          <t>$ per Mcfe</t>
        </is>
      </c>
      <c r="F13" t="inlineStr">
        <is>
          <t>Q2 2026</t>
        </is>
      </c>
      <c r="G13" t="inlineStr">
        <is>
          <t>Comstock Resources</t>
        </is>
      </c>
      <c r="H13" t="inlineStr">
        <is>
          <t>Q2 2026 results, SEC 8-K Ex. 99.1 (29 Jul 2026)</t>
        </is>
      </c>
      <c r="I13" t="inlineStr">
        <is>
          <t>https://www.sec.gov/Archives/edgar/data/23194/000119312526323767/crk-ex99_1.htm</t>
        </is>
      </c>
      <c r="J13" t="inlineStr">
        <is>
          <t>OPENED in GitHub Actions 6 Oct 2026</t>
        </is>
      </c>
      <c r="K13" t="inlineStr">
        <is>
          <t>Inputs (variable cost)</t>
        </is>
      </c>
    </row>
    <row r="14">
      <c r="A14" t="inlineStr">
        <is>
          <t>C6</t>
        </is>
      </c>
      <c r="B14" t="inlineStr">
        <is>
          <t>IP</t>
        </is>
      </c>
      <c r="C14" t="inlineStr">
        <is>
          <t>YTD 2026 wells turned to sales: Legacy 22 wells, 12,052 ft average, IP 31 MMcf/d; Western Haynesville 11 wells, 10,331 ft average, IP 31 MMcf/d (per-well tables on slides 17-18)</t>
        </is>
      </c>
      <c r="D14" t="inlineStr">
        <is>
          <t>31 / 31</t>
        </is>
      </c>
      <c r="E14" t="inlineStr">
        <is>
          <t>MMcf/d per well</t>
        </is>
      </c>
      <c r="F14" t="inlineStr">
        <is>
          <t>30 Jun 2026</t>
        </is>
      </c>
      <c r="G14" t="inlineStr">
        <is>
          <t>Comstock Resources</t>
        </is>
      </c>
      <c r="H14" t="inlineStr">
        <is>
          <t>Investor Presentation October 2026, slides 17-18; Q2 2026 8-K</t>
        </is>
      </c>
      <c r="I14" t="inlineStr">
        <is>
          <t>https://investors.comstockresources.com/static-files/5a596a22-02f6-4b49-a9cc-93ecfe0179c0</t>
        </is>
      </c>
      <c r="J14" t="inlineStr">
        <is>
          <t>OPENED in GitHub Actions 6 Oct 2026</t>
        </is>
      </c>
      <c r="K14" t="inlineStr">
        <is>
          <t>'Cross-checks' (IP per 1,000 ft; Western vs Legacy 1.17x); not used for EUR</t>
        </is>
      </c>
    </row>
    <row r="15">
      <c r="A15" t="inlineStr">
        <is>
          <t>C7</t>
        </is>
      </c>
      <c r="B15" t="inlineStr">
        <is>
          <t>inventory</t>
        </is>
      </c>
      <c r="C15" t="inlineStr">
        <is>
          <t>Dec 2025: 1,848 gross (886 net) Legacy and 3,343 gross (2,561 net) Western Haynesville drilling locations; average lateral 10,077 ft / 8,873 ft; PUD 4.2 Tcf from 332 undeveloped locations (no PUD well below 10% rate of return)</t>
        </is>
      </c>
      <c r="D15" t="inlineStr">
        <is>
          <t>1,848 / 3,343 / 4.2 Tcf / 332</t>
        </is>
      </c>
      <c r="E15" t="inlineStr">
        <is>
          <t>locations / Tcf</t>
        </is>
      </c>
      <c r="F15" t="inlineStr">
        <is>
          <t>31 Dec 2025</t>
        </is>
      </c>
      <c r="G15" t="inlineStr">
        <is>
          <t>Comstock Resources</t>
        </is>
      </c>
      <c r="H15" t="inlineStr">
        <is>
          <t>Form 10-K FY2025 (filed 19 Feb 2026), Item 1 and reserves note</t>
        </is>
      </c>
      <c r="I15" t="inlineStr">
        <is>
          <t>https://www.sec.gov/Archives/edgar/data/23194/000119312526059001/crk-20251231.htm</t>
        </is>
      </c>
      <c r="J15" t="inlineStr">
        <is>
          <t>OPENED in GitHub Actions 6 Oct 2026</t>
        </is>
      </c>
      <c r="K15" t="inlineStr">
        <is>
          <t>'Cross-checks' (PUD Bcf per location)</t>
        </is>
      </c>
    </row>
    <row r="16">
      <c r="A16" t="inlineStr">
        <is>
          <t>C8</t>
        </is>
      </c>
      <c r="B16" t="inlineStr">
        <is>
          <t>well cost</t>
        </is>
      </c>
      <c r="C16" t="inlineStr">
        <is>
          <t>Q2 2025: five Western Haynesville wells, 10,897 ft, IP 36 MMcf/d, drilled and completed at $2,647 per completed lateral foot</t>
        </is>
      </c>
      <c r="D16" t="inlineStr">
        <is>
          <t>2,647</t>
        </is>
      </c>
      <c r="E16" t="inlineStr">
        <is>
          <t>$ per lateral ft</t>
        </is>
      </c>
      <c r="F16" t="inlineStr">
        <is>
          <t>Q2 2025</t>
        </is>
      </c>
      <c r="G16" t="inlineStr">
        <is>
          <t>Comstock Resources</t>
        </is>
      </c>
      <c r="H16" t="inlineStr">
        <is>
          <t>Q2 2025 results, SEC 8-K Ex. 99.1 (30 Jul 2025)</t>
        </is>
      </c>
      <c r="I16" t="inlineStr">
        <is>
          <t>https://www.sec.gov/Archives/edgar/data/23194/000095017025100294/crk-ex99_1.htm</t>
        </is>
      </c>
      <c r="J16" t="inlineStr">
        <is>
          <t>OPENED in GitHub Actions 6 Oct 2026</t>
        </is>
      </c>
      <c r="K16" t="inlineStr">
        <is>
          <t>reference only (older basis; the Q2 2026 slide is used)</t>
        </is>
      </c>
    </row>
    <row r="17">
      <c r="A17" t="inlineStr">
        <is>
          <t>E1</t>
        </is>
      </c>
      <c r="B17" t="inlineStr">
        <is>
          <t>breakeven</t>
        </is>
      </c>
      <c r="C17" t="inlineStr">
        <is>
          <t>Haynesville 'Capital efficiency improvements yielding &lt;$2.75 breakeven' (annual asset-level breakeven, excludes corporate items; hurdle/discount basis not stated)</t>
        </is>
      </c>
      <c r="D17" t="inlineStr">
        <is>
          <t>&lt;2.75</t>
        </is>
      </c>
      <c r="E17" t="inlineStr">
        <is>
          <t>$/MMBtu (company basis)</t>
        </is>
      </c>
      <c r="F17" t="inlineStr">
        <is>
          <t>28 Oct 2025</t>
        </is>
      </c>
      <c r="G17" t="inlineStr">
        <is>
          <t>Expand Energy</t>
        </is>
      </c>
      <c r="H17" t="inlineStr">
        <is>
          <t>3Q 2025 Earnings presentation, slides 3 and 12</t>
        </is>
      </c>
      <c r="I17" t="inlineStr">
        <is>
          <t>https://investors.expandenergy.com/static-files/b269b415-dfe3-4eca-b66c-250be02bcbae</t>
        </is>
      </c>
      <c r="J17" t="inlineStr">
        <is>
          <t>OPENED in GitHub Actions 6 Oct 2026</t>
        </is>
      </c>
      <c r="K17" t="inlineStr">
        <is>
          <t>'Cross-checks' vs model Tier 1</t>
        </is>
      </c>
    </row>
    <row r="18">
      <c r="A18" t="inlineStr">
        <is>
          <t>E2</t>
        </is>
      </c>
      <c r="B18" t="inlineStr">
        <is>
          <t>EUR</t>
        </is>
      </c>
      <c r="C18" t="inlineStr">
        <is>
          <t>Average Haynesville 12-month cumulative productivity, Mcfe per lateral ft: 2022 806, 2023 812, 2024 783, 2025E ~835, 2026E ~855; 'average EXE well productivity ~40% greater than basin average 2022-25' (peer data Enverus)</t>
        </is>
      </c>
      <c r="D18" t="inlineStr">
        <is>
          <t>855 (2026E)</t>
        </is>
      </c>
      <c r="E18" t="inlineStr">
        <is>
          <t>Mcfe/ft, 12 months</t>
        </is>
      </c>
      <c r="F18" t="inlineStr">
        <is>
          <t>28 Oct 2025</t>
        </is>
      </c>
      <c r="G18" t="inlineStr">
        <is>
          <t>Expand Energy</t>
        </is>
      </c>
      <c r="H18" t="inlineStr">
        <is>
          <t>3Q 2025 Earnings presentation, slide 12 (chart labels)</t>
        </is>
      </c>
      <c r="I18" t="inlineStr">
        <is>
          <t>https://investors.expandenergy.com/static-files/b269b415-dfe3-4eca-b66c-250be02bcbae</t>
        </is>
      </c>
      <c r="J18" t="inlineStr">
        <is>
          <t>OPENED in GitHub Actions 6 Oct 2026; value READ OFF A CHART IMAGE (rendered page, approx. +/-3%)</t>
        </is>
      </c>
      <c r="K18" t="inlineStr">
        <is>
          <t>Inputs (productivity anchor)</t>
        </is>
      </c>
    </row>
    <row r="19">
      <c r="A19" t="inlineStr">
        <is>
          <t>E3</t>
        </is>
      </c>
      <c r="B19" t="inlineStr">
        <is>
          <t>well cost</t>
        </is>
      </c>
      <c r="C19" t="inlineStr">
        <is>
          <t>Haynesville well cost per lateral ft: 2022 $1,657, 2023 $1,847, 2024 $1,573, 2025E ~$1,370, 2026E ~$1,340 (Legacy CHK + Legacy SWN actuals)</t>
        </is>
      </c>
      <c r="D19" t="inlineStr">
        <is>
          <t>~1,340 (2026E)</t>
        </is>
      </c>
      <c r="E19" t="inlineStr">
        <is>
          <t>$ per lateral ft</t>
        </is>
      </c>
      <c r="F19" t="inlineStr">
        <is>
          <t>28 Oct 2025</t>
        </is>
      </c>
      <c r="G19" t="inlineStr">
        <is>
          <t>Expand Energy</t>
        </is>
      </c>
      <c r="H19" t="inlineStr">
        <is>
          <t>3Q 2025 Earnings presentation, slide 12 (chart labels)</t>
        </is>
      </c>
      <c r="I19" t="inlineStr">
        <is>
          <t>https://investors.expandenergy.com/static-files/b269b415-dfe3-4eca-b66c-250be02bcbae</t>
        </is>
      </c>
      <c r="J19" t="inlineStr">
        <is>
          <t>OPENED in GitHub Actions 6 Oct 2026; value READ OFF A CHART IMAGE (rendered page, approx. +/-3%)</t>
        </is>
      </c>
      <c r="K19" t="inlineStr">
        <is>
          <t>'Cross-checks' vs Comstock Legacy $1,390</t>
        </is>
      </c>
    </row>
    <row r="20">
      <c r="A20" t="inlineStr">
        <is>
          <t>E4</t>
        </is>
      </c>
      <c r="B20" t="inlineStr">
        <is>
          <t>inventory</t>
        </is>
      </c>
      <c r="C20" t="inlineStr">
        <is>
          <t>Haynesville: &gt;2,000 gross locations (31 Dec 2024), ~664,000 net acres, FY25E production ~3,000 MMcfe/d; &gt;5,000 gross locations (all basins) / ~250 TILs a year = 20+ years; Western Haynesville 75,000+ net acres, potential to unlock &gt;200 locations (10k-ft normalised)</t>
        </is>
      </c>
      <c r="D20" t="inlineStr">
        <is>
          <t>&gt;2,000 / &gt;200</t>
        </is>
      </c>
      <c r="E20" t="inlineStr">
        <is>
          <t>locations</t>
        </is>
      </c>
      <c r="F20" t="inlineStr">
        <is>
          <t>28 Oct 2025</t>
        </is>
      </c>
      <c r="G20" t="inlineStr">
        <is>
          <t>Expand Energy</t>
        </is>
      </c>
      <c r="H20" t="inlineStr">
        <is>
          <t>3Q 2025 Earnings presentation, slides 4 and 13</t>
        </is>
      </c>
      <c r="I20" t="inlineStr">
        <is>
          <t>https://investors.expandenergy.com/static-files/b269b415-dfe3-4eca-b66c-250be02bcbae</t>
        </is>
      </c>
      <c r="J20" t="inlineStr">
        <is>
          <t>OPENED in GitHub Actions 6 Oct 2026</t>
        </is>
      </c>
      <c r="K20" t="inlineStr">
        <is>
          <t>Inputs (Expand Western row); cross-check</t>
        </is>
      </c>
    </row>
    <row r="21">
      <c r="A21" t="inlineStr">
        <is>
          <t>E5</t>
        </is>
      </c>
      <c r="B21" t="inlineStr">
        <is>
          <t>breakeven</t>
        </is>
      </c>
      <c r="C21" t="inlineStr">
        <is>
          <t>'Improved our Haynesville breakevens by approximately 15%' in 2025 (qualitative; no $ figure in the release)</t>
        </is>
      </c>
      <c r="D21" t="inlineStr">
        <is>
          <t>~15%</t>
        </is>
      </c>
      <c r="E21" t="inlineStr">
        <is>
          <t>%</t>
        </is>
      </c>
      <c r="F21" t="inlineStr">
        <is>
          <t>17 Feb 2026</t>
        </is>
      </c>
      <c r="G21" t="inlineStr">
        <is>
          <t>Expand Energy</t>
        </is>
      </c>
      <c r="H21" t="inlineStr">
        <is>
          <t>4Q 2025 results release, SEC 8-K Ex. 99.1; 2Q 2026 release (28 Jul 2026) repeats the theme</t>
        </is>
      </c>
      <c r="I21" t="inlineStr">
        <is>
          <t>https://www.sec.gov/Archives/edgar/data/895126/000089512626000046/exe-ex_991x20260630x8kxpr.htm</t>
        </is>
      </c>
      <c r="J21" t="inlineStr">
        <is>
          <t>OPENED in GitHub Actions 6 Oct 2026</t>
        </is>
      </c>
      <c r="K21" t="inlineStr">
        <is>
          <t>context</t>
        </is>
      </c>
    </row>
    <row r="22">
      <c r="A22" t="inlineStr">
        <is>
          <t>A1</t>
        </is>
      </c>
      <c r="B22" t="inlineStr">
        <is>
          <t>EUR</t>
        </is>
      </c>
      <c r="C22" t="inlineStr">
        <is>
          <t>AEO2023 Oil &amp; Gas Supply Module: Haynesville-Bossier LA 1,935 mi2, 6 wells/mi2, average EUR 10.532 Bcf/well, TRR 121.9 Tcf; TX 1,561 mi2, 6 wells/mi2, 9.248 Bcf/well, 86.3 Tcf (unproved resources as of 1 Jan 2021)</t>
        </is>
      </c>
      <c r="D22" t="inlineStr">
        <is>
          <t>10.5 / 9.2 Bcf/well</t>
        </is>
      </c>
      <c r="E22" t="inlineStr">
        <is>
          <t>Bcf per well</t>
        </is>
      </c>
      <c r="F22" t="inlineStr">
        <is>
          <t>AEO2023 (Mar 2023)</t>
        </is>
      </c>
      <c r="G22" t="inlineStr">
        <is>
          <t>U.S. EIA</t>
        </is>
      </c>
      <c r="H22" t="inlineStr">
        <is>
          <t>Assumptions to the AEO2023: Oil and Gas Supply Module, Table 3</t>
        </is>
      </c>
      <c r="I22" t="inlineStr">
        <is>
          <t>https://www.eia.gov/outlooks/aeo/assumptions/pdf/OGSM_Assumptions.pdf</t>
        </is>
      </c>
      <c r="J22" t="inlineStr">
        <is>
          <t>OPENED in GitHub Actions 6 Oct 2026</t>
        </is>
      </c>
      <c r="K22" t="inlineStr">
        <is>
          <t>'Cross-checks' only (lateral basis not stated)</t>
        </is>
      </c>
    </row>
    <row r="23">
      <c r="A23" t="inlineStr">
        <is>
          <t>A2</t>
        </is>
      </c>
      <c r="B23" t="inlineStr">
        <is>
          <t>price context</t>
        </is>
      </c>
      <c r="C23" t="inlineStr">
        <is>
          <t>EIA forecasts Henry Hub spot $3.44/MMBtu average in 2026; 'at this price drilling in the Haynesville remains economical'; Haynesville production +1.3 Bcf/d (9%) in 2026</t>
        </is>
      </c>
      <c r="D23" t="inlineStr">
        <is>
          <t>3.44</t>
        </is>
      </c>
      <c r="E23" t="inlineStr">
        <is>
          <t>$/MMBtu</t>
        </is>
      </c>
      <c r="F23" t="inlineStr">
        <is>
          <t>Aug 2026 STEO</t>
        </is>
      </c>
      <c r="G23" t="inlineStr">
        <is>
          <t>U.S. EIA</t>
        </is>
      </c>
      <c r="H23" t="inlineStr">
        <is>
          <t>Today in Energy 'United States on track for record natural gas production in 2026'</t>
        </is>
      </c>
      <c r="I23" t="inlineStr">
        <is>
          <t>https://www.eia.gov/todayinenergy/detail.php?id=67944</t>
        </is>
      </c>
      <c r="J23" t="inlineStr">
        <is>
          <t>OPENED in GitHub Actions 6 Oct 2026</t>
        </is>
      </c>
      <c r="K23" t="inlineStr">
        <is>
          <t>context</t>
        </is>
      </c>
    </row>
    <row r="24">
      <c r="A24" t="inlineStr">
        <is>
          <t>A3</t>
        </is>
      </c>
      <c r="B24" t="inlineStr">
        <is>
          <t>price expectation</t>
        </is>
      </c>
      <c r="C24" t="inlineStr">
        <is>
          <t>Dallas Fed Energy Survey Q3 2026: respondents expect Henry Hub $3.29 at year-end 2026, $3.82 in two years, $4.28 in five years (Q1 2026: $3.60 / $4.03 / $4.42)</t>
        </is>
      </c>
      <c r="D24" t="inlineStr">
        <is>
          <t>3.82 / 4.28</t>
        </is>
      </c>
      <c r="E24" t="inlineStr">
        <is>
          <t>$/MMBtu</t>
        </is>
      </c>
      <c r="F24" t="inlineStr">
        <is>
          <t>30 Sep 2026</t>
        </is>
      </c>
      <c r="G24" t="inlineStr">
        <is>
          <t>Federal Reserve Bank of Dallas</t>
        </is>
      </c>
      <c r="H24" t="inlineStr">
        <is>
          <t>Dallas Fed Energy Survey, third quarter 2026 (and first quarter 2026)</t>
        </is>
      </c>
      <c r="I24" t="inlineStr">
        <is>
          <t>https://www.dallasfed.org/research/surveys/des/2026/2603</t>
        </is>
      </c>
      <c r="J24" t="inlineStr">
        <is>
          <t>OPENED in GitHub Actions 6 Oct 2026</t>
        </is>
      </c>
      <c r="K24" t="inlineStr">
        <is>
          <t>'Mapping' reference</t>
        </is>
      </c>
    </row>
    <row r="25">
      <c r="A25" t="inlineStr">
        <is>
          <t>A4</t>
        </is>
      </c>
      <c r="B25" t="inlineStr">
        <is>
          <t>breakeven</t>
        </is>
      </c>
      <c r="C25" t="inlineStr">
        <is>
          <t>Dallas Fed annual break-even update is for OIL by basin only ($62-70/bbl; Permian $67/bbl, Q1 2026); no gas or Haynesville breakeven is published in the report text</t>
        </is>
      </c>
      <c r="D25" t="inlineStr">
        <is>
          <t>n/a</t>
        </is>
      </c>
      <c r="E25" t="inlineStr">
        <is>
          <t>-</t>
        </is>
      </c>
      <c r="F25" t="inlineStr">
        <is>
          <t>25 Mar 2026</t>
        </is>
      </c>
      <c r="G25" t="inlineStr">
        <is>
          <t>Federal Reserve Bank of Dallas</t>
        </is>
      </c>
      <c r="H25" t="inlineStr">
        <is>
          <t>Dallas Fed Energy Survey, first quarter 2026 (and Q1 2025)</t>
        </is>
      </c>
      <c r="I25" t="inlineStr">
        <is>
          <t>https://www.dallasfed.org/research/surveys/des/2026/2601</t>
        </is>
      </c>
      <c r="J25" t="inlineStr">
        <is>
          <t>OPENED in GitHub Actions 6 Oct 2026</t>
        </is>
      </c>
      <c r="K25" t="inlineStr">
        <is>
          <t>none - no gas breakeven</t>
        </is>
      </c>
    </row>
    <row r="26">
      <c r="A26" t="inlineStr">
        <is>
          <t>A5</t>
        </is>
      </c>
      <c r="B26" t="inlineStr">
        <is>
          <t>context</t>
        </is>
      </c>
      <c r="C26" t="inlineStr">
        <is>
          <t>EIA Drilling Productivity Report, last edition (May 2024): Haynesville June 2024 gas 15,606 -&gt; 15,339 MMcf/d, new wells +472, legacy decline -739 MMcf/d in one month; new-well gas per rig 13,487 Mcf/d. EIA moved the data into the STEO from June 2024</t>
        </is>
      </c>
      <c r="D26" t="inlineStr">
        <is>
          <t>-739 MMcf/d per month</t>
        </is>
      </c>
      <c r="E26" t="inlineStr">
        <is>
          <t>MMcf/d</t>
        </is>
      </c>
      <c r="F26" t="inlineStr">
        <is>
          <t>May 2024</t>
        </is>
      </c>
      <c r="G26" t="inlineStr">
        <is>
          <t>U.S. EIA</t>
        </is>
      </c>
      <c r="H26" t="inlineStr">
        <is>
          <t>Drilling Productivity Report, Haynesville Region page 7</t>
        </is>
      </c>
      <c r="I26" t="inlineStr">
        <is>
          <t>https://www.eia.gov/petroleum/drilling/</t>
        </is>
      </c>
      <c r="J26" t="inlineStr">
        <is>
          <t>OPENED in GitHub Actions 6 Oct 2026</t>
        </is>
      </c>
      <c r="K26" t="inlineStr">
        <is>
          <t>context for the base-decline note; not used</t>
        </is>
      </c>
    </row>
    <row r="27">
      <c r="A27" t="inlineStr">
        <is>
          <t>S1</t>
        </is>
      </c>
      <c r="B27" t="inlineStr">
        <is>
          <t>breakeven (secondary)</t>
        </is>
      </c>
      <c r="C27" t="inlineStr">
        <is>
          <t>Aethon CEO: 'most producers need $3.50/MMBtu to produce profitably' (Goldman Sachs conference, Jan 2025); article also quotes a '2023 EIA study: at 10% IRR, 13% of Haynesville acreage profitable at $4, 72% at $8' - the EIA study itself was NOT found or opened</t>
        </is>
      </c>
      <c r="D27" t="inlineStr">
        <is>
          <t>3.50</t>
        </is>
      </c>
      <c r="E27" t="inlineStr">
        <is>
          <t>$/MMBtu</t>
        </is>
      </c>
      <c r="F27" t="inlineStr">
        <is>
          <t>15 Apr 2025</t>
        </is>
      </c>
      <c r="G27" t="inlineStr">
        <is>
          <t>Evaluate Energy (secondary article)</t>
        </is>
      </c>
      <c r="H27" t="inlineStr">
        <is>
          <t>'Haynesville producers eye rising gas prices'</t>
        </is>
      </c>
      <c r="I27" t="inlineStr">
        <is>
          <t>https://info.evaluateenergy.com/haynesville-producers-eye-rising-gas-prices/</t>
        </is>
      </c>
      <c r="J27" t="inlineStr">
        <is>
          <t>OPENED (secondary quote; underlying documents not opened)</t>
        </is>
      </c>
      <c r="K27" t="inlineStr">
        <is>
          <t>not used</t>
        </is>
      </c>
    </row>
    <row r="28">
      <c r="A28" t="inlineStr">
        <is>
          <t>S2</t>
        </is>
      </c>
      <c r="B28" t="inlineStr">
        <is>
          <t>breakeven (old)</t>
        </is>
      </c>
      <c r="C28" t="inlineStr">
        <is>
          <t>BTU Analytics (Feb 2016): best Haynesville acreage breakeven $1.50-3.00/MMBtu, plenty of areas above $5; only 20% of sub-$2 locations (177 wells) drilled</t>
        </is>
      </c>
      <c r="D28" t="inlineStr">
        <is>
          <t>1.5-3.0 / &gt;5</t>
        </is>
      </c>
      <c r="E28" t="inlineStr">
        <is>
          <t>$/MMBtu</t>
        </is>
      </c>
      <c r="F28" t="inlineStr">
        <is>
          <t>19 Feb 2016</t>
        </is>
      </c>
      <c r="G28" t="inlineStr">
        <is>
          <t>NGI Shale Daily (via BEG ext-aff copy)</t>
        </is>
      </c>
      <c r="H28" t="inlineStr">
        <is>
          <t>'Haynesville An Able Price Competitor With Northeast NatGas in Plenty of Areas'</t>
        </is>
      </c>
      <c r="I28" t="inlineStr">
        <is>
          <t>https://www.beg.utexas.edu/files/content/beg/ext-aff/16-02/Haynesville%20An%20Able%20Price%20Competitor%20With%20Northeast%20NatGas%20in%20'Plenty%20of%20Areas'.pdf</t>
        </is>
      </c>
      <c r="J28" t="inlineStr">
        <is>
          <t>OPENED (2016 costs, stale)</t>
        </is>
      </c>
      <c r="K28" t="inlineStr">
        <is>
          <t>not 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4" customWidth="1" min="4" max="4"/>
    <col width="16" customWidth="1" min="5" max="5"/>
    <col width="16" customWidth="1" min="6" max="6"/>
    <col width="14" customWidth="1" min="7" max="7"/>
    <col width="16" customWidth="1" min="8" max="8"/>
    <col width="14" customWidth="1" min="9" max="9"/>
    <col width="18" customWidth="1" min="10" max="10"/>
    <col width="20" customWidth="1" min="11" max="11"/>
    <col width="90" customWidth="1" min="12" max="12"/>
  </cols>
  <sheetData>
    <row r="1">
      <c r="A1" s="3" t="inlineStr">
        <is>
          <t>Inputs - yellow cells are editable and survive reruns. APPROXIMATE - built from company disclosures and BEG tiering; breakevens are pre-tax model results, not a vendor curve</t>
        </is>
      </c>
    </row>
    <row r="2">
      <c r="A2" t="inlineStr">
        <is>
          <t>Block A: assumptions. Block B: tiers (rows can be overwritten with your own curve: use the two override columns).</t>
        </is>
      </c>
    </row>
    <row r="4">
      <c r="A4" s="4" t="inlineStr">
        <is>
          <t>Assumption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Status</t>
        </is>
      </c>
      <c r="E4" s="4" t="inlineStr">
        <is>
          <t>Source / note</t>
        </is>
      </c>
    </row>
    <row r="5" ht="30" customHeight="1">
      <c r="A5" t="inlineStr">
        <is>
          <t>Discount rate for breakeven (pre-tax NPV = 0)</t>
        </is>
      </c>
      <c r="B5" s="5" t="n">
        <v>0.1</v>
      </c>
      <c r="C5" t="inlineStr">
        <is>
          <t>share</t>
        </is>
      </c>
      <c r="D5" s="6" t="inlineStr">
        <is>
          <t>ASSUMPTION</t>
        </is>
      </c>
      <c r="E5" s="7" t="inlineStr">
        <is>
          <t>BEG and the EIA study quoted by Evaluate Energy use a 10% IRR hurdle; Expand's own breakeven basis is not stated.</t>
        </is>
      </c>
    </row>
    <row r="6" ht="30" customHeight="1">
      <c r="A6" t="inlineStr">
        <is>
          <t>Royalty rate</t>
        </is>
      </c>
      <c r="B6" s="5" t="n">
        <v>0.25</v>
      </c>
      <c r="C6" t="inlineStr">
        <is>
          <t>share of revenue</t>
        </is>
      </c>
      <c r="D6" s="8" t="inlineStr">
        <is>
          <t>SOURCED</t>
        </is>
      </c>
      <c r="E6" s="7" t="inlineStr">
        <is>
          <t>BEG Table 1 (2015). Current lease royalties are not in the opened company documents.</t>
        </is>
      </c>
    </row>
    <row r="7" ht="30" customHeight="1">
      <c r="A7" t="inlineStr">
        <is>
          <t>Basis, Henry Hub to wellhead (negative = wellhead below HH)</t>
        </is>
      </c>
      <c r="B7" s="5" t="n">
        <v>-0.07000000000000001</v>
      </c>
      <c r="C7" t="inlineStr">
        <is>
          <t>$/MMBtu</t>
        </is>
      </c>
      <c r="D7" s="8" t="inlineStr">
        <is>
          <t>SOURCED</t>
        </is>
      </c>
      <c r="E7" s="7" t="inlineStr">
        <is>
          <t>BEG Table 1 (2015); present-day Gulf Coast basis not sourced. Breakeven is quoted at Henry Hub: HH = needed realised price - basis.</t>
        </is>
      </c>
    </row>
    <row r="8" ht="30" customHeight="1">
      <c r="A8" t="inlineStr">
        <is>
          <t>Lease operating cost</t>
        </is>
      </c>
      <c r="B8" s="5" t="n">
        <v>0.25</v>
      </c>
      <c r="C8" t="inlineStr">
        <is>
          <t>$/Mcf</t>
        </is>
      </c>
      <c r="D8" s="8" t="inlineStr">
        <is>
          <t>SOURCED</t>
        </is>
      </c>
      <c r="E8" s="7" t="inlineStr">
        <is>
          <t>Comstock Q2 2026 release (per Mcfe, ~96% gas).</t>
        </is>
      </c>
    </row>
    <row r="9" ht="30" customHeight="1">
      <c r="A9" t="inlineStr">
        <is>
          <t>Gathering &amp; transportation</t>
        </is>
      </c>
      <c r="B9" s="5" t="n">
        <v>0.38</v>
      </c>
      <c r="C9" t="inlineStr">
        <is>
          <t>$/Mcf</t>
        </is>
      </c>
      <c r="D9" s="8" t="inlineStr">
        <is>
          <t>SOURCED</t>
        </is>
      </c>
      <c r="E9" s="7" t="inlineStr">
        <is>
          <t>Comstock Q2 2026 release (company-owned midstream; third-party rates will differ).</t>
        </is>
      </c>
    </row>
    <row r="10" ht="30" customHeight="1">
      <c r="A10" t="inlineStr">
        <is>
          <t>Production &amp; other taxes</t>
        </is>
      </c>
      <c r="B10" s="5" t="n">
        <v>0.06</v>
      </c>
      <c r="C10" t="inlineStr">
        <is>
          <t>$/Mcf</t>
        </is>
      </c>
      <c r="D10" s="8" t="inlineStr">
        <is>
          <t>SOURCED</t>
        </is>
      </c>
      <c r="E10" s="7" t="inlineStr">
        <is>
          <t>Comstock Q2 2026 release (guidance 2026: 0.10-0.15).</t>
        </is>
      </c>
    </row>
    <row r="11" ht="30" customHeight="1">
      <c r="A11" t="inlineStr">
        <is>
          <t>Facilities &amp; other capex as share of D&amp;C</t>
        </is>
      </c>
      <c r="B11" s="5" t="n">
        <v>0.13</v>
      </c>
      <c r="C11" t="inlineStr">
        <is>
          <t>share</t>
        </is>
      </c>
      <c r="D11" s="6" t="inlineStr">
        <is>
          <t>ASSUMPTION</t>
        </is>
      </c>
      <c r="E11" s="7" t="inlineStr">
        <is>
          <t>BEG Table 1 'related capital expenditures 13%' (2015) applied to today's D&amp;C; Comstock's $/ft is drilling + completion only.</t>
        </is>
      </c>
    </row>
    <row r="12" ht="30" customHeight="1">
      <c r="A12" t="inlineStr">
        <is>
          <t>Cumulative share of EUR recovered after 5 years</t>
        </is>
      </c>
      <c r="B12" s="5" t="n">
        <v>0.8</v>
      </c>
      <c r="C12" t="inlineStr">
        <is>
          <t>share</t>
        </is>
      </c>
      <c r="D12" s="6" t="inlineStr">
        <is>
          <t>ASSUMPTION</t>
        </is>
      </c>
      <c r="E12" s="7" t="inlineStr">
        <is>
          <t>BEG text: 'more than 80%' (Tier 1 78%). Anchor for the decline shape.</t>
        </is>
      </c>
    </row>
    <row r="13" ht="30" customHeight="1">
      <c r="A13" t="inlineStr">
        <is>
          <t>Cumulative share of EUR recovered after 10 years</t>
        </is>
      </c>
      <c r="B13" s="5" t="n">
        <v>0.92</v>
      </c>
      <c r="C13" t="inlineStr">
        <is>
          <t>share</t>
        </is>
      </c>
      <c r="D13" s="6" t="inlineStr">
        <is>
          <t>ASSUMPTION</t>
        </is>
      </c>
      <c r="E13" s="7" t="inlineStr">
        <is>
          <t>BEG text: 'more than 90%'. Anchor for the decline shape.</t>
        </is>
      </c>
    </row>
    <row r="14" ht="30" customHeight="1">
      <c r="A14" t="inlineStr">
        <is>
          <t>12-month cumulative production of a modern Tier 1 well</t>
        </is>
      </c>
      <c r="B14" s="5" t="n">
        <v>0.855</v>
      </c>
      <c r="C14" t="inlineStr">
        <is>
          <t>Bcfe per 1,000 lateral ft</t>
        </is>
      </c>
      <c r="D14" s="8" t="inlineStr">
        <is>
          <t>SOURCED</t>
        </is>
      </c>
      <c r="E14" s="7" t="inlineStr">
        <is>
          <t>Expand 3Q25 deck slide 12: ~855 Mcfe/ft (2026E, company estimate; Mcfe ~ Mcf, Expand is ~92% gas).</t>
        </is>
      </c>
    </row>
    <row r="15" ht="30" customHeight="1">
      <c r="A15" t="inlineStr">
        <is>
          <t>D&amp;C cost per lateral foot, Legacy tiers</t>
        </is>
      </c>
      <c r="B15" s="5" t="n">
        <v>1390</v>
      </c>
      <c r="C15" t="inlineStr">
        <is>
          <t>$/ft</t>
        </is>
      </c>
      <c r="D15" s="8" t="inlineStr">
        <is>
          <t>SOURCED</t>
        </is>
      </c>
      <c r="E15" s="7" t="inlineStr">
        <is>
          <t>Comstock Oct 2026 deck slide 21, Q2 2026: $710 drilling + $680 completion (laterals &gt;8,500 ft). Expand 2026E ~$1,340 (cross-check).</t>
        </is>
      </c>
    </row>
    <row r="16" ht="30" customHeight="1">
      <c r="A16" t="inlineStr">
        <is>
          <t>D&amp;C cost per lateral foot, Western Haynesville</t>
        </is>
      </c>
      <c r="B16" s="5" t="n">
        <v>3347</v>
      </c>
      <c r="C16" t="inlineStr">
        <is>
          <t>$/ft</t>
        </is>
      </c>
      <c r="D16" s="8" t="inlineStr">
        <is>
          <t>SOURCED</t>
        </is>
      </c>
      <c r="E16" s="7" t="inlineStr">
        <is>
          <t>Comstock Oct 2026 deck slide 22, Q2 2026: $1,738 + $1,609.</t>
        </is>
      </c>
    </row>
    <row r="17" ht="30" customHeight="1">
      <c r="A17" t="inlineStr">
        <is>
          <t>Western Haynesville productivity per ft relative to modern Tier 1</t>
        </is>
      </c>
      <c r="B17" s="5" t="n">
        <v>1</v>
      </c>
      <c r="C17" t="inlineStr">
        <is>
          <t>ratio</t>
        </is>
      </c>
      <c r="D17" s="6" t="inlineStr">
        <is>
          <t>ASSUMPTION</t>
        </is>
      </c>
      <c r="E17" s="7" t="inlineStr">
        <is>
          <t>NO sourced Western Haynesville EUR. 1.0 = same EUR per foot as Tier 1. Comstock's YTD-2026 IP per 1,000 ft is 1.17x Legacy ('Cross-checks'), but IP is not EUR.</t>
        </is>
      </c>
    </row>
    <row r="18" ht="30" customHeight="1">
      <c r="A18" t="inlineStr">
        <is>
          <t>Developable share of partly drilled inventory</t>
        </is>
      </c>
      <c r="B18" s="5" t="n">
        <v>0.8</v>
      </c>
      <c r="C18" t="inlineStr">
        <is>
          <t>share</t>
        </is>
      </c>
      <c r="D18" s="8" t="inlineStr">
        <is>
          <t>SOURCED</t>
        </is>
      </c>
      <c r="E18" s="7" t="inlineStr">
        <is>
          <t>BEG Table 2 development ceiling (2015).</t>
        </is>
      </c>
    </row>
    <row r="19" ht="30" customHeight="1">
      <c r="A19" t="inlineStr">
        <is>
          <t>Developable share of undrilled inventory</t>
        </is>
      </c>
      <c r="B19" s="5" t="n">
        <v>0.4</v>
      </c>
      <c r="C19" t="inlineStr">
        <is>
          <t>share</t>
        </is>
      </c>
      <c r="D19" s="8" t="inlineStr">
        <is>
          <t>SOURCED</t>
        </is>
      </c>
      <c r="E19" s="7" t="inlineStr">
        <is>
          <t>BEG Table 2 development ceiling (2015).</t>
        </is>
      </c>
    </row>
    <row r="20" ht="30" customHeight="1">
      <c r="A20" t="inlineStr">
        <is>
          <t>Share of BEG's 2012 legacy inventory still undrilled today</t>
        </is>
      </c>
      <c r="B20" s="5" t="n">
        <v>1</v>
      </c>
      <c r="C20" t="inlineStr">
        <is>
          <t>share</t>
        </is>
      </c>
      <c r="D20" s="6" t="inlineStr">
        <is>
          <t>ASSUMPTION</t>
        </is>
      </c>
      <c r="E20" s="7" t="inlineStr">
        <is>
          <t>NOT sourced: thousands of Haynesville wells have been drilled since BEG's 2012 count and are not deducted (1.0 = no haircut). Set below 1 to shrink Legacy Tiers 1-6; see 'Sensitivity values' for 50% and 25%.</t>
        </is>
      </c>
    </row>
    <row r="21" ht="30" customHeight="1">
      <c r="A21" t="inlineStr">
        <is>
          <t>Lateral length of a BEG-inventory well</t>
        </is>
      </c>
      <c r="B21" s="5" t="n">
        <v>4.8</v>
      </c>
      <c r="C21" t="inlineStr">
        <is>
          <t>1,000 ft</t>
        </is>
      </c>
      <c r="D21" s="8" t="inlineStr">
        <is>
          <t>SOURCED</t>
        </is>
      </c>
      <c r="E21" s="7" t="inlineStr">
        <is>
          <t>BEG normalised EUR and inventory to 4,800-ft wells.</t>
        </is>
      </c>
    </row>
    <row r="22" ht="30" customHeight="1">
      <c r="A22" t="inlineStr">
        <is>
          <t>Programme length for the 'Capacity over time' tab</t>
        </is>
      </c>
      <c r="B22" s="5" t="n">
        <v>8</v>
      </c>
      <c r="C22" t="inlineStr">
        <is>
          <t>years</t>
        </is>
      </c>
      <c r="D22" s="6" t="inlineStr">
        <is>
          <t>ASSUMPTION</t>
        </is>
      </c>
      <c r="E22" s="7" t="inlineStr">
        <is>
          <t>Demonstration only; the curve and mapping use H = years to each Key-question date.</t>
        </is>
      </c>
    </row>
    <row r="24">
      <c r="A24" s="3" t="inlineStr">
        <is>
          <t>Block B: tiers</t>
        </is>
      </c>
    </row>
    <row r="25" ht="62" customHeight="1">
      <c r="A25" s="4" t="inlineStr">
        <is>
          <t>Tier / block</t>
        </is>
      </c>
      <c r="B25" s="4" t="inlineStr">
        <is>
          <t>Basis</t>
        </is>
      </c>
      <c r="C25" s="4" t="inlineStr">
        <is>
          <t>Partly drilled / counted locations</t>
        </is>
      </c>
      <c r="D25" s="4" t="inlineStr">
        <is>
          <t>Undrilled locations</t>
        </is>
      </c>
      <c r="E25" s="4" t="inlineStr">
        <is>
          <t>Developable share of partly/counted</t>
        </is>
      </c>
      <c r="F25" s="4" t="inlineStr">
        <is>
          <t>Developable share of undrilled</t>
        </is>
      </c>
      <c r="G25" s="4" t="inlineStr">
        <is>
          <t>Lateral per location (1,000 ft)</t>
        </is>
      </c>
      <c r="H25" s="4" t="inlineStr">
        <is>
          <t>Relative productivity vs Tier 1 (EUR per ft)</t>
        </is>
      </c>
      <c r="I25" s="4" t="inlineStr">
        <is>
          <t>D&amp;C cost ($ per lateral ft)</t>
        </is>
      </c>
      <c r="J25" s="4" t="inlineStr">
        <is>
          <t>Breakeven override ($/MMBtu HH; blank = model)</t>
        </is>
      </c>
      <c r="K25" s="4" t="inlineStr">
        <is>
          <t>Capacity override (Bcf/d, all horizons; blank = model)</t>
        </is>
      </c>
      <c r="L25" s="4" t="inlineStr">
        <is>
          <t>Source / status</t>
        </is>
      </c>
    </row>
    <row r="26">
      <c r="A26" t="inlineStr">
        <is>
          <t>Legacy Tier 1 (BEG)</t>
        </is>
      </c>
      <c r="B26" t="inlineStr">
        <is>
          <t>BEG tier, legacy Haynesville</t>
        </is>
      </c>
      <c r="C26" s="5" t="n">
        <v>1700</v>
      </c>
      <c r="D26" s="5" t="n">
        <v>2250</v>
      </c>
      <c r="E26" s="5">
        <f>Inputs!$B$18*Inputs!$B$20</f>
        <v/>
      </c>
      <c r="F26" s="5">
        <f>Inputs!$B$19*Inputs!$B$20</f>
        <v/>
      </c>
      <c r="G26" s="5">
        <f>Inputs!$B$21</f>
        <v/>
      </c>
      <c r="H26" s="5">
        <f>'BEG check'!$C$6/'BEG check'!$C$6</f>
        <v/>
      </c>
      <c r="I26" s="5">
        <f>Inputs!$B$15</f>
        <v/>
      </c>
      <c r="J26" s="5" t="n"/>
      <c r="K26" s="5" t="n"/>
      <c r="L26" s="7" t="inlineStr">
        <is>
          <t>Inventory: BEG Fig. 6 (chart-read, 2012 data, wells drilled since 2012 NOT deducted); productivity: BEG EUR ratio x Expand anchor; cost: Comstock Legacy Q2 2026.</t>
        </is>
      </c>
    </row>
    <row r="27">
      <c r="A27" t="inlineStr">
        <is>
          <t>Legacy Tier 2 (BEG)</t>
        </is>
      </c>
      <c r="B27" t="inlineStr">
        <is>
          <t>BEG tier, legacy Haynesville</t>
        </is>
      </c>
      <c r="C27" s="5" t="n">
        <v>1470</v>
      </c>
      <c r="D27" s="5" t="n">
        <v>2000</v>
      </c>
      <c r="E27" s="5">
        <f>Inputs!$B$18*Inputs!$B$20</f>
        <v/>
      </c>
      <c r="F27" s="5">
        <f>Inputs!$B$19*Inputs!$B$20</f>
        <v/>
      </c>
      <c r="G27" s="5">
        <f>Inputs!$B$21</f>
        <v/>
      </c>
      <c r="H27" s="5">
        <f>'BEG check'!$C$7/'BEG check'!$C$6</f>
        <v/>
      </c>
      <c r="I27" s="5">
        <f>Inputs!$B$15</f>
        <v/>
      </c>
      <c r="J27" s="5" t="n"/>
      <c r="K27" s="5" t="n"/>
      <c r="L27" s="7" t="inlineStr">
        <is>
          <t>Inventory: BEG Fig. 6 (chart-read, 2012 data, wells drilled since 2012 NOT deducted); productivity: BEG EUR ratio x Expand anchor; cost: Comstock Legacy Q2 2026.</t>
        </is>
      </c>
    </row>
    <row r="28">
      <c r="A28" t="inlineStr">
        <is>
          <t>Legacy Tier 3 (BEG)</t>
        </is>
      </c>
      <c r="B28" t="inlineStr">
        <is>
          <t>BEG tier, legacy Haynesville</t>
        </is>
      </c>
      <c r="C28" s="5" t="n">
        <v>2550</v>
      </c>
      <c r="D28" s="5" t="n">
        <v>3200</v>
      </c>
      <c r="E28" s="5">
        <f>Inputs!$B$18*Inputs!$B$20</f>
        <v/>
      </c>
      <c r="F28" s="5">
        <f>Inputs!$B$19*Inputs!$B$20</f>
        <v/>
      </c>
      <c r="G28" s="5">
        <f>Inputs!$B$21</f>
        <v/>
      </c>
      <c r="H28" s="5">
        <f>'BEG check'!$C$8/'BEG check'!$C$6</f>
        <v/>
      </c>
      <c r="I28" s="5">
        <f>Inputs!$B$15</f>
        <v/>
      </c>
      <c r="J28" s="5" t="n"/>
      <c r="K28" s="5" t="n"/>
      <c r="L28" s="7" t="inlineStr">
        <is>
          <t>Inventory: BEG Fig. 6 (chart-read, 2012 data, wells drilled since 2012 NOT deducted); productivity: BEG EUR ratio x Expand anchor; cost: Comstock Legacy Q2 2026.</t>
        </is>
      </c>
    </row>
    <row r="29">
      <c r="A29" t="inlineStr">
        <is>
          <t>Legacy Tier 4 (BEG)</t>
        </is>
      </c>
      <c r="B29" t="inlineStr">
        <is>
          <t>BEG tier, legacy Haynesville</t>
        </is>
      </c>
      <c r="C29" s="5" t="n">
        <v>2050</v>
      </c>
      <c r="D29" s="5" t="n">
        <v>3250</v>
      </c>
      <c r="E29" s="5">
        <f>Inputs!$B$18*Inputs!$B$20</f>
        <v/>
      </c>
      <c r="F29" s="5">
        <f>Inputs!$B$19*Inputs!$B$20</f>
        <v/>
      </c>
      <c r="G29" s="5">
        <f>Inputs!$B$21</f>
        <v/>
      </c>
      <c r="H29" s="5">
        <f>'BEG check'!$C$9/'BEG check'!$C$6</f>
        <v/>
      </c>
      <c r="I29" s="5">
        <f>Inputs!$B$15</f>
        <v/>
      </c>
      <c r="J29" s="5" t="n"/>
      <c r="K29" s="5" t="n"/>
      <c r="L29" s="7" t="inlineStr">
        <is>
          <t>Inventory: BEG Fig. 6 (chart-read, 2012 data, wells drilled since 2012 NOT deducted); productivity: BEG EUR ratio x Expand anchor; cost: Comstock Legacy Q2 2026.</t>
        </is>
      </c>
    </row>
    <row r="30">
      <c r="A30" t="inlineStr">
        <is>
          <t>Legacy Tier 5 (BEG)</t>
        </is>
      </c>
      <c r="B30" t="inlineStr">
        <is>
          <t>BEG tier, legacy Haynesville</t>
        </is>
      </c>
      <c r="C30" s="5" t="n">
        <v>1900</v>
      </c>
      <c r="D30" s="5" t="n">
        <v>4500</v>
      </c>
      <c r="E30" s="5">
        <f>Inputs!$B$18*Inputs!$B$20</f>
        <v/>
      </c>
      <c r="F30" s="5">
        <f>Inputs!$B$19*Inputs!$B$20</f>
        <v/>
      </c>
      <c r="G30" s="5">
        <f>Inputs!$B$21</f>
        <v/>
      </c>
      <c r="H30" s="5">
        <f>'BEG check'!$C$10/'BEG check'!$C$6</f>
        <v/>
      </c>
      <c r="I30" s="5">
        <f>Inputs!$B$15</f>
        <v/>
      </c>
      <c r="J30" s="5" t="n"/>
      <c r="K30" s="5" t="n"/>
      <c r="L30" s="7" t="inlineStr">
        <is>
          <t>Inventory: BEG Fig. 6 (chart-read, 2012 data, wells drilled since 2012 NOT deducted); productivity: BEG EUR ratio x Expand anchor; cost: Comstock Legacy Q2 2026.</t>
        </is>
      </c>
    </row>
    <row r="31">
      <c r="A31" t="inlineStr">
        <is>
          <t>Legacy Tier 6 (BEG)</t>
        </is>
      </c>
      <c r="B31" t="inlineStr">
        <is>
          <t>BEG tier, legacy Haynesville</t>
        </is>
      </c>
      <c r="C31" s="5" t="n">
        <v>1170</v>
      </c>
      <c r="D31" s="5" t="n">
        <v>5700</v>
      </c>
      <c r="E31" s="5">
        <f>Inputs!$B$18*Inputs!$B$20</f>
        <v/>
      </c>
      <c r="F31" s="5">
        <f>Inputs!$B$19*Inputs!$B$20</f>
        <v/>
      </c>
      <c r="G31" s="5">
        <f>Inputs!$B$21</f>
        <v/>
      </c>
      <c r="H31" s="5">
        <f>'BEG check'!$C$11/'BEG check'!$C$6</f>
        <v/>
      </c>
      <c r="I31" s="5">
        <f>Inputs!$B$15</f>
        <v/>
      </c>
      <c r="J31" s="5" t="n"/>
      <c r="K31" s="5" t="n"/>
      <c r="L31" s="7" t="inlineStr">
        <is>
          <t>Inventory: BEG Fig. 6 (chart-read, 2012 data, wells drilled since 2012 NOT deducted); productivity: BEG EUR ratio x Expand anchor; cost: Comstock Legacy Q2 2026.</t>
        </is>
      </c>
    </row>
    <row r="32">
      <c r="A32" t="inlineStr">
        <is>
          <t>Western Haynesville - Comstock operated</t>
        </is>
      </c>
      <c r="B32" t="inlineStr">
        <is>
          <t>Western Haynesville</t>
        </is>
      </c>
      <c r="C32" s="5" t="n">
        <v>3277</v>
      </c>
      <c r="D32" s="5" t="n">
        <v>0</v>
      </c>
      <c r="E32" s="5" t="n">
        <v>1</v>
      </c>
      <c r="F32" s="5" t="n">
        <v>0</v>
      </c>
      <c r="G32" s="5" t="n">
        <v>8.875</v>
      </c>
      <c r="H32" s="5">
        <f>Inputs!$B$17</f>
        <v/>
      </c>
      <c r="I32" s="5">
        <f>Inputs!$B$16</f>
        <v/>
      </c>
      <c r="J32" s="5" t="n"/>
      <c r="K32" s="5" t="n"/>
      <c r="L32" s="7" t="inlineStr">
        <is>
          <t>Inventory: Comstock slide 14 (3,277 gross operated locations, 30 Jun 2026; counted inventory, so shares 1/0); productivity ASSUMED; cost: Comstock slide 22.</t>
        </is>
      </c>
    </row>
    <row r="33">
      <c r="A33" t="inlineStr">
        <is>
          <t>Western Haynesville - Expand prospective</t>
        </is>
      </c>
      <c r="B33" t="inlineStr">
        <is>
          <t>Western Haynesville</t>
        </is>
      </c>
      <c r="C33" s="5" t="n">
        <v>200</v>
      </c>
      <c r="D33" s="5" t="n">
        <v>0</v>
      </c>
      <c r="E33" s="5" t="n">
        <v>1</v>
      </c>
      <c r="F33" s="5" t="n">
        <v>0</v>
      </c>
      <c r="G33" s="5" t="n">
        <v>10</v>
      </c>
      <c r="H33" s="5">
        <f>Inputs!$B$17</f>
        <v/>
      </c>
      <c r="I33" s="5">
        <f>Inputs!$B$16</f>
        <v/>
      </c>
      <c r="J33" s="5" t="n"/>
      <c r="K33" s="5" t="n"/>
      <c r="L33" s="7" t="inlineStr">
        <is>
          <t>Inventory: Expand 3Q25 slide 13 '&gt;200 locations' (10k-ft normalised, prospective acreage, undelineated); productivity and cost as Comstock Western Haynesville (ASSUMED).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78" customWidth="1" min="1" max="1"/>
    <col width="20" customWidth="1" min="2" max="2"/>
    <col width="18" customWidth="1" min="3" max="3"/>
  </cols>
  <sheetData>
    <row r="1">
      <c r="A1" s="3" t="inlineStr">
        <is>
          <t>Per-well production profile (shared by all tiers): cumulative share of EUR C(n) = 1 - exp(-(n/tau)^beta), fitted to the two BEG recovery anchors on 'Inputs'. Live formulas.</t>
        </is>
      </c>
    </row>
    <row r="3">
      <c r="A3" t="inlineStr">
        <is>
          <t>beta = ln( ln(1-C10) / ln(1-C5) ) / ln 2</t>
        </is>
      </c>
      <c r="B3">
        <f>LN(LN(1-Inputs!$B$13)/LN(1-Inputs!$B$12))/LN(2)</f>
        <v/>
      </c>
    </row>
    <row r="4">
      <c r="A4" t="inlineStr">
        <is>
          <t>tau (years) = 5 / (-ln(1-C5))^(1/beta)</t>
        </is>
      </c>
      <c r="B4">
        <f>5/(-LN(1-Inputs!$B$12))^(1/B3)</f>
        <v/>
      </c>
    </row>
    <row r="5">
      <c r="A5" t="inlineStr">
        <is>
          <t>Year-1 share of EUR f(1)</t>
        </is>
      </c>
      <c r="B5">
        <f>C9</f>
        <v/>
      </c>
    </row>
    <row r="6">
      <c r="A6" t="inlineStr">
        <is>
          <t>PV factor: sum f(n)/(1+d)^(n-0.5)  (mid-year discounting, capex at t=0)</t>
        </is>
      </c>
      <c r="B6">
        <f>SUMPRODUCT(C9:C28/(1+Inputs!$B$5)^(A9:A28-0.5))</f>
        <v/>
      </c>
    </row>
    <row r="7">
      <c r="A7" t="inlineStr">
        <is>
          <t>Modern Tier 1 EUR (Bcf per 1,000 lateral ft) = 12-month cumulative / f(1)</t>
        </is>
      </c>
      <c r="B7">
        <f>Inputs!$B$14/B5</f>
        <v/>
      </c>
    </row>
    <row r="8">
      <c r="A8" s="4" t="inlineStr">
        <is>
          <t>Year n</t>
        </is>
      </c>
      <c r="B8" s="4" t="inlineStr">
        <is>
          <t>Cumulative share C(n)</t>
        </is>
      </c>
      <c r="C8" s="4" t="inlineStr">
        <is>
          <t>Annual share f(n)</t>
        </is>
      </c>
    </row>
    <row r="9">
      <c r="A9" t="n">
        <v>1</v>
      </c>
      <c r="B9">
        <f>1-EXP(-((A9/$B$4)^$B$3))</f>
        <v/>
      </c>
      <c r="C9">
        <f>B9</f>
        <v/>
      </c>
    </row>
    <row r="10">
      <c r="A10" t="n">
        <v>2</v>
      </c>
      <c r="B10">
        <f>1-EXP(-((A10/$B$4)^$B$3))</f>
        <v/>
      </c>
      <c r="C10">
        <f>B10-B9</f>
        <v/>
      </c>
    </row>
    <row r="11">
      <c r="A11" t="n">
        <v>3</v>
      </c>
      <c r="B11">
        <f>1-EXP(-((A11/$B$4)^$B$3))</f>
        <v/>
      </c>
      <c r="C11">
        <f>B11-B10</f>
        <v/>
      </c>
    </row>
    <row r="12">
      <c r="A12" t="n">
        <v>4</v>
      </c>
      <c r="B12">
        <f>1-EXP(-((A12/$B$4)^$B$3))</f>
        <v/>
      </c>
      <c r="C12">
        <f>B12-B11</f>
        <v/>
      </c>
    </row>
    <row r="13">
      <c r="A13" t="n">
        <v>5</v>
      </c>
      <c r="B13">
        <f>1-EXP(-((A13/$B$4)^$B$3))</f>
        <v/>
      </c>
      <c r="C13">
        <f>B13-B12</f>
        <v/>
      </c>
    </row>
    <row r="14">
      <c r="A14" t="n">
        <v>6</v>
      </c>
      <c r="B14">
        <f>1-EXP(-((A14/$B$4)^$B$3))</f>
        <v/>
      </c>
      <c r="C14">
        <f>B14-B13</f>
        <v/>
      </c>
    </row>
    <row r="15">
      <c r="A15" t="n">
        <v>7</v>
      </c>
      <c r="B15">
        <f>1-EXP(-((A15/$B$4)^$B$3))</f>
        <v/>
      </c>
      <c r="C15">
        <f>B15-B14</f>
        <v/>
      </c>
    </row>
    <row r="16">
      <c r="A16" t="n">
        <v>8</v>
      </c>
      <c r="B16">
        <f>1-EXP(-((A16/$B$4)^$B$3))</f>
        <v/>
      </c>
      <c r="C16">
        <f>B16-B15</f>
        <v/>
      </c>
    </row>
    <row r="17">
      <c r="A17" t="n">
        <v>9</v>
      </c>
      <c r="B17">
        <f>1-EXP(-((A17/$B$4)^$B$3))</f>
        <v/>
      </c>
      <c r="C17">
        <f>B17-B16</f>
        <v/>
      </c>
    </row>
    <row r="18">
      <c r="A18" t="n">
        <v>10</v>
      </c>
      <c r="B18">
        <f>1-EXP(-((A18/$B$4)^$B$3))</f>
        <v/>
      </c>
      <c r="C18">
        <f>B18-B17</f>
        <v/>
      </c>
    </row>
    <row r="19">
      <c r="A19" t="n">
        <v>11</v>
      </c>
      <c r="B19">
        <f>1-EXP(-((A19/$B$4)^$B$3))</f>
        <v/>
      </c>
      <c r="C19">
        <f>B19-B18</f>
        <v/>
      </c>
    </row>
    <row r="20">
      <c r="A20" t="n">
        <v>12</v>
      </c>
      <c r="B20">
        <f>1-EXP(-((A20/$B$4)^$B$3))</f>
        <v/>
      </c>
      <c r="C20">
        <f>B20-B19</f>
        <v/>
      </c>
    </row>
    <row r="21">
      <c r="A21" t="n">
        <v>13</v>
      </c>
      <c r="B21">
        <f>1-EXP(-((A21/$B$4)^$B$3))</f>
        <v/>
      </c>
      <c r="C21">
        <f>B21-B20</f>
        <v/>
      </c>
    </row>
    <row r="22">
      <c r="A22" t="n">
        <v>14</v>
      </c>
      <c r="B22">
        <f>1-EXP(-((A22/$B$4)^$B$3))</f>
        <v/>
      </c>
      <c r="C22">
        <f>B22-B21</f>
        <v/>
      </c>
    </row>
    <row r="23">
      <c r="A23" t="n">
        <v>15</v>
      </c>
      <c r="B23">
        <f>1-EXP(-((A23/$B$4)^$B$3))</f>
        <v/>
      </c>
      <c r="C23">
        <f>B23-B22</f>
        <v/>
      </c>
    </row>
    <row r="24">
      <c r="A24" t="n">
        <v>16</v>
      </c>
      <c r="B24">
        <f>1-EXP(-((A24/$B$4)^$B$3))</f>
        <v/>
      </c>
      <c r="C24">
        <f>B24-B23</f>
        <v/>
      </c>
    </row>
    <row r="25">
      <c r="A25" t="n">
        <v>17</v>
      </c>
      <c r="B25">
        <f>1-EXP(-((A25/$B$4)^$B$3))</f>
        <v/>
      </c>
      <c r="C25">
        <f>B25-B24</f>
        <v/>
      </c>
    </row>
    <row r="26">
      <c r="A26" t="n">
        <v>18</v>
      </c>
      <c r="B26">
        <f>1-EXP(-((A26/$B$4)^$B$3))</f>
        <v/>
      </c>
      <c r="C26">
        <f>B26-B25</f>
        <v/>
      </c>
    </row>
    <row r="27">
      <c r="A27" t="n">
        <v>19</v>
      </c>
      <c r="B27">
        <f>1-EXP(-((A27/$B$4)^$B$3))</f>
        <v/>
      </c>
      <c r="C27">
        <f>B27-B26</f>
        <v/>
      </c>
    </row>
    <row r="28">
      <c r="A28" t="n">
        <v>20</v>
      </c>
      <c r="B28">
        <f>1-EXP(-((A28/$B$4)^$B$3))</f>
        <v/>
      </c>
      <c r="C28">
        <f>B28-B27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3" t="inlineStr">
        <is>
          <t>Curve - live per-tier breakeven and capacity (formulas). APPROXIMATE - built from company disclosures and BEG tiering; breakevens are pre-tax model results, not a vendor curve</t>
        </is>
      </c>
    </row>
    <row r="2" ht="60" customHeight="1">
      <c r="A2" s="7" t="inlineStr">
        <is>
          <t>Breakeven (HH) = ((LOE + gathering + taxes) + capex per 1,000 ft / PV volume per 1,000 ft) / (1 - royalty) - basis, with capex = $/ft x 1,000 x (1 + other capex) and PV volume = EUR x 1e6 Mcf x PV factor. Capacity(H) = developable lateral x EUR x C(H) / H / 365 (Bcf/d in year H of a programme drilling the inventory evenly over H years).</t>
        </is>
      </c>
    </row>
    <row r="3">
      <c r="L3" s="3" t="inlineStr">
        <is>
          <t>Capacity by horizon H (years) - Bcf/d</t>
        </is>
      </c>
    </row>
    <row r="4" ht="48" customHeight="1">
      <c r="A4" s="4" t="inlineStr">
        <is>
          <t>Tier / block</t>
        </is>
      </c>
      <c r="B4" s="4" t="inlineStr">
        <is>
          <t>Developable lateral (1,000 ft)</t>
        </is>
      </c>
      <c r="C4" s="4" t="inlineStr">
        <is>
          <t>EUR (Bcf per 1,000 ft)</t>
        </is>
      </c>
      <c r="D4" s="4" t="inlineStr">
        <is>
          <t>Capex per 1,000 ft ($)</t>
        </is>
      </c>
      <c r="E4" s="4" t="inlineStr">
        <is>
          <t>PV volume per 1,000 ft (Mcf)</t>
        </is>
      </c>
      <c r="F4" s="4" t="inlineStr">
        <is>
          <t>Breakeven, model ($/MMBtu HH)</t>
        </is>
      </c>
      <c r="G4" s="4" t="inlineStr">
        <is>
          <t>Breakeven used</t>
        </is>
      </c>
      <c r="H4" s="4" t="inlineStr">
        <is>
          <t>Source of breakeven</t>
        </is>
      </c>
      <c r="I4" s="4" t="inlineStr">
        <is>
          <t>Rank</t>
        </is>
      </c>
      <c r="J4" s="4" t="inlineStr">
        <is>
          <t>Developable EUR (Tcf)</t>
        </is>
      </c>
      <c r="K4" s="4" t="inlineStr">
        <is>
          <t>Developable locations</t>
        </is>
      </c>
      <c r="L4" s="4" t="n">
        <v>1</v>
      </c>
      <c r="M4" s="4" t="n">
        <v>2</v>
      </c>
      <c r="N4" s="4" t="n">
        <v>3</v>
      </c>
      <c r="O4" s="4" t="n">
        <v>4</v>
      </c>
      <c r="P4" s="4" t="n">
        <v>5</v>
      </c>
      <c r="Q4" s="4" t="n">
        <v>6</v>
      </c>
      <c r="R4" s="4" t="n">
        <v>7</v>
      </c>
      <c r="S4" s="4" t="n">
        <v>8</v>
      </c>
      <c r="T4" s="4" t="n">
        <v>9</v>
      </c>
      <c r="U4" s="4" t="n">
        <v>10</v>
      </c>
    </row>
    <row r="5">
      <c r="A5">
        <f>Inputs!A26</f>
        <v/>
      </c>
      <c r="B5">
        <f>(Inputs!C26*Inputs!E26+Inputs!D26*Inputs!F26)*Inputs!G26</f>
        <v/>
      </c>
      <c r="C5">
        <f>Profile!$B$7*Inputs!H26</f>
        <v/>
      </c>
      <c r="D5">
        <f>Inputs!I26*1000*(1+Inputs!$B$11)</f>
        <v/>
      </c>
      <c r="E5">
        <f>C5*1000000*Profile!$B$6</f>
        <v/>
      </c>
      <c r="F5">
        <f>((Inputs!$B$8+Inputs!$B$9+Inputs!$B$10)+D5/E5)/(1-Inputs!$B$6)-Inputs!$B$7</f>
        <v/>
      </c>
      <c r="G5">
        <f>IF(ISNUMBER(Inputs!J26),Inputs!J26,F5)</f>
        <v/>
      </c>
      <c r="H5">
        <f>IF(ISNUMBER(Inputs!J26),"OWNER OVERRIDE","MODEL")</f>
        <v/>
      </c>
      <c r="I5">
        <f>COUNTIF($G$5:$G$12,"&lt;"&amp;G5)+COUNTIF($G$5:G5,G5)</f>
        <v/>
      </c>
      <c r="J5">
        <f>B5*C5/1000</f>
        <v/>
      </c>
      <c r="K5">
        <f>B5/Inputs!G26</f>
        <v/>
      </c>
      <c r="L5">
        <f>IF(ISNUMBER(Inputs!$K26),Inputs!$K26,$B5*$C5*INDEX(Profile!$B$9:$B$28,L$4)/L$4/365)</f>
        <v/>
      </c>
      <c r="M5">
        <f>IF(ISNUMBER(Inputs!$K26),Inputs!$K26,$B5*$C5*INDEX(Profile!$B$9:$B$28,M$4)/M$4/365)</f>
        <v/>
      </c>
      <c r="N5">
        <f>IF(ISNUMBER(Inputs!$K26),Inputs!$K26,$B5*$C5*INDEX(Profile!$B$9:$B$28,N$4)/N$4/365)</f>
        <v/>
      </c>
      <c r="O5">
        <f>IF(ISNUMBER(Inputs!$K26),Inputs!$K26,$B5*$C5*INDEX(Profile!$B$9:$B$28,O$4)/O$4/365)</f>
        <v/>
      </c>
      <c r="P5">
        <f>IF(ISNUMBER(Inputs!$K26),Inputs!$K26,$B5*$C5*INDEX(Profile!$B$9:$B$28,P$4)/P$4/365)</f>
        <v/>
      </c>
      <c r="Q5">
        <f>IF(ISNUMBER(Inputs!$K26),Inputs!$K26,$B5*$C5*INDEX(Profile!$B$9:$B$28,Q$4)/Q$4/365)</f>
        <v/>
      </c>
      <c r="R5">
        <f>IF(ISNUMBER(Inputs!$K26),Inputs!$K26,$B5*$C5*INDEX(Profile!$B$9:$B$28,R$4)/R$4/365)</f>
        <v/>
      </c>
      <c r="S5">
        <f>IF(ISNUMBER(Inputs!$K26),Inputs!$K26,$B5*$C5*INDEX(Profile!$B$9:$B$28,S$4)/S$4/365)</f>
        <v/>
      </c>
      <c r="T5">
        <f>IF(ISNUMBER(Inputs!$K26),Inputs!$K26,$B5*$C5*INDEX(Profile!$B$9:$B$28,T$4)/T$4/365)</f>
        <v/>
      </c>
      <c r="U5">
        <f>IF(ISNUMBER(Inputs!$K26),Inputs!$K26,$B5*$C5*INDEX(Profile!$B$9:$B$28,U$4)/U$4/365)</f>
        <v/>
      </c>
    </row>
    <row r="6">
      <c r="A6">
        <f>Inputs!A27</f>
        <v/>
      </c>
      <c r="B6">
        <f>(Inputs!C27*Inputs!E27+Inputs!D27*Inputs!F27)*Inputs!G27</f>
        <v/>
      </c>
      <c r="C6">
        <f>Profile!$B$7*Inputs!H27</f>
        <v/>
      </c>
      <c r="D6">
        <f>Inputs!I27*1000*(1+Inputs!$B$11)</f>
        <v/>
      </c>
      <c r="E6">
        <f>C6*1000000*Profile!$B$6</f>
        <v/>
      </c>
      <c r="F6">
        <f>((Inputs!$B$8+Inputs!$B$9+Inputs!$B$10)+D6/E6)/(1-Inputs!$B$6)-Inputs!$B$7</f>
        <v/>
      </c>
      <c r="G6">
        <f>IF(ISNUMBER(Inputs!J27),Inputs!J27,F6)</f>
        <v/>
      </c>
      <c r="H6">
        <f>IF(ISNUMBER(Inputs!J27),"OWNER OVERRIDE","MODEL")</f>
        <v/>
      </c>
      <c r="I6">
        <f>COUNTIF($G$5:$G$12,"&lt;"&amp;G6)+COUNTIF($G$5:G6,G6)</f>
        <v/>
      </c>
      <c r="J6">
        <f>B6*C6/1000</f>
        <v/>
      </c>
      <c r="K6">
        <f>B6/Inputs!G27</f>
        <v/>
      </c>
      <c r="L6">
        <f>IF(ISNUMBER(Inputs!$K27),Inputs!$K27,$B6*$C6*INDEX(Profile!$B$9:$B$28,L$4)/L$4/365)</f>
        <v/>
      </c>
      <c r="M6">
        <f>IF(ISNUMBER(Inputs!$K27),Inputs!$K27,$B6*$C6*INDEX(Profile!$B$9:$B$28,M$4)/M$4/365)</f>
        <v/>
      </c>
      <c r="N6">
        <f>IF(ISNUMBER(Inputs!$K27),Inputs!$K27,$B6*$C6*INDEX(Profile!$B$9:$B$28,N$4)/N$4/365)</f>
        <v/>
      </c>
      <c r="O6">
        <f>IF(ISNUMBER(Inputs!$K27),Inputs!$K27,$B6*$C6*INDEX(Profile!$B$9:$B$28,O$4)/O$4/365)</f>
        <v/>
      </c>
      <c r="P6">
        <f>IF(ISNUMBER(Inputs!$K27),Inputs!$K27,$B6*$C6*INDEX(Profile!$B$9:$B$28,P$4)/P$4/365)</f>
        <v/>
      </c>
      <c r="Q6">
        <f>IF(ISNUMBER(Inputs!$K27),Inputs!$K27,$B6*$C6*INDEX(Profile!$B$9:$B$28,Q$4)/Q$4/365)</f>
        <v/>
      </c>
      <c r="R6">
        <f>IF(ISNUMBER(Inputs!$K27),Inputs!$K27,$B6*$C6*INDEX(Profile!$B$9:$B$28,R$4)/R$4/365)</f>
        <v/>
      </c>
      <c r="S6">
        <f>IF(ISNUMBER(Inputs!$K27),Inputs!$K27,$B6*$C6*INDEX(Profile!$B$9:$B$28,S$4)/S$4/365)</f>
        <v/>
      </c>
      <c r="T6">
        <f>IF(ISNUMBER(Inputs!$K27),Inputs!$K27,$B6*$C6*INDEX(Profile!$B$9:$B$28,T$4)/T$4/365)</f>
        <v/>
      </c>
      <c r="U6">
        <f>IF(ISNUMBER(Inputs!$K27),Inputs!$K27,$B6*$C6*INDEX(Profile!$B$9:$B$28,U$4)/U$4/365)</f>
        <v/>
      </c>
    </row>
    <row r="7">
      <c r="A7">
        <f>Inputs!A28</f>
        <v/>
      </c>
      <c r="B7">
        <f>(Inputs!C28*Inputs!E28+Inputs!D28*Inputs!F28)*Inputs!G28</f>
        <v/>
      </c>
      <c r="C7">
        <f>Profile!$B$7*Inputs!H28</f>
        <v/>
      </c>
      <c r="D7">
        <f>Inputs!I28*1000*(1+Inputs!$B$11)</f>
        <v/>
      </c>
      <c r="E7">
        <f>C7*1000000*Profile!$B$6</f>
        <v/>
      </c>
      <c r="F7">
        <f>((Inputs!$B$8+Inputs!$B$9+Inputs!$B$10)+D7/E7)/(1-Inputs!$B$6)-Inputs!$B$7</f>
        <v/>
      </c>
      <c r="G7">
        <f>IF(ISNUMBER(Inputs!J28),Inputs!J28,F7)</f>
        <v/>
      </c>
      <c r="H7">
        <f>IF(ISNUMBER(Inputs!J28),"OWNER OVERRIDE","MODEL")</f>
        <v/>
      </c>
      <c r="I7">
        <f>COUNTIF($G$5:$G$12,"&lt;"&amp;G7)+COUNTIF($G$5:G7,G7)</f>
        <v/>
      </c>
      <c r="J7">
        <f>B7*C7/1000</f>
        <v/>
      </c>
      <c r="K7">
        <f>B7/Inputs!G28</f>
        <v/>
      </c>
      <c r="L7">
        <f>IF(ISNUMBER(Inputs!$K28),Inputs!$K28,$B7*$C7*INDEX(Profile!$B$9:$B$28,L$4)/L$4/365)</f>
        <v/>
      </c>
      <c r="M7">
        <f>IF(ISNUMBER(Inputs!$K28),Inputs!$K28,$B7*$C7*INDEX(Profile!$B$9:$B$28,M$4)/M$4/365)</f>
        <v/>
      </c>
      <c r="N7">
        <f>IF(ISNUMBER(Inputs!$K28),Inputs!$K28,$B7*$C7*INDEX(Profile!$B$9:$B$28,N$4)/N$4/365)</f>
        <v/>
      </c>
      <c r="O7">
        <f>IF(ISNUMBER(Inputs!$K28),Inputs!$K28,$B7*$C7*INDEX(Profile!$B$9:$B$28,O$4)/O$4/365)</f>
        <v/>
      </c>
      <c r="P7">
        <f>IF(ISNUMBER(Inputs!$K28),Inputs!$K28,$B7*$C7*INDEX(Profile!$B$9:$B$28,P$4)/P$4/365)</f>
        <v/>
      </c>
      <c r="Q7">
        <f>IF(ISNUMBER(Inputs!$K28),Inputs!$K28,$B7*$C7*INDEX(Profile!$B$9:$B$28,Q$4)/Q$4/365)</f>
        <v/>
      </c>
      <c r="R7">
        <f>IF(ISNUMBER(Inputs!$K28),Inputs!$K28,$B7*$C7*INDEX(Profile!$B$9:$B$28,R$4)/R$4/365)</f>
        <v/>
      </c>
      <c r="S7">
        <f>IF(ISNUMBER(Inputs!$K28),Inputs!$K28,$B7*$C7*INDEX(Profile!$B$9:$B$28,S$4)/S$4/365)</f>
        <v/>
      </c>
      <c r="T7">
        <f>IF(ISNUMBER(Inputs!$K28),Inputs!$K28,$B7*$C7*INDEX(Profile!$B$9:$B$28,T$4)/T$4/365)</f>
        <v/>
      </c>
      <c r="U7">
        <f>IF(ISNUMBER(Inputs!$K28),Inputs!$K28,$B7*$C7*INDEX(Profile!$B$9:$B$28,U$4)/U$4/365)</f>
        <v/>
      </c>
    </row>
    <row r="8">
      <c r="A8">
        <f>Inputs!A29</f>
        <v/>
      </c>
      <c r="B8">
        <f>(Inputs!C29*Inputs!E29+Inputs!D29*Inputs!F29)*Inputs!G29</f>
        <v/>
      </c>
      <c r="C8">
        <f>Profile!$B$7*Inputs!H29</f>
        <v/>
      </c>
      <c r="D8">
        <f>Inputs!I29*1000*(1+Inputs!$B$11)</f>
        <v/>
      </c>
      <c r="E8">
        <f>C8*1000000*Profile!$B$6</f>
        <v/>
      </c>
      <c r="F8">
        <f>((Inputs!$B$8+Inputs!$B$9+Inputs!$B$10)+D8/E8)/(1-Inputs!$B$6)-Inputs!$B$7</f>
        <v/>
      </c>
      <c r="G8">
        <f>IF(ISNUMBER(Inputs!J29),Inputs!J29,F8)</f>
        <v/>
      </c>
      <c r="H8">
        <f>IF(ISNUMBER(Inputs!J29),"OWNER OVERRIDE","MODEL")</f>
        <v/>
      </c>
      <c r="I8">
        <f>COUNTIF($G$5:$G$12,"&lt;"&amp;G8)+COUNTIF($G$5:G8,G8)</f>
        <v/>
      </c>
      <c r="J8">
        <f>B8*C8/1000</f>
        <v/>
      </c>
      <c r="K8">
        <f>B8/Inputs!G29</f>
        <v/>
      </c>
      <c r="L8">
        <f>IF(ISNUMBER(Inputs!$K29),Inputs!$K29,$B8*$C8*INDEX(Profile!$B$9:$B$28,L$4)/L$4/365)</f>
        <v/>
      </c>
      <c r="M8">
        <f>IF(ISNUMBER(Inputs!$K29),Inputs!$K29,$B8*$C8*INDEX(Profile!$B$9:$B$28,M$4)/M$4/365)</f>
        <v/>
      </c>
      <c r="N8">
        <f>IF(ISNUMBER(Inputs!$K29),Inputs!$K29,$B8*$C8*INDEX(Profile!$B$9:$B$28,N$4)/N$4/365)</f>
        <v/>
      </c>
      <c r="O8">
        <f>IF(ISNUMBER(Inputs!$K29),Inputs!$K29,$B8*$C8*INDEX(Profile!$B$9:$B$28,O$4)/O$4/365)</f>
        <v/>
      </c>
      <c r="P8">
        <f>IF(ISNUMBER(Inputs!$K29),Inputs!$K29,$B8*$C8*INDEX(Profile!$B$9:$B$28,P$4)/P$4/365)</f>
        <v/>
      </c>
      <c r="Q8">
        <f>IF(ISNUMBER(Inputs!$K29),Inputs!$K29,$B8*$C8*INDEX(Profile!$B$9:$B$28,Q$4)/Q$4/365)</f>
        <v/>
      </c>
      <c r="R8">
        <f>IF(ISNUMBER(Inputs!$K29),Inputs!$K29,$B8*$C8*INDEX(Profile!$B$9:$B$28,R$4)/R$4/365)</f>
        <v/>
      </c>
      <c r="S8">
        <f>IF(ISNUMBER(Inputs!$K29),Inputs!$K29,$B8*$C8*INDEX(Profile!$B$9:$B$28,S$4)/S$4/365)</f>
        <v/>
      </c>
      <c r="T8">
        <f>IF(ISNUMBER(Inputs!$K29),Inputs!$K29,$B8*$C8*INDEX(Profile!$B$9:$B$28,T$4)/T$4/365)</f>
        <v/>
      </c>
      <c r="U8">
        <f>IF(ISNUMBER(Inputs!$K29),Inputs!$K29,$B8*$C8*INDEX(Profile!$B$9:$B$28,U$4)/U$4/365)</f>
        <v/>
      </c>
    </row>
    <row r="9">
      <c r="A9">
        <f>Inputs!A30</f>
        <v/>
      </c>
      <c r="B9">
        <f>(Inputs!C30*Inputs!E30+Inputs!D30*Inputs!F30)*Inputs!G30</f>
        <v/>
      </c>
      <c r="C9">
        <f>Profile!$B$7*Inputs!H30</f>
        <v/>
      </c>
      <c r="D9">
        <f>Inputs!I30*1000*(1+Inputs!$B$11)</f>
        <v/>
      </c>
      <c r="E9">
        <f>C9*1000000*Profile!$B$6</f>
        <v/>
      </c>
      <c r="F9">
        <f>((Inputs!$B$8+Inputs!$B$9+Inputs!$B$10)+D9/E9)/(1-Inputs!$B$6)-Inputs!$B$7</f>
        <v/>
      </c>
      <c r="G9">
        <f>IF(ISNUMBER(Inputs!J30),Inputs!J30,F9)</f>
        <v/>
      </c>
      <c r="H9">
        <f>IF(ISNUMBER(Inputs!J30),"OWNER OVERRIDE","MODEL")</f>
        <v/>
      </c>
      <c r="I9">
        <f>COUNTIF($G$5:$G$12,"&lt;"&amp;G9)+COUNTIF($G$5:G9,G9)</f>
        <v/>
      </c>
      <c r="J9">
        <f>B9*C9/1000</f>
        <v/>
      </c>
      <c r="K9">
        <f>B9/Inputs!G30</f>
        <v/>
      </c>
      <c r="L9">
        <f>IF(ISNUMBER(Inputs!$K30),Inputs!$K30,$B9*$C9*INDEX(Profile!$B$9:$B$28,L$4)/L$4/365)</f>
        <v/>
      </c>
      <c r="M9">
        <f>IF(ISNUMBER(Inputs!$K30),Inputs!$K30,$B9*$C9*INDEX(Profile!$B$9:$B$28,M$4)/M$4/365)</f>
        <v/>
      </c>
      <c r="N9">
        <f>IF(ISNUMBER(Inputs!$K30),Inputs!$K30,$B9*$C9*INDEX(Profile!$B$9:$B$28,N$4)/N$4/365)</f>
        <v/>
      </c>
      <c r="O9">
        <f>IF(ISNUMBER(Inputs!$K30),Inputs!$K30,$B9*$C9*INDEX(Profile!$B$9:$B$28,O$4)/O$4/365)</f>
        <v/>
      </c>
      <c r="P9">
        <f>IF(ISNUMBER(Inputs!$K30),Inputs!$K30,$B9*$C9*INDEX(Profile!$B$9:$B$28,P$4)/P$4/365)</f>
        <v/>
      </c>
      <c r="Q9">
        <f>IF(ISNUMBER(Inputs!$K30),Inputs!$K30,$B9*$C9*INDEX(Profile!$B$9:$B$28,Q$4)/Q$4/365)</f>
        <v/>
      </c>
      <c r="R9">
        <f>IF(ISNUMBER(Inputs!$K30),Inputs!$K30,$B9*$C9*INDEX(Profile!$B$9:$B$28,R$4)/R$4/365)</f>
        <v/>
      </c>
      <c r="S9">
        <f>IF(ISNUMBER(Inputs!$K30),Inputs!$K30,$B9*$C9*INDEX(Profile!$B$9:$B$28,S$4)/S$4/365)</f>
        <v/>
      </c>
      <c r="T9">
        <f>IF(ISNUMBER(Inputs!$K30),Inputs!$K30,$B9*$C9*INDEX(Profile!$B$9:$B$28,T$4)/T$4/365)</f>
        <v/>
      </c>
      <c r="U9">
        <f>IF(ISNUMBER(Inputs!$K30),Inputs!$K30,$B9*$C9*INDEX(Profile!$B$9:$B$28,U$4)/U$4/365)</f>
        <v/>
      </c>
    </row>
    <row r="10">
      <c r="A10">
        <f>Inputs!A31</f>
        <v/>
      </c>
      <c r="B10">
        <f>(Inputs!C31*Inputs!E31+Inputs!D31*Inputs!F31)*Inputs!G31</f>
        <v/>
      </c>
      <c r="C10">
        <f>Profile!$B$7*Inputs!H31</f>
        <v/>
      </c>
      <c r="D10">
        <f>Inputs!I31*1000*(1+Inputs!$B$11)</f>
        <v/>
      </c>
      <c r="E10">
        <f>C10*1000000*Profile!$B$6</f>
        <v/>
      </c>
      <c r="F10">
        <f>((Inputs!$B$8+Inputs!$B$9+Inputs!$B$10)+D10/E10)/(1-Inputs!$B$6)-Inputs!$B$7</f>
        <v/>
      </c>
      <c r="G10">
        <f>IF(ISNUMBER(Inputs!J31),Inputs!J31,F10)</f>
        <v/>
      </c>
      <c r="H10">
        <f>IF(ISNUMBER(Inputs!J31),"OWNER OVERRIDE","MODEL")</f>
        <v/>
      </c>
      <c r="I10">
        <f>COUNTIF($G$5:$G$12,"&lt;"&amp;G10)+COUNTIF($G$5:G10,G10)</f>
        <v/>
      </c>
      <c r="J10">
        <f>B10*C10/1000</f>
        <v/>
      </c>
      <c r="K10">
        <f>B10/Inputs!G31</f>
        <v/>
      </c>
      <c r="L10">
        <f>IF(ISNUMBER(Inputs!$K31),Inputs!$K31,$B10*$C10*INDEX(Profile!$B$9:$B$28,L$4)/L$4/365)</f>
        <v/>
      </c>
      <c r="M10">
        <f>IF(ISNUMBER(Inputs!$K31),Inputs!$K31,$B10*$C10*INDEX(Profile!$B$9:$B$28,M$4)/M$4/365)</f>
        <v/>
      </c>
      <c r="N10">
        <f>IF(ISNUMBER(Inputs!$K31),Inputs!$K31,$B10*$C10*INDEX(Profile!$B$9:$B$28,N$4)/N$4/365)</f>
        <v/>
      </c>
      <c r="O10">
        <f>IF(ISNUMBER(Inputs!$K31),Inputs!$K31,$B10*$C10*INDEX(Profile!$B$9:$B$28,O$4)/O$4/365)</f>
        <v/>
      </c>
      <c r="P10">
        <f>IF(ISNUMBER(Inputs!$K31),Inputs!$K31,$B10*$C10*INDEX(Profile!$B$9:$B$28,P$4)/P$4/365)</f>
        <v/>
      </c>
      <c r="Q10">
        <f>IF(ISNUMBER(Inputs!$K31),Inputs!$K31,$B10*$C10*INDEX(Profile!$B$9:$B$28,Q$4)/Q$4/365)</f>
        <v/>
      </c>
      <c r="R10">
        <f>IF(ISNUMBER(Inputs!$K31),Inputs!$K31,$B10*$C10*INDEX(Profile!$B$9:$B$28,R$4)/R$4/365)</f>
        <v/>
      </c>
      <c r="S10">
        <f>IF(ISNUMBER(Inputs!$K31),Inputs!$K31,$B10*$C10*INDEX(Profile!$B$9:$B$28,S$4)/S$4/365)</f>
        <v/>
      </c>
      <c r="T10">
        <f>IF(ISNUMBER(Inputs!$K31),Inputs!$K31,$B10*$C10*INDEX(Profile!$B$9:$B$28,T$4)/T$4/365)</f>
        <v/>
      </c>
      <c r="U10">
        <f>IF(ISNUMBER(Inputs!$K31),Inputs!$K31,$B10*$C10*INDEX(Profile!$B$9:$B$28,U$4)/U$4/365)</f>
        <v/>
      </c>
    </row>
    <row r="11">
      <c r="A11">
        <f>Inputs!A32</f>
        <v/>
      </c>
      <c r="B11">
        <f>(Inputs!C32*Inputs!E32+Inputs!D32*Inputs!F32)*Inputs!G32</f>
        <v/>
      </c>
      <c r="C11">
        <f>Profile!$B$7*Inputs!H32</f>
        <v/>
      </c>
      <c r="D11">
        <f>Inputs!I32*1000*(1+Inputs!$B$11)</f>
        <v/>
      </c>
      <c r="E11">
        <f>C11*1000000*Profile!$B$6</f>
        <v/>
      </c>
      <c r="F11">
        <f>((Inputs!$B$8+Inputs!$B$9+Inputs!$B$10)+D11/E11)/(1-Inputs!$B$6)-Inputs!$B$7</f>
        <v/>
      </c>
      <c r="G11">
        <f>IF(ISNUMBER(Inputs!J32),Inputs!J32,F11)</f>
        <v/>
      </c>
      <c r="H11">
        <f>IF(ISNUMBER(Inputs!J32),"OWNER OVERRIDE","MODEL")</f>
        <v/>
      </c>
      <c r="I11">
        <f>COUNTIF($G$5:$G$12,"&lt;"&amp;G11)+COUNTIF($G$5:G11,G11)</f>
        <v/>
      </c>
      <c r="J11">
        <f>B11*C11/1000</f>
        <v/>
      </c>
      <c r="K11">
        <f>B11/Inputs!G32</f>
        <v/>
      </c>
      <c r="L11">
        <f>IF(ISNUMBER(Inputs!$K32),Inputs!$K32,$B11*$C11*INDEX(Profile!$B$9:$B$28,L$4)/L$4/365)</f>
        <v/>
      </c>
      <c r="M11">
        <f>IF(ISNUMBER(Inputs!$K32),Inputs!$K32,$B11*$C11*INDEX(Profile!$B$9:$B$28,M$4)/M$4/365)</f>
        <v/>
      </c>
      <c r="N11">
        <f>IF(ISNUMBER(Inputs!$K32),Inputs!$K32,$B11*$C11*INDEX(Profile!$B$9:$B$28,N$4)/N$4/365)</f>
        <v/>
      </c>
      <c r="O11">
        <f>IF(ISNUMBER(Inputs!$K32),Inputs!$K32,$B11*$C11*INDEX(Profile!$B$9:$B$28,O$4)/O$4/365)</f>
        <v/>
      </c>
      <c r="P11">
        <f>IF(ISNUMBER(Inputs!$K32),Inputs!$K32,$B11*$C11*INDEX(Profile!$B$9:$B$28,P$4)/P$4/365)</f>
        <v/>
      </c>
      <c r="Q11">
        <f>IF(ISNUMBER(Inputs!$K32),Inputs!$K32,$B11*$C11*INDEX(Profile!$B$9:$B$28,Q$4)/Q$4/365)</f>
        <v/>
      </c>
      <c r="R11">
        <f>IF(ISNUMBER(Inputs!$K32),Inputs!$K32,$B11*$C11*INDEX(Profile!$B$9:$B$28,R$4)/R$4/365)</f>
        <v/>
      </c>
      <c r="S11">
        <f>IF(ISNUMBER(Inputs!$K32),Inputs!$K32,$B11*$C11*INDEX(Profile!$B$9:$B$28,S$4)/S$4/365)</f>
        <v/>
      </c>
      <c r="T11">
        <f>IF(ISNUMBER(Inputs!$K32),Inputs!$K32,$B11*$C11*INDEX(Profile!$B$9:$B$28,T$4)/T$4/365)</f>
        <v/>
      </c>
      <c r="U11">
        <f>IF(ISNUMBER(Inputs!$K32),Inputs!$K32,$B11*$C11*INDEX(Profile!$B$9:$B$28,U$4)/U$4/365)</f>
        <v/>
      </c>
    </row>
    <row r="12">
      <c r="A12">
        <f>Inputs!A33</f>
        <v/>
      </c>
      <c r="B12">
        <f>(Inputs!C33*Inputs!E33+Inputs!D33*Inputs!F33)*Inputs!G33</f>
        <v/>
      </c>
      <c r="C12">
        <f>Profile!$B$7*Inputs!H33</f>
        <v/>
      </c>
      <c r="D12">
        <f>Inputs!I33*1000*(1+Inputs!$B$11)</f>
        <v/>
      </c>
      <c r="E12">
        <f>C12*1000000*Profile!$B$6</f>
        <v/>
      </c>
      <c r="F12">
        <f>((Inputs!$B$8+Inputs!$B$9+Inputs!$B$10)+D12/E12)/(1-Inputs!$B$6)-Inputs!$B$7</f>
        <v/>
      </c>
      <c r="G12">
        <f>IF(ISNUMBER(Inputs!J33),Inputs!J33,F12)</f>
        <v/>
      </c>
      <c r="H12">
        <f>IF(ISNUMBER(Inputs!J33),"OWNER OVERRIDE","MODEL")</f>
        <v/>
      </c>
      <c r="I12">
        <f>COUNTIF($G$5:$G$12,"&lt;"&amp;G12)+COUNTIF($G$5:G12,G12)</f>
        <v/>
      </c>
      <c r="J12">
        <f>B12*C12/1000</f>
        <v/>
      </c>
      <c r="K12">
        <f>B12/Inputs!G33</f>
        <v/>
      </c>
      <c r="L12">
        <f>IF(ISNUMBER(Inputs!$K33),Inputs!$K33,$B12*$C12*INDEX(Profile!$B$9:$B$28,L$4)/L$4/365)</f>
        <v/>
      </c>
      <c r="M12">
        <f>IF(ISNUMBER(Inputs!$K33),Inputs!$K33,$B12*$C12*INDEX(Profile!$B$9:$B$28,M$4)/M$4/365)</f>
        <v/>
      </c>
      <c r="N12">
        <f>IF(ISNUMBER(Inputs!$K33),Inputs!$K33,$B12*$C12*INDEX(Profile!$B$9:$B$28,N$4)/N$4/365)</f>
        <v/>
      </c>
      <c r="O12">
        <f>IF(ISNUMBER(Inputs!$K33),Inputs!$K33,$B12*$C12*INDEX(Profile!$B$9:$B$28,O$4)/O$4/365)</f>
        <v/>
      </c>
      <c r="P12">
        <f>IF(ISNUMBER(Inputs!$K33),Inputs!$K33,$B12*$C12*INDEX(Profile!$B$9:$B$28,P$4)/P$4/365)</f>
        <v/>
      </c>
      <c r="Q12">
        <f>IF(ISNUMBER(Inputs!$K33),Inputs!$K33,$B12*$C12*INDEX(Profile!$B$9:$B$28,Q$4)/Q$4/365)</f>
        <v/>
      </c>
      <c r="R12">
        <f>IF(ISNUMBER(Inputs!$K33),Inputs!$K33,$B12*$C12*INDEX(Profile!$B$9:$B$28,R$4)/R$4/365)</f>
        <v/>
      </c>
      <c r="S12">
        <f>IF(ISNUMBER(Inputs!$K33),Inputs!$K33,$B12*$C12*INDEX(Profile!$B$9:$B$28,S$4)/S$4/365)</f>
        <v/>
      </c>
      <c r="T12">
        <f>IF(ISNUMBER(Inputs!$K33),Inputs!$K33,$B12*$C12*INDEX(Profile!$B$9:$B$28,T$4)/T$4/365)</f>
        <v/>
      </c>
      <c r="U12">
        <f>IF(ISNUMBER(Inputs!$K33),Inputs!$K33,$B12*$C12*INDEX(Profile!$B$9:$B$28,U$4)/U$4/365)</f>
        <v/>
      </c>
    </row>
    <row r="13">
      <c r="L13" s="3" t="inlineStr">
        <is>
          <t>Cumulative capacity, Bcf/d, by horizon H (years)</t>
        </is>
      </c>
    </row>
    <row r="14">
      <c r="A14" s="3" t="inlineStr">
        <is>
          <t>Sorted curve (cheapest first) - cumulative capacity by horizon H</t>
        </is>
      </c>
    </row>
    <row r="15">
      <c r="A15" s="4" t="inlineStr">
        <is>
          <t>Rank</t>
        </is>
      </c>
      <c r="B15" s="4" t="inlineStr">
        <is>
          <t>Row in table above</t>
        </is>
      </c>
      <c r="C15" s="4" t="inlineStr">
        <is>
          <t>Tier / block</t>
        </is>
      </c>
      <c r="D15" s="4" t="inlineStr">
        <is>
          <t>Breakeven used ($/MMBtu HH)</t>
        </is>
      </c>
      <c r="E15" s="4" t="inlineStr">
        <is>
          <t>Developable lateral (1,000 ft)</t>
        </is>
      </c>
      <c r="F15" s="4" t="inlineStr">
        <is>
          <t>Developable EUR (Tcf)</t>
        </is>
      </c>
      <c r="G15" s="4" t="inlineStr">
        <is>
          <t>Cumulative locations</t>
        </is>
      </c>
      <c r="H15" s="4" t="n"/>
      <c r="I15" s="4" t="n"/>
      <c r="J15" s="4" t="n"/>
      <c r="K15" s="4" t="n"/>
      <c r="L15" s="4" t="n">
        <v>1</v>
      </c>
      <c r="M15" s="4" t="n">
        <v>2</v>
      </c>
      <c r="N15" s="4" t="n">
        <v>3</v>
      </c>
      <c r="O15" s="4" t="n">
        <v>4</v>
      </c>
      <c r="P15" s="4" t="n">
        <v>5</v>
      </c>
      <c r="Q15" s="4" t="n">
        <v>6</v>
      </c>
      <c r="R15" s="4" t="n">
        <v>7</v>
      </c>
      <c r="S15" s="4" t="n">
        <v>8</v>
      </c>
      <c r="T15" s="4" t="n">
        <v>9</v>
      </c>
      <c r="U15" s="4" t="n">
        <v>10</v>
      </c>
    </row>
    <row r="16">
      <c r="A16" t="n">
        <v>1</v>
      </c>
      <c r="B16">
        <f>MATCH(A16,$I$5:$I$12,0)</f>
        <v/>
      </c>
      <c r="C16">
        <f>INDEX($A$5:$A$12,B16)</f>
        <v/>
      </c>
      <c r="D16">
        <f>INDEX($G$5:$G$12,B16)</f>
        <v/>
      </c>
      <c r="E16">
        <f>INDEX($B$5:$B$12,B16)</f>
        <v/>
      </c>
      <c r="F16">
        <f>INDEX($J$5:$J$12,B16)</f>
        <v/>
      </c>
      <c r="G16">
        <f>INDEX($K$5:$K$12,B16)</f>
        <v/>
      </c>
      <c r="L16">
        <f>INDEX(L$5:L$12,$B16)</f>
        <v/>
      </c>
      <c r="M16">
        <f>INDEX(M$5:M$12,$B16)</f>
        <v/>
      </c>
      <c r="N16">
        <f>INDEX(N$5:N$12,$B16)</f>
        <v/>
      </c>
      <c r="O16">
        <f>INDEX(O$5:O$12,$B16)</f>
        <v/>
      </c>
      <c r="P16">
        <f>INDEX(P$5:P$12,$B16)</f>
        <v/>
      </c>
      <c r="Q16">
        <f>INDEX(Q$5:Q$12,$B16)</f>
        <v/>
      </c>
      <c r="R16">
        <f>INDEX(R$5:R$12,$B16)</f>
        <v/>
      </c>
      <c r="S16">
        <f>INDEX(S$5:S$12,$B16)</f>
        <v/>
      </c>
      <c r="T16">
        <f>INDEX(T$5:T$12,$B16)</f>
        <v/>
      </c>
      <c r="U16">
        <f>INDEX(U$5:U$12,$B16)</f>
        <v/>
      </c>
    </row>
    <row r="17">
      <c r="A17" t="n">
        <v>2</v>
      </c>
      <c r="B17">
        <f>MATCH(A17,$I$5:$I$12,0)</f>
        <v/>
      </c>
      <c r="C17">
        <f>INDEX($A$5:$A$12,B17)</f>
        <v/>
      </c>
      <c r="D17">
        <f>INDEX($G$5:$G$12,B17)</f>
        <v/>
      </c>
      <c r="E17">
        <f>INDEX($B$5:$B$12,B17)</f>
        <v/>
      </c>
      <c r="F17">
        <f>INDEX($J$5:$J$12,B17)</f>
        <v/>
      </c>
      <c r="G17">
        <f>G16+INDEX($K$5:$K$12,B17)</f>
        <v/>
      </c>
      <c r="L17">
        <f>L16+INDEX(L$5:L$12,$B17)</f>
        <v/>
      </c>
      <c r="M17">
        <f>M16+INDEX(M$5:M$12,$B17)</f>
        <v/>
      </c>
      <c r="N17">
        <f>N16+INDEX(N$5:N$12,$B17)</f>
        <v/>
      </c>
      <c r="O17">
        <f>O16+INDEX(O$5:O$12,$B17)</f>
        <v/>
      </c>
      <c r="P17">
        <f>P16+INDEX(P$5:P$12,$B17)</f>
        <v/>
      </c>
      <c r="Q17">
        <f>Q16+INDEX(Q$5:Q$12,$B17)</f>
        <v/>
      </c>
      <c r="R17">
        <f>R16+INDEX(R$5:R$12,$B17)</f>
        <v/>
      </c>
      <c r="S17">
        <f>S16+INDEX(S$5:S$12,$B17)</f>
        <v/>
      </c>
      <c r="T17">
        <f>T16+INDEX(T$5:T$12,$B17)</f>
        <v/>
      </c>
      <c r="U17">
        <f>U16+INDEX(U$5:U$12,$B17)</f>
        <v/>
      </c>
    </row>
    <row r="18">
      <c r="A18" t="n">
        <v>3</v>
      </c>
      <c r="B18">
        <f>MATCH(A18,$I$5:$I$12,0)</f>
        <v/>
      </c>
      <c r="C18">
        <f>INDEX($A$5:$A$12,B18)</f>
        <v/>
      </c>
      <c r="D18">
        <f>INDEX($G$5:$G$12,B18)</f>
        <v/>
      </c>
      <c r="E18">
        <f>INDEX($B$5:$B$12,B18)</f>
        <v/>
      </c>
      <c r="F18">
        <f>INDEX($J$5:$J$12,B18)</f>
        <v/>
      </c>
      <c r="G18">
        <f>G17+INDEX($K$5:$K$12,B18)</f>
        <v/>
      </c>
      <c r="L18">
        <f>L17+INDEX(L$5:L$12,$B18)</f>
        <v/>
      </c>
      <c r="M18">
        <f>M17+INDEX(M$5:M$12,$B18)</f>
        <v/>
      </c>
      <c r="N18">
        <f>N17+INDEX(N$5:N$12,$B18)</f>
        <v/>
      </c>
      <c r="O18">
        <f>O17+INDEX(O$5:O$12,$B18)</f>
        <v/>
      </c>
      <c r="P18">
        <f>P17+INDEX(P$5:P$12,$B18)</f>
        <v/>
      </c>
      <c r="Q18">
        <f>Q17+INDEX(Q$5:Q$12,$B18)</f>
        <v/>
      </c>
      <c r="R18">
        <f>R17+INDEX(R$5:R$12,$B18)</f>
        <v/>
      </c>
      <c r="S18">
        <f>S17+INDEX(S$5:S$12,$B18)</f>
        <v/>
      </c>
      <c r="T18">
        <f>T17+INDEX(T$5:T$12,$B18)</f>
        <v/>
      </c>
      <c r="U18">
        <f>U17+INDEX(U$5:U$12,$B18)</f>
        <v/>
      </c>
    </row>
    <row r="19">
      <c r="A19" t="n">
        <v>4</v>
      </c>
      <c r="B19">
        <f>MATCH(A19,$I$5:$I$12,0)</f>
        <v/>
      </c>
      <c r="C19">
        <f>INDEX($A$5:$A$12,B19)</f>
        <v/>
      </c>
      <c r="D19">
        <f>INDEX($G$5:$G$12,B19)</f>
        <v/>
      </c>
      <c r="E19">
        <f>INDEX($B$5:$B$12,B19)</f>
        <v/>
      </c>
      <c r="F19">
        <f>INDEX($J$5:$J$12,B19)</f>
        <v/>
      </c>
      <c r="G19">
        <f>G18+INDEX($K$5:$K$12,B19)</f>
        <v/>
      </c>
      <c r="L19">
        <f>L18+INDEX(L$5:L$12,$B19)</f>
        <v/>
      </c>
      <c r="M19">
        <f>M18+INDEX(M$5:M$12,$B19)</f>
        <v/>
      </c>
      <c r="N19">
        <f>N18+INDEX(N$5:N$12,$B19)</f>
        <v/>
      </c>
      <c r="O19">
        <f>O18+INDEX(O$5:O$12,$B19)</f>
        <v/>
      </c>
      <c r="P19">
        <f>P18+INDEX(P$5:P$12,$B19)</f>
        <v/>
      </c>
      <c r="Q19">
        <f>Q18+INDEX(Q$5:Q$12,$B19)</f>
        <v/>
      </c>
      <c r="R19">
        <f>R18+INDEX(R$5:R$12,$B19)</f>
        <v/>
      </c>
      <c r="S19">
        <f>S18+INDEX(S$5:S$12,$B19)</f>
        <v/>
      </c>
      <c r="T19">
        <f>T18+INDEX(T$5:T$12,$B19)</f>
        <v/>
      </c>
      <c r="U19">
        <f>U18+INDEX(U$5:U$12,$B19)</f>
        <v/>
      </c>
    </row>
    <row r="20">
      <c r="A20" t="n">
        <v>5</v>
      </c>
      <c r="B20">
        <f>MATCH(A20,$I$5:$I$12,0)</f>
        <v/>
      </c>
      <c r="C20">
        <f>INDEX($A$5:$A$12,B20)</f>
        <v/>
      </c>
      <c r="D20">
        <f>INDEX($G$5:$G$12,B20)</f>
        <v/>
      </c>
      <c r="E20">
        <f>INDEX($B$5:$B$12,B20)</f>
        <v/>
      </c>
      <c r="F20">
        <f>INDEX($J$5:$J$12,B20)</f>
        <v/>
      </c>
      <c r="G20">
        <f>G19+INDEX($K$5:$K$12,B20)</f>
        <v/>
      </c>
      <c r="L20">
        <f>L19+INDEX(L$5:L$12,$B20)</f>
        <v/>
      </c>
      <c r="M20">
        <f>M19+INDEX(M$5:M$12,$B20)</f>
        <v/>
      </c>
      <c r="N20">
        <f>N19+INDEX(N$5:N$12,$B20)</f>
        <v/>
      </c>
      <c r="O20">
        <f>O19+INDEX(O$5:O$12,$B20)</f>
        <v/>
      </c>
      <c r="P20">
        <f>P19+INDEX(P$5:P$12,$B20)</f>
        <v/>
      </c>
      <c r="Q20">
        <f>Q19+INDEX(Q$5:Q$12,$B20)</f>
        <v/>
      </c>
      <c r="R20">
        <f>R19+INDEX(R$5:R$12,$B20)</f>
        <v/>
      </c>
      <c r="S20">
        <f>S19+INDEX(S$5:S$12,$B20)</f>
        <v/>
      </c>
      <c r="T20">
        <f>T19+INDEX(T$5:T$12,$B20)</f>
        <v/>
      </c>
      <c r="U20">
        <f>U19+INDEX(U$5:U$12,$B20)</f>
        <v/>
      </c>
    </row>
    <row r="21">
      <c r="A21" t="n">
        <v>6</v>
      </c>
      <c r="B21">
        <f>MATCH(A21,$I$5:$I$12,0)</f>
        <v/>
      </c>
      <c r="C21">
        <f>INDEX($A$5:$A$12,B21)</f>
        <v/>
      </c>
      <c r="D21">
        <f>INDEX($G$5:$G$12,B21)</f>
        <v/>
      </c>
      <c r="E21">
        <f>INDEX($B$5:$B$12,B21)</f>
        <v/>
      </c>
      <c r="F21">
        <f>INDEX($J$5:$J$12,B21)</f>
        <v/>
      </c>
      <c r="G21">
        <f>G20+INDEX($K$5:$K$12,B21)</f>
        <v/>
      </c>
      <c r="L21">
        <f>L20+INDEX(L$5:L$12,$B21)</f>
        <v/>
      </c>
      <c r="M21">
        <f>M20+INDEX(M$5:M$12,$B21)</f>
        <v/>
      </c>
      <c r="N21">
        <f>N20+INDEX(N$5:N$12,$B21)</f>
        <v/>
      </c>
      <c r="O21">
        <f>O20+INDEX(O$5:O$12,$B21)</f>
        <v/>
      </c>
      <c r="P21">
        <f>P20+INDEX(P$5:P$12,$B21)</f>
        <v/>
      </c>
      <c r="Q21">
        <f>Q20+INDEX(Q$5:Q$12,$B21)</f>
        <v/>
      </c>
      <c r="R21">
        <f>R20+INDEX(R$5:R$12,$B21)</f>
        <v/>
      </c>
      <c r="S21">
        <f>S20+INDEX(S$5:S$12,$B21)</f>
        <v/>
      </c>
      <c r="T21">
        <f>T20+INDEX(T$5:T$12,$B21)</f>
        <v/>
      </c>
      <c r="U21">
        <f>U20+INDEX(U$5:U$12,$B21)</f>
        <v/>
      </c>
    </row>
    <row r="22">
      <c r="A22" t="n">
        <v>7</v>
      </c>
      <c r="B22">
        <f>MATCH(A22,$I$5:$I$12,0)</f>
        <v/>
      </c>
      <c r="C22">
        <f>INDEX($A$5:$A$12,B22)</f>
        <v/>
      </c>
      <c r="D22">
        <f>INDEX($G$5:$G$12,B22)</f>
        <v/>
      </c>
      <c r="E22">
        <f>INDEX($B$5:$B$12,B22)</f>
        <v/>
      </c>
      <c r="F22">
        <f>INDEX($J$5:$J$12,B22)</f>
        <v/>
      </c>
      <c r="G22">
        <f>G21+INDEX($K$5:$K$12,B22)</f>
        <v/>
      </c>
      <c r="L22">
        <f>L21+INDEX(L$5:L$12,$B22)</f>
        <v/>
      </c>
      <c r="M22">
        <f>M21+INDEX(M$5:M$12,$B22)</f>
        <v/>
      </c>
      <c r="N22">
        <f>N21+INDEX(N$5:N$12,$B22)</f>
        <v/>
      </c>
      <c r="O22">
        <f>O21+INDEX(O$5:O$12,$B22)</f>
        <v/>
      </c>
      <c r="P22">
        <f>P21+INDEX(P$5:P$12,$B22)</f>
        <v/>
      </c>
      <c r="Q22">
        <f>Q21+INDEX(Q$5:Q$12,$B22)</f>
        <v/>
      </c>
      <c r="R22">
        <f>R21+INDEX(R$5:R$12,$B22)</f>
        <v/>
      </c>
      <c r="S22">
        <f>S21+INDEX(S$5:S$12,$B22)</f>
        <v/>
      </c>
      <c r="T22">
        <f>T21+INDEX(T$5:T$12,$B22)</f>
        <v/>
      </c>
      <c r="U22">
        <f>U21+INDEX(U$5:U$12,$B22)</f>
        <v/>
      </c>
    </row>
    <row r="23">
      <c r="A23" t="n">
        <v>8</v>
      </c>
      <c r="B23">
        <f>MATCH(A23,$I$5:$I$12,0)</f>
        <v/>
      </c>
      <c r="C23">
        <f>INDEX($A$5:$A$12,B23)</f>
        <v/>
      </c>
      <c r="D23">
        <f>INDEX($G$5:$G$12,B23)</f>
        <v/>
      </c>
      <c r="E23">
        <f>INDEX($B$5:$B$12,B23)</f>
        <v/>
      </c>
      <c r="F23">
        <f>INDEX($J$5:$J$12,B23)</f>
        <v/>
      </c>
      <c r="G23">
        <f>G22+INDEX($K$5:$K$12,B23)</f>
        <v/>
      </c>
      <c r="L23">
        <f>L22+INDEX(L$5:L$12,$B23)</f>
        <v/>
      </c>
      <c r="M23">
        <f>M22+INDEX(M$5:M$12,$B23)</f>
        <v/>
      </c>
      <c r="N23">
        <f>N22+INDEX(N$5:N$12,$B23)</f>
        <v/>
      </c>
      <c r="O23">
        <f>O22+INDEX(O$5:O$12,$B23)</f>
        <v/>
      </c>
      <c r="P23">
        <f>P22+INDEX(P$5:P$12,$B23)</f>
        <v/>
      </c>
      <c r="Q23">
        <f>Q22+INDEX(Q$5:Q$12,$B23)</f>
        <v/>
      </c>
      <c r="R23">
        <f>R22+INDEX(R$5:R$12,$B23)</f>
        <v/>
      </c>
      <c r="S23">
        <f>S22+INDEX(S$5:S$12,$B23)</f>
        <v/>
      </c>
      <c r="T23">
        <f>T22+INDEX(T$5:T$12,$B23)</f>
        <v/>
      </c>
      <c r="U23">
        <f>U22+INDEX(U$5:U$12,$B23)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3" t="inlineStr">
        <is>
          <t>Capacity over time (live): Bcf/d of a programme that drills each tier's developable inventory evenly over H years (H on 'Inputs'), year n = wells x EUR x [C(n) - C(n - min(n, H))] / 365. Cost-only upper bound on speed: no rig, crew or takeaway limit.</t>
        </is>
      </c>
    </row>
    <row r="2">
      <c r="A2" t="inlineStr">
        <is>
          <t>Programme length H (years):</t>
        </is>
      </c>
      <c r="B2">
        <f>Inputs!$B$22</f>
        <v/>
      </c>
    </row>
    <row r="4" ht="48" customHeight="1">
      <c r="A4" s="4" t="inlineStr">
        <is>
          <t>Year of programme</t>
        </is>
      </c>
      <c r="B4" s="4">
        <f>Curve!A5</f>
        <v/>
      </c>
      <c r="C4" s="4">
        <f>Curve!A6</f>
        <v/>
      </c>
      <c r="D4" s="4">
        <f>Curve!A7</f>
        <v/>
      </c>
      <c r="E4" s="4">
        <f>Curve!A8</f>
        <v/>
      </c>
      <c r="F4" s="4">
        <f>Curve!A9</f>
        <v/>
      </c>
      <c r="G4" s="4">
        <f>Curve!A10</f>
        <v/>
      </c>
      <c r="H4" s="4">
        <f>Curve!A11</f>
        <v/>
      </c>
      <c r="I4" s="4">
        <f>Curve!A12</f>
        <v/>
      </c>
      <c r="J4" s="4" t="inlineStr">
        <is>
          <t>Total, Bcf/d</t>
        </is>
      </c>
    </row>
    <row r="5">
      <c r="A5" t="n">
        <v>1</v>
      </c>
      <c r="B5">
        <f>IF(ISNUMBER(Inputs!$K26),Inputs!$K26,Curve!$B$5*Curve!$C$5*(INDEX(Profile!$B$9:$B$28,$A5)-IF($A5-MIN($A5,$B$2)=0,0,INDEX(Profile!$B$9:$B$28,$A5-MIN($A5,$B$2))))/$B$2/365)</f>
        <v/>
      </c>
      <c r="C5">
        <f>IF(ISNUMBER(Inputs!$K27),Inputs!$K27,Curve!$B$6*Curve!$C$6*(INDEX(Profile!$B$9:$B$28,$A5)-IF($A5-MIN($A5,$B$2)=0,0,INDEX(Profile!$B$9:$B$28,$A5-MIN($A5,$B$2))))/$B$2/365)</f>
        <v/>
      </c>
      <c r="D5">
        <f>IF(ISNUMBER(Inputs!$K28),Inputs!$K28,Curve!$B$7*Curve!$C$7*(INDEX(Profile!$B$9:$B$28,$A5)-IF($A5-MIN($A5,$B$2)=0,0,INDEX(Profile!$B$9:$B$28,$A5-MIN($A5,$B$2))))/$B$2/365)</f>
        <v/>
      </c>
      <c r="E5">
        <f>IF(ISNUMBER(Inputs!$K29),Inputs!$K29,Curve!$B$8*Curve!$C$8*(INDEX(Profile!$B$9:$B$28,$A5)-IF($A5-MIN($A5,$B$2)=0,0,INDEX(Profile!$B$9:$B$28,$A5-MIN($A5,$B$2))))/$B$2/365)</f>
        <v/>
      </c>
      <c r="F5">
        <f>IF(ISNUMBER(Inputs!$K30),Inputs!$K30,Curve!$B$9*Curve!$C$9*(INDEX(Profile!$B$9:$B$28,$A5)-IF($A5-MIN($A5,$B$2)=0,0,INDEX(Profile!$B$9:$B$28,$A5-MIN($A5,$B$2))))/$B$2/365)</f>
        <v/>
      </c>
      <c r="G5">
        <f>IF(ISNUMBER(Inputs!$K31),Inputs!$K31,Curve!$B$10*Curve!$C$10*(INDEX(Profile!$B$9:$B$28,$A5)-IF($A5-MIN($A5,$B$2)=0,0,INDEX(Profile!$B$9:$B$28,$A5-MIN($A5,$B$2))))/$B$2/365)</f>
        <v/>
      </c>
      <c r="H5">
        <f>IF(ISNUMBER(Inputs!$K32),Inputs!$K32,Curve!$B$11*Curve!$C$11*(INDEX(Profile!$B$9:$B$28,$A5)-IF($A5-MIN($A5,$B$2)=0,0,INDEX(Profile!$B$9:$B$28,$A5-MIN($A5,$B$2))))/$B$2/365)</f>
        <v/>
      </c>
      <c r="I5">
        <f>IF(ISNUMBER(Inputs!$K33),Inputs!$K33,Curve!$B$12*Curve!$C$12*(INDEX(Profile!$B$9:$B$28,$A5)-IF($A5-MIN($A5,$B$2)=0,0,INDEX(Profile!$B$9:$B$28,$A5-MIN($A5,$B$2))))/$B$2/365)</f>
        <v/>
      </c>
      <c r="J5">
        <f>SUM(B5:I5)</f>
        <v/>
      </c>
    </row>
    <row r="6">
      <c r="A6" t="n">
        <v>2</v>
      </c>
      <c r="B6">
        <f>IF(ISNUMBER(Inputs!$K26),Inputs!$K26,Curve!$B$5*Curve!$C$5*(INDEX(Profile!$B$9:$B$28,$A6)-IF($A6-MIN($A6,$B$2)=0,0,INDEX(Profile!$B$9:$B$28,$A6-MIN($A6,$B$2))))/$B$2/365)</f>
        <v/>
      </c>
      <c r="C6">
        <f>IF(ISNUMBER(Inputs!$K27),Inputs!$K27,Curve!$B$6*Curve!$C$6*(INDEX(Profile!$B$9:$B$28,$A6)-IF($A6-MIN($A6,$B$2)=0,0,INDEX(Profile!$B$9:$B$28,$A6-MIN($A6,$B$2))))/$B$2/365)</f>
        <v/>
      </c>
      <c r="D6">
        <f>IF(ISNUMBER(Inputs!$K28),Inputs!$K28,Curve!$B$7*Curve!$C$7*(INDEX(Profile!$B$9:$B$28,$A6)-IF($A6-MIN($A6,$B$2)=0,0,INDEX(Profile!$B$9:$B$28,$A6-MIN($A6,$B$2))))/$B$2/365)</f>
        <v/>
      </c>
      <c r="E6">
        <f>IF(ISNUMBER(Inputs!$K29),Inputs!$K29,Curve!$B$8*Curve!$C$8*(INDEX(Profile!$B$9:$B$28,$A6)-IF($A6-MIN($A6,$B$2)=0,0,INDEX(Profile!$B$9:$B$28,$A6-MIN($A6,$B$2))))/$B$2/365)</f>
        <v/>
      </c>
      <c r="F6">
        <f>IF(ISNUMBER(Inputs!$K30),Inputs!$K30,Curve!$B$9*Curve!$C$9*(INDEX(Profile!$B$9:$B$28,$A6)-IF($A6-MIN($A6,$B$2)=0,0,INDEX(Profile!$B$9:$B$28,$A6-MIN($A6,$B$2))))/$B$2/365)</f>
        <v/>
      </c>
      <c r="G6">
        <f>IF(ISNUMBER(Inputs!$K31),Inputs!$K31,Curve!$B$10*Curve!$C$10*(INDEX(Profile!$B$9:$B$28,$A6)-IF($A6-MIN($A6,$B$2)=0,0,INDEX(Profile!$B$9:$B$28,$A6-MIN($A6,$B$2))))/$B$2/365)</f>
        <v/>
      </c>
      <c r="H6">
        <f>IF(ISNUMBER(Inputs!$K32),Inputs!$K32,Curve!$B$11*Curve!$C$11*(INDEX(Profile!$B$9:$B$28,$A6)-IF($A6-MIN($A6,$B$2)=0,0,INDEX(Profile!$B$9:$B$28,$A6-MIN($A6,$B$2))))/$B$2/365)</f>
        <v/>
      </c>
      <c r="I6">
        <f>IF(ISNUMBER(Inputs!$K33),Inputs!$K33,Curve!$B$12*Curve!$C$12*(INDEX(Profile!$B$9:$B$28,$A6)-IF($A6-MIN($A6,$B$2)=0,0,INDEX(Profile!$B$9:$B$28,$A6-MIN($A6,$B$2))))/$B$2/365)</f>
        <v/>
      </c>
      <c r="J6">
        <f>SUM(B6:I6)</f>
        <v/>
      </c>
    </row>
    <row r="7">
      <c r="A7" t="n">
        <v>3</v>
      </c>
      <c r="B7">
        <f>IF(ISNUMBER(Inputs!$K26),Inputs!$K26,Curve!$B$5*Curve!$C$5*(INDEX(Profile!$B$9:$B$28,$A7)-IF($A7-MIN($A7,$B$2)=0,0,INDEX(Profile!$B$9:$B$28,$A7-MIN($A7,$B$2))))/$B$2/365)</f>
        <v/>
      </c>
      <c r="C7">
        <f>IF(ISNUMBER(Inputs!$K27),Inputs!$K27,Curve!$B$6*Curve!$C$6*(INDEX(Profile!$B$9:$B$28,$A7)-IF($A7-MIN($A7,$B$2)=0,0,INDEX(Profile!$B$9:$B$28,$A7-MIN($A7,$B$2))))/$B$2/365)</f>
        <v/>
      </c>
      <c r="D7">
        <f>IF(ISNUMBER(Inputs!$K28),Inputs!$K28,Curve!$B$7*Curve!$C$7*(INDEX(Profile!$B$9:$B$28,$A7)-IF($A7-MIN($A7,$B$2)=0,0,INDEX(Profile!$B$9:$B$28,$A7-MIN($A7,$B$2))))/$B$2/365)</f>
        <v/>
      </c>
      <c r="E7">
        <f>IF(ISNUMBER(Inputs!$K29),Inputs!$K29,Curve!$B$8*Curve!$C$8*(INDEX(Profile!$B$9:$B$28,$A7)-IF($A7-MIN($A7,$B$2)=0,0,INDEX(Profile!$B$9:$B$28,$A7-MIN($A7,$B$2))))/$B$2/365)</f>
        <v/>
      </c>
      <c r="F7">
        <f>IF(ISNUMBER(Inputs!$K30),Inputs!$K30,Curve!$B$9*Curve!$C$9*(INDEX(Profile!$B$9:$B$28,$A7)-IF($A7-MIN($A7,$B$2)=0,0,INDEX(Profile!$B$9:$B$28,$A7-MIN($A7,$B$2))))/$B$2/365)</f>
        <v/>
      </c>
      <c r="G7">
        <f>IF(ISNUMBER(Inputs!$K31),Inputs!$K31,Curve!$B$10*Curve!$C$10*(INDEX(Profile!$B$9:$B$28,$A7)-IF($A7-MIN($A7,$B$2)=0,0,INDEX(Profile!$B$9:$B$28,$A7-MIN($A7,$B$2))))/$B$2/365)</f>
        <v/>
      </c>
      <c r="H7">
        <f>IF(ISNUMBER(Inputs!$K32),Inputs!$K32,Curve!$B$11*Curve!$C$11*(INDEX(Profile!$B$9:$B$28,$A7)-IF($A7-MIN($A7,$B$2)=0,0,INDEX(Profile!$B$9:$B$28,$A7-MIN($A7,$B$2))))/$B$2/365)</f>
        <v/>
      </c>
      <c r="I7">
        <f>IF(ISNUMBER(Inputs!$K33),Inputs!$K33,Curve!$B$12*Curve!$C$12*(INDEX(Profile!$B$9:$B$28,$A7)-IF($A7-MIN($A7,$B$2)=0,0,INDEX(Profile!$B$9:$B$28,$A7-MIN($A7,$B$2))))/$B$2/365)</f>
        <v/>
      </c>
      <c r="J7">
        <f>SUM(B7:I7)</f>
        <v/>
      </c>
    </row>
    <row r="8">
      <c r="A8" t="n">
        <v>4</v>
      </c>
      <c r="B8">
        <f>IF(ISNUMBER(Inputs!$K26),Inputs!$K26,Curve!$B$5*Curve!$C$5*(INDEX(Profile!$B$9:$B$28,$A8)-IF($A8-MIN($A8,$B$2)=0,0,INDEX(Profile!$B$9:$B$28,$A8-MIN($A8,$B$2))))/$B$2/365)</f>
        <v/>
      </c>
      <c r="C8">
        <f>IF(ISNUMBER(Inputs!$K27),Inputs!$K27,Curve!$B$6*Curve!$C$6*(INDEX(Profile!$B$9:$B$28,$A8)-IF($A8-MIN($A8,$B$2)=0,0,INDEX(Profile!$B$9:$B$28,$A8-MIN($A8,$B$2))))/$B$2/365)</f>
        <v/>
      </c>
      <c r="D8">
        <f>IF(ISNUMBER(Inputs!$K28),Inputs!$K28,Curve!$B$7*Curve!$C$7*(INDEX(Profile!$B$9:$B$28,$A8)-IF($A8-MIN($A8,$B$2)=0,0,INDEX(Profile!$B$9:$B$28,$A8-MIN($A8,$B$2))))/$B$2/365)</f>
        <v/>
      </c>
      <c r="E8">
        <f>IF(ISNUMBER(Inputs!$K29),Inputs!$K29,Curve!$B$8*Curve!$C$8*(INDEX(Profile!$B$9:$B$28,$A8)-IF($A8-MIN($A8,$B$2)=0,0,INDEX(Profile!$B$9:$B$28,$A8-MIN($A8,$B$2))))/$B$2/365)</f>
        <v/>
      </c>
      <c r="F8">
        <f>IF(ISNUMBER(Inputs!$K30),Inputs!$K30,Curve!$B$9*Curve!$C$9*(INDEX(Profile!$B$9:$B$28,$A8)-IF($A8-MIN($A8,$B$2)=0,0,INDEX(Profile!$B$9:$B$28,$A8-MIN($A8,$B$2))))/$B$2/365)</f>
        <v/>
      </c>
      <c r="G8">
        <f>IF(ISNUMBER(Inputs!$K31),Inputs!$K31,Curve!$B$10*Curve!$C$10*(INDEX(Profile!$B$9:$B$28,$A8)-IF($A8-MIN($A8,$B$2)=0,0,INDEX(Profile!$B$9:$B$28,$A8-MIN($A8,$B$2))))/$B$2/365)</f>
        <v/>
      </c>
      <c r="H8">
        <f>IF(ISNUMBER(Inputs!$K32),Inputs!$K32,Curve!$B$11*Curve!$C$11*(INDEX(Profile!$B$9:$B$28,$A8)-IF($A8-MIN($A8,$B$2)=0,0,INDEX(Profile!$B$9:$B$28,$A8-MIN($A8,$B$2))))/$B$2/365)</f>
        <v/>
      </c>
      <c r="I8">
        <f>IF(ISNUMBER(Inputs!$K33),Inputs!$K33,Curve!$B$12*Curve!$C$12*(INDEX(Profile!$B$9:$B$28,$A8)-IF($A8-MIN($A8,$B$2)=0,0,INDEX(Profile!$B$9:$B$28,$A8-MIN($A8,$B$2))))/$B$2/365)</f>
        <v/>
      </c>
      <c r="J8">
        <f>SUM(B8:I8)</f>
        <v/>
      </c>
    </row>
    <row r="9">
      <c r="A9" t="n">
        <v>5</v>
      </c>
      <c r="B9">
        <f>IF(ISNUMBER(Inputs!$K26),Inputs!$K26,Curve!$B$5*Curve!$C$5*(INDEX(Profile!$B$9:$B$28,$A9)-IF($A9-MIN($A9,$B$2)=0,0,INDEX(Profile!$B$9:$B$28,$A9-MIN($A9,$B$2))))/$B$2/365)</f>
        <v/>
      </c>
      <c r="C9">
        <f>IF(ISNUMBER(Inputs!$K27),Inputs!$K27,Curve!$B$6*Curve!$C$6*(INDEX(Profile!$B$9:$B$28,$A9)-IF($A9-MIN($A9,$B$2)=0,0,INDEX(Profile!$B$9:$B$28,$A9-MIN($A9,$B$2))))/$B$2/365)</f>
        <v/>
      </c>
      <c r="D9">
        <f>IF(ISNUMBER(Inputs!$K28),Inputs!$K28,Curve!$B$7*Curve!$C$7*(INDEX(Profile!$B$9:$B$28,$A9)-IF($A9-MIN($A9,$B$2)=0,0,INDEX(Profile!$B$9:$B$28,$A9-MIN($A9,$B$2))))/$B$2/365)</f>
        <v/>
      </c>
      <c r="E9">
        <f>IF(ISNUMBER(Inputs!$K29),Inputs!$K29,Curve!$B$8*Curve!$C$8*(INDEX(Profile!$B$9:$B$28,$A9)-IF($A9-MIN($A9,$B$2)=0,0,INDEX(Profile!$B$9:$B$28,$A9-MIN($A9,$B$2))))/$B$2/365)</f>
        <v/>
      </c>
      <c r="F9">
        <f>IF(ISNUMBER(Inputs!$K30),Inputs!$K30,Curve!$B$9*Curve!$C$9*(INDEX(Profile!$B$9:$B$28,$A9)-IF($A9-MIN($A9,$B$2)=0,0,INDEX(Profile!$B$9:$B$28,$A9-MIN($A9,$B$2))))/$B$2/365)</f>
        <v/>
      </c>
      <c r="G9">
        <f>IF(ISNUMBER(Inputs!$K31),Inputs!$K31,Curve!$B$10*Curve!$C$10*(INDEX(Profile!$B$9:$B$28,$A9)-IF($A9-MIN($A9,$B$2)=0,0,INDEX(Profile!$B$9:$B$28,$A9-MIN($A9,$B$2))))/$B$2/365)</f>
        <v/>
      </c>
      <c r="H9">
        <f>IF(ISNUMBER(Inputs!$K32),Inputs!$K32,Curve!$B$11*Curve!$C$11*(INDEX(Profile!$B$9:$B$28,$A9)-IF($A9-MIN($A9,$B$2)=0,0,INDEX(Profile!$B$9:$B$28,$A9-MIN($A9,$B$2))))/$B$2/365)</f>
        <v/>
      </c>
      <c r="I9">
        <f>IF(ISNUMBER(Inputs!$K33),Inputs!$K33,Curve!$B$12*Curve!$C$12*(INDEX(Profile!$B$9:$B$28,$A9)-IF($A9-MIN($A9,$B$2)=0,0,INDEX(Profile!$B$9:$B$28,$A9-MIN($A9,$B$2))))/$B$2/365)</f>
        <v/>
      </c>
      <c r="J9">
        <f>SUM(B9:I9)</f>
        <v/>
      </c>
    </row>
    <row r="10">
      <c r="A10" t="n">
        <v>6</v>
      </c>
      <c r="B10">
        <f>IF(ISNUMBER(Inputs!$K26),Inputs!$K26,Curve!$B$5*Curve!$C$5*(INDEX(Profile!$B$9:$B$28,$A10)-IF($A10-MIN($A10,$B$2)=0,0,INDEX(Profile!$B$9:$B$28,$A10-MIN($A10,$B$2))))/$B$2/365)</f>
        <v/>
      </c>
      <c r="C10">
        <f>IF(ISNUMBER(Inputs!$K27),Inputs!$K27,Curve!$B$6*Curve!$C$6*(INDEX(Profile!$B$9:$B$28,$A10)-IF($A10-MIN($A10,$B$2)=0,0,INDEX(Profile!$B$9:$B$28,$A10-MIN($A10,$B$2))))/$B$2/365)</f>
        <v/>
      </c>
      <c r="D10">
        <f>IF(ISNUMBER(Inputs!$K28),Inputs!$K28,Curve!$B$7*Curve!$C$7*(INDEX(Profile!$B$9:$B$28,$A10)-IF($A10-MIN($A10,$B$2)=0,0,INDEX(Profile!$B$9:$B$28,$A10-MIN($A10,$B$2))))/$B$2/365)</f>
        <v/>
      </c>
      <c r="E10">
        <f>IF(ISNUMBER(Inputs!$K29),Inputs!$K29,Curve!$B$8*Curve!$C$8*(INDEX(Profile!$B$9:$B$28,$A10)-IF($A10-MIN($A10,$B$2)=0,0,INDEX(Profile!$B$9:$B$28,$A10-MIN($A10,$B$2))))/$B$2/365)</f>
        <v/>
      </c>
      <c r="F10">
        <f>IF(ISNUMBER(Inputs!$K30),Inputs!$K30,Curve!$B$9*Curve!$C$9*(INDEX(Profile!$B$9:$B$28,$A10)-IF($A10-MIN($A10,$B$2)=0,0,INDEX(Profile!$B$9:$B$28,$A10-MIN($A10,$B$2))))/$B$2/365)</f>
        <v/>
      </c>
      <c r="G10">
        <f>IF(ISNUMBER(Inputs!$K31),Inputs!$K31,Curve!$B$10*Curve!$C$10*(INDEX(Profile!$B$9:$B$28,$A10)-IF($A10-MIN($A10,$B$2)=0,0,INDEX(Profile!$B$9:$B$28,$A10-MIN($A10,$B$2))))/$B$2/365)</f>
        <v/>
      </c>
      <c r="H10">
        <f>IF(ISNUMBER(Inputs!$K32),Inputs!$K32,Curve!$B$11*Curve!$C$11*(INDEX(Profile!$B$9:$B$28,$A10)-IF($A10-MIN($A10,$B$2)=0,0,INDEX(Profile!$B$9:$B$28,$A10-MIN($A10,$B$2))))/$B$2/365)</f>
        <v/>
      </c>
      <c r="I10">
        <f>IF(ISNUMBER(Inputs!$K33),Inputs!$K33,Curve!$B$12*Curve!$C$12*(INDEX(Profile!$B$9:$B$28,$A10)-IF($A10-MIN($A10,$B$2)=0,0,INDEX(Profile!$B$9:$B$28,$A10-MIN($A10,$B$2))))/$B$2/365)</f>
        <v/>
      </c>
      <c r="J10">
        <f>SUM(B10:I10)</f>
        <v/>
      </c>
    </row>
    <row r="11">
      <c r="A11" t="n">
        <v>7</v>
      </c>
      <c r="B11">
        <f>IF(ISNUMBER(Inputs!$K26),Inputs!$K26,Curve!$B$5*Curve!$C$5*(INDEX(Profile!$B$9:$B$28,$A11)-IF($A11-MIN($A11,$B$2)=0,0,INDEX(Profile!$B$9:$B$28,$A11-MIN($A11,$B$2))))/$B$2/365)</f>
        <v/>
      </c>
      <c r="C11">
        <f>IF(ISNUMBER(Inputs!$K27),Inputs!$K27,Curve!$B$6*Curve!$C$6*(INDEX(Profile!$B$9:$B$28,$A11)-IF($A11-MIN($A11,$B$2)=0,0,INDEX(Profile!$B$9:$B$28,$A11-MIN($A11,$B$2))))/$B$2/365)</f>
        <v/>
      </c>
      <c r="D11">
        <f>IF(ISNUMBER(Inputs!$K28),Inputs!$K28,Curve!$B$7*Curve!$C$7*(INDEX(Profile!$B$9:$B$28,$A11)-IF($A11-MIN($A11,$B$2)=0,0,INDEX(Profile!$B$9:$B$28,$A11-MIN($A11,$B$2))))/$B$2/365)</f>
        <v/>
      </c>
      <c r="E11">
        <f>IF(ISNUMBER(Inputs!$K29),Inputs!$K29,Curve!$B$8*Curve!$C$8*(INDEX(Profile!$B$9:$B$28,$A11)-IF($A11-MIN($A11,$B$2)=0,0,INDEX(Profile!$B$9:$B$28,$A11-MIN($A11,$B$2))))/$B$2/365)</f>
        <v/>
      </c>
      <c r="F11">
        <f>IF(ISNUMBER(Inputs!$K30),Inputs!$K30,Curve!$B$9*Curve!$C$9*(INDEX(Profile!$B$9:$B$28,$A11)-IF($A11-MIN($A11,$B$2)=0,0,INDEX(Profile!$B$9:$B$28,$A11-MIN($A11,$B$2))))/$B$2/365)</f>
        <v/>
      </c>
      <c r="G11">
        <f>IF(ISNUMBER(Inputs!$K31),Inputs!$K31,Curve!$B$10*Curve!$C$10*(INDEX(Profile!$B$9:$B$28,$A11)-IF($A11-MIN($A11,$B$2)=0,0,INDEX(Profile!$B$9:$B$28,$A11-MIN($A11,$B$2))))/$B$2/365)</f>
        <v/>
      </c>
      <c r="H11">
        <f>IF(ISNUMBER(Inputs!$K32),Inputs!$K32,Curve!$B$11*Curve!$C$11*(INDEX(Profile!$B$9:$B$28,$A11)-IF($A11-MIN($A11,$B$2)=0,0,INDEX(Profile!$B$9:$B$28,$A11-MIN($A11,$B$2))))/$B$2/365)</f>
        <v/>
      </c>
      <c r="I11">
        <f>IF(ISNUMBER(Inputs!$K33),Inputs!$K33,Curve!$B$12*Curve!$C$12*(INDEX(Profile!$B$9:$B$28,$A11)-IF($A11-MIN($A11,$B$2)=0,0,INDEX(Profile!$B$9:$B$28,$A11-MIN($A11,$B$2))))/$B$2/365)</f>
        <v/>
      </c>
      <c r="J11">
        <f>SUM(B11:I11)</f>
        <v/>
      </c>
    </row>
    <row r="12">
      <c r="A12" t="n">
        <v>8</v>
      </c>
      <c r="B12">
        <f>IF(ISNUMBER(Inputs!$K26),Inputs!$K26,Curve!$B$5*Curve!$C$5*(INDEX(Profile!$B$9:$B$28,$A12)-IF($A12-MIN($A12,$B$2)=0,0,INDEX(Profile!$B$9:$B$28,$A12-MIN($A12,$B$2))))/$B$2/365)</f>
        <v/>
      </c>
      <c r="C12">
        <f>IF(ISNUMBER(Inputs!$K27),Inputs!$K27,Curve!$B$6*Curve!$C$6*(INDEX(Profile!$B$9:$B$28,$A12)-IF($A12-MIN($A12,$B$2)=0,0,INDEX(Profile!$B$9:$B$28,$A12-MIN($A12,$B$2))))/$B$2/365)</f>
        <v/>
      </c>
      <c r="D12">
        <f>IF(ISNUMBER(Inputs!$K28),Inputs!$K28,Curve!$B$7*Curve!$C$7*(INDEX(Profile!$B$9:$B$28,$A12)-IF($A12-MIN($A12,$B$2)=0,0,INDEX(Profile!$B$9:$B$28,$A12-MIN($A12,$B$2))))/$B$2/365)</f>
        <v/>
      </c>
      <c r="E12">
        <f>IF(ISNUMBER(Inputs!$K29),Inputs!$K29,Curve!$B$8*Curve!$C$8*(INDEX(Profile!$B$9:$B$28,$A12)-IF($A12-MIN($A12,$B$2)=0,0,INDEX(Profile!$B$9:$B$28,$A12-MIN($A12,$B$2))))/$B$2/365)</f>
        <v/>
      </c>
      <c r="F12">
        <f>IF(ISNUMBER(Inputs!$K30),Inputs!$K30,Curve!$B$9*Curve!$C$9*(INDEX(Profile!$B$9:$B$28,$A12)-IF($A12-MIN($A12,$B$2)=0,0,INDEX(Profile!$B$9:$B$28,$A12-MIN($A12,$B$2))))/$B$2/365)</f>
        <v/>
      </c>
      <c r="G12">
        <f>IF(ISNUMBER(Inputs!$K31),Inputs!$K31,Curve!$B$10*Curve!$C$10*(INDEX(Profile!$B$9:$B$28,$A12)-IF($A12-MIN($A12,$B$2)=0,0,INDEX(Profile!$B$9:$B$28,$A12-MIN($A12,$B$2))))/$B$2/365)</f>
        <v/>
      </c>
      <c r="H12">
        <f>IF(ISNUMBER(Inputs!$K32),Inputs!$K32,Curve!$B$11*Curve!$C$11*(INDEX(Profile!$B$9:$B$28,$A12)-IF($A12-MIN($A12,$B$2)=0,0,INDEX(Profile!$B$9:$B$28,$A12-MIN($A12,$B$2))))/$B$2/365)</f>
        <v/>
      </c>
      <c r="I12">
        <f>IF(ISNUMBER(Inputs!$K33),Inputs!$K33,Curve!$B$12*Curve!$C$12*(INDEX(Profile!$B$9:$B$28,$A12)-IF($A12-MIN($A12,$B$2)=0,0,INDEX(Profile!$B$9:$B$28,$A12-MIN($A12,$B$2))))/$B$2/365)</f>
        <v/>
      </c>
      <c r="J12">
        <f>SUM(B12:I12)</f>
        <v/>
      </c>
    </row>
    <row r="13">
      <c r="A13" t="n">
        <v>9</v>
      </c>
      <c r="B13">
        <f>IF(ISNUMBER(Inputs!$K26),Inputs!$K26,Curve!$B$5*Curve!$C$5*(INDEX(Profile!$B$9:$B$28,$A13)-IF($A13-MIN($A13,$B$2)=0,0,INDEX(Profile!$B$9:$B$28,$A13-MIN($A13,$B$2))))/$B$2/365)</f>
        <v/>
      </c>
      <c r="C13">
        <f>IF(ISNUMBER(Inputs!$K27),Inputs!$K27,Curve!$B$6*Curve!$C$6*(INDEX(Profile!$B$9:$B$28,$A13)-IF($A13-MIN($A13,$B$2)=0,0,INDEX(Profile!$B$9:$B$28,$A13-MIN($A13,$B$2))))/$B$2/365)</f>
        <v/>
      </c>
      <c r="D13">
        <f>IF(ISNUMBER(Inputs!$K28),Inputs!$K28,Curve!$B$7*Curve!$C$7*(INDEX(Profile!$B$9:$B$28,$A13)-IF($A13-MIN($A13,$B$2)=0,0,INDEX(Profile!$B$9:$B$28,$A13-MIN($A13,$B$2))))/$B$2/365)</f>
        <v/>
      </c>
      <c r="E13">
        <f>IF(ISNUMBER(Inputs!$K29),Inputs!$K29,Curve!$B$8*Curve!$C$8*(INDEX(Profile!$B$9:$B$28,$A13)-IF($A13-MIN($A13,$B$2)=0,0,INDEX(Profile!$B$9:$B$28,$A13-MIN($A13,$B$2))))/$B$2/365)</f>
        <v/>
      </c>
      <c r="F13">
        <f>IF(ISNUMBER(Inputs!$K30),Inputs!$K30,Curve!$B$9*Curve!$C$9*(INDEX(Profile!$B$9:$B$28,$A13)-IF($A13-MIN($A13,$B$2)=0,0,INDEX(Profile!$B$9:$B$28,$A13-MIN($A13,$B$2))))/$B$2/365)</f>
        <v/>
      </c>
      <c r="G13">
        <f>IF(ISNUMBER(Inputs!$K31),Inputs!$K31,Curve!$B$10*Curve!$C$10*(INDEX(Profile!$B$9:$B$28,$A13)-IF($A13-MIN($A13,$B$2)=0,0,INDEX(Profile!$B$9:$B$28,$A13-MIN($A13,$B$2))))/$B$2/365)</f>
        <v/>
      </c>
      <c r="H13">
        <f>IF(ISNUMBER(Inputs!$K32),Inputs!$K32,Curve!$B$11*Curve!$C$11*(INDEX(Profile!$B$9:$B$28,$A13)-IF($A13-MIN($A13,$B$2)=0,0,INDEX(Profile!$B$9:$B$28,$A13-MIN($A13,$B$2))))/$B$2/365)</f>
        <v/>
      </c>
      <c r="I13">
        <f>IF(ISNUMBER(Inputs!$K33),Inputs!$K33,Curve!$B$12*Curve!$C$12*(INDEX(Profile!$B$9:$B$28,$A13)-IF($A13-MIN($A13,$B$2)=0,0,INDEX(Profile!$B$9:$B$28,$A13-MIN($A13,$B$2))))/$B$2/365)</f>
        <v/>
      </c>
      <c r="J13">
        <f>SUM(B13:I13)</f>
        <v/>
      </c>
    </row>
    <row r="14">
      <c r="A14" t="n">
        <v>10</v>
      </c>
      <c r="B14">
        <f>IF(ISNUMBER(Inputs!$K26),Inputs!$K26,Curve!$B$5*Curve!$C$5*(INDEX(Profile!$B$9:$B$28,$A14)-IF($A14-MIN($A14,$B$2)=0,0,INDEX(Profile!$B$9:$B$28,$A14-MIN($A14,$B$2))))/$B$2/365)</f>
        <v/>
      </c>
      <c r="C14">
        <f>IF(ISNUMBER(Inputs!$K27),Inputs!$K27,Curve!$B$6*Curve!$C$6*(INDEX(Profile!$B$9:$B$28,$A14)-IF($A14-MIN($A14,$B$2)=0,0,INDEX(Profile!$B$9:$B$28,$A14-MIN($A14,$B$2))))/$B$2/365)</f>
        <v/>
      </c>
      <c r="D14">
        <f>IF(ISNUMBER(Inputs!$K28),Inputs!$K28,Curve!$B$7*Curve!$C$7*(INDEX(Profile!$B$9:$B$28,$A14)-IF($A14-MIN($A14,$B$2)=0,0,INDEX(Profile!$B$9:$B$28,$A14-MIN($A14,$B$2))))/$B$2/365)</f>
        <v/>
      </c>
      <c r="E14">
        <f>IF(ISNUMBER(Inputs!$K29),Inputs!$K29,Curve!$B$8*Curve!$C$8*(INDEX(Profile!$B$9:$B$28,$A14)-IF($A14-MIN($A14,$B$2)=0,0,INDEX(Profile!$B$9:$B$28,$A14-MIN($A14,$B$2))))/$B$2/365)</f>
        <v/>
      </c>
      <c r="F14">
        <f>IF(ISNUMBER(Inputs!$K30),Inputs!$K30,Curve!$B$9*Curve!$C$9*(INDEX(Profile!$B$9:$B$28,$A14)-IF($A14-MIN($A14,$B$2)=0,0,INDEX(Profile!$B$9:$B$28,$A14-MIN($A14,$B$2))))/$B$2/365)</f>
        <v/>
      </c>
      <c r="G14">
        <f>IF(ISNUMBER(Inputs!$K31),Inputs!$K31,Curve!$B$10*Curve!$C$10*(INDEX(Profile!$B$9:$B$28,$A14)-IF($A14-MIN($A14,$B$2)=0,0,INDEX(Profile!$B$9:$B$28,$A14-MIN($A14,$B$2))))/$B$2/365)</f>
        <v/>
      </c>
      <c r="H14">
        <f>IF(ISNUMBER(Inputs!$K32),Inputs!$K32,Curve!$B$11*Curve!$C$11*(INDEX(Profile!$B$9:$B$28,$A14)-IF($A14-MIN($A14,$B$2)=0,0,INDEX(Profile!$B$9:$B$28,$A14-MIN($A14,$B$2))))/$B$2/365)</f>
        <v/>
      </c>
      <c r="I14">
        <f>IF(ISNUMBER(Inputs!$K33),Inputs!$K33,Curve!$B$12*Curve!$C$12*(INDEX(Profile!$B$9:$B$28,$A14)-IF($A14-MIN($A14,$B$2)=0,0,INDEX(Profile!$B$9:$B$28,$A14-MIN($A14,$B$2))))/$B$2/365)</f>
        <v/>
      </c>
      <c r="J14">
        <f>SUM(B14:I14)</f>
        <v/>
      </c>
    </row>
    <row r="15">
      <c r="A15" t="n">
        <v>11</v>
      </c>
      <c r="B15">
        <f>IF(ISNUMBER(Inputs!$K26),Inputs!$K26,Curve!$B$5*Curve!$C$5*(INDEX(Profile!$B$9:$B$28,$A15)-IF($A15-MIN($A15,$B$2)=0,0,INDEX(Profile!$B$9:$B$28,$A15-MIN($A15,$B$2))))/$B$2/365)</f>
        <v/>
      </c>
      <c r="C15">
        <f>IF(ISNUMBER(Inputs!$K27),Inputs!$K27,Curve!$B$6*Curve!$C$6*(INDEX(Profile!$B$9:$B$28,$A15)-IF($A15-MIN($A15,$B$2)=0,0,INDEX(Profile!$B$9:$B$28,$A15-MIN($A15,$B$2))))/$B$2/365)</f>
        <v/>
      </c>
      <c r="D15">
        <f>IF(ISNUMBER(Inputs!$K28),Inputs!$K28,Curve!$B$7*Curve!$C$7*(INDEX(Profile!$B$9:$B$28,$A15)-IF($A15-MIN($A15,$B$2)=0,0,INDEX(Profile!$B$9:$B$28,$A15-MIN($A15,$B$2))))/$B$2/365)</f>
        <v/>
      </c>
      <c r="E15">
        <f>IF(ISNUMBER(Inputs!$K29),Inputs!$K29,Curve!$B$8*Curve!$C$8*(INDEX(Profile!$B$9:$B$28,$A15)-IF($A15-MIN($A15,$B$2)=0,0,INDEX(Profile!$B$9:$B$28,$A15-MIN($A15,$B$2))))/$B$2/365)</f>
        <v/>
      </c>
      <c r="F15">
        <f>IF(ISNUMBER(Inputs!$K30),Inputs!$K30,Curve!$B$9*Curve!$C$9*(INDEX(Profile!$B$9:$B$28,$A15)-IF($A15-MIN($A15,$B$2)=0,0,INDEX(Profile!$B$9:$B$28,$A15-MIN($A15,$B$2))))/$B$2/365)</f>
        <v/>
      </c>
      <c r="G15">
        <f>IF(ISNUMBER(Inputs!$K31),Inputs!$K31,Curve!$B$10*Curve!$C$10*(INDEX(Profile!$B$9:$B$28,$A15)-IF($A15-MIN($A15,$B$2)=0,0,INDEX(Profile!$B$9:$B$28,$A15-MIN($A15,$B$2))))/$B$2/365)</f>
        <v/>
      </c>
      <c r="H15">
        <f>IF(ISNUMBER(Inputs!$K32),Inputs!$K32,Curve!$B$11*Curve!$C$11*(INDEX(Profile!$B$9:$B$28,$A15)-IF($A15-MIN($A15,$B$2)=0,0,INDEX(Profile!$B$9:$B$28,$A15-MIN($A15,$B$2))))/$B$2/365)</f>
        <v/>
      </c>
      <c r="I15">
        <f>IF(ISNUMBER(Inputs!$K33),Inputs!$K33,Curve!$B$12*Curve!$C$12*(INDEX(Profile!$B$9:$B$28,$A15)-IF($A15-MIN($A15,$B$2)=0,0,INDEX(Profile!$B$9:$B$28,$A15-MIN($A15,$B$2))))/$B$2/365)</f>
        <v/>
      </c>
      <c r="J15">
        <f>SUM(B15:I15)</f>
        <v/>
      </c>
    </row>
    <row r="16">
      <c r="A16" t="n">
        <v>12</v>
      </c>
      <c r="B16">
        <f>IF(ISNUMBER(Inputs!$K26),Inputs!$K26,Curve!$B$5*Curve!$C$5*(INDEX(Profile!$B$9:$B$28,$A16)-IF($A16-MIN($A16,$B$2)=0,0,INDEX(Profile!$B$9:$B$28,$A16-MIN($A16,$B$2))))/$B$2/365)</f>
        <v/>
      </c>
      <c r="C16">
        <f>IF(ISNUMBER(Inputs!$K27),Inputs!$K27,Curve!$B$6*Curve!$C$6*(INDEX(Profile!$B$9:$B$28,$A16)-IF($A16-MIN($A16,$B$2)=0,0,INDEX(Profile!$B$9:$B$28,$A16-MIN($A16,$B$2))))/$B$2/365)</f>
        <v/>
      </c>
      <c r="D16">
        <f>IF(ISNUMBER(Inputs!$K28),Inputs!$K28,Curve!$B$7*Curve!$C$7*(INDEX(Profile!$B$9:$B$28,$A16)-IF($A16-MIN($A16,$B$2)=0,0,INDEX(Profile!$B$9:$B$28,$A16-MIN($A16,$B$2))))/$B$2/365)</f>
        <v/>
      </c>
      <c r="E16">
        <f>IF(ISNUMBER(Inputs!$K29),Inputs!$K29,Curve!$B$8*Curve!$C$8*(INDEX(Profile!$B$9:$B$28,$A16)-IF($A16-MIN($A16,$B$2)=0,0,INDEX(Profile!$B$9:$B$28,$A16-MIN($A16,$B$2))))/$B$2/365)</f>
        <v/>
      </c>
      <c r="F16">
        <f>IF(ISNUMBER(Inputs!$K30),Inputs!$K30,Curve!$B$9*Curve!$C$9*(INDEX(Profile!$B$9:$B$28,$A16)-IF($A16-MIN($A16,$B$2)=0,0,INDEX(Profile!$B$9:$B$28,$A16-MIN($A16,$B$2))))/$B$2/365)</f>
        <v/>
      </c>
      <c r="G16">
        <f>IF(ISNUMBER(Inputs!$K31),Inputs!$K31,Curve!$B$10*Curve!$C$10*(INDEX(Profile!$B$9:$B$28,$A16)-IF($A16-MIN($A16,$B$2)=0,0,INDEX(Profile!$B$9:$B$28,$A16-MIN($A16,$B$2))))/$B$2/365)</f>
        <v/>
      </c>
      <c r="H16">
        <f>IF(ISNUMBER(Inputs!$K32),Inputs!$K32,Curve!$B$11*Curve!$C$11*(INDEX(Profile!$B$9:$B$28,$A16)-IF($A16-MIN($A16,$B$2)=0,0,INDEX(Profile!$B$9:$B$28,$A16-MIN($A16,$B$2))))/$B$2/365)</f>
        <v/>
      </c>
      <c r="I16">
        <f>IF(ISNUMBER(Inputs!$K33),Inputs!$K33,Curve!$B$12*Curve!$C$12*(INDEX(Profile!$B$9:$B$28,$A16)-IF($A16-MIN($A16,$B$2)=0,0,INDEX(Profile!$B$9:$B$28,$A16-MIN($A16,$B$2))))/$B$2/365)</f>
        <v/>
      </c>
      <c r="J16">
        <f>SUM(B16:I16)</f>
        <v/>
      </c>
    </row>
    <row r="17">
      <c r="A17" t="n">
        <v>13</v>
      </c>
      <c r="B17">
        <f>IF(ISNUMBER(Inputs!$K26),Inputs!$K26,Curve!$B$5*Curve!$C$5*(INDEX(Profile!$B$9:$B$28,$A17)-IF($A17-MIN($A17,$B$2)=0,0,INDEX(Profile!$B$9:$B$28,$A17-MIN($A17,$B$2))))/$B$2/365)</f>
        <v/>
      </c>
      <c r="C17">
        <f>IF(ISNUMBER(Inputs!$K27),Inputs!$K27,Curve!$B$6*Curve!$C$6*(INDEX(Profile!$B$9:$B$28,$A17)-IF($A17-MIN($A17,$B$2)=0,0,INDEX(Profile!$B$9:$B$28,$A17-MIN($A17,$B$2))))/$B$2/365)</f>
        <v/>
      </c>
      <c r="D17">
        <f>IF(ISNUMBER(Inputs!$K28),Inputs!$K28,Curve!$B$7*Curve!$C$7*(INDEX(Profile!$B$9:$B$28,$A17)-IF($A17-MIN($A17,$B$2)=0,0,INDEX(Profile!$B$9:$B$28,$A17-MIN($A17,$B$2))))/$B$2/365)</f>
        <v/>
      </c>
      <c r="E17">
        <f>IF(ISNUMBER(Inputs!$K29),Inputs!$K29,Curve!$B$8*Curve!$C$8*(INDEX(Profile!$B$9:$B$28,$A17)-IF($A17-MIN($A17,$B$2)=0,0,INDEX(Profile!$B$9:$B$28,$A17-MIN($A17,$B$2))))/$B$2/365)</f>
        <v/>
      </c>
      <c r="F17">
        <f>IF(ISNUMBER(Inputs!$K30),Inputs!$K30,Curve!$B$9*Curve!$C$9*(INDEX(Profile!$B$9:$B$28,$A17)-IF($A17-MIN($A17,$B$2)=0,0,INDEX(Profile!$B$9:$B$28,$A17-MIN($A17,$B$2))))/$B$2/365)</f>
        <v/>
      </c>
      <c r="G17">
        <f>IF(ISNUMBER(Inputs!$K31),Inputs!$K31,Curve!$B$10*Curve!$C$10*(INDEX(Profile!$B$9:$B$28,$A17)-IF($A17-MIN($A17,$B$2)=0,0,INDEX(Profile!$B$9:$B$28,$A17-MIN($A17,$B$2))))/$B$2/365)</f>
        <v/>
      </c>
      <c r="H17">
        <f>IF(ISNUMBER(Inputs!$K32),Inputs!$K32,Curve!$B$11*Curve!$C$11*(INDEX(Profile!$B$9:$B$28,$A17)-IF($A17-MIN($A17,$B$2)=0,0,INDEX(Profile!$B$9:$B$28,$A17-MIN($A17,$B$2))))/$B$2/365)</f>
        <v/>
      </c>
      <c r="I17">
        <f>IF(ISNUMBER(Inputs!$K33),Inputs!$K33,Curve!$B$12*Curve!$C$12*(INDEX(Profile!$B$9:$B$28,$A17)-IF($A17-MIN($A17,$B$2)=0,0,INDEX(Profile!$B$9:$B$28,$A17-MIN($A17,$B$2))))/$B$2/365)</f>
        <v/>
      </c>
      <c r="J17">
        <f>SUM(B17:I17)</f>
        <v/>
      </c>
    </row>
    <row r="18">
      <c r="A18" t="n">
        <v>14</v>
      </c>
      <c r="B18">
        <f>IF(ISNUMBER(Inputs!$K26),Inputs!$K26,Curve!$B$5*Curve!$C$5*(INDEX(Profile!$B$9:$B$28,$A18)-IF($A18-MIN($A18,$B$2)=0,0,INDEX(Profile!$B$9:$B$28,$A18-MIN($A18,$B$2))))/$B$2/365)</f>
        <v/>
      </c>
      <c r="C18">
        <f>IF(ISNUMBER(Inputs!$K27),Inputs!$K27,Curve!$B$6*Curve!$C$6*(INDEX(Profile!$B$9:$B$28,$A18)-IF($A18-MIN($A18,$B$2)=0,0,INDEX(Profile!$B$9:$B$28,$A18-MIN($A18,$B$2))))/$B$2/365)</f>
        <v/>
      </c>
      <c r="D18">
        <f>IF(ISNUMBER(Inputs!$K28),Inputs!$K28,Curve!$B$7*Curve!$C$7*(INDEX(Profile!$B$9:$B$28,$A18)-IF($A18-MIN($A18,$B$2)=0,0,INDEX(Profile!$B$9:$B$28,$A18-MIN($A18,$B$2))))/$B$2/365)</f>
        <v/>
      </c>
      <c r="E18">
        <f>IF(ISNUMBER(Inputs!$K29),Inputs!$K29,Curve!$B$8*Curve!$C$8*(INDEX(Profile!$B$9:$B$28,$A18)-IF($A18-MIN($A18,$B$2)=0,0,INDEX(Profile!$B$9:$B$28,$A18-MIN($A18,$B$2))))/$B$2/365)</f>
        <v/>
      </c>
      <c r="F18">
        <f>IF(ISNUMBER(Inputs!$K30),Inputs!$K30,Curve!$B$9*Curve!$C$9*(INDEX(Profile!$B$9:$B$28,$A18)-IF($A18-MIN($A18,$B$2)=0,0,INDEX(Profile!$B$9:$B$28,$A18-MIN($A18,$B$2))))/$B$2/365)</f>
        <v/>
      </c>
      <c r="G18">
        <f>IF(ISNUMBER(Inputs!$K31),Inputs!$K31,Curve!$B$10*Curve!$C$10*(INDEX(Profile!$B$9:$B$28,$A18)-IF($A18-MIN($A18,$B$2)=0,0,INDEX(Profile!$B$9:$B$28,$A18-MIN($A18,$B$2))))/$B$2/365)</f>
        <v/>
      </c>
      <c r="H18">
        <f>IF(ISNUMBER(Inputs!$K32),Inputs!$K32,Curve!$B$11*Curve!$C$11*(INDEX(Profile!$B$9:$B$28,$A18)-IF($A18-MIN($A18,$B$2)=0,0,INDEX(Profile!$B$9:$B$28,$A18-MIN($A18,$B$2))))/$B$2/365)</f>
        <v/>
      </c>
      <c r="I18">
        <f>IF(ISNUMBER(Inputs!$K33),Inputs!$K33,Curve!$B$12*Curve!$C$12*(INDEX(Profile!$B$9:$B$28,$A18)-IF($A18-MIN($A18,$B$2)=0,0,INDEX(Profile!$B$9:$B$28,$A18-MIN($A18,$B$2))))/$B$2/365)</f>
        <v/>
      </c>
      <c r="J18">
        <f>SUM(B18:I18)</f>
        <v/>
      </c>
    </row>
    <row r="19">
      <c r="A19" t="n">
        <v>15</v>
      </c>
      <c r="B19">
        <f>IF(ISNUMBER(Inputs!$K26),Inputs!$K26,Curve!$B$5*Curve!$C$5*(INDEX(Profile!$B$9:$B$28,$A19)-IF($A19-MIN($A19,$B$2)=0,0,INDEX(Profile!$B$9:$B$28,$A19-MIN($A19,$B$2))))/$B$2/365)</f>
        <v/>
      </c>
      <c r="C19">
        <f>IF(ISNUMBER(Inputs!$K27),Inputs!$K27,Curve!$B$6*Curve!$C$6*(INDEX(Profile!$B$9:$B$28,$A19)-IF($A19-MIN($A19,$B$2)=0,0,INDEX(Profile!$B$9:$B$28,$A19-MIN($A19,$B$2))))/$B$2/365)</f>
        <v/>
      </c>
      <c r="D19">
        <f>IF(ISNUMBER(Inputs!$K28),Inputs!$K28,Curve!$B$7*Curve!$C$7*(INDEX(Profile!$B$9:$B$28,$A19)-IF($A19-MIN($A19,$B$2)=0,0,INDEX(Profile!$B$9:$B$28,$A19-MIN($A19,$B$2))))/$B$2/365)</f>
        <v/>
      </c>
      <c r="E19">
        <f>IF(ISNUMBER(Inputs!$K29),Inputs!$K29,Curve!$B$8*Curve!$C$8*(INDEX(Profile!$B$9:$B$28,$A19)-IF($A19-MIN($A19,$B$2)=0,0,INDEX(Profile!$B$9:$B$28,$A19-MIN($A19,$B$2))))/$B$2/365)</f>
        <v/>
      </c>
      <c r="F19">
        <f>IF(ISNUMBER(Inputs!$K30),Inputs!$K30,Curve!$B$9*Curve!$C$9*(INDEX(Profile!$B$9:$B$28,$A19)-IF($A19-MIN($A19,$B$2)=0,0,INDEX(Profile!$B$9:$B$28,$A19-MIN($A19,$B$2))))/$B$2/365)</f>
        <v/>
      </c>
      <c r="G19">
        <f>IF(ISNUMBER(Inputs!$K31),Inputs!$K31,Curve!$B$10*Curve!$C$10*(INDEX(Profile!$B$9:$B$28,$A19)-IF($A19-MIN($A19,$B$2)=0,0,INDEX(Profile!$B$9:$B$28,$A19-MIN($A19,$B$2))))/$B$2/365)</f>
        <v/>
      </c>
      <c r="H19">
        <f>IF(ISNUMBER(Inputs!$K32),Inputs!$K32,Curve!$B$11*Curve!$C$11*(INDEX(Profile!$B$9:$B$28,$A19)-IF($A19-MIN($A19,$B$2)=0,0,INDEX(Profile!$B$9:$B$28,$A19-MIN($A19,$B$2))))/$B$2/365)</f>
        <v/>
      </c>
      <c r="I19">
        <f>IF(ISNUMBER(Inputs!$K33),Inputs!$K33,Curve!$B$12*Curve!$C$12*(INDEX(Profile!$B$9:$B$28,$A19)-IF($A19-MIN($A19,$B$2)=0,0,INDEX(Profile!$B$9:$B$28,$A19-MIN($A19,$B$2))))/$B$2/365)</f>
        <v/>
      </c>
      <c r="J19">
        <f>SUM(B19:I19)</f>
        <v/>
      </c>
    </row>
    <row r="20">
      <c r="A20" t="n">
        <v>16</v>
      </c>
      <c r="B20">
        <f>IF(ISNUMBER(Inputs!$K26),Inputs!$K26,Curve!$B$5*Curve!$C$5*(INDEX(Profile!$B$9:$B$28,$A20)-IF($A20-MIN($A20,$B$2)=0,0,INDEX(Profile!$B$9:$B$28,$A20-MIN($A20,$B$2))))/$B$2/365)</f>
        <v/>
      </c>
      <c r="C20">
        <f>IF(ISNUMBER(Inputs!$K27),Inputs!$K27,Curve!$B$6*Curve!$C$6*(INDEX(Profile!$B$9:$B$28,$A20)-IF($A20-MIN($A20,$B$2)=0,0,INDEX(Profile!$B$9:$B$28,$A20-MIN($A20,$B$2))))/$B$2/365)</f>
        <v/>
      </c>
      <c r="D20">
        <f>IF(ISNUMBER(Inputs!$K28),Inputs!$K28,Curve!$B$7*Curve!$C$7*(INDEX(Profile!$B$9:$B$28,$A20)-IF($A20-MIN($A20,$B$2)=0,0,INDEX(Profile!$B$9:$B$28,$A20-MIN($A20,$B$2))))/$B$2/365)</f>
        <v/>
      </c>
      <c r="E20">
        <f>IF(ISNUMBER(Inputs!$K29),Inputs!$K29,Curve!$B$8*Curve!$C$8*(INDEX(Profile!$B$9:$B$28,$A20)-IF($A20-MIN($A20,$B$2)=0,0,INDEX(Profile!$B$9:$B$28,$A20-MIN($A20,$B$2))))/$B$2/365)</f>
        <v/>
      </c>
      <c r="F20">
        <f>IF(ISNUMBER(Inputs!$K30),Inputs!$K30,Curve!$B$9*Curve!$C$9*(INDEX(Profile!$B$9:$B$28,$A20)-IF($A20-MIN($A20,$B$2)=0,0,INDEX(Profile!$B$9:$B$28,$A20-MIN($A20,$B$2))))/$B$2/365)</f>
        <v/>
      </c>
      <c r="G20">
        <f>IF(ISNUMBER(Inputs!$K31),Inputs!$K31,Curve!$B$10*Curve!$C$10*(INDEX(Profile!$B$9:$B$28,$A20)-IF($A20-MIN($A20,$B$2)=0,0,INDEX(Profile!$B$9:$B$28,$A20-MIN($A20,$B$2))))/$B$2/365)</f>
        <v/>
      </c>
      <c r="H20">
        <f>IF(ISNUMBER(Inputs!$K32),Inputs!$K32,Curve!$B$11*Curve!$C$11*(INDEX(Profile!$B$9:$B$28,$A20)-IF($A20-MIN($A20,$B$2)=0,0,INDEX(Profile!$B$9:$B$28,$A20-MIN($A20,$B$2))))/$B$2/365)</f>
        <v/>
      </c>
      <c r="I20">
        <f>IF(ISNUMBER(Inputs!$K33),Inputs!$K33,Curve!$B$12*Curve!$C$12*(INDEX(Profile!$B$9:$B$28,$A20)-IF($A20-MIN($A20,$B$2)=0,0,INDEX(Profile!$B$9:$B$28,$A20-MIN($A20,$B$2))))/$B$2/365)</f>
        <v/>
      </c>
      <c r="J20">
        <f>SUM(B20:I20)</f>
        <v/>
      </c>
    </row>
    <row r="21">
      <c r="A21" t="n">
        <v>17</v>
      </c>
      <c r="B21">
        <f>IF(ISNUMBER(Inputs!$K26),Inputs!$K26,Curve!$B$5*Curve!$C$5*(INDEX(Profile!$B$9:$B$28,$A21)-IF($A21-MIN($A21,$B$2)=0,0,INDEX(Profile!$B$9:$B$28,$A21-MIN($A21,$B$2))))/$B$2/365)</f>
        <v/>
      </c>
      <c r="C21">
        <f>IF(ISNUMBER(Inputs!$K27),Inputs!$K27,Curve!$B$6*Curve!$C$6*(INDEX(Profile!$B$9:$B$28,$A21)-IF($A21-MIN($A21,$B$2)=0,0,INDEX(Profile!$B$9:$B$28,$A21-MIN($A21,$B$2))))/$B$2/365)</f>
        <v/>
      </c>
      <c r="D21">
        <f>IF(ISNUMBER(Inputs!$K28),Inputs!$K28,Curve!$B$7*Curve!$C$7*(INDEX(Profile!$B$9:$B$28,$A21)-IF($A21-MIN($A21,$B$2)=0,0,INDEX(Profile!$B$9:$B$28,$A21-MIN($A21,$B$2))))/$B$2/365)</f>
        <v/>
      </c>
      <c r="E21">
        <f>IF(ISNUMBER(Inputs!$K29),Inputs!$K29,Curve!$B$8*Curve!$C$8*(INDEX(Profile!$B$9:$B$28,$A21)-IF($A21-MIN($A21,$B$2)=0,0,INDEX(Profile!$B$9:$B$28,$A21-MIN($A21,$B$2))))/$B$2/365)</f>
        <v/>
      </c>
      <c r="F21">
        <f>IF(ISNUMBER(Inputs!$K30),Inputs!$K30,Curve!$B$9*Curve!$C$9*(INDEX(Profile!$B$9:$B$28,$A21)-IF($A21-MIN($A21,$B$2)=0,0,INDEX(Profile!$B$9:$B$28,$A21-MIN($A21,$B$2))))/$B$2/365)</f>
        <v/>
      </c>
      <c r="G21">
        <f>IF(ISNUMBER(Inputs!$K31),Inputs!$K31,Curve!$B$10*Curve!$C$10*(INDEX(Profile!$B$9:$B$28,$A21)-IF($A21-MIN($A21,$B$2)=0,0,INDEX(Profile!$B$9:$B$28,$A21-MIN($A21,$B$2))))/$B$2/365)</f>
        <v/>
      </c>
      <c r="H21">
        <f>IF(ISNUMBER(Inputs!$K32),Inputs!$K32,Curve!$B$11*Curve!$C$11*(INDEX(Profile!$B$9:$B$28,$A21)-IF($A21-MIN($A21,$B$2)=0,0,INDEX(Profile!$B$9:$B$28,$A21-MIN($A21,$B$2))))/$B$2/365)</f>
        <v/>
      </c>
      <c r="I21">
        <f>IF(ISNUMBER(Inputs!$K33),Inputs!$K33,Curve!$B$12*Curve!$C$12*(INDEX(Profile!$B$9:$B$28,$A21)-IF($A21-MIN($A21,$B$2)=0,0,INDEX(Profile!$B$9:$B$28,$A21-MIN($A21,$B$2))))/$B$2/365)</f>
        <v/>
      </c>
      <c r="J21">
        <f>SUM(B21:I21)</f>
        <v/>
      </c>
    </row>
    <row r="22">
      <c r="A22" t="n">
        <v>18</v>
      </c>
      <c r="B22">
        <f>IF(ISNUMBER(Inputs!$K26),Inputs!$K26,Curve!$B$5*Curve!$C$5*(INDEX(Profile!$B$9:$B$28,$A22)-IF($A22-MIN($A22,$B$2)=0,0,INDEX(Profile!$B$9:$B$28,$A22-MIN($A22,$B$2))))/$B$2/365)</f>
        <v/>
      </c>
      <c r="C22">
        <f>IF(ISNUMBER(Inputs!$K27),Inputs!$K27,Curve!$B$6*Curve!$C$6*(INDEX(Profile!$B$9:$B$28,$A22)-IF($A22-MIN($A22,$B$2)=0,0,INDEX(Profile!$B$9:$B$28,$A22-MIN($A22,$B$2))))/$B$2/365)</f>
        <v/>
      </c>
      <c r="D22">
        <f>IF(ISNUMBER(Inputs!$K28),Inputs!$K28,Curve!$B$7*Curve!$C$7*(INDEX(Profile!$B$9:$B$28,$A22)-IF($A22-MIN($A22,$B$2)=0,0,INDEX(Profile!$B$9:$B$28,$A22-MIN($A22,$B$2))))/$B$2/365)</f>
        <v/>
      </c>
      <c r="E22">
        <f>IF(ISNUMBER(Inputs!$K29),Inputs!$K29,Curve!$B$8*Curve!$C$8*(INDEX(Profile!$B$9:$B$28,$A22)-IF($A22-MIN($A22,$B$2)=0,0,INDEX(Profile!$B$9:$B$28,$A22-MIN($A22,$B$2))))/$B$2/365)</f>
        <v/>
      </c>
      <c r="F22">
        <f>IF(ISNUMBER(Inputs!$K30),Inputs!$K30,Curve!$B$9*Curve!$C$9*(INDEX(Profile!$B$9:$B$28,$A22)-IF($A22-MIN($A22,$B$2)=0,0,INDEX(Profile!$B$9:$B$28,$A22-MIN($A22,$B$2))))/$B$2/365)</f>
        <v/>
      </c>
      <c r="G22">
        <f>IF(ISNUMBER(Inputs!$K31),Inputs!$K31,Curve!$B$10*Curve!$C$10*(INDEX(Profile!$B$9:$B$28,$A22)-IF($A22-MIN($A22,$B$2)=0,0,INDEX(Profile!$B$9:$B$28,$A22-MIN($A22,$B$2))))/$B$2/365)</f>
        <v/>
      </c>
      <c r="H22">
        <f>IF(ISNUMBER(Inputs!$K32),Inputs!$K32,Curve!$B$11*Curve!$C$11*(INDEX(Profile!$B$9:$B$28,$A22)-IF($A22-MIN($A22,$B$2)=0,0,INDEX(Profile!$B$9:$B$28,$A22-MIN($A22,$B$2))))/$B$2/365)</f>
        <v/>
      </c>
      <c r="I22">
        <f>IF(ISNUMBER(Inputs!$K33),Inputs!$K33,Curve!$B$12*Curve!$C$12*(INDEX(Profile!$B$9:$B$28,$A22)-IF($A22-MIN($A22,$B$2)=0,0,INDEX(Profile!$B$9:$B$28,$A22-MIN($A22,$B$2))))/$B$2/365)</f>
        <v/>
      </c>
      <c r="J22">
        <f>SUM(B22:I22)</f>
        <v/>
      </c>
    </row>
    <row r="23">
      <c r="A23" t="n">
        <v>19</v>
      </c>
      <c r="B23">
        <f>IF(ISNUMBER(Inputs!$K26),Inputs!$K26,Curve!$B$5*Curve!$C$5*(INDEX(Profile!$B$9:$B$28,$A23)-IF($A23-MIN($A23,$B$2)=0,0,INDEX(Profile!$B$9:$B$28,$A23-MIN($A23,$B$2))))/$B$2/365)</f>
        <v/>
      </c>
      <c r="C23">
        <f>IF(ISNUMBER(Inputs!$K27),Inputs!$K27,Curve!$B$6*Curve!$C$6*(INDEX(Profile!$B$9:$B$28,$A23)-IF($A23-MIN($A23,$B$2)=0,0,INDEX(Profile!$B$9:$B$28,$A23-MIN($A23,$B$2))))/$B$2/365)</f>
        <v/>
      </c>
      <c r="D23">
        <f>IF(ISNUMBER(Inputs!$K28),Inputs!$K28,Curve!$B$7*Curve!$C$7*(INDEX(Profile!$B$9:$B$28,$A23)-IF($A23-MIN($A23,$B$2)=0,0,INDEX(Profile!$B$9:$B$28,$A23-MIN($A23,$B$2))))/$B$2/365)</f>
        <v/>
      </c>
      <c r="E23">
        <f>IF(ISNUMBER(Inputs!$K29),Inputs!$K29,Curve!$B$8*Curve!$C$8*(INDEX(Profile!$B$9:$B$28,$A23)-IF($A23-MIN($A23,$B$2)=0,0,INDEX(Profile!$B$9:$B$28,$A23-MIN($A23,$B$2))))/$B$2/365)</f>
        <v/>
      </c>
      <c r="F23">
        <f>IF(ISNUMBER(Inputs!$K30),Inputs!$K30,Curve!$B$9*Curve!$C$9*(INDEX(Profile!$B$9:$B$28,$A23)-IF($A23-MIN($A23,$B$2)=0,0,INDEX(Profile!$B$9:$B$28,$A23-MIN($A23,$B$2))))/$B$2/365)</f>
        <v/>
      </c>
      <c r="G23">
        <f>IF(ISNUMBER(Inputs!$K31),Inputs!$K31,Curve!$B$10*Curve!$C$10*(INDEX(Profile!$B$9:$B$28,$A23)-IF($A23-MIN($A23,$B$2)=0,0,INDEX(Profile!$B$9:$B$28,$A23-MIN($A23,$B$2))))/$B$2/365)</f>
        <v/>
      </c>
      <c r="H23">
        <f>IF(ISNUMBER(Inputs!$K32),Inputs!$K32,Curve!$B$11*Curve!$C$11*(INDEX(Profile!$B$9:$B$28,$A23)-IF($A23-MIN($A23,$B$2)=0,0,INDEX(Profile!$B$9:$B$28,$A23-MIN($A23,$B$2))))/$B$2/365)</f>
        <v/>
      </c>
      <c r="I23">
        <f>IF(ISNUMBER(Inputs!$K33),Inputs!$K33,Curve!$B$12*Curve!$C$12*(INDEX(Profile!$B$9:$B$28,$A23)-IF($A23-MIN($A23,$B$2)=0,0,INDEX(Profile!$B$9:$B$28,$A23-MIN($A23,$B$2))))/$B$2/365)</f>
        <v/>
      </c>
      <c r="J23">
        <f>SUM(B23:I23)</f>
        <v/>
      </c>
    </row>
    <row r="24">
      <c r="A24" t="n">
        <v>20</v>
      </c>
      <c r="B24">
        <f>IF(ISNUMBER(Inputs!$K26),Inputs!$K26,Curve!$B$5*Curve!$C$5*(INDEX(Profile!$B$9:$B$28,$A24)-IF($A24-MIN($A24,$B$2)=0,0,INDEX(Profile!$B$9:$B$28,$A24-MIN($A24,$B$2))))/$B$2/365)</f>
        <v/>
      </c>
      <c r="C24">
        <f>IF(ISNUMBER(Inputs!$K27),Inputs!$K27,Curve!$B$6*Curve!$C$6*(INDEX(Profile!$B$9:$B$28,$A24)-IF($A24-MIN($A24,$B$2)=0,0,INDEX(Profile!$B$9:$B$28,$A24-MIN($A24,$B$2))))/$B$2/365)</f>
        <v/>
      </c>
      <c r="D24">
        <f>IF(ISNUMBER(Inputs!$K28),Inputs!$K28,Curve!$B$7*Curve!$C$7*(INDEX(Profile!$B$9:$B$28,$A24)-IF($A24-MIN($A24,$B$2)=0,0,INDEX(Profile!$B$9:$B$28,$A24-MIN($A24,$B$2))))/$B$2/365)</f>
        <v/>
      </c>
      <c r="E24">
        <f>IF(ISNUMBER(Inputs!$K29),Inputs!$K29,Curve!$B$8*Curve!$C$8*(INDEX(Profile!$B$9:$B$28,$A24)-IF($A24-MIN($A24,$B$2)=0,0,INDEX(Profile!$B$9:$B$28,$A24-MIN($A24,$B$2))))/$B$2/365)</f>
        <v/>
      </c>
      <c r="F24">
        <f>IF(ISNUMBER(Inputs!$K30),Inputs!$K30,Curve!$B$9*Curve!$C$9*(INDEX(Profile!$B$9:$B$28,$A24)-IF($A24-MIN($A24,$B$2)=0,0,INDEX(Profile!$B$9:$B$28,$A24-MIN($A24,$B$2))))/$B$2/365)</f>
        <v/>
      </c>
      <c r="G24">
        <f>IF(ISNUMBER(Inputs!$K31),Inputs!$K31,Curve!$B$10*Curve!$C$10*(INDEX(Profile!$B$9:$B$28,$A24)-IF($A24-MIN($A24,$B$2)=0,0,INDEX(Profile!$B$9:$B$28,$A24-MIN($A24,$B$2))))/$B$2/365)</f>
        <v/>
      </c>
      <c r="H24">
        <f>IF(ISNUMBER(Inputs!$K32),Inputs!$K32,Curve!$B$11*Curve!$C$11*(INDEX(Profile!$B$9:$B$28,$A24)-IF($A24-MIN($A24,$B$2)=0,0,INDEX(Profile!$B$9:$B$28,$A24-MIN($A24,$B$2))))/$B$2/365)</f>
        <v/>
      </c>
      <c r="I24">
        <f>IF(ISNUMBER(Inputs!$K33),Inputs!$K33,Curve!$B$12*Curve!$C$12*(INDEX(Profile!$B$9:$B$28,$A24)-IF($A24-MIN($A24,$B$2)=0,0,INDEX(Profile!$B$9:$B$28,$A24-MIN($A24,$B$2))))/$B$2/365)</f>
        <v/>
      </c>
      <c r="J24">
        <f>SUM(B24:I24)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3" t="inlineStr">
        <is>
          <t>Mapping - implied marginal breakeven of the Gulf 'Key question' Haynesville increments (live). APPROXIMATE - built from company disclosures and BEG tiering; breakevens are pre-tax model results, not a vendor curve</t>
        </is>
      </c>
    </row>
    <row r="2" ht="92" customHeight="1">
      <c r="A2" s="7" t="inlineStr">
        <is>
          <t>Source of the increments: gulf_coast_gas_balance.xlsx 'Key question' (read-only, file dated 06 Oct 2026; copy on 'Gulf key question'). Year-end increments are vs Dec 2025, Bcf/d. Stack position: the curve is filled cheapest first. 'STEO growth' is the Haynesville growth already in EIA STEO / its extension; the EXTRA supply sits on top of it, so the marginal tier for the extra volume is found at STEO growth + extra (headline); 'extra alone' (curve from zero) is the lower bound. Layers: cumulative extra with each Louisiana LNG layer (ILLUSTRATIVE). H = years from Dec 2025: capacity on the curve is what a cost-only (not rig / takeaway constrained) programme could add in that time. Price cells show 'beyond inventory' when the stack runs out.</t>
        </is>
      </c>
    </row>
    <row r="4">
      <c r="A4" t="inlineStr">
        <is>
          <t>Rows in the same order as 'Gulf key question' (Dec 2026, 2028, 2030, 2033; base then delayed)</t>
        </is>
      </c>
    </row>
    <row r="5" ht="78" customHeight="1">
      <c r="A5" s="4" t="inlineStr">
        <is>
          <t>Scenario</t>
        </is>
      </c>
      <c r="B5" s="4" t="inlineStr">
        <is>
          <t>Year-end</t>
        </is>
      </c>
      <c r="C5" s="4" t="inlineStr">
        <is>
          <t>H (years)</t>
        </is>
      </c>
      <c r="D5" s="4" t="inlineStr">
        <is>
          <t>STEO Haynesville growth</t>
        </is>
      </c>
      <c r="E5" s="4" t="inlineStr">
        <is>
          <t>Extra supply required</t>
        </is>
      </c>
      <c r="F5" s="4" t="inlineStr">
        <is>
          <t>Extra with layers up to Cameron LNG Train 4</t>
        </is>
      </c>
      <c r="G5" s="4" t="inlineStr">
        <is>
          <t>Extra with layers up to Woodside Louisiana LNG Phase 2</t>
        </is>
      </c>
      <c r="H5" s="4" t="inlineStr">
        <is>
          <t>Extra with layers up to Lake Charles LNG (SUSPENDED)</t>
        </is>
      </c>
      <c r="I5" s="4" t="inlineStr">
        <is>
          <t>Extra with layers up to Delfin FLNG vessels 2-3</t>
        </is>
      </c>
      <c r="J5" s="4" t="inlineStr">
        <is>
          <t>Marginal breakeven - extra supply alone</t>
        </is>
      </c>
      <c r="K5" s="4" t="inlineStr">
        <is>
          <t>Marginal breakeven - STEO growth + extra</t>
        </is>
      </c>
      <c r="L5" s="4" t="inlineStr">
        <is>
          <t>Marginal breakeven - STEO growth + layers up to Cameron LNG Train 4</t>
        </is>
      </c>
      <c r="M5" s="4" t="inlineStr">
        <is>
          <t>Marginal breakeven - STEO growth + layers up to Woodside Louisiana LNG Phase 2</t>
        </is>
      </c>
      <c r="N5" s="4" t="inlineStr">
        <is>
          <t>Marginal breakeven - STEO growth + layers up to Lake Charles LNG (SUSPENDED)</t>
        </is>
      </c>
      <c r="O5" s="4" t="inlineStr">
        <is>
          <t>Marginal breakeven - STEO growth + layers up to Delfin FLNG vessels 2-3</t>
        </is>
      </c>
      <c r="P5" s="4" t="inlineStr">
        <is>
          <t>Henry Hub, last 12 months average</t>
        </is>
      </c>
      <c r="Q5" s="4" t="inlineStr">
        <is>
          <t>Headline marginal breakeven less Henry Hub</t>
        </is>
      </c>
    </row>
    <row r="6">
      <c r="A6" t="inlineStr">
        <is>
          <t>Base</t>
        </is>
      </c>
      <c r="B6" t="inlineStr">
        <is>
          <t>Dec 2026</t>
        </is>
      </c>
      <c r="C6" t="n">
        <v>1</v>
      </c>
      <c r="D6">
        <f>'Gulf key question'!C2</f>
        <v/>
      </c>
      <c r="E6">
        <f>'Gulf key question'!D2</f>
        <v/>
      </c>
      <c r="F6">
        <f>'Gulf key question'!F2</f>
        <v/>
      </c>
      <c r="G6">
        <f>'Gulf key question'!G2</f>
        <v/>
      </c>
      <c r="H6">
        <f>'Gulf key question'!H2</f>
        <v/>
      </c>
      <c r="I6">
        <f>'Gulf key question'!I2</f>
        <v/>
      </c>
      <c r="J6">
        <f>IF(NOT(ISNUMBER($E6)),"-",IF($E6&lt;=0,"-",IF(1+(INDEX(Curve!$L$16:$U$23,1,MATCH($C6,Curve!$L$4:$U$4,0))&lt;$E6)+(INDEX(Curve!$L$16:$U$23,2,MATCH($C6,Curve!$L$4:$U$4,0))&lt;$E6)+(INDEX(Curve!$L$16:$U$23,3,MATCH($C6,Curve!$L$4:$U$4,0))&lt;$E6)+(INDEX(Curve!$L$16:$U$23,4,MATCH($C6,Curve!$L$4:$U$4,0))&lt;$E6)+(INDEX(Curve!$L$16:$U$23,5,MATCH($C6,Curve!$L$4:$U$4,0))&lt;$E6)+(INDEX(Curve!$L$16:$U$23,6,MATCH($C6,Curve!$L$4:$U$4,0))&lt;$E6)+(INDEX(Curve!$L$16:$U$23,7,MATCH($C6,Curve!$L$4:$U$4,0))&lt;$E6)+(INDEX(Curve!$L$16:$U$23,8,MATCH($C6,Curve!$L$4:$U$4,0))&lt;$E6)&gt;8,"beyond inventory",INDEX(Curve!$D$16:$D$23,1+(INDEX(Curve!$L$16:$U$23,1,MATCH($C6,Curve!$L$4:$U$4,0))&lt;$E6)+(INDEX(Curve!$L$16:$U$23,2,MATCH($C6,Curve!$L$4:$U$4,0))&lt;$E6)+(INDEX(Curve!$L$16:$U$23,3,MATCH($C6,Curve!$L$4:$U$4,0))&lt;$E6)+(INDEX(Curve!$L$16:$U$23,4,MATCH($C6,Curve!$L$4:$U$4,0))&lt;$E6)+(INDEX(Curve!$L$16:$U$23,5,MATCH($C6,Curve!$L$4:$U$4,0))&lt;$E6)+(INDEX(Curve!$L$16:$U$23,6,MATCH($C6,Curve!$L$4:$U$4,0))&lt;$E6)+(INDEX(Curve!$L$16:$U$23,7,MATCH($C6,Curve!$L$4:$U$4,0))&lt;$E6)+(INDEX(Curve!$L$16:$U$23,8,MATCH($C6,Curve!$L$4:$U$4,0))&lt;$E6)))))</f>
        <v/>
      </c>
      <c r="K6">
        <f>IF(NOT(ISNUMBER(($D6+$E6))),"-",IF(($D6+$E6)&lt;=0,"-",IF(1+(INDEX(Curve!$L$16:$U$23,1,MATCH($C6,Curve!$L$4:$U$4,0))&lt;($D6+$E6))+(INDEX(Curve!$L$16:$U$23,2,MATCH($C6,Curve!$L$4:$U$4,0))&lt;($D6+$E6))+(INDEX(Curve!$L$16:$U$23,3,MATCH($C6,Curve!$L$4:$U$4,0))&lt;($D6+$E6))+(INDEX(Curve!$L$16:$U$23,4,MATCH($C6,Curve!$L$4:$U$4,0))&lt;($D6+$E6))+(INDEX(Curve!$L$16:$U$23,5,MATCH($C6,Curve!$L$4:$U$4,0))&lt;($D6+$E6))+(INDEX(Curve!$L$16:$U$23,6,MATCH($C6,Curve!$L$4:$U$4,0))&lt;($D6+$E6))+(INDEX(Curve!$L$16:$U$23,7,MATCH($C6,Curve!$L$4:$U$4,0))&lt;($D6+$E6))+(INDEX(Curve!$L$16:$U$23,8,MATCH($C6,Curve!$L$4:$U$4,0))&lt;($D6+$E6))&gt;8,"beyond inventory",INDEX(Curve!$D$16:$D$23,1+(INDEX(Curve!$L$16:$U$23,1,MATCH($C6,Curve!$L$4:$U$4,0))&lt;($D6+$E6))+(INDEX(Curve!$L$16:$U$23,2,MATCH($C6,Curve!$L$4:$U$4,0))&lt;($D6+$E6))+(INDEX(Curve!$L$16:$U$23,3,MATCH($C6,Curve!$L$4:$U$4,0))&lt;($D6+$E6))+(INDEX(Curve!$L$16:$U$23,4,MATCH($C6,Curve!$L$4:$U$4,0))&lt;($D6+$E6))+(INDEX(Curve!$L$16:$U$23,5,MATCH($C6,Curve!$L$4:$U$4,0))&lt;($D6+$E6))+(INDEX(Curve!$L$16:$U$23,6,MATCH($C6,Curve!$L$4:$U$4,0))&lt;($D6+$E6))+(INDEX(Curve!$L$16:$U$23,7,MATCH($C6,Curve!$L$4:$U$4,0))&lt;($D6+$E6))+(INDEX(Curve!$L$16:$U$23,8,MATCH($C6,Curve!$L$4:$U$4,0))&lt;($D6+$E6))))))</f>
        <v/>
      </c>
      <c r="L6">
        <f>IF(NOT(ISNUMBER(($D6+F6))),"-",IF(($D6+F6)&lt;=0,"-",IF(1+(INDEX(Curve!$L$16:$U$23,1,MATCH($C6,Curve!$L$4:$U$4,0))&lt;($D6+F6))+(INDEX(Curve!$L$16:$U$23,2,MATCH($C6,Curve!$L$4:$U$4,0))&lt;($D6+F6))+(INDEX(Curve!$L$16:$U$23,3,MATCH($C6,Curve!$L$4:$U$4,0))&lt;($D6+F6))+(INDEX(Curve!$L$16:$U$23,4,MATCH($C6,Curve!$L$4:$U$4,0))&lt;($D6+F6))+(INDEX(Curve!$L$16:$U$23,5,MATCH($C6,Curve!$L$4:$U$4,0))&lt;($D6+F6))+(INDEX(Curve!$L$16:$U$23,6,MATCH($C6,Curve!$L$4:$U$4,0))&lt;($D6+F6))+(INDEX(Curve!$L$16:$U$23,7,MATCH($C6,Curve!$L$4:$U$4,0))&lt;($D6+F6))+(INDEX(Curve!$L$16:$U$23,8,MATCH($C6,Curve!$L$4:$U$4,0))&lt;($D6+F6))&gt;8,"beyond inventory",INDEX(Curve!$D$16:$D$23,1+(INDEX(Curve!$L$16:$U$23,1,MATCH($C6,Curve!$L$4:$U$4,0))&lt;($D6+F6))+(INDEX(Curve!$L$16:$U$23,2,MATCH($C6,Curve!$L$4:$U$4,0))&lt;($D6+F6))+(INDEX(Curve!$L$16:$U$23,3,MATCH($C6,Curve!$L$4:$U$4,0))&lt;($D6+F6))+(INDEX(Curve!$L$16:$U$23,4,MATCH($C6,Curve!$L$4:$U$4,0))&lt;($D6+F6))+(INDEX(Curve!$L$16:$U$23,5,MATCH($C6,Curve!$L$4:$U$4,0))&lt;($D6+F6))+(INDEX(Curve!$L$16:$U$23,6,MATCH($C6,Curve!$L$4:$U$4,0))&lt;($D6+F6))+(INDEX(Curve!$L$16:$U$23,7,MATCH($C6,Curve!$L$4:$U$4,0))&lt;($D6+F6))+(INDEX(Curve!$L$16:$U$23,8,MATCH($C6,Curve!$L$4:$U$4,0))&lt;($D6+F6))))))</f>
        <v/>
      </c>
      <c r="M6">
        <f>IF(NOT(ISNUMBER(($D6+G6))),"-",IF(($D6+G6)&lt;=0,"-",IF(1+(INDEX(Curve!$L$16:$U$23,1,MATCH($C6,Curve!$L$4:$U$4,0))&lt;($D6+G6))+(INDEX(Curve!$L$16:$U$23,2,MATCH($C6,Curve!$L$4:$U$4,0))&lt;($D6+G6))+(INDEX(Curve!$L$16:$U$23,3,MATCH($C6,Curve!$L$4:$U$4,0))&lt;($D6+G6))+(INDEX(Curve!$L$16:$U$23,4,MATCH($C6,Curve!$L$4:$U$4,0))&lt;($D6+G6))+(INDEX(Curve!$L$16:$U$23,5,MATCH($C6,Curve!$L$4:$U$4,0))&lt;($D6+G6))+(INDEX(Curve!$L$16:$U$23,6,MATCH($C6,Curve!$L$4:$U$4,0))&lt;($D6+G6))+(INDEX(Curve!$L$16:$U$23,7,MATCH($C6,Curve!$L$4:$U$4,0))&lt;($D6+G6))+(INDEX(Curve!$L$16:$U$23,8,MATCH($C6,Curve!$L$4:$U$4,0))&lt;($D6+G6))&gt;8,"beyond inventory",INDEX(Curve!$D$16:$D$23,1+(INDEX(Curve!$L$16:$U$23,1,MATCH($C6,Curve!$L$4:$U$4,0))&lt;($D6+G6))+(INDEX(Curve!$L$16:$U$23,2,MATCH($C6,Curve!$L$4:$U$4,0))&lt;($D6+G6))+(INDEX(Curve!$L$16:$U$23,3,MATCH($C6,Curve!$L$4:$U$4,0))&lt;($D6+G6))+(INDEX(Curve!$L$16:$U$23,4,MATCH($C6,Curve!$L$4:$U$4,0))&lt;($D6+G6))+(INDEX(Curve!$L$16:$U$23,5,MATCH($C6,Curve!$L$4:$U$4,0))&lt;($D6+G6))+(INDEX(Curve!$L$16:$U$23,6,MATCH($C6,Curve!$L$4:$U$4,0))&lt;($D6+G6))+(INDEX(Curve!$L$16:$U$23,7,MATCH($C6,Curve!$L$4:$U$4,0))&lt;($D6+G6))+(INDEX(Curve!$L$16:$U$23,8,MATCH($C6,Curve!$L$4:$U$4,0))&lt;($D6+G6))))))</f>
        <v/>
      </c>
      <c r="N6">
        <f>IF(NOT(ISNUMBER(($D6+H6))),"-",IF(($D6+H6)&lt;=0,"-",IF(1+(INDEX(Curve!$L$16:$U$23,1,MATCH($C6,Curve!$L$4:$U$4,0))&lt;($D6+H6))+(INDEX(Curve!$L$16:$U$23,2,MATCH($C6,Curve!$L$4:$U$4,0))&lt;($D6+H6))+(INDEX(Curve!$L$16:$U$23,3,MATCH($C6,Curve!$L$4:$U$4,0))&lt;($D6+H6))+(INDEX(Curve!$L$16:$U$23,4,MATCH($C6,Curve!$L$4:$U$4,0))&lt;($D6+H6))+(INDEX(Curve!$L$16:$U$23,5,MATCH($C6,Curve!$L$4:$U$4,0))&lt;($D6+H6))+(INDEX(Curve!$L$16:$U$23,6,MATCH($C6,Curve!$L$4:$U$4,0))&lt;($D6+H6))+(INDEX(Curve!$L$16:$U$23,7,MATCH($C6,Curve!$L$4:$U$4,0))&lt;($D6+H6))+(INDEX(Curve!$L$16:$U$23,8,MATCH($C6,Curve!$L$4:$U$4,0))&lt;($D6+H6))&gt;8,"beyond inventory",INDEX(Curve!$D$16:$D$23,1+(INDEX(Curve!$L$16:$U$23,1,MATCH($C6,Curve!$L$4:$U$4,0))&lt;($D6+H6))+(INDEX(Curve!$L$16:$U$23,2,MATCH($C6,Curve!$L$4:$U$4,0))&lt;($D6+H6))+(INDEX(Curve!$L$16:$U$23,3,MATCH($C6,Curve!$L$4:$U$4,0))&lt;($D6+H6))+(INDEX(Curve!$L$16:$U$23,4,MATCH($C6,Curve!$L$4:$U$4,0))&lt;($D6+H6))+(INDEX(Curve!$L$16:$U$23,5,MATCH($C6,Curve!$L$4:$U$4,0))&lt;($D6+H6))+(INDEX(Curve!$L$16:$U$23,6,MATCH($C6,Curve!$L$4:$U$4,0))&lt;($D6+H6))+(INDEX(Curve!$L$16:$U$23,7,MATCH($C6,Curve!$L$4:$U$4,0))&lt;($D6+H6))+(INDEX(Curve!$L$16:$U$23,8,MATCH($C6,Curve!$L$4:$U$4,0))&lt;($D6+H6))))))</f>
        <v/>
      </c>
      <c r="O6">
        <f>IF(NOT(ISNUMBER(($D6+I6))),"-",IF(($D6+I6)&lt;=0,"-",IF(1+(INDEX(Curve!$L$16:$U$23,1,MATCH($C6,Curve!$L$4:$U$4,0))&lt;($D6+I6))+(INDEX(Curve!$L$16:$U$23,2,MATCH($C6,Curve!$L$4:$U$4,0))&lt;($D6+I6))+(INDEX(Curve!$L$16:$U$23,3,MATCH($C6,Curve!$L$4:$U$4,0))&lt;($D6+I6))+(INDEX(Curve!$L$16:$U$23,4,MATCH($C6,Curve!$L$4:$U$4,0))&lt;($D6+I6))+(INDEX(Curve!$L$16:$U$23,5,MATCH($C6,Curve!$L$4:$U$4,0))&lt;($D6+I6))+(INDEX(Curve!$L$16:$U$23,6,MATCH($C6,Curve!$L$4:$U$4,0))&lt;($D6+I6))+(INDEX(Curve!$L$16:$U$23,7,MATCH($C6,Curve!$L$4:$U$4,0))&lt;($D6+I6))+(INDEX(Curve!$L$16:$U$23,8,MATCH($C6,Curve!$L$4:$U$4,0))&lt;($D6+I6))&gt;8,"beyond inventory",INDEX(Curve!$D$16:$D$23,1+(INDEX(Curve!$L$16:$U$23,1,MATCH($C6,Curve!$L$4:$U$4,0))&lt;($D6+I6))+(INDEX(Curve!$L$16:$U$23,2,MATCH($C6,Curve!$L$4:$U$4,0))&lt;($D6+I6))+(INDEX(Curve!$L$16:$U$23,3,MATCH($C6,Curve!$L$4:$U$4,0))&lt;($D6+I6))+(INDEX(Curve!$L$16:$U$23,4,MATCH($C6,Curve!$L$4:$U$4,0))&lt;($D6+I6))+(INDEX(Curve!$L$16:$U$23,5,MATCH($C6,Curve!$L$4:$U$4,0))&lt;($D6+I6))+(INDEX(Curve!$L$16:$U$23,6,MATCH($C6,Curve!$L$4:$U$4,0))&lt;($D6+I6))+(INDEX(Curve!$L$16:$U$23,7,MATCH($C6,Curve!$L$4:$U$4,0))&lt;($D6+I6))+(INDEX(Curve!$L$16:$U$23,8,MATCH($C6,Curve!$L$4:$U$4,0))&lt;($D6+I6))))))</f>
        <v/>
      </c>
      <c r="P6">
        <f>'Henry Hub'!$B$3</f>
        <v/>
      </c>
      <c r="Q6">
        <f>IF(ISNUMBER(K6),K6-P6,"-")</f>
        <v/>
      </c>
    </row>
    <row r="7">
      <c r="A7" t="inlineStr">
        <is>
          <t>Base</t>
        </is>
      </c>
      <c r="B7" t="inlineStr">
        <is>
          <t>Dec 2028</t>
        </is>
      </c>
      <c r="C7" t="n">
        <v>3</v>
      </c>
      <c r="D7">
        <f>'Gulf key question'!C4</f>
        <v/>
      </c>
      <c r="E7">
        <f>'Gulf key question'!D4</f>
        <v/>
      </c>
      <c r="F7">
        <f>'Gulf key question'!F4</f>
        <v/>
      </c>
      <c r="G7">
        <f>'Gulf key question'!G4</f>
        <v/>
      </c>
      <c r="H7">
        <f>'Gulf key question'!H4</f>
        <v/>
      </c>
      <c r="I7">
        <f>'Gulf key question'!I4</f>
        <v/>
      </c>
      <c r="J7">
        <f>IF(NOT(ISNUMBER($E7)),"-",IF($E7&lt;=0,"-",IF(1+(INDEX(Curve!$L$16:$U$23,1,MATCH($C7,Curve!$L$4:$U$4,0))&lt;$E7)+(INDEX(Curve!$L$16:$U$23,2,MATCH($C7,Curve!$L$4:$U$4,0))&lt;$E7)+(INDEX(Curve!$L$16:$U$23,3,MATCH($C7,Curve!$L$4:$U$4,0))&lt;$E7)+(INDEX(Curve!$L$16:$U$23,4,MATCH($C7,Curve!$L$4:$U$4,0))&lt;$E7)+(INDEX(Curve!$L$16:$U$23,5,MATCH($C7,Curve!$L$4:$U$4,0))&lt;$E7)+(INDEX(Curve!$L$16:$U$23,6,MATCH($C7,Curve!$L$4:$U$4,0))&lt;$E7)+(INDEX(Curve!$L$16:$U$23,7,MATCH($C7,Curve!$L$4:$U$4,0))&lt;$E7)+(INDEX(Curve!$L$16:$U$23,8,MATCH($C7,Curve!$L$4:$U$4,0))&lt;$E7)&gt;8,"beyond inventory",INDEX(Curve!$D$16:$D$23,1+(INDEX(Curve!$L$16:$U$23,1,MATCH($C7,Curve!$L$4:$U$4,0))&lt;$E7)+(INDEX(Curve!$L$16:$U$23,2,MATCH($C7,Curve!$L$4:$U$4,0))&lt;$E7)+(INDEX(Curve!$L$16:$U$23,3,MATCH($C7,Curve!$L$4:$U$4,0))&lt;$E7)+(INDEX(Curve!$L$16:$U$23,4,MATCH($C7,Curve!$L$4:$U$4,0))&lt;$E7)+(INDEX(Curve!$L$16:$U$23,5,MATCH($C7,Curve!$L$4:$U$4,0))&lt;$E7)+(INDEX(Curve!$L$16:$U$23,6,MATCH($C7,Curve!$L$4:$U$4,0))&lt;$E7)+(INDEX(Curve!$L$16:$U$23,7,MATCH($C7,Curve!$L$4:$U$4,0))&lt;$E7)+(INDEX(Curve!$L$16:$U$23,8,MATCH($C7,Curve!$L$4:$U$4,0))&lt;$E7)))))</f>
        <v/>
      </c>
      <c r="K7">
        <f>IF(NOT(ISNUMBER(($D7+$E7))),"-",IF(($D7+$E7)&lt;=0,"-",IF(1+(INDEX(Curve!$L$16:$U$23,1,MATCH($C7,Curve!$L$4:$U$4,0))&lt;($D7+$E7))+(INDEX(Curve!$L$16:$U$23,2,MATCH($C7,Curve!$L$4:$U$4,0))&lt;($D7+$E7))+(INDEX(Curve!$L$16:$U$23,3,MATCH($C7,Curve!$L$4:$U$4,0))&lt;($D7+$E7))+(INDEX(Curve!$L$16:$U$23,4,MATCH($C7,Curve!$L$4:$U$4,0))&lt;($D7+$E7))+(INDEX(Curve!$L$16:$U$23,5,MATCH($C7,Curve!$L$4:$U$4,0))&lt;($D7+$E7))+(INDEX(Curve!$L$16:$U$23,6,MATCH($C7,Curve!$L$4:$U$4,0))&lt;($D7+$E7))+(INDEX(Curve!$L$16:$U$23,7,MATCH($C7,Curve!$L$4:$U$4,0))&lt;($D7+$E7))+(INDEX(Curve!$L$16:$U$23,8,MATCH($C7,Curve!$L$4:$U$4,0))&lt;($D7+$E7))&gt;8,"beyond inventory",INDEX(Curve!$D$16:$D$23,1+(INDEX(Curve!$L$16:$U$23,1,MATCH($C7,Curve!$L$4:$U$4,0))&lt;($D7+$E7))+(INDEX(Curve!$L$16:$U$23,2,MATCH($C7,Curve!$L$4:$U$4,0))&lt;($D7+$E7))+(INDEX(Curve!$L$16:$U$23,3,MATCH($C7,Curve!$L$4:$U$4,0))&lt;($D7+$E7))+(INDEX(Curve!$L$16:$U$23,4,MATCH($C7,Curve!$L$4:$U$4,0))&lt;($D7+$E7))+(INDEX(Curve!$L$16:$U$23,5,MATCH($C7,Curve!$L$4:$U$4,0))&lt;($D7+$E7))+(INDEX(Curve!$L$16:$U$23,6,MATCH($C7,Curve!$L$4:$U$4,0))&lt;($D7+$E7))+(INDEX(Curve!$L$16:$U$23,7,MATCH($C7,Curve!$L$4:$U$4,0))&lt;($D7+$E7))+(INDEX(Curve!$L$16:$U$23,8,MATCH($C7,Curve!$L$4:$U$4,0))&lt;($D7+$E7))))))</f>
        <v/>
      </c>
      <c r="L7">
        <f>IF(NOT(ISNUMBER(($D7+F7))),"-",IF(($D7+F7)&lt;=0,"-",IF(1+(INDEX(Curve!$L$16:$U$23,1,MATCH($C7,Curve!$L$4:$U$4,0))&lt;($D7+F7))+(INDEX(Curve!$L$16:$U$23,2,MATCH($C7,Curve!$L$4:$U$4,0))&lt;($D7+F7))+(INDEX(Curve!$L$16:$U$23,3,MATCH($C7,Curve!$L$4:$U$4,0))&lt;($D7+F7))+(INDEX(Curve!$L$16:$U$23,4,MATCH($C7,Curve!$L$4:$U$4,0))&lt;($D7+F7))+(INDEX(Curve!$L$16:$U$23,5,MATCH($C7,Curve!$L$4:$U$4,0))&lt;($D7+F7))+(INDEX(Curve!$L$16:$U$23,6,MATCH($C7,Curve!$L$4:$U$4,0))&lt;($D7+F7))+(INDEX(Curve!$L$16:$U$23,7,MATCH($C7,Curve!$L$4:$U$4,0))&lt;($D7+F7))+(INDEX(Curve!$L$16:$U$23,8,MATCH($C7,Curve!$L$4:$U$4,0))&lt;($D7+F7))&gt;8,"beyond inventory",INDEX(Curve!$D$16:$D$23,1+(INDEX(Curve!$L$16:$U$23,1,MATCH($C7,Curve!$L$4:$U$4,0))&lt;($D7+F7))+(INDEX(Curve!$L$16:$U$23,2,MATCH($C7,Curve!$L$4:$U$4,0))&lt;($D7+F7))+(INDEX(Curve!$L$16:$U$23,3,MATCH($C7,Curve!$L$4:$U$4,0))&lt;($D7+F7))+(INDEX(Curve!$L$16:$U$23,4,MATCH($C7,Curve!$L$4:$U$4,0))&lt;($D7+F7))+(INDEX(Curve!$L$16:$U$23,5,MATCH($C7,Curve!$L$4:$U$4,0))&lt;($D7+F7))+(INDEX(Curve!$L$16:$U$23,6,MATCH($C7,Curve!$L$4:$U$4,0))&lt;($D7+F7))+(INDEX(Curve!$L$16:$U$23,7,MATCH($C7,Curve!$L$4:$U$4,0))&lt;($D7+F7))+(INDEX(Curve!$L$16:$U$23,8,MATCH($C7,Curve!$L$4:$U$4,0))&lt;($D7+F7))))))</f>
        <v/>
      </c>
      <c r="M7">
        <f>IF(NOT(ISNUMBER(($D7+G7))),"-",IF(($D7+G7)&lt;=0,"-",IF(1+(INDEX(Curve!$L$16:$U$23,1,MATCH($C7,Curve!$L$4:$U$4,0))&lt;($D7+G7))+(INDEX(Curve!$L$16:$U$23,2,MATCH($C7,Curve!$L$4:$U$4,0))&lt;($D7+G7))+(INDEX(Curve!$L$16:$U$23,3,MATCH($C7,Curve!$L$4:$U$4,0))&lt;($D7+G7))+(INDEX(Curve!$L$16:$U$23,4,MATCH($C7,Curve!$L$4:$U$4,0))&lt;($D7+G7))+(INDEX(Curve!$L$16:$U$23,5,MATCH($C7,Curve!$L$4:$U$4,0))&lt;($D7+G7))+(INDEX(Curve!$L$16:$U$23,6,MATCH($C7,Curve!$L$4:$U$4,0))&lt;($D7+G7))+(INDEX(Curve!$L$16:$U$23,7,MATCH($C7,Curve!$L$4:$U$4,0))&lt;($D7+G7))+(INDEX(Curve!$L$16:$U$23,8,MATCH($C7,Curve!$L$4:$U$4,0))&lt;($D7+G7))&gt;8,"beyond inventory",INDEX(Curve!$D$16:$D$23,1+(INDEX(Curve!$L$16:$U$23,1,MATCH($C7,Curve!$L$4:$U$4,0))&lt;($D7+G7))+(INDEX(Curve!$L$16:$U$23,2,MATCH($C7,Curve!$L$4:$U$4,0))&lt;($D7+G7))+(INDEX(Curve!$L$16:$U$23,3,MATCH($C7,Curve!$L$4:$U$4,0))&lt;($D7+G7))+(INDEX(Curve!$L$16:$U$23,4,MATCH($C7,Curve!$L$4:$U$4,0))&lt;($D7+G7))+(INDEX(Curve!$L$16:$U$23,5,MATCH($C7,Curve!$L$4:$U$4,0))&lt;($D7+G7))+(INDEX(Curve!$L$16:$U$23,6,MATCH($C7,Curve!$L$4:$U$4,0))&lt;($D7+G7))+(INDEX(Curve!$L$16:$U$23,7,MATCH($C7,Curve!$L$4:$U$4,0))&lt;($D7+G7))+(INDEX(Curve!$L$16:$U$23,8,MATCH($C7,Curve!$L$4:$U$4,0))&lt;($D7+G7))))))</f>
        <v/>
      </c>
      <c r="N7">
        <f>IF(NOT(ISNUMBER(($D7+H7))),"-",IF(($D7+H7)&lt;=0,"-",IF(1+(INDEX(Curve!$L$16:$U$23,1,MATCH($C7,Curve!$L$4:$U$4,0))&lt;($D7+H7))+(INDEX(Curve!$L$16:$U$23,2,MATCH($C7,Curve!$L$4:$U$4,0))&lt;($D7+H7))+(INDEX(Curve!$L$16:$U$23,3,MATCH($C7,Curve!$L$4:$U$4,0))&lt;($D7+H7))+(INDEX(Curve!$L$16:$U$23,4,MATCH($C7,Curve!$L$4:$U$4,0))&lt;($D7+H7))+(INDEX(Curve!$L$16:$U$23,5,MATCH($C7,Curve!$L$4:$U$4,0))&lt;($D7+H7))+(INDEX(Curve!$L$16:$U$23,6,MATCH($C7,Curve!$L$4:$U$4,0))&lt;($D7+H7))+(INDEX(Curve!$L$16:$U$23,7,MATCH($C7,Curve!$L$4:$U$4,0))&lt;($D7+H7))+(INDEX(Curve!$L$16:$U$23,8,MATCH($C7,Curve!$L$4:$U$4,0))&lt;($D7+H7))&gt;8,"beyond inventory",INDEX(Curve!$D$16:$D$23,1+(INDEX(Curve!$L$16:$U$23,1,MATCH($C7,Curve!$L$4:$U$4,0))&lt;($D7+H7))+(INDEX(Curve!$L$16:$U$23,2,MATCH($C7,Curve!$L$4:$U$4,0))&lt;($D7+H7))+(INDEX(Curve!$L$16:$U$23,3,MATCH($C7,Curve!$L$4:$U$4,0))&lt;($D7+H7))+(INDEX(Curve!$L$16:$U$23,4,MATCH($C7,Curve!$L$4:$U$4,0))&lt;($D7+H7))+(INDEX(Curve!$L$16:$U$23,5,MATCH($C7,Curve!$L$4:$U$4,0))&lt;($D7+H7))+(INDEX(Curve!$L$16:$U$23,6,MATCH($C7,Curve!$L$4:$U$4,0))&lt;($D7+H7))+(INDEX(Curve!$L$16:$U$23,7,MATCH($C7,Curve!$L$4:$U$4,0))&lt;($D7+H7))+(INDEX(Curve!$L$16:$U$23,8,MATCH($C7,Curve!$L$4:$U$4,0))&lt;($D7+H7))))))</f>
        <v/>
      </c>
      <c r="O7">
        <f>IF(NOT(ISNUMBER(($D7+I7))),"-",IF(($D7+I7)&lt;=0,"-",IF(1+(INDEX(Curve!$L$16:$U$23,1,MATCH($C7,Curve!$L$4:$U$4,0))&lt;($D7+I7))+(INDEX(Curve!$L$16:$U$23,2,MATCH($C7,Curve!$L$4:$U$4,0))&lt;($D7+I7))+(INDEX(Curve!$L$16:$U$23,3,MATCH($C7,Curve!$L$4:$U$4,0))&lt;($D7+I7))+(INDEX(Curve!$L$16:$U$23,4,MATCH($C7,Curve!$L$4:$U$4,0))&lt;($D7+I7))+(INDEX(Curve!$L$16:$U$23,5,MATCH($C7,Curve!$L$4:$U$4,0))&lt;($D7+I7))+(INDEX(Curve!$L$16:$U$23,6,MATCH($C7,Curve!$L$4:$U$4,0))&lt;($D7+I7))+(INDEX(Curve!$L$16:$U$23,7,MATCH($C7,Curve!$L$4:$U$4,0))&lt;($D7+I7))+(INDEX(Curve!$L$16:$U$23,8,MATCH($C7,Curve!$L$4:$U$4,0))&lt;($D7+I7))&gt;8,"beyond inventory",INDEX(Curve!$D$16:$D$23,1+(INDEX(Curve!$L$16:$U$23,1,MATCH($C7,Curve!$L$4:$U$4,0))&lt;($D7+I7))+(INDEX(Curve!$L$16:$U$23,2,MATCH($C7,Curve!$L$4:$U$4,0))&lt;($D7+I7))+(INDEX(Curve!$L$16:$U$23,3,MATCH($C7,Curve!$L$4:$U$4,0))&lt;($D7+I7))+(INDEX(Curve!$L$16:$U$23,4,MATCH($C7,Curve!$L$4:$U$4,0))&lt;($D7+I7))+(INDEX(Curve!$L$16:$U$23,5,MATCH($C7,Curve!$L$4:$U$4,0))&lt;($D7+I7))+(INDEX(Curve!$L$16:$U$23,6,MATCH($C7,Curve!$L$4:$U$4,0))&lt;($D7+I7))+(INDEX(Curve!$L$16:$U$23,7,MATCH($C7,Curve!$L$4:$U$4,0))&lt;($D7+I7))+(INDEX(Curve!$L$16:$U$23,8,MATCH($C7,Curve!$L$4:$U$4,0))&lt;($D7+I7))))))</f>
        <v/>
      </c>
      <c r="P7">
        <f>'Henry Hub'!$B$3</f>
        <v/>
      </c>
      <c r="Q7">
        <f>IF(ISNUMBER(K7),K7-P7,"-")</f>
        <v/>
      </c>
    </row>
    <row r="8">
      <c r="A8" t="inlineStr">
        <is>
          <t>Base</t>
        </is>
      </c>
      <c r="B8" t="inlineStr">
        <is>
          <t>Dec 2030</t>
        </is>
      </c>
      <c r="C8" t="n">
        <v>5</v>
      </c>
      <c r="D8">
        <f>'Gulf key question'!C6</f>
        <v/>
      </c>
      <c r="E8">
        <f>'Gulf key question'!D6</f>
        <v/>
      </c>
      <c r="F8">
        <f>'Gulf key question'!F6</f>
        <v/>
      </c>
      <c r="G8">
        <f>'Gulf key question'!G6</f>
        <v/>
      </c>
      <c r="H8">
        <f>'Gulf key question'!H6</f>
        <v/>
      </c>
      <c r="I8">
        <f>'Gulf key question'!I6</f>
        <v/>
      </c>
      <c r="J8">
        <f>IF(NOT(ISNUMBER($E8)),"-",IF($E8&lt;=0,"-",IF(1+(INDEX(Curve!$L$16:$U$23,1,MATCH($C8,Curve!$L$4:$U$4,0))&lt;$E8)+(INDEX(Curve!$L$16:$U$23,2,MATCH($C8,Curve!$L$4:$U$4,0))&lt;$E8)+(INDEX(Curve!$L$16:$U$23,3,MATCH($C8,Curve!$L$4:$U$4,0))&lt;$E8)+(INDEX(Curve!$L$16:$U$23,4,MATCH($C8,Curve!$L$4:$U$4,0))&lt;$E8)+(INDEX(Curve!$L$16:$U$23,5,MATCH($C8,Curve!$L$4:$U$4,0))&lt;$E8)+(INDEX(Curve!$L$16:$U$23,6,MATCH($C8,Curve!$L$4:$U$4,0))&lt;$E8)+(INDEX(Curve!$L$16:$U$23,7,MATCH($C8,Curve!$L$4:$U$4,0))&lt;$E8)+(INDEX(Curve!$L$16:$U$23,8,MATCH($C8,Curve!$L$4:$U$4,0))&lt;$E8)&gt;8,"beyond inventory",INDEX(Curve!$D$16:$D$23,1+(INDEX(Curve!$L$16:$U$23,1,MATCH($C8,Curve!$L$4:$U$4,0))&lt;$E8)+(INDEX(Curve!$L$16:$U$23,2,MATCH($C8,Curve!$L$4:$U$4,0))&lt;$E8)+(INDEX(Curve!$L$16:$U$23,3,MATCH($C8,Curve!$L$4:$U$4,0))&lt;$E8)+(INDEX(Curve!$L$16:$U$23,4,MATCH($C8,Curve!$L$4:$U$4,0))&lt;$E8)+(INDEX(Curve!$L$16:$U$23,5,MATCH($C8,Curve!$L$4:$U$4,0))&lt;$E8)+(INDEX(Curve!$L$16:$U$23,6,MATCH($C8,Curve!$L$4:$U$4,0))&lt;$E8)+(INDEX(Curve!$L$16:$U$23,7,MATCH($C8,Curve!$L$4:$U$4,0))&lt;$E8)+(INDEX(Curve!$L$16:$U$23,8,MATCH($C8,Curve!$L$4:$U$4,0))&lt;$E8)))))</f>
        <v/>
      </c>
      <c r="K8">
        <f>IF(NOT(ISNUMBER(($D8+$E8))),"-",IF(($D8+$E8)&lt;=0,"-",IF(1+(INDEX(Curve!$L$16:$U$23,1,MATCH($C8,Curve!$L$4:$U$4,0))&lt;($D8+$E8))+(INDEX(Curve!$L$16:$U$23,2,MATCH($C8,Curve!$L$4:$U$4,0))&lt;($D8+$E8))+(INDEX(Curve!$L$16:$U$23,3,MATCH($C8,Curve!$L$4:$U$4,0))&lt;($D8+$E8))+(INDEX(Curve!$L$16:$U$23,4,MATCH($C8,Curve!$L$4:$U$4,0))&lt;($D8+$E8))+(INDEX(Curve!$L$16:$U$23,5,MATCH($C8,Curve!$L$4:$U$4,0))&lt;($D8+$E8))+(INDEX(Curve!$L$16:$U$23,6,MATCH($C8,Curve!$L$4:$U$4,0))&lt;($D8+$E8))+(INDEX(Curve!$L$16:$U$23,7,MATCH($C8,Curve!$L$4:$U$4,0))&lt;($D8+$E8))+(INDEX(Curve!$L$16:$U$23,8,MATCH($C8,Curve!$L$4:$U$4,0))&lt;($D8+$E8))&gt;8,"beyond inventory",INDEX(Curve!$D$16:$D$23,1+(INDEX(Curve!$L$16:$U$23,1,MATCH($C8,Curve!$L$4:$U$4,0))&lt;($D8+$E8))+(INDEX(Curve!$L$16:$U$23,2,MATCH($C8,Curve!$L$4:$U$4,0))&lt;($D8+$E8))+(INDEX(Curve!$L$16:$U$23,3,MATCH($C8,Curve!$L$4:$U$4,0))&lt;($D8+$E8))+(INDEX(Curve!$L$16:$U$23,4,MATCH($C8,Curve!$L$4:$U$4,0))&lt;($D8+$E8))+(INDEX(Curve!$L$16:$U$23,5,MATCH($C8,Curve!$L$4:$U$4,0))&lt;($D8+$E8))+(INDEX(Curve!$L$16:$U$23,6,MATCH($C8,Curve!$L$4:$U$4,0))&lt;($D8+$E8))+(INDEX(Curve!$L$16:$U$23,7,MATCH($C8,Curve!$L$4:$U$4,0))&lt;($D8+$E8))+(INDEX(Curve!$L$16:$U$23,8,MATCH($C8,Curve!$L$4:$U$4,0))&lt;($D8+$E8))))))</f>
        <v/>
      </c>
      <c r="L8">
        <f>IF(NOT(ISNUMBER(($D8+F8))),"-",IF(($D8+F8)&lt;=0,"-",IF(1+(INDEX(Curve!$L$16:$U$23,1,MATCH($C8,Curve!$L$4:$U$4,0))&lt;($D8+F8))+(INDEX(Curve!$L$16:$U$23,2,MATCH($C8,Curve!$L$4:$U$4,0))&lt;($D8+F8))+(INDEX(Curve!$L$16:$U$23,3,MATCH($C8,Curve!$L$4:$U$4,0))&lt;($D8+F8))+(INDEX(Curve!$L$16:$U$23,4,MATCH($C8,Curve!$L$4:$U$4,0))&lt;($D8+F8))+(INDEX(Curve!$L$16:$U$23,5,MATCH($C8,Curve!$L$4:$U$4,0))&lt;($D8+F8))+(INDEX(Curve!$L$16:$U$23,6,MATCH($C8,Curve!$L$4:$U$4,0))&lt;($D8+F8))+(INDEX(Curve!$L$16:$U$23,7,MATCH($C8,Curve!$L$4:$U$4,0))&lt;($D8+F8))+(INDEX(Curve!$L$16:$U$23,8,MATCH($C8,Curve!$L$4:$U$4,0))&lt;($D8+F8))&gt;8,"beyond inventory",INDEX(Curve!$D$16:$D$23,1+(INDEX(Curve!$L$16:$U$23,1,MATCH($C8,Curve!$L$4:$U$4,0))&lt;($D8+F8))+(INDEX(Curve!$L$16:$U$23,2,MATCH($C8,Curve!$L$4:$U$4,0))&lt;($D8+F8))+(INDEX(Curve!$L$16:$U$23,3,MATCH($C8,Curve!$L$4:$U$4,0))&lt;($D8+F8))+(INDEX(Curve!$L$16:$U$23,4,MATCH($C8,Curve!$L$4:$U$4,0))&lt;($D8+F8))+(INDEX(Curve!$L$16:$U$23,5,MATCH($C8,Curve!$L$4:$U$4,0))&lt;($D8+F8))+(INDEX(Curve!$L$16:$U$23,6,MATCH($C8,Curve!$L$4:$U$4,0))&lt;($D8+F8))+(INDEX(Curve!$L$16:$U$23,7,MATCH($C8,Curve!$L$4:$U$4,0))&lt;($D8+F8))+(INDEX(Curve!$L$16:$U$23,8,MATCH($C8,Curve!$L$4:$U$4,0))&lt;($D8+F8))))))</f>
        <v/>
      </c>
      <c r="M8">
        <f>IF(NOT(ISNUMBER(($D8+G8))),"-",IF(($D8+G8)&lt;=0,"-",IF(1+(INDEX(Curve!$L$16:$U$23,1,MATCH($C8,Curve!$L$4:$U$4,0))&lt;($D8+G8))+(INDEX(Curve!$L$16:$U$23,2,MATCH($C8,Curve!$L$4:$U$4,0))&lt;($D8+G8))+(INDEX(Curve!$L$16:$U$23,3,MATCH($C8,Curve!$L$4:$U$4,0))&lt;($D8+G8))+(INDEX(Curve!$L$16:$U$23,4,MATCH($C8,Curve!$L$4:$U$4,0))&lt;($D8+G8))+(INDEX(Curve!$L$16:$U$23,5,MATCH($C8,Curve!$L$4:$U$4,0))&lt;($D8+G8))+(INDEX(Curve!$L$16:$U$23,6,MATCH($C8,Curve!$L$4:$U$4,0))&lt;($D8+G8))+(INDEX(Curve!$L$16:$U$23,7,MATCH($C8,Curve!$L$4:$U$4,0))&lt;($D8+G8))+(INDEX(Curve!$L$16:$U$23,8,MATCH($C8,Curve!$L$4:$U$4,0))&lt;($D8+G8))&gt;8,"beyond inventory",INDEX(Curve!$D$16:$D$23,1+(INDEX(Curve!$L$16:$U$23,1,MATCH($C8,Curve!$L$4:$U$4,0))&lt;($D8+G8))+(INDEX(Curve!$L$16:$U$23,2,MATCH($C8,Curve!$L$4:$U$4,0))&lt;($D8+G8))+(INDEX(Curve!$L$16:$U$23,3,MATCH($C8,Curve!$L$4:$U$4,0))&lt;($D8+G8))+(INDEX(Curve!$L$16:$U$23,4,MATCH($C8,Curve!$L$4:$U$4,0))&lt;($D8+G8))+(INDEX(Curve!$L$16:$U$23,5,MATCH($C8,Curve!$L$4:$U$4,0))&lt;($D8+G8))+(INDEX(Curve!$L$16:$U$23,6,MATCH($C8,Curve!$L$4:$U$4,0))&lt;($D8+G8))+(INDEX(Curve!$L$16:$U$23,7,MATCH($C8,Curve!$L$4:$U$4,0))&lt;($D8+G8))+(INDEX(Curve!$L$16:$U$23,8,MATCH($C8,Curve!$L$4:$U$4,0))&lt;($D8+G8))))))</f>
        <v/>
      </c>
      <c r="N8">
        <f>IF(NOT(ISNUMBER(($D8+H8))),"-",IF(($D8+H8)&lt;=0,"-",IF(1+(INDEX(Curve!$L$16:$U$23,1,MATCH($C8,Curve!$L$4:$U$4,0))&lt;($D8+H8))+(INDEX(Curve!$L$16:$U$23,2,MATCH($C8,Curve!$L$4:$U$4,0))&lt;($D8+H8))+(INDEX(Curve!$L$16:$U$23,3,MATCH($C8,Curve!$L$4:$U$4,0))&lt;($D8+H8))+(INDEX(Curve!$L$16:$U$23,4,MATCH($C8,Curve!$L$4:$U$4,0))&lt;($D8+H8))+(INDEX(Curve!$L$16:$U$23,5,MATCH($C8,Curve!$L$4:$U$4,0))&lt;($D8+H8))+(INDEX(Curve!$L$16:$U$23,6,MATCH($C8,Curve!$L$4:$U$4,0))&lt;($D8+H8))+(INDEX(Curve!$L$16:$U$23,7,MATCH($C8,Curve!$L$4:$U$4,0))&lt;($D8+H8))+(INDEX(Curve!$L$16:$U$23,8,MATCH($C8,Curve!$L$4:$U$4,0))&lt;($D8+H8))&gt;8,"beyond inventory",INDEX(Curve!$D$16:$D$23,1+(INDEX(Curve!$L$16:$U$23,1,MATCH($C8,Curve!$L$4:$U$4,0))&lt;($D8+H8))+(INDEX(Curve!$L$16:$U$23,2,MATCH($C8,Curve!$L$4:$U$4,0))&lt;($D8+H8))+(INDEX(Curve!$L$16:$U$23,3,MATCH($C8,Curve!$L$4:$U$4,0))&lt;($D8+H8))+(INDEX(Curve!$L$16:$U$23,4,MATCH($C8,Curve!$L$4:$U$4,0))&lt;($D8+H8))+(INDEX(Curve!$L$16:$U$23,5,MATCH($C8,Curve!$L$4:$U$4,0))&lt;($D8+H8))+(INDEX(Curve!$L$16:$U$23,6,MATCH($C8,Curve!$L$4:$U$4,0))&lt;($D8+H8))+(INDEX(Curve!$L$16:$U$23,7,MATCH($C8,Curve!$L$4:$U$4,0))&lt;($D8+H8))+(INDEX(Curve!$L$16:$U$23,8,MATCH($C8,Curve!$L$4:$U$4,0))&lt;($D8+H8))))))</f>
        <v/>
      </c>
      <c r="O8">
        <f>IF(NOT(ISNUMBER(($D8+I8))),"-",IF(($D8+I8)&lt;=0,"-",IF(1+(INDEX(Curve!$L$16:$U$23,1,MATCH($C8,Curve!$L$4:$U$4,0))&lt;($D8+I8))+(INDEX(Curve!$L$16:$U$23,2,MATCH($C8,Curve!$L$4:$U$4,0))&lt;($D8+I8))+(INDEX(Curve!$L$16:$U$23,3,MATCH($C8,Curve!$L$4:$U$4,0))&lt;($D8+I8))+(INDEX(Curve!$L$16:$U$23,4,MATCH($C8,Curve!$L$4:$U$4,0))&lt;($D8+I8))+(INDEX(Curve!$L$16:$U$23,5,MATCH($C8,Curve!$L$4:$U$4,0))&lt;($D8+I8))+(INDEX(Curve!$L$16:$U$23,6,MATCH($C8,Curve!$L$4:$U$4,0))&lt;($D8+I8))+(INDEX(Curve!$L$16:$U$23,7,MATCH($C8,Curve!$L$4:$U$4,0))&lt;($D8+I8))+(INDEX(Curve!$L$16:$U$23,8,MATCH($C8,Curve!$L$4:$U$4,0))&lt;($D8+I8))&gt;8,"beyond inventory",INDEX(Curve!$D$16:$D$23,1+(INDEX(Curve!$L$16:$U$23,1,MATCH($C8,Curve!$L$4:$U$4,0))&lt;($D8+I8))+(INDEX(Curve!$L$16:$U$23,2,MATCH($C8,Curve!$L$4:$U$4,0))&lt;($D8+I8))+(INDEX(Curve!$L$16:$U$23,3,MATCH($C8,Curve!$L$4:$U$4,0))&lt;($D8+I8))+(INDEX(Curve!$L$16:$U$23,4,MATCH($C8,Curve!$L$4:$U$4,0))&lt;($D8+I8))+(INDEX(Curve!$L$16:$U$23,5,MATCH($C8,Curve!$L$4:$U$4,0))&lt;($D8+I8))+(INDEX(Curve!$L$16:$U$23,6,MATCH($C8,Curve!$L$4:$U$4,0))&lt;($D8+I8))+(INDEX(Curve!$L$16:$U$23,7,MATCH($C8,Curve!$L$4:$U$4,0))&lt;($D8+I8))+(INDEX(Curve!$L$16:$U$23,8,MATCH($C8,Curve!$L$4:$U$4,0))&lt;($D8+I8))))))</f>
        <v/>
      </c>
      <c r="P8">
        <f>'Henry Hub'!$B$3</f>
        <v/>
      </c>
      <c r="Q8">
        <f>IF(ISNUMBER(K8),K8-P8,"-")</f>
        <v/>
      </c>
    </row>
    <row r="9">
      <c r="A9" t="inlineStr">
        <is>
          <t>Base</t>
        </is>
      </c>
      <c r="B9" t="inlineStr">
        <is>
          <t>Dec 2033</t>
        </is>
      </c>
      <c r="C9" t="n">
        <v>8</v>
      </c>
      <c r="D9">
        <f>'Gulf key question'!C9</f>
        <v/>
      </c>
      <c r="E9">
        <f>'Gulf key question'!D9</f>
        <v/>
      </c>
      <c r="F9">
        <f>'Gulf key question'!F9</f>
        <v/>
      </c>
      <c r="G9">
        <f>'Gulf key question'!G9</f>
        <v/>
      </c>
      <c r="H9">
        <f>'Gulf key question'!H9</f>
        <v/>
      </c>
      <c r="I9">
        <f>'Gulf key question'!I9</f>
        <v/>
      </c>
      <c r="J9">
        <f>IF(NOT(ISNUMBER($E9)),"-",IF($E9&lt;=0,"-",IF(1+(INDEX(Curve!$L$16:$U$23,1,MATCH($C9,Curve!$L$4:$U$4,0))&lt;$E9)+(INDEX(Curve!$L$16:$U$23,2,MATCH($C9,Curve!$L$4:$U$4,0))&lt;$E9)+(INDEX(Curve!$L$16:$U$23,3,MATCH($C9,Curve!$L$4:$U$4,0))&lt;$E9)+(INDEX(Curve!$L$16:$U$23,4,MATCH($C9,Curve!$L$4:$U$4,0))&lt;$E9)+(INDEX(Curve!$L$16:$U$23,5,MATCH($C9,Curve!$L$4:$U$4,0))&lt;$E9)+(INDEX(Curve!$L$16:$U$23,6,MATCH($C9,Curve!$L$4:$U$4,0))&lt;$E9)+(INDEX(Curve!$L$16:$U$23,7,MATCH($C9,Curve!$L$4:$U$4,0))&lt;$E9)+(INDEX(Curve!$L$16:$U$23,8,MATCH($C9,Curve!$L$4:$U$4,0))&lt;$E9)&gt;8,"beyond inventory",INDEX(Curve!$D$16:$D$23,1+(INDEX(Curve!$L$16:$U$23,1,MATCH($C9,Curve!$L$4:$U$4,0))&lt;$E9)+(INDEX(Curve!$L$16:$U$23,2,MATCH($C9,Curve!$L$4:$U$4,0))&lt;$E9)+(INDEX(Curve!$L$16:$U$23,3,MATCH($C9,Curve!$L$4:$U$4,0))&lt;$E9)+(INDEX(Curve!$L$16:$U$23,4,MATCH($C9,Curve!$L$4:$U$4,0))&lt;$E9)+(INDEX(Curve!$L$16:$U$23,5,MATCH($C9,Curve!$L$4:$U$4,0))&lt;$E9)+(INDEX(Curve!$L$16:$U$23,6,MATCH($C9,Curve!$L$4:$U$4,0))&lt;$E9)+(INDEX(Curve!$L$16:$U$23,7,MATCH($C9,Curve!$L$4:$U$4,0))&lt;$E9)+(INDEX(Curve!$L$16:$U$23,8,MATCH($C9,Curve!$L$4:$U$4,0))&lt;$E9)))))</f>
        <v/>
      </c>
      <c r="K9">
        <f>IF(NOT(ISNUMBER(($D9+$E9))),"-",IF(($D9+$E9)&lt;=0,"-",IF(1+(INDEX(Curve!$L$16:$U$23,1,MATCH($C9,Curve!$L$4:$U$4,0))&lt;($D9+$E9))+(INDEX(Curve!$L$16:$U$23,2,MATCH($C9,Curve!$L$4:$U$4,0))&lt;($D9+$E9))+(INDEX(Curve!$L$16:$U$23,3,MATCH($C9,Curve!$L$4:$U$4,0))&lt;($D9+$E9))+(INDEX(Curve!$L$16:$U$23,4,MATCH($C9,Curve!$L$4:$U$4,0))&lt;($D9+$E9))+(INDEX(Curve!$L$16:$U$23,5,MATCH($C9,Curve!$L$4:$U$4,0))&lt;($D9+$E9))+(INDEX(Curve!$L$16:$U$23,6,MATCH($C9,Curve!$L$4:$U$4,0))&lt;($D9+$E9))+(INDEX(Curve!$L$16:$U$23,7,MATCH($C9,Curve!$L$4:$U$4,0))&lt;($D9+$E9))+(INDEX(Curve!$L$16:$U$23,8,MATCH($C9,Curve!$L$4:$U$4,0))&lt;($D9+$E9))&gt;8,"beyond inventory",INDEX(Curve!$D$16:$D$23,1+(INDEX(Curve!$L$16:$U$23,1,MATCH($C9,Curve!$L$4:$U$4,0))&lt;($D9+$E9))+(INDEX(Curve!$L$16:$U$23,2,MATCH($C9,Curve!$L$4:$U$4,0))&lt;($D9+$E9))+(INDEX(Curve!$L$16:$U$23,3,MATCH($C9,Curve!$L$4:$U$4,0))&lt;($D9+$E9))+(INDEX(Curve!$L$16:$U$23,4,MATCH($C9,Curve!$L$4:$U$4,0))&lt;($D9+$E9))+(INDEX(Curve!$L$16:$U$23,5,MATCH($C9,Curve!$L$4:$U$4,0))&lt;($D9+$E9))+(INDEX(Curve!$L$16:$U$23,6,MATCH($C9,Curve!$L$4:$U$4,0))&lt;($D9+$E9))+(INDEX(Curve!$L$16:$U$23,7,MATCH($C9,Curve!$L$4:$U$4,0))&lt;($D9+$E9))+(INDEX(Curve!$L$16:$U$23,8,MATCH($C9,Curve!$L$4:$U$4,0))&lt;($D9+$E9))))))</f>
        <v/>
      </c>
      <c r="L9">
        <f>IF(NOT(ISNUMBER(($D9+F9))),"-",IF(($D9+F9)&lt;=0,"-",IF(1+(INDEX(Curve!$L$16:$U$23,1,MATCH($C9,Curve!$L$4:$U$4,0))&lt;($D9+F9))+(INDEX(Curve!$L$16:$U$23,2,MATCH($C9,Curve!$L$4:$U$4,0))&lt;($D9+F9))+(INDEX(Curve!$L$16:$U$23,3,MATCH($C9,Curve!$L$4:$U$4,0))&lt;($D9+F9))+(INDEX(Curve!$L$16:$U$23,4,MATCH($C9,Curve!$L$4:$U$4,0))&lt;($D9+F9))+(INDEX(Curve!$L$16:$U$23,5,MATCH($C9,Curve!$L$4:$U$4,0))&lt;($D9+F9))+(INDEX(Curve!$L$16:$U$23,6,MATCH($C9,Curve!$L$4:$U$4,0))&lt;($D9+F9))+(INDEX(Curve!$L$16:$U$23,7,MATCH($C9,Curve!$L$4:$U$4,0))&lt;($D9+F9))+(INDEX(Curve!$L$16:$U$23,8,MATCH($C9,Curve!$L$4:$U$4,0))&lt;($D9+F9))&gt;8,"beyond inventory",INDEX(Curve!$D$16:$D$23,1+(INDEX(Curve!$L$16:$U$23,1,MATCH($C9,Curve!$L$4:$U$4,0))&lt;($D9+F9))+(INDEX(Curve!$L$16:$U$23,2,MATCH($C9,Curve!$L$4:$U$4,0))&lt;($D9+F9))+(INDEX(Curve!$L$16:$U$23,3,MATCH($C9,Curve!$L$4:$U$4,0))&lt;($D9+F9))+(INDEX(Curve!$L$16:$U$23,4,MATCH($C9,Curve!$L$4:$U$4,0))&lt;($D9+F9))+(INDEX(Curve!$L$16:$U$23,5,MATCH($C9,Curve!$L$4:$U$4,0))&lt;($D9+F9))+(INDEX(Curve!$L$16:$U$23,6,MATCH($C9,Curve!$L$4:$U$4,0))&lt;($D9+F9))+(INDEX(Curve!$L$16:$U$23,7,MATCH($C9,Curve!$L$4:$U$4,0))&lt;($D9+F9))+(INDEX(Curve!$L$16:$U$23,8,MATCH($C9,Curve!$L$4:$U$4,0))&lt;($D9+F9))))))</f>
        <v/>
      </c>
      <c r="M9">
        <f>IF(NOT(ISNUMBER(($D9+G9))),"-",IF(($D9+G9)&lt;=0,"-",IF(1+(INDEX(Curve!$L$16:$U$23,1,MATCH($C9,Curve!$L$4:$U$4,0))&lt;($D9+G9))+(INDEX(Curve!$L$16:$U$23,2,MATCH($C9,Curve!$L$4:$U$4,0))&lt;($D9+G9))+(INDEX(Curve!$L$16:$U$23,3,MATCH($C9,Curve!$L$4:$U$4,0))&lt;($D9+G9))+(INDEX(Curve!$L$16:$U$23,4,MATCH($C9,Curve!$L$4:$U$4,0))&lt;($D9+G9))+(INDEX(Curve!$L$16:$U$23,5,MATCH($C9,Curve!$L$4:$U$4,0))&lt;($D9+G9))+(INDEX(Curve!$L$16:$U$23,6,MATCH($C9,Curve!$L$4:$U$4,0))&lt;($D9+G9))+(INDEX(Curve!$L$16:$U$23,7,MATCH($C9,Curve!$L$4:$U$4,0))&lt;($D9+G9))+(INDEX(Curve!$L$16:$U$23,8,MATCH($C9,Curve!$L$4:$U$4,0))&lt;($D9+G9))&gt;8,"beyond inventory",INDEX(Curve!$D$16:$D$23,1+(INDEX(Curve!$L$16:$U$23,1,MATCH($C9,Curve!$L$4:$U$4,0))&lt;($D9+G9))+(INDEX(Curve!$L$16:$U$23,2,MATCH($C9,Curve!$L$4:$U$4,0))&lt;($D9+G9))+(INDEX(Curve!$L$16:$U$23,3,MATCH($C9,Curve!$L$4:$U$4,0))&lt;($D9+G9))+(INDEX(Curve!$L$16:$U$23,4,MATCH($C9,Curve!$L$4:$U$4,0))&lt;($D9+G9))+(INDEX(Curve!$L$16:$U$23,5,MATCH($C9,Curve!$L$4:$U$4,0))&lt;($D9+G9))+(INDEX(Curve!$L$16:$U$23,6,MATCH($C9,Curve!$L$4:$U$4,0))&lt;($D9+G9))+(INDEX(Curve!$L$16:$U$23,7,MATCH($C9,Curve!$L$4:$U$4,0))&lt;($D9+G9))+(INDEX(Curve!$L$16:$U$23,8,MATCH($C9,Curve!$L$4:$U$4,0))&lt;($D9+G9))))))</f>
        <v/>
      </c>
      <c r="N9">
        <f>IF(NOT(ISNUMBER(($D9+H9))),"-",IF(($D9+H9)&lt;=0,"-",IF(1+(INDEX(Curve!$L$16:$U$23,1,MATCH($C9,Curve!$L$4:$U$4,0))&lt;($D9+H9))+(INDEX(Curve!$L$16:$U$23,2,MATCH($C9,Curve!$L$4:$U$4,0))&lt;($D9+H9))+(INDEX(Curve!$L$16:$U$23,3,MATCH($C9,Curve!$L$4:$U$4,0))&lt;($D9+H9))+(INDEX(Curve!$L$16:$U$23,4,MATCH($C9,Curve!$L$4:$U$4,0))&lt;($D9+H9))+(INDEX(Curve!$L$16:$U$23,5,MATCH($C9,Curve!$L$4:$U$4,0))&lt;($D9+H9))+(INDEX(Curve!$L$16:$U$23,6,MATCH($C9,Curve!$L$4:$U$4,0))&lt;($D9+H9))+(INDEX(Curve!$L$16:$U$23,7,MATCH($C9,Curve!$L$4:$U$4,0))&lt;($D9+H9))+(INDEX(Curve!$L$16:$U$23,8,MATCH($C9,Curve!$L$4:$U$4,0))&lt;($D9+H9))&gt;8,"beyond inventory",INDEX(Curve!$D$16:$D$23,1+(INDEX(Curve!$L$16:$U$23,1,MATCH($C9,Curve!$L$4:$U$4,0))&lt;($D9+H9))+(INDEX(Curve!$L$16:$U$23,2,MATCH($C9,Curve!$L$4:$U$4,0))&lt;($D9+H9))+(INDEX(Curve!$L$16:$U$23,3,MATCH($C9,Curve!$L$4:$U$4,0))&lt;($D9+H9))+(INDEX(Curve!$L$16:$U$23,4,MATCH($C9,Curve!$L$4:$U$4,0))&lt;($D9+H9))+(INDEX(Curve!$L$16:$U$23,5,MATCH($C9,Curve!$L$4:$U$4,0))&lt;($D9+H9))+(INDEX(Curve!$L$16:$U$23,6,MATCH($C9,Curve!$L$4:$U$4,0))&lt;($D9+H9))+(INDEX(Curve!$L$16:$U$23,7,MATCH($C9,Curve!$L$4:$U$4,0))&lt;($D9+H9))+(INDEX(Curve!$L$16:$U$23,8,MATCH($C9,Curve!$L$4:$U$4,0))&lt;($D9+H9))))))</f>
        <v/>
      </c>
      <c r="O9">
        <f>IF(NOT(ISNUMBER(($D9+I9))),"-",IF(($D9+I9)&lt;=0,"-",IF(1+(INDEX(Curve!$L$16:$U$23,1,MATCH($C9,Curve!$L$4:$U$4,0))&lt;($D9+I9))+(INDEX(Curve!$L$16:$U$23,2,MATCH($C9,Curve!$L$4:$U$4,0))&lt;($D9+I9))+(INDEX(Curve!$L$16:$U$23,3,MATCH($C9,Curve!$L$4:$U$4,0))&lt;($D9+I9))+(INDEX(Curve!$L$16:$U$23,4,MATCH($C9,Curve!$L$4:$U$4,0))&lt;($D9+I9))+(INDEX(Curve!$L$16:$U$23,5,MATCH($C9,Curve!$L$4:$U$4,0))&lt;($D9+I9))+(INDEX(Curve!$L$16:$U$23,6,MATCH($C9,Curve!$L$4:$U$4,0))&lt;($D9+I9))+(INDEX(Curve!$L$16:$U$23,7,MATCH($C9,Curve!$L$4:$U$4,0))&lt;($D9+I9))+(INDEX(Curve!$L$16:$U$23,8,MATCH($C9,Curve!$L$4:$U$4,0))&lt;($D9+I9))&gt;8,"beyond inventory",INDEX(Curve!$D$16:$D$23,1+(INDEX(Curve!$L$16:$U$23,1,MATCH($C9,Curve!$L$4:$U$4,0))&lt;($D9+I9))+(INDEX(Curve!$L$16:$U$23,2,MATCH($C9,Curve!$L$4:$U$4,0))&lt;($D9+I9))+(INDEX(Curve!$L$16:$U$23,3,MATCH($C9,Curve!$L$4:$U$4,0))&lt;($D9+I9))+(INDEX(Curve!$L$16:$U$23,4,MATCH($C9,Curve!$L$4:$U$4,0))&lt;($D9+I9))+(INDEX(Curve!$L$16:$U$23,5,MATCH($C9,Curve!$L$4:$U$4,0))&lt;($D9+I9))+(INDEX(Curve!$L$16:$U$23,6,MATCH($C9,Curve!$L$4:$U$4,0))&lt;($D9+I9))+(INDEX(Curve!$L$16:$U$23,7,MATCH($C9,Curve!$L$4:$U$4,0))&lt;($D9+I9))+(INDEX(Curve!$L$16:$U$23,8,MATCH($C9,Curve!$L$4:$U$4,0))&lt;($D9+I9))))))</f>
        <v/>
      </c>
      <c r="P9">
        <f>'Henry Hub'!$B$3</f>
        <v/>
      </c>
      <c r="Q9">
        <f>IF(ISNUMBER(K9),K9-P9,"-")</f>
        <v/>
      </c>
    </row>
    <row r="10">
      <c r="A10" t="inlineStr">
        <is>
          <t>LNG and takeaway delayed 6 months</t>
        </is>
      </c>
      <c r="B10" t="inlineStr">
        <is>
          <t>Dec 2026</t>
        </is>
      </c>
      <c r="C10" t="n">
        <v>1</v>
      </c>
      <c r="D10">
        <f>'Gulf key question'!C10</f>
        <v/>
      </c>
      <c r="E10">
        <f>'Gulf key question'!D10</f>
        <v/>
      </c>
      <c r="F10">
        <f>'Gulf key question'!F10</f>
        <v/>
      </c>
      <c r="G10">
        <f>'Gulf key question'!G10</f>
        <v/>
      </c>
      <c r="H10">
        <f>'Gulf key question'!H10</f>
        <v/>
      </c>
      <c r="I10">
        <f>'Gulf key question'!I10</f>
        <v/>
      </c>
      <c r="J10">
        <f>IF(NOT(ISNUMBER($E10)),"-",IF($E10&lt;=0,"-",IF(1+(INDEX(Curve!$L$16:$U$23,1,MATCH($C10,Curve!$L$4:$U$4,0))&lt;$E10)+(INDEX(Curve!$L$16:$U$23,2,MATCH($C10,Curve!$L$4:$U$4,0))&lt;$E10)+(INDEX(Curve!$L$16:$U$23,3,MATCH($C10,Curve!$L$4:$U$4,0))&lt;$E10)+(INDEX(Curve!$L$16:$U$23,4,MATCH($C10,Curve!$L$4:$U$4,0))&lt;$E10)+(INDEX(Curve!$L$16:$U$23,5,MATCH($C10,Curve!$L$4:$U$4,0))&lt;$E10)+(INDEX(Curve!$L$16:$U$23,6,MATCH($C10,Curve!$L$4:$U$4,0))&lt;$E10)+(INDEX(Curve!$L$16:$U$23,7,MATCH($C10,Curve!$L$4:$U$4,0))&lt;$E10)+(INDEX(Curve!$L$16:$U$23,8,MATCH($C10,Curve!$L$4:$U$4,0))&lt;$E10)&gt;8,"beyond inventory",INDEX(Curve!$D$16:$D$23,1+(INDEX(Curve!$L$16:$U$23,1,MATCH($C10,Curve!$L$4:$U$4,0))&lt;$E10)+(INDEX(Curve!$L$16:$U$23,2,MATCH($C10,Curve!$L$4:$U$4,0))&lt;$E10)+(INDEX(Curve!$L$16:$U$23,3,MATCH($C10,Curve!$L$4:$U$4,0))&lt;$E10)+(INDEX(Curve!$L$16:$U$23,4,MATCH($C10,Curve!$L$4:$U$4,0))&lt;$E10)+(INDEX(Curve!$L$16:$U$23,5,MATCH($C10,Curve!$L$4:$U$4,0))&lt;$E10)+(INDEX(Curve!$L$16:$U$23,6,MATCH($C10,Curve!$L$4:$U$4,0))&lt;$E10)+(INDEX(Curve!$L$16:$U$23,7,MATCH($C10,Curve!$L$4:$U$4,0))&lt;$E10)+(INDEX(Curve!$L$16:$U$23,8,MATCH($C10,Curve!$L$4:$U$4,0))&lt;$E10)))))</f>
        <v/>
      </c>
      <c r="K10">
        <f>IF(NOT(ISNUMBER(($D10+$E10))),"-",IF(($D10+$E10)&lt;=0,"-",IF(1+(INDEX(Curve!$L$16:$U$23,1,MATCH($C10,Curve!$L$4:$U$4,0))&lt;($D10+$E10))+(INDEX(Curve!$L$16:$U$23,2,MATCH($C10,Curve!$L$4:$U$4,0))&lt;($D10+$E10))+(INDEX(Curve!$L$16:$U$23,3,MATCH($C10,Curve!$L$4:$U$4,0))&lt;($D10+$E10))+(INDEX(Curve!$L$16:$U$23,4,MATCH($C10,Curve!$L$4:$U$4,0))&lt;($D10+$E10))+(INDEX(Curve!$L$16:$U$23,5,MATCH($C10,Curve!$L$4:$U$4,0))&lt;($D10+$E10))+(INDEX(Curve!$L$16:$U$23,6,MATCH($C10,Curve!$L$4:$U$4,0))&lt;($D10+$E10))+(INDEX(Curve!$L$16:$U$23,7,MATCH($C10,Curve!$L$4:$U$4,0))&lt;($D10+$E10))+(INDEX(Curve!$L$16:$U$23,8,MATCH($C10,Curve!$L$4:$U$4,0))&lt;($D10+$E10))&gt;8,"beyond inventory",INDEX(Curve!$D$16:$D$23,1+(INDEX(Curve!$L$16:$U$23,1,MATCH($C10,Curve!$L$4:$U$4,0))&lt;($D10+$E10))+(INDEX(Curve!$L$16:$U$23,2,MATCH($C10,Curve!$L$4:$U$4,0))&lt;($D10+$E10))+(INDEX(Curve!$L$16:$U$23,3,MATCH($C10,Curve!$L$4:$U$4,0))&lt;($D10+$E10))+(INDEX(Curve!$L$16:$U$23,4,MATCH($C10,Curve!$L$4:$U$4,0))&lt;($D10+$E10))+(INDEX(Curve!$L$16:$U$23,5,MATCH($C10,Curve!$L$4:$U$4,0))&lt;($D10+$E10))+(INDEX(Curve!$L$16:$U$23,6,MATCH($C10,Curve!$L$4:$U$4,0))&lt;($D10+$E10))+(INDEX(Curve!$L$16:$U$23,7,MATCH($C10,Curve!$L$4:$U$4,0))&lt;($D10+$E10))+(INDEX(Curve!$L$16:$U$23,8,MATCH($C10,Curve!$L$4:$U$4,0))&lt;($D10+$E10))))))</f>
        <v/>
      </c>
      <c r="L10">
        <f>IF(NOT(ISNUMBER(($D10+F10))),"-",IF(($D10+F10)&lt;=0,"-",IF(1+(INDEX(Curve!$L$16:$U$23,1,MATCH($C10,Curve!$L$4:$U$4,0))&lt;($D10+F10))+(INDEX(Curve!$L$16:$U$23,2,MATCH($C10,Curve!$L$4:$U$4,0))&lt;($D10+F10))+(INDEX(Curve!$L$16:$U$23,3,MATCH($C10,Curve!$L$4:$U$4,0))&lt;($D10+F10))+(INDEX(Curve!$L$16:$U$23,4,MATCH($C10,Curve!$L$4:$U$4,0))&lt;($D10+F10))+(INDEX(Curve!$L$16:$U$23,5,MATCH($C10,Curve!$L$4:$U$4,0))&lt;($D10+F10))+(INDEX(Curve!$L$16:$U$23,6,MATCH($C10,Curve!$L$4:$U$4,0))&lt;($D10+F10))+(INDEX(Curve!$L$16:$U$23,7,MATCH($C10,Curve!$L$4:$U$4,0))&lt;($D10+F10))+(INDEX(Curve!$L$16:$U$23,8,MATCH($C10,Curve!$L$4:$U$4,0))&lt;($D10+F10))&gt;8,"beyond inventory",INDEX(Curve!$D$16:$D$23,1+(INDEX(Curve!$L$16:$U$23,1,MATCH($C10,Curve!$L$4:$U$4,0))&lt;($D10+F10))+(INDEX(Curve!$L$16:$U$23,2,MATCH($C10,Curve!$L$4:$U$4,0))&lt;($D10+F10))+(INDEX(Curve!$L$16:$U$23,3,MATCH($C10,Curve!$L$4:$U$4,0))&lt;($D10+F10))+(INDEX(Curve!$L$16:$U$23,4,MATCH($C10,Curve!$L$4:$U$4,0))&lt;($D10+F10))+(INDEX(Curve!$L$16:$U$23,5,MATCH($C10,Curve!$L$4:$U$4,0))&lt;($D10+F10))+(INDEX(Curve!$L$16:$U$23,6,MATCH($C10,Curve!$L$4:$U$4,0))&lt;($D10+F10))+(INDEX(Curve!$L$16:$U$23,7,MATCH($C10,Curve!$L$4:$U$4,0))&lt;($D10+F10))+(INDEX(Curve!$L$16:$U$23,8,MATCH($C10,Curve!$L$4:$U$4,0))&lt;($D10+F10))))))</f>
        <v/>
      </c>
      <c r="M10">
        <f>IF(NOT(ISNUMBER(($D10+G10))),"-",IF(($D10+G10)&lt;=0,"-",IF(1+(INDEX(Curve!$L$16:$U$23,1,MATCH($C10,Curve!$L$4:$U$4,0))&lt;($D10+G10))+(INDEX(Curve!$L$16:$U$23,2,MATCH($C10,Curve!$L$4:$U$4,0))&lt;($D10+G10))+(INDEX(Curve!$L$16:$U$23,3,MATCH($C10,Curve!$L$4:$U$4,0))&lt;($D10+G10))+(INDEX(Curve!$L$16:$U$23,4,MATCH($C10,Curve!$L$4:$U$4,0))&lt;($D10+G10))+(INDEX(Curve!$L$16:$U$23,5,MATCH($C10,Curve!$L$4:$U$4,0))&lt;($D10+G10))+(INDEX(Curve!$L$16:$U$23,6,MATCH($C10,Curve!$L$4:$U$4,0))&lt;($D10+G10))+(INDEX(Curve!$L$16:$U$23,7,MATCH($C10,Curve!$L$4:$U$4,0))&lt;($D10+G10))+(INDEX(Curve!$L$16:$U$23,8,MATCH($C10,Curve!$L$4:$U$4,0))&lt;($D10+G10))&gt;8,"beyond inventory",INDEX(Curve!$D$16:$D$23,1+(INDEX(Curve!$L$16:$U$23,1,MATCH($C10,Curve!$L$4:$U$4,0))&lt;($D10+G10))+(INDEX(Curve!$L$16:$U$23,2,MATCH($C10,Curve!$L$4:$U$4,0))&lt;($D10+G10))+(INDEX(Curve!$L$16:$U$23,3,MATCH($C10,Curve!$L$4:$U$4,0))&lt;($D10+G10))+(INDEX(Curve!$L$16:$U$23,4,MATCH($C10,Curve!$L$4:$U$4,0))&lt;($D10+G10))+(INDEX(Curve!$L$16:$U$23,5,MATCH($C10,Curve!$L$4:$U$4,0))&lt;($D10+G10))+(INDEX(Curve!$L$16:$U$23,6,MATCH($C10,Curve!$L$4:$U$4,0))&lt;($D10+G10))+(INDEX(Curve!$L$16:$U$23,7,MATCH($C10,Curve!$L$4:$U$4,0))&lt;($D10+G10))+(INDEX(Curve!$L$16:$U$23,8,MATCH($C10,Curve!$L$4:$U$4,0))&lt;($D10+G10))))))</f>
        <v/>
      </c>
      <c r="N10">
        <f>IF(NOT(ISNUMBER(($D10+H10))),"-",IF(($D10+H10)&lt;=0,"-",IF(1+(INDEX(Curve!$L$16:$U$23,1,MATCH($C10,Curve!$L$4:$U$4,0))&lt;($D10+H10))+(INDEX(Curve!$L$16:$U$23,2,MATCH($C10,Curve!$L$4:$U$4,0))&lt;($D10+H10))+(INDEX(Curve!$L$16:$U$23,3,MATCH($C10,Curve!$L$4:$U$4,0))&lt;($D10+H10))+(INDEX(Curve!$L$16:$U$23,4,MATCH($C10,Curve!$L$4:$U$4,0))&lt;($D10+H10))+(INDEX(Curve!$L$16:$U$23,5,MATCH($C10,Curve!$L$4:$U$4,0))&lt;($D10+H10))+(INDEX(Curve!$L$16:$U$23,6,MATCH($C10,Curve!$L$4:$U$4,0))&lt;($D10+H10))+(INDEX(Curve!$L$16:$U$23,7,MATCH($C10,Curve!$L$4:$U$4,0))&lt;($D10+H10))+(INDEX(Curve!$L$16:$U$23,8,MATCH($C10,Curve!$L$4:$U$4,0))&lt;($D10+H10))&gt;8,"beyond inventory",INDEX(Curve!$D$16:$D$23,1+(INDEX(Curve!$L$16:$U$23,1,MATCH($C10,Curve!$L$4:$U$4,0))&lt;($D10+H10))+(INDEX(Curve!$L$16:$U$23,2,MATCH($C10,Curve!$L$4:$U$4,0))&lt;($D10+H10))+(INDEX(Curve!$L$16:$U$23,3,MATCH($C10,Curve!$L$4:$U$4,0))&lt;($D10+H10))+(INDEX(Curve!$L$16:$U$23,4,MATCH($C10,Curve!$L$4:$U$4,0))&lt;($D10+H10))+(INDEX(Curve!$L$16:$U$23,5,MATCH($C10,Curve!$L$4:$U$4,0))&lt;($D10+H10))+(INDEX(Curve!$L$16:$U$23,6,MATCH($C10,Curve!$L$4:$U$4,0))&lt;($D10+H10))+(INDEX(Curve!$L$16:$U$23,7,MATCH($C10,Curve!$L$4:$U$4,0))&lt;($D10+H10))+(INDEX(Curve!$L$16:$U$23,8,MATCH($C10,Curve!$L$4:$U$4,0))&lt;($D10+H10))))))</f>
        <v/>
      </c>
      <c r="O10">
        <f>IF(NOT(ISNUMBER(($D10+I10))),"-",IF(($D10+I10)&lt;=0,"-",IF(1+(INDEX(Curve!$L$16:$U$23,1,MATCH($C10,Curve!$L$4:$U$4,0))&lt;($D10+I10))+(INDEX(Curve!$L$16:$U$23,2,MATCH($C10,Curve!$L$4:$U$4,0))&lt;($D10+I10))+(INDEX(Curve!$L$16:$U$23,3,MATCH($C10,Curve!$L$4:$U$4,0))&lt;($D10+I10))+(INDEX(Curve!$L$16:$U$23,4,MATCH($C10,Curve!$L$4:$U$4,0))&lt;($D10+I10))+(INDEX(Curve!$L$16:$U$23,5,MATCH($C10,Curve!$L$4:$U$4,0))&lt;($D10+I10))+(INDEX(Curve!$L$16:$U$23,6,MATCH($C10,Curve!$L$4:$U$4,0))&lt;($D10+I10))+(INDEX(Curve!$L$16:$U$23,7,MATCH($C10,Curve!$L$4:$U$4,0))&lt;($D10+I10))+(INDEX(Curve!$L$16:$U$23,8,MATCH($C10,Curve!$L$4:$U$4,0))&lt;($D10+I10))&gt;8,"beyond inventory",INDEX(Curve!$D$16:$D$23,1+(INDEX(Curve!$L$16:$U$23,1,MATCH($C10,Curve!$L$4:$U$4,0))&lt;($D10+I10))+(INDEX(Curve!$L$16:$U$23,2,MATCH($C10,Curve!$L$4:$U$4,0))&lt;($D10+I10))+(INDEX(Curve!$L$16:$U$23,3,MATCH($C10,Curve!$L$4:$U$4,0))&lt;($D10+I10))+(INDEX(Curve!$L$16:$U$23,4,MATCH($C10,Curve!$L$4:$U$4,0))&lt;($D10+I10))+(INDEX(Curve!$L$16:$U$23,5,MATCH($C10,Curve!$L$4:$U$4,0))&lt;($D10+I10))+(INDEX(Curve!$L$16:$U$23,6,MATCH($C10,Curve!$L$4:$U$4,0))&lt;($D10+I10))+(INDEX(Curve!$L$16:$U$23,7,MATCH($C10,Curve!$L$4:$U$4,0))&lt;($D10+I10))+(INDEX(Curve!$L$16:$U$23,8,MATCH($C10,Curve!$L$4:$U$4,0))&lt;($D10+I10))))))</f>
        <v/>
      </c>
      <c r="P10">
        <f>'Henry Hub'!$B$3</f>
        <v/>
      </c>
      <c r="Q10">
        <f>IF(ISNUMBER(K10),K10-P10,"-")</f>
        <v/>
      </c>
    </row>
    <row r="11">
      <c r="A11" t="inlineStr">
        <is>
          <t>LNG and takeaway delayed 6 months</t>
        </is>
      </c>
      <c r="B11" t="inlineStr">
        <is>
          <t>Dec 2028</t>
        </is>
      </c>
      <c r="C11" t="n">
        <v>3</v>
      </c>
      <c r="D11">
        <f>'Gulf key question'!C12</f>
        <v/>
      </c>
      <c r="E11">
        <f>'Gulf key question'!D12</f>
        <v/>
      </c>
      <c r="F11">
        <f>'Gulf key question'!F12</f>
        <v/>
      </c>
      <c r="G11">
        <f>'Gulf key question'!G12</f>
        <v/>
      </c>
      <c r="H11">
        <f>'Gulf key question'!H12</f>
        <v/>
      </c>
      <c r="I11">
        <f>'Gulf key question'!I12</f>
        <v/>
      </c>
      <c r="J11">
        <f>IF(NOT(ISNUMBER($E11)),"-",IF($E11&lt;=0,"-",IF(1+(INDEX(Curve!$L$16:$U$23,1,MATCH($C11,Curve!$L$4:$U$4,0))&lt;$E11)+(INDEX(Curve!$L$16:$U$23,2,MATCH($C11,Curve!$L$4:$U$4,0))&lt;$E11)+(INDEX(Curve!$L$16:$U$23,3,MATCH($C11,Curve!$L$4:$U$4,0))&lt;$E11)+(INDEX(Curve!$L$16:$U$23,4,MATCH($C11,Curve!$L$4:$U$4,0))&lt;$E11)+(INDEX(Curve!$L$16:$U$23,5,MATCH($C11,Curve!$L$4:$U$4,0))&lt;$E11)+(INDEX(Curve!$L$16:$U$23,6,MATCH($C11,Curve!$L$4:$U$4,0))&lt;$E11)+(INDEX(Curve!$L$16:$U$23,7,MATCH($C11,Curve!$L$4:$U$4,0))&lt;$E11)+(INDEX(Curve!$L$16:$U$23,8,MATCH($C11,Curve!$L$4:$U$4,0))&lt;$E11)&gt;8,"beyond inventory",INDEX(Curve!$D$16:$D$23,1+(INDEX(Curve!$L$16:$U$23,1,MATCH($C11,Curve!$L$4:$U$4,0))&lt;$E11)+(INDEX(Curve!$L$16:$U$23,2,MATCH($C11,Curve!$L$4:$U$4,0))&lt;$E11)+(INDEX(Curve!$L$16:$U$23,3,MATCH($C11,Curve!$L$4:$U$4,0))&lt;$E11)+(INDEX(Curve!$L$16:$U$23,4,MATCH($C11,Curve!$L$4:$U$4,0))&lt;$E11)+(INDEX(Curve!$L$16:$U$23,5,MATCH($C11,Curve!$L$4:$U$4,0))&lt;$E11)+(INDEX(Curve!$L$16:$U$23,6,MATCH($C11,Curve!$L$4:$U$4,0))&lt;$E11)+(INDEX(Curve!$L$16:$U$23,7,MATCH($C11,Curve!$L$4:$U$4,0))&lt;$E11)+(INDEX(Curve!$L$16:$U$23,8,MATCH($C11,Curve!$L$4:$U$4,0))&lt;$E11)))))</f>
        <v/>
      </c>
      <c r="K11">
        <f>IF(NOT(ISNUMBER(($D11+$E11))),"-",IF(($D11+$E11)&lt;=0,"-",IF(1+(INDEX(Curve!$L$16:$U$23,1,MATCH($C11,Curve!$L$4:$U$4,0))&lt;($D11+$E11))+(INDEX(Curve!$L$16:$U$23,2,MATCH($C11,Curve!$L$4:$U$4,0))&lt;($D11+$E11))+(INDEX(Curve!$L$16:$U$23,3,MATCH($C11,Curve!$L$4:$U$4,0))&lt;($D11+$E11))+(INDEX(Curve!$L$16:$U$23,4,MATCH($C11,Curve!$L$4:$U$4,0))&lt;($D11+$E11))+(INDEX(Curve!$L$16:$U$23,5,MATCH($C11,Curve!$L$4:$U$4,0))&lt;($D11+$E11))+(INDEX(Curve!$L$16:$U$23,6,MATCH($C11,Curve!$L$4:$U$4,0))&lt;($D11+$E11))+(INDEX(Curve!$L$16:$U$23,7,MATCH($C11,Curve!$L$4:$U$4,0))&lt;($D11+$E11))+(INDEX(Curve!$L$16:$U$23,8,MATCH($C11,Curve!$L$4:$U$4,0))&lt;($D11+$E11))&gt;8,"beyond inventory",INDEX(Curve!$D$16:$D$23,1+(INDEX(Curve!$L$16:$U$23,1,MATCH($C11,Curve!$L$4:$U$4,0))&lt;($D11+$E11))+(INDEX(Curve!$L$16:$U$23,2,MATCH($C11,Curve!$L$4:$U$4,0))&lt;($D11+$E11))+(INDEX(Curve!$L$16:$U$23,3,MATCH($C11,Curve!$L$4:$U$4,0))&lt;($D11+$E11))+(INDEX(Curve!$L$16:$U$23,4,MATCH($C11,Curve!$L$4:$U$4,0))&lt;($D11+$E11))+(INDEX(Curve!$L$16:$U$23,5,MATCH($C11,Curve!$L$4:$U$4,0))&lt;($D11+$E11))+(INDEX(Curve!$L$16:$U$23,6,MATCH($C11,Curve!$L$4:$U$4,0))&lt;($D11+$E11))+(INDEX(Curve!$L$16:$U$23,7,MATCH($C11,Curve!$L$4:$U$4,0))&lt;($D11+$E11))+(INDEX(Curve!$L$16:$U$23,8,MATCH($C11,Curve!$L$4:$U$4,0))&lt;($D11+$E11))))))</f>
        <v/>
      </c>
      <c r="L11">
        <f>IF(NOT(ISNUMBER(($D11+F11))),"-",IF(($D11+F11)&lt;=0,"-",IF(1+(INDEX(Curve!$L$16:$U$23,1,MATCH($C11,Curve!$L$4:$U$4,0))&lt;($D11+F11))+(INDEX(Curve!$L$16:$U$23,2,MATCH($C11,Curve!$L$4:$U$4,0))&lt;($D11+F11))+(INDEX(Curve!$L$16:$U$23,3,MATCH($C11,Curve!$L$4:$U$4,0))&lt;($D11+F11))+(INDEX(Curve!$L$16:$U$23,4,MATCH($C11,Curve!$L$4:$U$4,0))&lt;($D11+F11))+(INDEX(Curve!$L$16:$U$23,5,MATCH($C11,Curve!$L$4:$U$4,0))&lt;($D11+F11))+(INDEX(Curve!$L$16:$U$23,6,MATCH($C11,Curve!$L$4:$U$4,0))&lt;($D11+F11))+(INDEX(Curve!$L$16:$U$23,7,MATCH($C11,Curve!$L$4:$U$4,0))&lt;($D11+F11))+(INDEX(Curve!$L$16:$U$23,8,MATCH($C11,Curve!$L$4:$U$4,0))&lt;($D11+F11))&gt;8,"beyond inventory",INDEX(Curve!$D$16:$D$23,1+(INDEX(Curve!$L$16:$U$23,1,MATCH($C11,Curve!$L$4:$U$4,0))&lt;($D11+F11))+(INDEX(Curve!$L$16:$U$23,2,MATCH($C11,Curve!$L$4:$U$4,0))&lt;($D11+F11))+(INDEX(Curve!$L$16:$U$23,3,MATCH($C11,Curve!$L$4:$U$4,0))&lt;($D11+F11))+(INDEX(Curve!$L$16:$U$23,4,MATCH($C11,Curve!$L$4:$U$4,0))&lt;($D11+F11))+(INDEX(Curve!$L$16:$U$23,5,MATCH($C11,Curve!$L$4:$U$4,0))&lt;($D11+F11))+(INDEX(Curve!$L$16:$U$23,6,MATCH($C11,Curve!$L$4:$U$4,0))&lt;($D11+F11))+(INDEX(Curve!$L$16:$U$23,7,MATCH($C11,Curve!$L$4:$U$4,0))&lt;($D11+F11))+(INDEX(Curve!$L$16:$U$23,8,MATCH($C11,Curve!$L$4:$U$4,0))&lt;($D11+F11))))))</f>
        <v/>
      </c>
      <c r="M11">
        <f>IF(NOT(ISNUMBER(($D11+G11))),"-",IF(($D11+G11)&lt;=0,"-",IF(1+(INDEX(Curve!$L$16:$U$23,1,MATCH($C11,Curve!$L$4:$U$4,0))&lt;($D11+G11))+(INDEX(Curve!$L$16:$U$23,2,MATCH($C11,Curve!$L$4:$U$4,0))&lt;($D11+G11))+(INDEX(Curve!$L$16:$U$23,3,MATCH($C11,Curve!$L$4:$U$4,0))&lt;($D11+G11))+(INDEX(Curve!$L$16:$U$23,4,MATCH($C11,Curve!$L$4:$U$4,0))&lt;($D11+G11))+(INDEX(Curve!$L$16:$U$23,5,MATCH($C11,Curve!$L$4:$U$4,0))&lt;($D11+G11))+(INDEX(Curve!$L$16:$U$23,6,MATCH($C11,Curve!$L$4:$U$4,0))&lt;($D11+G11))+(INDEX(Curve!$L$16:$U$23,7,MATCH($C11,Curve!$L$4:$U$4,0))&lt;($D11+G11))+(INDEX(Curve!$L$16:$U$23,8,MATCH($C11,Curve!$L$4:$U$4,0))&lt;($D11+G11))&gt;8,"beyond inventory",INDEX(Curve!$D$16:$D$23,1+(INDEX(Curve!$L$16:$U$23,1,MATCH($C11,Curve!$L$4:$U$4,0))&lt;($D11+G11))+(INDEX(Curve!$L$16:$U$23,2,MATCH($C11,Curve!$L$4:$U$4,0))&lt;($D11+G11))+(INDEX(Curve!$L$16:$U$23,3,MATCH($C11,Curve!$L$4:$U$4,0))&lt;($D11+G11))+(INDEX(Curve!$L$16:$U$23,4,MATCH($C11,Curve!$L$4:$U$4,0))&lt;($D11+G11))+(INDEX(Curve!$L$16:$U$23,5,MATCH($C11,Curve!$L$4:$U$4,0))&lt;($D11+G11))+(INDEX(Curve!$L$16:$U$23,6,MATCH($C11,Curve!$L$4:$U$4,0))&lt;($D11+G11))+(INDEX(Curve!$L$16:$U$23,7,MATCH($C11,Curve!$L$4:$U$4,0))&lt;($D11+G11))+(INDEX(Curve!$L$16:$U$23,8,MATCH($C11,Curve!$L$4:$U$4,0))&lt;($D11+G11))))))</f>
        <v/>
      </c>
      <c r="N11">
        <f>IF(NOT(ISNUMBER(($D11+H11))),"-",IF(($D11+H11)&lt;=0,"-",IF(1+(INDEX(Curve!$L$16:$U$23,1,MATCH($C11,Curve!$L$4:$U$4,0))&lt;($D11+H11))+(INDEX(Curve!$L$16:$U$23,2,MATCH($C11,Curve!$L$4:$U$4,0))&lt;($D11+H11))+(INDEX(Curve!$L$16:$U$23,3,MATCH($C11,Curve!$L$4:$U$4,0))&lt;($D11+H11))+(INDEX(Curve!$L$16:$U$23,4,MATCH($C11,Curve!$L$4:$U$4,0))&lt;($D11+H11))+(INDEX(Curve!$L$16:$U$23,5,MATCH($C11,Curve!$L$4:$U$4,0))&lt;($D11+H11))+(INDEX(Curve!$L$16:$U$23,6,MATCH($C11,Curve!$L$4:$U$4,0))&lt;($D11+H11))+(INDEX(Curve!$L$16:$U$23,7,MATCH($C11,Curve!$L$4:$U$4,0))&lt;($D11+H11))+(INDEX(Curve!$L$16:$U$23,8,MATCH($C11,Curve!$L$4:$U$4,0))&lt;($D11+H11))&gt;8,"beyond inventory",INDEX(Curve!$D$16:$D$23,1+(INDEX(Curve!$L$16:$U$23,1,MATCH($C11,Curve!$L$4:$U$4,0))&lt;($D11+H11))+(INDEX(Curve!$L$16:$U$23,2,MATCH($C11,Curve!$L$4:$U$4,0))&lt;($D11+H11))+(INDEX(Curve!$L$16:$U$23,3,MATCH($C11,Curve!$L$4:$U$4,0))&lt;($D11+H11))+(INDEX(Curve!$L$16:$U$23,4,MATCH($C11,Curve!$L$4:$U$4,0))&lt;($D11+H11))+(INDEX(Curve!$L$16:$U$23,5,MATCH($C11,Curve!$L$4:$U$4,0))&lt;($D11+H11))+(INDEX(Curve!$L$16:$U$23,6,MATCH($C11,Curve!$L$4:$U$4,0))&lt;($D11+H11))+(INDEX(Curve!$L$16:$U$23,7,MATCH($C11,Curve!$L$4:$U$4,0))&lt;($D11+H11))+(INDEX(Curve!$L$16:$U$23,8,MATCH($C11,Curve!$L$4:$U$4,0))&lt;($D11+H11))))))</f>
        <v/>
      </c>
      <c r="O11">
        <f>IF(NOT(ISNUMBER(($D11+I11))),"-",IF(($D11+I11)&lt;=0,"-",IF(1+(INDEX(Curve!$L$16:$U$23,1,MATCH($C11,Curve!$L$4:$U$4,0))&lt;($D11+I11))+(INDEX(Curve!$L$16:$U$23,2,MATCH($C11,Curve!$L$4:$U$4,0))&lt;($D11+I11))+(INDEX(Curve!$L$16:$U$23,3,MATCH($C11,Curve!$L$4:$U$4,0))&lt;($D11+I11))+(INDEX(Curve!$L$16:$U$23,4,MATCH($C11,Curve!$L$4:$U$4,0))&lt;($D11+I11))+(INDEX(Curve!$L$16:$U$23,5,MATCH($C11,Curve!$L$4:$U$4,0))&lt;($D11+I11))+(INDEX(Curve!$L$16:$U$23,6,MATCH($C11,Curve!$L$4:$U$4,0))&lt;($D11+I11))+(INDEX(Curve!$L$16:$U$23,7,MATCH($C11,Curve!$L$4:$U$4,0))&lt;($D11+I11))+(INDEX(Curve!$L$16:$U$23,8,MATCH($C11,Curve!$L$4:$U$4,0))&lt;($D11+I11))&gt;8,"beyond inventory",INDEX(Curve!$D$16:$D$23,1+(INDEX(Curve!$L$16:$U$23,1,MATCH($C11,Curve!$L$4:$U$4,0))&lt;($D11+I11))+(INDEX(Curve!$L$16:$U$23,2,MATCH($C11,Curve!$L$4:$U$4,0))&lt;($D11+I11))+(INDEX(Curve!$L$16:$U$23,3,MATCH($C11,Curve!$L$4:$U$4,0))&lt;($D11+I11))+(INDEX(Curve!$L$16:$U$23,4,MATCH($C11,Curve!$L$4:$U$4,0))&lt;($D11+I11))+(INDEX(Curve!$L$16:$U$23,5,MATCH($C11,Curve!$L$4:$U$4,0))&lt;($D11+I11))+(INDEX(Curve!$L$16:$U$23,6,MATCH($C11,Curve!$L$4:$U$4,0))&lt;($D11+I11))+(INDEX(Curve!$L$16:$U$23,7,MATCH($C11,Curve!$L$4:$U$4,0))&lt;($D11+I11))+(INDEX(Curve!$L$16:$U$23,8,MATCH($C11,Curve!$L$4:$U$4,0))&lt;($D11+I11))))))</f>
        <v/>
      </c>
      <c r="P11">
        <f>'Henry Hub'!$B$3</f>
        <v/>
      </c>
      <c r="Q11">
        <f>IF(ISNUMBER(K11),K11-P11,"-")</f>
        <v/>
      </c>
    </row>
    <row r="12">
      <c r="A12" t="inlineStr">
        <is>
          <t>LNG and takeaway delayed 6 months</t>
        </is>
      </c>
      <c r="B12" t="inlineStr">
        <is>
          <t>Dec 2030</t>
        </is>
      </c>
      <c r="C12" t="n">
        <v>5</v>
      </c>
      <c r="D12">
        <f>'Gulf key question'!C14</f>
        <v/>
      </c>
      <c r="E12">
        <f>'Gulf key question'!D14</f>
        <v/>
      </c>
      <c r="F12">
        <f>'Gulf key question'!F14</f>
        <v/>
      </c>
      <c r="G12">
        <f>'Gulf key question'!G14</f>
        <v/>
      </c>
      <c r="H12">
        <f>'Gulf key question'!H14</f>
        <v/>
      </c>
      <c r="I12">
        <f>'Gulf key question'!I14</f>
        <v/>
      </c>
      <c r="J12">
        <f>IF(NOT(ISNUMBER($E12)),"-",IF($E12&lt;=0,"-",IF(1+(INDEX(Curve!$L$16:$U$23,1,MATCH($C12,Curve!$L$4:$U$4,0))&lt;$E12)+(INDEX(Curve!$L$16:$U$23,2,MATCH($C12,Curve!$L$4:$U$4,0))&lt;$E12)+(INDEX(Curve!$L$16:$U$23,3,MATCH($C12,Curve!$L$4:$U$4,0))&lt;$E12)+(INDEX(Curve!$L$16:$U$23,4,MATCH($C12,Curve!$L$4:$U$4,0))&lt;$E12)+(INDEX(Curve!$L$16:$U$23,5,MATCH($C12,Curve!$L$4:$U$4,0))&lt;$E12)+(INDEX(Curve!$L$16:$U$23,6,MATCH($C12,Curve!$L$4:$U$4,0))&lt;$E12)+(INDEX(Curve!$L$16:$U$23,7,MATCH($C12,Curve!$L$4:$U$4,0))&lt;$E12)+(INDEX(Curve!$L$16:$U$23,8,MATCH($C12,Curve!$L$4:$U$4,0))&lt;$E12)&gt;8,"beyond inventory",INDEX(Curve!$D$16:$D$23,1+(INDEX(Curve!$L$16:$U$23,1,MATCH($C12,Curve!$L$4:$U$4,0))&lt;$E12)+(INDEX(Curve!$L$16:$U$23,2,MATCH($C12,Curve!$L$4:$U$4,0))&lt;$E12)+(INDEX(Curve!$L$16:$U$23,3,MATCH($C12,Curve!$L$4:$U$4,0))&lt;$E12)+(INDEX(Curve!$L$16:$U$23,4,MATCH($C12,Curve!$L$4:$U$4,0))&lt;$E12)+(INDEX(Curve!$L$16:$U$23,5,MATCH($C12,Curve!$L$4:$U$4,0))&lt;$E12)+(INDEX(Curve!$L$16:$U$23,6,MATCH($C12,Curve!$L$4:$U$4,0))&lt;$E12)+(INDEX(Curve!$L$16:$U$23,7,MATCH($C12,Curve!$L$4:$U$4,0))&lt;$E12)+(INDEX(Curve!$L$16:$U$23,8,MATCH($C12,Curve!$L$4:$U$4,0))&lt;$E12)))))</f>
        <v/>
      </c>
      <c r="K12">
        <f>IF(NOT(ISNUMBER(($D12+$E12))),"-",IF(($D12+$E12)&lt;=0,"-",IF(1+(INDEX(Curve!$L$16:$U$23,1,MATCH($C12,Curve!$L$4:$U$4,0))&lt;($D12+$E12))+(INDEX(Curve!$L$16:$U$23,2,MATCH($C12,Curve!$L$4:$U$4,0))&lt;($D12+$E12))+(INDEX(Curve!$L$16:$U$23,3,MATCH($C12,Curve!$L$4:$U$4,0))&lt;($D12+$E12))+(INDEX(Curve!$L$16:$U$23,4,MATCH($C12,Curve!$L$4:$U$4,0))&lt;($D12+$E12))+(INDEX(Curve!$L$16:$U$23,5,MATCH($C12,Curve!$L$4:$U$4,0))&lt;($D12+$E12))+(INDEX(Curve!$L$16:$U$23,6,MATCH($C12,Curve!$L$4:$U$4,0))&lt;($D12+$E12))+(INDEX(Curve!$L$16:$U$23,7,MATCH($C12,Curve!$L$4:$U$4,0))&lt;($D12+$E12))+(INDEX(Curve!$L$16:$U$23,8,MATCH($C12,Curve!$L$4:$U$4,0))&lt;($D12+$E12))&gt;8,"beyond inventory",INDEX(Curve!$D$16:$D$23,1+(INDEX(Curve!$L$16:$U$23,1,MATCH($C12,Curve!$L$4:$U$4,0))&lt;($D12+$E12))+(INDEX(Curve!$L$16:$U$23,2,MATCH($C12,Curve!$L$4:$U$4,0))&lt;($D12+$E12))+(INDEX(Curve!$L$16:$U$23,3,MATCH($C12,Curve!$L$4:$U$4,0))&lt;($D12+$E12))+(INDEX(Curve!$L$16:$U$23,4,MATCH($C12,Curve!$L$4:$U$4,0))&lt;($D12+$E12))+(INDEX(Curve!$L$16:$U$23,5,MATCH($C12,Curve!$L$4:$U$4,0))&lt;($D12+$E12))+(INDEX(Curve!$L$16:$U$23,6,MATCH($C12,Curve!$L$4:$U$4,0))&lt;($D12+$E12))+(INDEX(Curve!$L$16:$U$23,7,MATCH($C12,Curve!$L$4:$U$4,0))&lt;($D12+$E12))+(INDEX(Curve!$L$16:$U$23,8,MATCH($C12,Curve!$L$4:$U$4,0))&lt;($D12+$E12))))))</f>
        <v/>
      </c>
      <c r="L12">
        <f>IF(NOT(ISNUMBER(($D12+F12))),"-",IF(($D12+F12)&lt;=0,"-",IF(1+(INDEX(Curve!$L$16:$U$23,1,MATCH($C12,Curve!$L$4:$U$4,0))&lt;($D12+F12))+(INDEX(Curve!$L$16:$U$23,2,MATCH($C12,Curve!$L$4:$U$4,0))&lt;($D12+F12))+(INDEX(Curve!$L$16:$U$23,3,MATCH($C12,Curve!$L$4:$U$4,0))&lt;($D12+F12))+(INDEX(Curve!$L$16:$U$23,4,MATCH($C12,Curve!$L$4:$U$4,0))&lt;($D12+F12))+(INDEX(Curve!$L$16:$U$23,5,MATCH($C12,Curve!$L$4:$U$4,0))&lt;($D12+F12))+(INDEX(Curve!$L$16:$U$23,6,MATCH($C12,Curve!$L$4:$U$4,0))&lt;($D12+F12))+(INDEX(Curve!$L$16:$U$23,7,MATCH($C12,Curve!$L$4:$U$4,0))&lt;($D12+F12))+(INDEX(Curve!$L$16:$U$23,8,MATCH($C12,Curve!$L$4:$U$4,0))&lt;($D12+F12))&gt;8,"beyond inventory",INDEX(Curve!$D$16:$D$23,1+(INDEX(Curve!$L$16:$U$23,1,MATCH($C12,Curve!$L$4:$U$4,0))&lt;($D12+F12))+(INDEX(Curve!$L$16:$U$23,2,MATCH($C12,Curve!$L$4:$U$4,0))&lt;($D12+F12))+(INDEX(Curve!$L$16:$U$23,3,MATCH($C12,Curve!$L$4:$U$4,0))&lt;($D12+F12))+(INDEX(Curve!$L$16:$U$23,4,MATCH($C12,Curve!$L$4:$U$4,0))&lt;($D12+F12))+(INDEX(Curve!$L$16:$U$23,5,MATCH($C12,Curve!$L$4:$U$4,0))&lt;($D12+F12))+(INDEX(Curve!$L$16:$U$23,6,MATCH($C12,Curve!$L$4:$U$4,0))&lt;($D12+F12))+(INDEX(Curve!$L$16:$U$23,7,MATCH($C12,Curve!$L$4:$U$4,0))&lt;($D12+F12))+(INDEX(Curve!$L$16:$U$23,8,MATCH($C12,Curve!$L$4:$U$4,0))&lt;($D12+F12))))))</f>
        <v/>
      </c>
      <c r="M12">
        <f>IF(NOT(ISNUMBER(($D12+G12))),"-",IF(($D12+G12)&lt;=0,"-",IF(1+(INDEX(Curve!$L$16:$U$23,1,MATCH($C12,Curve!$L$4:$U$4,0))&lt;($D12+G12))+(INDEX(Curve!$L$16:$U$23,2,MATCH($C12,Curve!$L$4:$U$4,0))&lt;($D12+G12))+(INDEX(Curve!$L$16:$U$23,3,MATCH($C12,Curve!$L$4:$U$4,0))&lt;($D12+G12))+(INDEX(Curve!$L$16:$U$23,4,MATCH($C12,Curve!$L$4:$U$4,0))&lt;($D12+G12))+(INDEX(Curve!$L$16:$U$23,5,MATCH($C12,Curve!$L$4:$U$4,0))&lt;($D12+G12))+(INDEX(Curve!$L$16:$U$23,6,MATCH($C12,Curve!$L$4:$U$4,0))&lt;($D12+G12))+(INDEX(Curve!$L$16:$U$23,7,MATCH($C12,Curve!$L$4:$U$4,0))&lt;($D12+G12))+(INDEX(Curve!$L$16:$U$23,8,MATCH($C12,Curve!$L$4:$U$4,0))&lt;($D12+G12))&gt;8,"beyond inventory",INDEX(Curve!$D$16:$D$23,1+(INDEX(Curve!$L$16:$U$23,1,MATCH($C12,Curve!$L$4:$U$4,0))&lt;($D12+G12))+(INDEX(Curve!$L$16:$U$23,2,MATCH($C12,Curve!$L$4:$U$4,0))&lt;($D12+G12))+(INDEX(Curve!$L$16:$U$23,3,MATCH($C12,Curve!$L$4:$U$4,0))&lt;($D12+G12))+(INDEX(Curve!$L$16:$U$23,4,MATCH($C12,Curve!$L$4:$U$4,0))&lt;($D12+G12))+(INDEX(Curve!$L$16:$U$23,5,MATCH($C12,Curve!$L$4:$U$4,0))&lt;($D12+G12))+(INDEX(Curve!$L$16:$U$23,6,MATCH($C12,Curve!$L$4:$U$4,0))&lt;($D12+G12))+(INDEX(Curve!$L$16:$U$23,7,MATCH($C12,Curve!$L$4:$U$4,0))&lt;($D12+G12))+(INDEX(Curve!$L$16:$U$23,8,MATCH($C12,Curve!$L$4:$U$4,0))&lt;($D12+G12))))))</f>
        <v/>
      </c>
      <c r="N12">
        <f>IF(NOT(ISNUMBER(($D12+H12))),"-",IF(($D12+H12)&lt;=0,"-",IF(1+(INDEX(Curve!$L$16:$U$23,1,MATCH($C12,Curve!$L$4:$U$4,0))&lt;($D12+H12))+(INDEX(Curve!$L$16:$U$23,2,MATCH($C12,Curve!$L$4:$U$4,0))&lt;($D12+H12))+(INDEX(Curve!$L$16:$U$23,3,MATCH($C12,Curve!$L$4:$U$4,0))&lt;($D12+H12))+(INDEX(Curve!$L$16:$U$23,4,MATCH($C12,Curve!$L$4:$U$4,0))&lt;($D12+H12))+(INDEX(Curve!$L$16:$U$23,5,MATCH($C12,Curve!$L$4:$U$4,0))&lt;($D12+H12))+(INDEX(Curve!$L$16:$U$23,6,MATCH($C12,Curve!$L$4:$U$4,0))&lt;($D12+H12))+(INDEX(Curve!$L$16:$U$23,7,MATCH($C12,Curve!$L$4:$U$4,0))&lt;($D12+H12))+(INDEX(Curve!$L$16:$U$23,8,MATCH($C12,Curve!$L$4:$U$4,0))&lt;($D12+H12))&gt;8,"beyond inventory",INDEX(Curve!$D$16:$D$23,1+(INDEX(Curve!$L$16:$U$23,1,MATCH($C12,Curve!$L$4:$U$4,0))&lt;($D12+H12))+(INDEX(Curve!$L$16:$U$23,2,MATCH($C12,Curve!$L$4:$U$4,0))&lt;($D12+H12))+(INDEX(Curve!$L$16:$U$23,3,MATCH($C12,Curve!$L$4:$U$4,0))&lt;($D12+H12))+(INDEX(Curve!$L$16:$U$23,4,MATCH($C12,Curve!$L$4:$U$4,0))&lt;($D12+H12))+(INDEX(Curve!$L$16:$U$23,5,MATCH($C12,Curve!$L$4:$U$4,0))&lt;($D12+H12))+(INDEX(Curve!$L$16:$U$23,6,MATCH($C12,Curve!$L$4:$U$4,0))&lt;($D12+H12))+(INDEX(Curve!$L$16:$U$23,7,MATCH($C12,Curve!$L$4:$U$4,0))&lt;($D12+H12))+(INDEX(Curve!$L$16:$U$23,8,MATCH($C12,Curve!$L$4:$U$4,0))&lt;($D12+H12))))))</f>
        <v/>
      </c>
      <c r="O12">
        <f>IF(NOT(ISNUMBER(($D12+I12))),"-",IF(($D12+I12)&lt;=0,"-",IF(1+(INDEX(Curve!$L$16:$U$23,1,MATCH($C12,Curve!$L$4:$U$4,0))&lt;($D12+I12))+(INDEX(Curve!$L$16:$U$23,2,MATCH($C12,Curve!$L$4:$U$4,0))&lt;($D12+I12))+(INDEX(Curve!$L$16:$U$23,3,MATCH($C12,Curve!$L$4:$U$4,0))&lt;($D12+I12))+(INDEX(Curve!$L$16:$U$23,4,MATCH($C12,Curve!$L$4:$U$4,0))&lt;($D12+I12))+(INDEX(Curve!$L$16:$U$23,5,MATCH($C12,Curve!$L$4:$U$4,0))&lt;($D12+I12))+(INDEX(Curve!$L$16:$U$23,6,MATCH($C12,Curve!$L$4:$U$4,0))&lt;($D12+I12))+(INDEX(Curve!$L$16:$U$23,7,MATCH($C12,Curve!$L$4:$U$4,0))&lt;($D12+I12))+(INDEX(Curve!$L$16:$U$23,8,MATCH($C12,Curve!$L$4:$U$4,0))&lt;($D12+I12))&gt;8,"beyond inventory",INDEX(Curve!$D$16:$D$23,1+(INDEX(Curve!$L$16:$U$23,1,MATCH($C12,Curve!$L$4:$U$4,0))&lt;($D12+I12))+(INDEX(Curve!$L$16:$U$23,2,MATCH($C12,Curve!$L$4:$U$4,0))&lt;($D12+I12))+(INDEX(Curve!$L$16:$U$23,3,MATCH($C12,Curve!$L$4:$U$4,0))&lt;($D12+I12))+(INDEX(Curve!$L$16:$U$23,4,MATCH($C12,Curve!$L$4:$U$4,0))&lt;($D12+I12))+(INDEX(Curve!$L$16:$U$23,5,MATCH($C12,Curve!$L$4:$U$4,0))&lt;($D12+I12))+(INDEX(Curve!$L$16:$U$23,6,MATCH($C12,Curve!$L$4:$U$4,0))&lt;($D12+I12))+(INDEX(Curve!$L$16:$U$23,7,MATCH($C12,Curve!$L$4:$U$4,0))&lt;($D12+I12))+(INDEX(Curve!$L$16:$U$23,8,MATCH($C12,Curve!$L$4:$U$4,0))&lt;($D12+I12))))))</f>
        <v/>
      </c>
      <c r="P12">
        <f>'Henry Hub'!$B$3</f>
        <v/>
      </c>
      <c r="Q12">
        <f>IF(ISNUMBER(K12),K12-P12,"-")</f>
        <v/>
      </c>
    </row>
    <row r="13">
      <c r="A13" t="inlineStr">
        <is>
          <t>LNG and takeaway delayed 6 months</t>
        </is>
      </c>
      <c r="B13" t="inlineStr">
        <is>
          <t>Dec 2033</t>
        </is>
      </c>
      <c r="C13" t="n">
        <v>8</v>
      </c>
      <c r="D13">
        <f>'Gulf key question'!C17</f>
        <v/>
      </c>
      <c r="E13">
        <f>'Gulf key question'!D17</f>
        <v/>
      </c>
      <c r="F13">
        <f>'Gulf key question'!F17</f>
        <v/>
      </c>
      <c r="G13">
        <f>'Gulf key question'!G17</f>
        <v/>
      </c>
      <c r="H13">
        <f>'Gulf key question'!H17</f>
        <v/>
      </c>
      <c r="I13">
        <f>'Gulf key question'!I17</f>
        <v/>
      </c>
      <c r="J13">
        <f>IF(NOT(ISNUMBER($E13)),"-",IF($E13&lt;=0,"-",IF(1+(INDEX(Curve!$L$16:$U$23,1,MATCH($C13,Curve!$L$4:$U$4,0))&lt;$E13)+(INDEX(Curve!$L$16:$U$23,2,MATCH($C13,Curve!$L$4:$U$4,0))&lt;$E13)+(INDEX(Curve!$L$16:$U$23,3,MATCH($C13,Curve!$L$4:$U$4,0))&lt;$E13)+(INDEX(Curve!$L$16:$U$23,4,MATCH($C13,Curve!$L$4:$U$4,0))&lt;$E13)+(INDEX(Curve!$L$16:$U$23,5,MATCH($C13,Curve!$L$4:$U$4,0))&lt;$E13)+(INDEX(Curve!$L$16:$U$23,6,MATCH($C13,Curve!$L$4:$U$4,0))&lt;$E13)+(INDEX(Curve!$L$16:$U$23,7,MATCH($C13,Curve!$L$4:$U$4,0))&lt;$E13)+(INDEX(Curve!$L$16:$U$23,8,MATCH($C13,Curve!$L$4:$U$4,0))&lt;$E13)&gt;8,"beyond inventory",INDEX(Curve!$D$16:$D$23,1+(INDEX(Curve!$L$16:$U$23,1,MATCH($C13,Curve!$L$4:$U$4,0))&lt;$E13)+(INDEX(Curve!$L$16:$U$23,2,MATCH($C13,Curve!$L$4:$U$4,0))&lt;$E13)+(INDEX(Curve!$L$16:$U$23,3,MATCH($C13,Curve!$L$4:$U$4,0))&lt;$E13)+(INDEX(Curve!$L$16:$U$23,4,MATCH($C13,Curve!$L$4:$U$4,0))&lt;$E13)+(INDEX(Curve!$L$16:$U$23,5,MATCH($C13,Curve!$L$4:$U$4,0))&lt;$E13)+(INDEX(Curve!$L$16:$U$23,6,MATCH($C13,Curve!$L$4:$U$4,0))&lt;$E13)+(INDEX(Curve!$L$16:$U$23,7,MATCH($C13,Curve!$L$4:$U$4,0))&lt;$E13)+(INDEX(Curve!$L$16:$U$23,8,MATCH($C13,Curve!$L$4:$U$4,0))&lt;$E13)))))</f>
        <v/>
      </c>
      <c r="K13">
        <f>IF(NOT(ISNUMBER(($D13+$E13))),"-",IF(($D13+$E13)&lt;=0,"-",IF(1+(INDEX(Curve!$L$16:$U$23,1,MATCH($C13,Curve!$L$4:$U$4,0))&lt;($D13+$E13))+(INDEX(Curve!$L$16:$U$23,2,MATCH($C13,Curve!$L$4:$U$4,0))&lt;($D13+$E13))+(INDEX(Curve!$L$16:$U$23,3,MATCH($C13,Curve!$L$4:$U$4,0))&lt;($D13+$E13))+(INDEX(Curve!$L$16:$U$23,4,MATCH($C13,Curve!$L$4:$U$4,0))&lt;($D13+$E13))+(INDEX(Curve!$L$16:$U$23,5,MATCH($C13,Curve!$L$4:$U$4,0))&lt;($D13+$E13))+(INDEX(Curve!$L$16:$U$23,6,MATCH($C13,Curve!$L$4:$U$4,0))&lt;($D13+$E13))+(INDEX(Curve!$L$16:$U$23,7,MATCH($C13,Curve!$L$4:$U$4,0))&lt;($D13+$E13))+(INDEX(Curve!$L$16:$U$23,8,MATCH($C13,Curve!$L$4:$U$4,0))&lt;($D13+$E13))&gt;8,"beyond inventory",INDEX(Curve!$D$16:$D$23,1+(INDEX(Curve!$L$16:$U$23,1,MATCH($C13,Curve!$L$4:$U$4,0))&lt;($D13+$E13))+(INDEX(Curve!$L$16:$U$23,2,MATCH($C13,Curve!$L$4:$U$4,0))&lt;($D13+$E13))+(INDEX(Curve!$L$16:$U$23,3,MATCH($C13,Curve!$L$4:$U$4,0))&lt;($D13+$E13))+(INDEX(Curve!$L$16:$U$23,4,MATCH($C13,Curve!$L$4:$U$4,0))&lt;($D13+$E13))+(INDEX(Curve!$L$16:$U$23,5,MATCH($C13,Curve!$L$4:$U$4,0))&lt;($D13+$E13))+(INDEX(Curve!$L$16:$U$23,6,MATCH($C13,Curve!$L$4:$U$4,0))&lt;($D13+$E13))+(INDEX(Curve!$L$16:$U$23,7,MATCH($C13,Curve!$L$4:$U$4,0))&lt;($D13+$E13))+(INDEX(Curve!$L$16:$U$23,8,MATCH($C13,Curve!$L$4:$U$4,0))&lt;($D13+$E13))))))</f>
        <v/>
      </c>
      <c r="L13">
        <f>IF(NOT(ISNUMBER(($D13+F13))),"-",IF(($D13+F13)&lt;=0,"-",IF(1+(INDEX(Curve!$L$16:$U$23,1,MATCH($C13,Curve!$L$4:$U$4,0))&lt;($D13+F13))+(INDEX(Curve!$L$16:$U$23,2,MATCH($C13,Curve!$L$4:$U$4,0))&lt;($D13+F13))+(INDEX(Curve!$L$16:$U$23,3,MATCH($C13,Curve!$L$4:$U$4,0))&lt;($D13+F13))+(INDEX(Curve!$L$16:$U$23,4,MATCH($C13,Curve!$L$4:$U$4,0))&lt;($D13+F13))+(INDEX(Curve!$L$16:$U$23,5,MATCH($C13,Curve!$L$4:$U$4,0))&lt;($D13+F13))+(INDEX(Curve!$L$16:$U$23,6,MATCH($C13,Curve!$L$4:$U$4,0))&lt;($D13+F13))+(INDEX(Curve!$L$16:$U$23,7,MATCH($C13,Curve!$L$4:$U$4,0))&lt;($D13+F13))+(INDEX(Curve!$L$16:$U$23,8,MATCH($C13,Curve!$L$4:$U$4,0))&lt;($D13+F13))&gt;8,"beyond inventory",INDEX(Curve!$D$16:$D$23,1+(INDEX(Curve!$L$16:$U$23,1,MATCH($C13,Curve!$L$4:$U$4,0))&lt;($D13+F13))+(INDEX(Curve!$L$16:$U$23,2,MATCH($C13,Curve!$L$4:$U$4,0))&lt;($D13+F13))+(INDEX(Curve!$L$16:$U$23,3,MATCH($C13,Curve!$L$4:$U$4,0))&lt;($D13+F13))+(INDEX(Curve!$L$16:$U$23,4,MATCH($C13,Curve!$L$4:$U$4,0))&lt;($D13+F13))+(INDEX(Curve!$L$16:$U$23,5,MATCH($C13,Curve!$L$4:$U$4,0))&lt;($D13+F13))+(INDEX(Curve!$L$16:$U$23,6,MATCH($C13,Curve!$L$4:$U$4,0))&lt;($D13+F13))+(INDEX(Curve!$L$16:$U$23,7,MATCH($C13,Curve!$L$4:$U$4,0))&lt;($D13+F13))+(INDEX(Curve!$L$16:$U$23,8,MATCH($C13,Curve!$L$4:$U$4,0))&lt;($D13+F13))))))</f>
        <v/>
      </c>
      <c r="M13">
        <f>IF(NOT(ISNUMBER(($D13+G13))),"-",IF(($D13+G13)&lt;=0,"-",IF(1+(INDEX(Curve!$L$16:$U$23,1,MATCH($C13,Curve!$L$4:$U$4,0))&lt;($D13+G13))+(INDEX(Curve!$L$16:$U$23,2,MATCH($C13,Curve!$L$4:$U$4,0))&lt;($D13+G13))+(INDEX(Curve!$L$16:$U$23,3,MATCH($C13,Curve!$L$4:$U$4,0))&lt;($D13+G13))+(INDEX(Curve!$L$16:$U$23,4,MATCH($C13,Curve!$L$4:$U$4,0))&lt;($D13+G13))+(INDEX(Curve!$L$16:$U$23,5,MATCH($C13,Curve!$L$4:$U$4,0))&lt;($D13+G13))+(INDEX(Curve!$L$16:$U$23,6,MATCH($C13,Curve!$L$4:$U$4,0))&lt;($D13+G13))+(INDEX(Curve!$L$16:$U$23,7,MATCH($C13,Curve!$L$4:$U$4,0))&lt;($D13+G13))+(INDEX(Curve!$L$16:$U$23,8,MATCH($C13,Curve!$L$4:$U$4,0))&lt;($D13+G13))&gt;8,"beyond inventory",INDEX(Curve!$D$16:$D$23,1+(INDEX(Curve!$L$16:$U$23,1,MATCH($C13,Curve!$L$4:$U$4,0))&lt;($D13+G13))+(INDEX(Curve!$L$16:$U$23,2,MATCH($C13,Curve!$L$4:$U$4,0))&lt;($D13+G13))+(INDEX(Curve!$L$16:$U$23,3,MATCH($C13,Curve!$L$4:$U$4,0))&lt;($D13+G13))+(INDEX(Curve!$L$16:$U$23,4,MATCH($C13,Curve!$L$4:$U$4,0))&lt;($D13+G13))+(INDEX(Curve!$L$16:$U$23,5,MATCH($C13,Curve!$L$4:$U$4,0))&lt;($D13+G13))+(INDEX(Curve!$L$16:$U$23,6,MATCH($C13,Curve!$L$4:$U$4,0))&lt;($D13+G13))+(INDEX(Curve!$L$16:$U$23,7,MATCH($C13,Curve!$L$4:$U$4,0))&lt;($D13+G13))+(INDEX(Curve!$L$16:$U$23,8,MATCH($C13,Curve!$L$4:$U$4,0))&lt;($D13+G13))))))</f>
        <v/>
      </c>
      <c r="N13">
        <f>IF(NOT(ISNUMBER(($D13+H13))),"-",IF(($D13+H13)&lt;=0,"-",IF(1+(INDEX(Curve!$L$16:$U$23,1,MATCH($C13,Curve!$L$4:$U$4,0))&lt;($D13+H13))+(INDEX(Curve!$L$16:$U$23,2,MATCH($C13,Curve!$L$4:$U$4,0))&lt;($D13+H13))+(INDEX(Curve!$L$16:$U$23,3,MATCH($C13,Curve!$L$4:$U$4,0))&lt;($D13+H13))+(INDEX(Curve!$L$16:$U$23,4,MATCH($C13,Curve!$L$4:$U$4,0))&lt;($D13+H13))+(INDEX(Curve!$L$16:$U$23,5,MATCH($C13,Curve!$L$4:$U$4,0))&lt;($D13+H13))+(INDEX(Curve!$L$16:$U$23,6,MATCH($C13,Curve!$L$4:$U$4,0))&lt;($D13+H13))+(INDEX(Curve!$L$16:$U$23,7,MATCH($C13,Curve!$L$4:$U$4,0))&lt;($D13+H13))+(INDEX(Curve!$L$16:$U$23,8,MATCH($C13,Curve!$L$4:$U$4,0))&lt;($D13+H13))&gt;8,"beyond inventory",INDEX(Curve!$D$16:$D$23,1+(INDEX(Curve!$L$16:$U$23,1,MATCH($C13,Curve!$L$4:$U$4,0))&lt;($D13+H13))+(INDEX(Curve!$L$16:$U$23,2,MATCH($C13,Curve!$L$4:$U$4,0))&lt;($D13+H13))+(INDEX(Curve!$L$16:$U$23,3,MATCH($C13,Curve!$L$4:$U$4,0))&lt;($D13+H13))+(INDEX(Curve!$L$16:$U$23,4,MATCH($C13,Curve!$L$4:$U$4,0))&lt;($D13+H13))+(INDEX(Curve!$L$16:$U$23,5,MATCH($C13,Curve!$L$4:$U$4,0))&lt;($D13+H13))+(INDEX(Curve!$L$16:$U$23,6,MATCH($C13,Curve!$L$4:$U$4,0))&lt;($D13+H13))+(INDEX(Curve!$L$16:$U$23,7,MATCH($C13,Curve!$L$4:$U$4,0))&lt;($D13+H13))+(INDEX(Curve!$L$16:$U$23,8,MATCH($C13,Curve!$L$4:$U$4,0))&lt;($D13+H13))))))</f>
        <v/>
      </c>
      <c r="O13">
        <f>IF(NOT(ISNUMBER(($D13+I13))),"-",IF(($D13+I13)&lt;=0,"-",IF(1+(INDEX(Curve!$L$16:$U$23,1,MATCH($C13,Curve!$L$4:$U$4,0))&lt;($D13+I13))+(INDEX(Curve!$L$16:$U$23,2,MATCH($C13,Curve!$L$4:$U$4,0))&lt;($D13+I13))+(INDEX(Curve!$L$16:$U$23,3,MATCH($C13,Curve!$L$4:$U$4,0))&lt;($D13+I13))+(INDEX(Curve!$L$16:$U$23,4,MATCH($C13,Curve!$L$4:$U$4,0))&lt;($D13+I13))+(INDEX(Curve!$L$16:$U$23,5,MATCH($C13,Curve!$L$4:$U$4,0))&lt;($D13+I13))+(INDEX(Curve!$L$16:$U$23,6,MATCH($C13,Curve!$L$4:$U$4,0))&lt;($D13+I13))+(INDEX(Curve!$L$16:$U$23,7,MATCH($C13,Curve!$L$4:$U$4,0))&lt;($D13+I13))+(INDEX(Curve!$L$16:$U$23,8,MATCH($C13,Curve!$L$4:$U$4,0))&lt;($D13+I13))&gt;8,"beyond inventory",INDEX(Curve!$D$16:$D$23,1+(INDEX(Curve!$L$16:$U$23,1,MATCH($C13,Curve!$L$4:$U$4,0))&lt;($D13+I13))+(INDEX(Curve!$L$16:$U$23,2,MATCH($C13,Curve!$L$4:$U$4,0))&lt;($D13+I13))+(INDEX(Curve!$L$16:$U$23,3,MATCH($C13,Curve!$L$4:$U$4,0))&lt;($D13+I13))+(INDEX(Curve!$L$16:$U$23,4,MATCH($C13,Curve!$L$4:$U$4,0))&lt;($D13+I13))+(INDEX(Curve!$L$16:$U$23,5,MATCH($C13,Curve!$L$4:$U$4,0))&lt;($D13+I13))+(INDEX(Curve!$L$16:$U$23,6,MATCH($C13,Curve!$L$4:$U$4,0))&lt;($D13+I13))+(INDEX(Curve!$L$16:$U$23,7,MATCH($C13,Curve!$L$4:$U$4,0))&lt;($D13+I13))+(INDEX(Curve!$L$16:$U$23,8,MATCH($C13,Curve!$L$4:$U$4,0))&lt;($D13+I13))))))</f>
        <v/>
      </c>
      <c r="P13">
        <f>'Henry Hub'!$B$3</f>
        <v/>
      </c>
      <c r="Q13">
        <f>IF(ISNUMBER(K13),K13-P13,"-")</f>
        <v/>
      </c>
    </row>
    <row r="15" ht="48" customHeight="1">
      <c r="A15" s="7" t="inlineStr">
        <is>
          <t>Reference prices (sourced): Dallas Fed Energy Survey Q3 2026 (30 Sep 2026) expected Henry Hub $3.29 year-end 2026, $3.82 in two years, $4.28 in five years; EIA STEO (Aug 2026) $3.44 average 2026. Haynesville flow is also limited by rigs, pipelines (Gillis, LEAP ...) and midstream - this sheet says only what COST implies.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3" t="inlineStr">
        <is>
          <t>BEG check: Bureau of Economic Geology tiers (OGJ 7 Dec 2015) and this workbook's breakeven formula run on BEG's own 2015 inputs (validation, 2011 $).</t>
        </is>
      </c>
    </row>
    <row r="2" ht="62" customHeight="1">
      <c r="A2" s="7" t="inlineStr">
        <is>
          <t>Published text: EUR per tier (Fig. 7 legend). READ OFF CHARTS (approx. +/-3%): wells (Fig. 6) and breakevens (Fig. 8). Model: capex = $10.5 million x 1.13 per 4,800-ft well, gathering $0.49/Mcf, fixed expense $82,500 x 1.13 a year over 20 years, royalty 25%, basis -$0.07, 10% discount, pre-tax, no severance (BEG: 4%, 2 years exempt, and a 40.2% tax rate with a tax shield), BEG's EUR with this workbook's decline shape. Yellow cells are BEG inputs.</t>
        </is>
      </c>
    </row>
    <row r="5" ht="60" customHeight="1">
      <c r="A5" s="4" t="inlineStr">
        <is>
          <t>Tier</t>
        </is>
      </c>
      <c r="B5" s="4" t="inlineStr">
        <is>
          <t>Fig. 6 drilled to 2012 (wells)</t>
        </is>
      </c>
      <c r="C5" s="4" t="inlineStr">
        <is>
          <t>EUR per 4,800-ft well (Bcf) - published</t>
        </is>
      </c>
      <c r="D5" s="4" t="inlineStr">
        <is>
          <t>Fig. 6 partly drilled (wells)</t>
        </is>
      </c>
      <c r="E5" s="4" t="inlineStr">
        <is>
          <t>Fig. 6 undrilled (wells)</t>
        </is>
      </c>
      <c r="F5" s="4" t="inlineStr">
        <is>
          <t>Fig. 8 breakeven 0% IRR</t>
        </is>
      </c>
      <c r="G5" s="4" t="inlineStr">
        <is>
          <t>Fig. 8 breakeven 10% IRR</t>
        </is>
      </c>
      <c r="H5" s="4" t="inlineStr">
        <is>
          <t>Fig. 8 breakeven 20% IRR</t>
        </is>
      </c>
      <c r="I5" s="4" t="inlineStr">
        <is>
          <t>Model breakeven (BEG inputs, 10% pre-tax)</t>
        </is>
      </c>
      <c r="J5" s="4" t="inlineStr">
        <is>
          <t>Model vs Fig. 8 10% IRR</t>
        </is>
      </c>
    </row>
    <row r="6">
      <c r="A6" t="inlineStr">
        <is>
          <t>Tier 1</t>
        </is>
      </c>
      <c r="B6" s="5" t="n">
        <v>450</v>
      </c>
      <c r="C6" s="5" t="n">
        <v>7.9</v>
      </c>
      <c r="D6" s="5" t="n">
        <v>1700</v>
      </c>
      <c r="E6" s="5" t="n">
        <v>2250</v>
      </c>
      <c r="F6" s="5" t="n">
        <v>2.9</v>
      </c>
      <c r="G6" s="5" t="n">
        <v>3.5</v>
      </c>
      <c r="H6" s="5" t="n">
        <v>4</v>
      </c>
      <c r="I6">
        <f>(($B$15+($B$14*1.13*1000000+($B$16*1.13*SUMPRODUCT(1/(1+Inputs!$B$5)^(Profile!$A$9:$A$28-0.5))))/(C6*1000000*Profile!$B$6)))/(1-$B$17)-$B$18</f>
        <v/>
      </c>
      <c r="J6" s="9">
        <f>I6/G6-1</f>
        <v/>
      </c>
    </row>
    <row r="7">
      <c r="A7" t="inlineStr">
        <is>
          <t>Tier 2</t>
        </is>
      </c>
      <c r="B7" s="5" t="n">
        <v>480</v>
      </c>
      <c r="C7" s="5" t="n">
        <v>5.9</v>
      </c>
      <c r="D7" s="5" t="n">
        <v>1470</v>
      </c>
      <c r="E7" s="5" t="n">
        <v>2000</v>
      </c>
      <c r="F7" s="5" t="n">
        <v>3.7</v>
      </c>
      <c r="G7" s="5" t="n">
        <v>4.4</v>
      </c>
      <c r="H7" s="5" t="n">
        <v>4.9</v>
      </c>
      <c r="I7">
        <f>(($B$15+($B$14*1.13*1000000+($B$16*1.13*SUMPRODUCT(1/(1+Inputs!$B$5)^(Profile!$A$9:$A$28-0.5))))/(C7*1000000*Profile!$B$6)))/(1-$B$17)-$B$18</f>
        <v/>
      </c>
      <c r="J7" s="9">
        <f>I7/G7-1</f>
        <v/>
      </c>
    </row>
    <row r="8">
      <c r="A8" t="inlineStr">
        <is>
          <t>Tier 3</t>
        </is>
      </c>
      <c r="B8" s="5" t="n">
        <v>600</v>
      </c>
      <c r="C8" s="5" t="n">
        <v>4.5</v>
      </c>
      <c r="D8" s="5" t="n">
        <v>2550</v>
      </c>
      <c r="E8" s="5" t="n">
        <v>3200</v>
      </c>
      <c r="F8" s="5" t="n">
        <v>4.6</v>
      </c>
      <c r="G8" s="5" t="n">
        <v>5.4</v>
      </c>
      <c r="H8" s="5" t="n">
        <v>6</v>
      </c>
      <c r="I8">
        <f>(($B$15+($B$14*1.13*1000000+($B$16*1.13*SUMPRODUCT(1/(1+Inputs!$B$5)^(Profile!$A$9:$A$28-0.5))))/(C8*1000000*Profile!$B$6)))/(1-$B$17)-$B$18</f>
        <v/>
      </c>
      <c r="J8" s="9">
        <f>I8/G8-1</f>
        <v/>
      </c>
    </row>
    <row r="9">
      <c r="A9" t="inlineStr">
        <is>
          <t>Tier 4</t>
        </is>
      </c>
      <c r="B9" s="5" t="n">
        <v>450</v>
      </c>
      <c r="C9" s="5" t="n">
        <v>3.3</v>
      </c>
      <c r="D9" s="5" t="n">
        <v>2050</v>
      </c>
      <c r="E9" s="5" t="n">
        <v>3250</v>
      </c>
      <c r="F9" s="5" t="n">
        <v>6</v>
      </c>
      <c r="G9" s="5" t="n">
        <v>6.8</v>
      </c>
      <c r="H9" s="5" t="n">
        <v>7.6</v>
      </c>
      <c r="I9">
        <f>(($B$15+($B$14*1.13*1000000+($B$16*1.13*SUMPRODUCT(1/(1+Inputs!$B$5)^(Profile!$A$9:$A$28-0.5))))/(C9*1000000*Profile!$B$6)))/(1-$B$17)-$B$18</f>
        <v/>
      </c>
      <c r="J9" s="9">
        <f>I9/G9-1</f>
        <v/>
      </c>
    </row>
    <row r="10">
      <c r="A10" t="inlineStr">
        <is>
          <t>Tier 5</t>
        </is>
      </c>
      <c r="B10" s="5" t="n">
        <v>300</v>
      </c>
      <c r="C10" s="5" t="n">
        <v>2.4</v>
      </c>
      <c r="D10" s="5" t="n">
        <v>1900</v>
      </c>
      <c r="E10" s="5" t="n">
        <v>4500</v>
      </c>
      <c r="F10" s="5" t="n">
        <v>7.8</v>
      </c>
      <c r="G10" s="5" t="n">
        <v>9</v>
      </c>
      <c r="H10" s="5" t="n">
        <v>10</v>
      </c>
      <c r="I10">
        <f>(($B$15+($B$14*1.13*1000000+($B$16*1.13*SUMPRODUCT(1/(1+Inputs!$B$5)^(Profile!$A$9:$A$28-0.5))))/(C10*1000000*Profile!$B$6)))/(1-$B$17)-$B$18</f>
        <v/>
      </c>
      <c r="J10" s="9">
        <f>I10/G10-1</f>
        <v/>
      </c>
    </row>
    <row r="11">
      <c r="A11" t="inlineStr">
        <is>
          <t>Tier 6</t>
        </is>
      </c>
      <c r="B11" s="5" t="n">
        <v>180</v>
      </c>
      <c r="C11" s="5" t="n">
        <v>1.4</v>
      </c>
      <c r="D11" s="5" t="n">
        <v>1170</v>
      </c>
      <c r="E11" s="5" t="n">
        <v>5700</v>
      </c>
      <c r="F11" s="5" t="n">
        <v>13.4</v>
      </c>
      <c r="G11" s="5" t="n">
        <v>15.2</v>
      </c>
      <c r="H11" s="5" t="n">
        <v>16.8</v>
      </c>
      <c r="I11">
        <f>(($B$15+($B$14*1.13*1000000+($B$16*1.13*SUMPRODUCT(1/(1+Inputs!$B$5)^(Profile!$A$9:$A$28-0.5))))/(C11*1000000*Profile!$B$6)))/(1-$B$17)-$B$18</f>
        <v/>
      </c>
      <c r="J11" s="9">
        <f>I11/G11-1</f>
        <v/>
      </c>
    </row>
    <row r="13">
      <c r="A13" s="3" t="inlineStr">
        <is>
          <t>BEG inputs (Table 1)</t>
        </is>
      </c>
    </row>
    <row r="14">
      <c r="A14" t="inlineStr">
        <is>
          <t>Drilling cost, 12,000-ft TVD ($ million)</t>
        </is>
      </c>
      <c r="B14" s="5" t="n">
        <v>10.5</v>
      </c>
    </row>
    <row r="15">
      <c r="A15" t="inlineStr">
        <is>
          <t>Gathering, compression, treatment ($/Mcf)</t>
        </is>
      </c>
      <c r="B15" s="5" t="n">
        <v>0.49</v>
      </c>
    </row>
    <row r="16">
      <c r="A16" t="inlineStr">
        <is>
          <t>Expense per well per year ($)</t>
        </is>
      </c>
      <c r="B16" s="5" t="n">
        <v>82500</v>
      </c>
    </row>
    <row r="17">
      <c r="A17" t="inlineStr">
        <is>
          <t>Royalty</t>
        </is>
      </c>
      <c r="B17" s="5" t="n">
        <v>0.25</v>
      </c>
    </row>
    <row r="18">
      <c r="A18" t="inlineStr">
        <is>
          <t>Basis ($/MMBtu)</t>
        </is>
      </c>
      <c r="B18" s="5" t="n">
        <v>-0.07000000000000001</v>
      </c>
    </row>
    <row r="20" ht="48" customHeight="1">
      <c r="A20" s="7" t="inlineStr">
        <is>
          <t>Reading: the formula reproduces BEG's 10%-IRR breakevens for Tiers 1-3 within a few percent and runs higher for the deepest tiers; BEG's after-tax model and 2011 costs differ in detail. This validates the structure, not the modern inputs.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18" customWidth="1" min="3" max="3"/>
    <col width="90" customWidth="1" min="4" max="4"/>
  </cols>
  <sheetData>
    <row r="1">
      <c r="A1" s="3" t="inlineStr">
        <is>
          <t>Cross-checks - company and EIA figures NOT used as inputs, set beside what the model implies (values; see Sources for URLs).</t>
        </is>
      </c>
    </row>
    <row r="3">
      <c r="A3" s="4" t="inlineStr">
        <is>
          <t>Check</t>
        </is>
      </c>
      <c r="B3" s="4" t="inlineStr">
        <is>
          <t>Unit</t>
        </is>
      </c>
      <c r="C3" s="4" t="inlineStr">
        <is>
          <t>Value</t>
        </is>
      </c>
      <c r="D3" s="4" t="inlineStr">
        <is>
          <t>Comment</t>
        </is>
      </c>
    </row>
    <row r="4">
      <c r="A4" s="7" t="inlineStr">
        <is>
          <t>Model breakeven, Legacy Tier 1 (pre-tax, 10%)</t>
        </is>
      </c>
      <c r="B4" t="inlineStr">
        <is>
          <t>$/MMBtu HH</t>
        </is>
      </c>
      <c r="C4">
        <f>Curve!F5</f>
        <v/>
      </c>
      <c r="D4" s="7" t="inlineStr">
        <is>
          <t>Expand deck: '&lt;$2.75' (annual asset-level breakeven, hurdle not stated) - consistent with the model if Expand's basis is near 10% pre-tax; NOT the same definition.</t>
        </is>
      </c>
    </row>
    <row r="5">
      <c r="A5" s="7" t="inlineStr">
        <is>
          <t>Model breakeven, Western Haynesville (Comstock cost, Tier 1 productivity ASSUMED)</t>
        </is>
      </c>
      <c r="B5" t="inlineStr">
        <is>
          <t>$/MMBtu HH</t>
        </is>
      </c>
      <c r="C5">
        <f>Curve!F11</f>
        <v/>
      </c>
      <c r="D5" s="7" t="inlineStr">
        <is>
          <t>No sourced Western Haynesville EUR. Every +/-20% of EUR per foot moves this by about +/-0.7.</t>
        </is>
      </c>
    </row>
    <row r="6">
      <c r="A6" s="7" t="inlineStr">
        <is>
          <t>BEG 10% IRR breakeven, Tier 1 (2011 $, chart-read)</t>
        </is>
      </c>
      <c r="B6" t="inlineStr">
        <is>
          <t>$/MMBtu</t>
        </is>
      </c>
      <c r="C6" t="n">
        <v>3.5</v>
      </c>
      <c r="D6" s="7" t="inlineStr">
        <is>
          <t>OGJ 2015 Fig. 8; costs were ~$10.5 million per 4,800-ft well.</t>
        </is>
      </c>
    </row>
    <row r="7">
      <c r="A7" s="7" t="inlineStr">
        <is>
          <t>Modern Tier 1 EUR used (Expand 12-month cumulative / modelled year-1 share)</t>
        </is>
      </c>
      <c r="B7" t="inlineStr">
        <is>
          <t>Bcf per 1,000 ft</t>
        </is>
      </c>
      <c r="C7">
        <f>Profile!$B$7</f>
        <v/>
      </c>
      <c r="D7" s="7" t="inlineStr">
        <is>
          <t>DERIVED (depends on the decline shape).</t>
        </is>
      </c>
    </row>
    <row r="8">
      <c r="A8" s="7" t="inlineStr">
        <is>
          <t>BEG Tier 1 EUR per 1,000 ft (published 7.9 Bcf / 4.8)</t>
        </is>
      </c>
      <c r="B8" t="inlineStr">
        <is>
          <t>Bcf per 1,000 ft</t>
        </is>
      </c>
      <c r="C8" t="n">
        <v>1.645833333333333</v>
      </c>
      <c r="D8" s="7" t="inlineStr">
        <is>
          <t>2008-12 wells.</t>
        </is>
      </c>
    </row>
    <row r="9">
      <c r="A9" s="7" t="inlineStr">
        <is>
          <t>Comstock SEC proved undeveloped: 4.2 Tcf / 332 locations</t>
        </is>
      </c>
      <c r="B9" t="inlineStr">
        <is>
          <t>Bcf per location</t>
        </is>
      </c>
      <c r="C9" t="n">
        <v>12.65060240963855</v>
      </c>
      <c r="D9" s="7" t="inlineStr">
        <is>
          <t>10-K FY2025; SEC-conservative booking; lateral per location not stated (10,000 ft would be 1.27 Bcf per 1,000 ft).</t>
        </is>
      </c>
    </row>
    <row r="10">
      <c r="A10" s="7" t="inlineStr">
        <is>
          <t>EIA AEO2023 average EUR, Haynesville-Bossier Louisiana / Texas</t>
        </is>
      </c>
      <c r="B10" t="inlineStr">
        <is>
          <t>Bcf per well</t>
        </is>
      </c>
      <c r="C10" t="inlineStr">
        <is>
          <t>10.5 / 9.2</t>
        </is>
      </c>
      <c r="D10" s="7" t="inlineStr">
        <is>
          <t>Table 3; lateral length not stated.</t>
        </is>
      </c>
    </row>
    <row r="11">
      <c r="A11" s="7" t="inlineStr">
        <is>
          <t>Comstock YTD 2026 IP per 1,000 ft: Legacy 31 MMcf/d at 12,052 ft; Western 31 MMcf/d at 10,331 ft</t>
        </is>
      </c>
      <c r="B11" t="inlineStr">
        <is>
          <t>MMcf/d per 1,000 ft</t>
        </is>
      </c>
      <c r="C11" t="inlineStr">
        <is>
          <t>2.57 / 3.00</t>
        </is>
      </c>
      <c r="D11" s="7" t="inlineStr">
        <is>
          <t>Western / Legacy = 1.17x (IP, not EUR; Western decline unknown).</t>
        </is>
      </c>
    </row>
    <row r="12">
      <c r="A12" s="7" t="inlineStr">
        <is>
          <t>Comstock Legacy D&amp;C vs Expand 2026E</t>
        </is>
      </c>
      <c r="B12" t="inlineStr">
        <is>
          <t>$/ft</t>
        </is>
      </c>
      <c r="C12" t="inlineStr">
        <is>
          <t>1,390 vs ~1,340</t>
        </is>
      </c>
      <c r="D12" s="7" t="inlineStr">
        <is>
          <t>Within 4%.</t>
        </is>
      </c>
    </row>
    <row r="13">
      <c r="A13" s="7" t="inlineStr">
        <is>
          <t>Developable locations, BEG legacy tiers 1-6 (this workbook)</t>
        </is>
      </c>
      <c r="B13" t="inlineStr">
        <is>
          <t>locations (4,800-ft)</t>
        </is>
      </c>
      <c r="C13">
        <f>SUM(Curve!K5:K10)</f>
        <v/>
      </c>
      <c r="D13" s="7" t="inlineStr">
        <is>
          <t>2012-vintage count; wells since 2012 not deducted.</t>
        </is>
      </c>
    </row>
    <row r="14">
      <c r="A14" s="7" t="inlineStr">
        <is>
          <t>Operator-disclosed legacy inventory: Comstock 1,705 gross (30 Jun 2026) + Expand &gt;2,000 gross (31 Dec 2024)</t>
        </is>
      </c>
      <c r="B14" t="inlineStr">
        <is>
          <t>locations (~10,000 ft)</t>
        </is>
      </c>
      <c r="C14" t="inlineStr">
        <is>
          <t>3,705+</t>
        </is>
      </c>
      <c r="D14" s="7" t="inlineStr">
        <is>
          <t>Two operators only; these sit inside BEG's legacy area and are not added to the curve.</t>
        </is>
      </c>
    </row>
    <row r="15">
      <c r="A15" s="7" t="inlineStr">
        <is>
          <t>Comstock Western Haynesville operated inventory</t>
        </is>
      </c>
      <c r="B15" t="inlineStr">
        <is>
          <t>locations (8,875 ft)</t>
        </is>
      </c>
      <c r="C15" t="n">
        <v>3277</v>
      </c>
      <c r="D15" s="7" t="inlineStr">
        <is>
          <t>In the curve (Western Haynesville - Comstock row).</t>
        </is>
      </c>
    </row>
    <row r="16">
      <c r="A16" s="7" t="inlineStr">
        <is>
          <t>Dallas Fed Q3 2026 expected Henry Hub in 2 / 5 years</t>
        </is>
      </c>
      <c r="B16" t="inlineStr">
        <is>
          <t>$/MMBtu</t>
        </is>
      </c>
      <c r="C16" t="inlineStr">
        <is>
          <t>3.82 / 4.28</t>
        </is>
      </c>
      <c r="D16" s="7" t="inlineStr">
        <is>
          <t>Survey of oil and gas executives, 30 Sep 2026.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Chart data (live): step points of the cost curve for two horizons (edit H in the yellow cells) and the Henry Hub line; marginal price by Key-question year.</t>
        </is>
      </c>
    </row>
    <row r="3">
      <c r="A3" t="inlineStr">
        <is>
          <t>Horizon A (years)</t>
        </is>
      </c>
      <c r="B3" s="5" t="n">
        <v>5</v>
      </c>
    </row>
    <row r="4">
      <c r="A4" t="inlineStr">
        <is>
          <t>Horizon B (years)</t>
        </is>
      </c>
      <c r="B4" s="5" t="n">
        <v>8</v>
      </c>
    </row>
    <row r="5">
      <c r="A5" t="inlineStr">
        <is>
          <t>Henry Hub, last 12 months average ($/MMBtu)</t>
        </is>
      </c>
      <c r="B5">
        <f>'Henry Hub'!$B$3</f>
        <v/>
      </c>
    </row>
    <row r="6">
      <c r="D6">
        <f>"Supply added by Dec "&amp;(2025+B3)&amp;" if drilled in "&amp;B3&amp;" years (cost only)"</f>
        <v/>
      </c>
      <c r="F6">
        <f>"Supply added by Dec "&amp;(2025+B4)&amp;" if drilled in "&amp;B4&amp;" years (cost only)"</f>
        <v/>
      </c>
      <c r="H6" t="inlineStr">
        <is>
          <t>Henry Hub, last 12 months average</t>
        </is>
      </c>
    </row>
    <row r="7">
      <c r="A7" s="4" t="n"/>
      <c r="B7" s="4" t="n"/>
      <c r="C7" s="4" t="n"/>
      <c r="D7" s="4" t="inlineStr">
        <is>
          <t>x A: cumulative capacity (Bcf/d)</t>
        </is>
      </c>
      <c r="E7" s="4" t="inlineStr">
        <is>
          <t>y A: breakeven</t>
        </is>
      </c>
      <c r="F7" s="4" t="inlineStr">
        <is>
          <t>x B: cumulative capacity (Bcf/d)</t>
        </is>
      </c>
      <c r="G7" s="4" t="inlineStr">
        <is>
          <t>y B: breakeven</t>
        </is>
      </c>
      <c r="H7" s="4" t="inlineStr">
        <is>
          <t>x HH</t>
        </is>
      </c>
      <c r="I7" s="4" t="inlineStr">
        <is>
          <t>y HH</t>
        </is>
      </c>
    </row>
    <row r="8">
      <c r="D8">
        <f>0</f>
        <v/>
      </c>
      <c r="E8">
        <f>Curve!$D$16</f>
        <v/>
      </c>
      <c r="F8">
        <f>0</f>
        <v/>
      </c>
      <c r="G8">
        <f>Curve!$D$16</f>
        <v/>
      </c>
      <c r="H8" t="n">
        <v>0</v>
      </c>
      <c r="I8">
        <f>$B$5</f>
        <v/>
      </c>
    </row>
    <row r="9">
      <c r="D9">
        <f>INDEX(Curve!$L$16:$U$23,1,MATCH($B$3,Curve!$L$4:$U$4,0))</f>
        <v/>
      </c>
      <c r="E9">
        <f>Curve!$D$16</f>
        <v/>
      </c>
      <c r="F9">
        <f>INDEX(Curve!$L$16:$U$23,1,MATCH($B$4,Curve!$L$4:$U$4,0))</f>
        <v/>
      </c>
      <c r="G9">
        <f>Curve!$D$16</f>
        <v/>
      </c>
      <c r="H9">
        <f>MAX(D23,F23)</f>
        <v/>
      </c>
      <c r="I9">
        <f>$B$5</f>
        <v/>
      </c>
    </row>
    <row r="10">
      <c r="D10">
        <f>INDEX(Curve!$L$16:$U$23,1,MATCH($B$3,Curve!$L$4:$U$4,0))</f>
        <v/>
      </c>
      <c r="E10">
        <f>Curve!$D$17</f>
        <v/>
      </c>
      <c r="F10">
        <f>INDEX(Curve!$L$16:$U$23,1,MATCH($B$4,Curve!$L$4:$U$4,0))</f>
        <v/>
      </c>
      <c r="G10">
        <f>Curve!$D$17</f>
        <v/>
      </c>
    </row>
    <row r="11">
      <c r="D11">
        <f>INDEX(Curve!$L$16:$U$23,2,MATCH($B$3,Curve!$L$4:$U$4,0))</f>
        <v/>
      </c>
      <c r="E11">
        <f>Curve!$D$17</f>
        <v/>
      </c>
      <c r="F11">
        <f>INDEX(Curve!$L$16:$U$23,2,MATCH($B$4,Curve!$L$4:$U$4,0))</f>
        <v/>
      </c>
      <c r="G11">
        <f>Curve!$D$17</f>
        <v/>
      </c>
    </row>
    <row r="12">
      <c r="D12">
        <f>INDEX(Curve!$L$16:$U$23,2,MATCH($B$3,Curve!$L$4:$U$4,0))</f>
        <v/>
      </c>
      <c r="E12">
        <f>Curve!$D$18</f>
        <v/>
      </c>
      <c r="F12">
        <f>INDEX(Curve!$L$16:$U$23,2,MATCH($B$4,Curve!$L$4:$U$4,0))</f>
        <v/>
      </c>
      <c r="G12">
        <f>Curve!$D$18</f>
        <v/>
      </c>
    </row>
    <row r="13">
      <c r="D13">
        <f>INDEX(Curve!$L$16:$U$23,3,MATCH($B$3,Curve!$L$4:$U$4,0))</f>
        <v/>
      </c>
      <c r="E13">
        <f>Curve!$D$18</f>
        <v/>
      </c>
      <c r="F13">
        <f>INDEX(Curve!$L$16:$U$23,3,MATCH($B$4,Curve!$L$4:$U$4,0))</f>
        <v/>
      </c>
      <c r="G13">
        <f>Curve!$D$18</f>
        <v/>
      </c>
    </row>
    <row r="14">
      <c r="D14">
        <f>INDEX(Curve!$L$16:$U$23,3,MATCH($B$3,Curve!$L$4:$U$4,0))</f>
        <v/>
      </c>
      <c r="E14">
        <f>Curve!$D$19</f>
        <v/>
      </c>
      <c r="F14">
        <f>INDEX(Curve!$L$16:$U$23,3,MATCH($B$4,Curve!$L$4:$U$4,0))</f>
        <v/>
      </c>
      <c r="G14">
        <f>Curve!$D$19</f>
        <v/>
      </c>
    </row>
    <row r="15">
      <c r="D15">
        <f>INDEX(Curve!$L$16:$U$23,4,MATCH($B$3,Curve!$L$4:$U$4,0))</f>
        <v/>
      </c>
      <c r="E15">
        <f>Curve!$D$19</f>
        <v/>
      </c>
      <c r="F15">
        <f>INDEX(Curve!$L$16:$U$23,4,MATCH($B$4,Curve!$L$4:$U$4,0))</f>
        <v/>
      </c>
      <c r="G15">
        <f>Curve!$D$19</f>
        <v/>
      </c>
    </row>
    <row r="16">
      <c r="D16">
        <f>INDEX(Curve!$L$16:$U$23,4,MATCH($B$3,Curve!$L$4:$U$4,0))</f>
        <v/>
      </c>
      <c r="E16">
        <f>Curve!$D$20</f>
        <v/>
      </c>
      <c r="F16">
        <f>INDEX(Curve!$L$16:$U$23,4,MATCH($B$4,Curve!$L$4:$U$4,0))</f>
        <v/>
      </c>
      <c r="G16">
        <f>Curve!$D$20</f>
        <v/>
      </c>
    </row>
    <row r="17">
      <c r="D17">
        <f>INDEX(Curve!$L$16:$U$23,5,MATCH($B$3,Curve!$L$4:$U$4,0))</f>
        <v/>
      </c>
      <c r="E17">
        <f>Curve!$D$20</f>
        <v/>
      </c>
      <c r="F17">
        <f>INDEX(Curve!$L$16:$U$23,5,MATCH($B$4,Curve!$L$4:$U$4,0))</f>
        <v/>
      </c>
      <c r="G17">
        <f>Curve!$D$20</f>
        <v/>
      </c>
    </row>
    <row r="18">
      <c r="D18">
        <f>INDEX(Curve!$L$16:$U$23,5,MATCH($B$3,Curve!$L$4:$U$4,0))</f>
        <v/>
      </c>
      <c r="E18">
        <f>Curve!$D$21</f>
        <v/>
      </c>
      <c r="F18">
        <f>INDEX(Curve!$L$16:$U$23,5,MATCH($B$4,Curve!$L$4:$U$4,0))</f>
        <v/>
      </c>
      <c r="G18">
        <f>Curve!$D$21</f>
        <v/>
      </c>
    </row>
    <row r="19">
      <c r="D19">
        <f>INDEX(Curve!$L$16:$U$23,6,MATCH($B$3,Curve!$L$4:$U$4,0))</f>
        <v/>
      </c>
      <c r="E19">
        <f>Curve!$D$21</f>
        <v/>
      </c>
      <c r="F19">
        <f>INDEX(Curve!$L$16:$U$23,6,MATCH($B$4,Curve!$L$4:$U$4,0))</f>
        <v/>
      </c>
      <c r="G19">
        <f>Curve!$D$21</f>
        <v/>
      </c>
    </row>
    <row r="20">
      <c r="D20">
        <f>INDEX(Curve!$L$16:$U$23,6,MATCH($B$3,Curve!$L$4:$U$4,0))</f>
        <v/>
      </c>
      <c r="E20">
        <f>Curve!$D$22</f>
        <v/>
      </c>
      <c r="F20">
        <f>INDEX(Curve!$L$16:$U$23,6,MATCH($B$4,Curve!$L$4:$U$4,0))</f>
        <v/>
      </c>
      <c r="G20">
        <f>Curve!$D$22</f>
        <v/>
      </c>
    </row>
    <row r="21">
      <c r="D21">
        <f>INDEX(Curve!$L$16:$U$23,7,MATCH($B$3,Curve!$L$4:$U$4,0))</f>
        <v/>
      </c>
      <c r="E21">
        <f>Curve!$D$22</f>
        <v/>
      </c>
      <c r="F21">
        <f>INDEX(Curve!$L$16:$U$23,7,MATCH($B$4,Curve!$L$4:$U$4,0))</f>
        <v/>
      </c>
      <c r="G21">
        <f>Curve!$D$22</f>
        <v/>
      </c>
    </row>
    <row r="22">
      <c r="D22">
        <f>INDEX(Curve!$L$16:$U$23,7,MATCH($B$3,Curve!$L$4:$U$4,0))</f>
        <v/>
      </c>
      <c r="E22">
        <f>Curve!$D$23</f>
        <v/>
      </c>
      <c r="F22">
        <f>INDEX(Curve!$L$16:$U$23,7,MATCH($B$4,Curve!$L$4:$U$4,0))</f>
        <v/>
      </c>
      <c r="G22">
        <f>Curve!$D$23</f>
        <v/>
      </c>
    </row>
    <row r="23">
      <c r="D23">
        <f>INDEX(Curve!$L$16:$U$23,8,MATCH($B$3,Curve!$L$4:$U$4,0))</f>
        <v/>
      </c>
      <c r="E23">
        <f>Curve!$D$23</f>
        <v/>
      </c>
      <c r="F23">
        <f>INDEX(Curve!$L$16:$U$23,8,MATCH($B$4,Curve!$L$4:$U$4,0))</f>
        <v/>
      </c>
      <c r="G23">
        <f>Curve!$D$23</f>
        <v/>
      </c>
    </row>
    <row r="25">
      <c r="A25" s="3" t="inlineStr">
        <is>
          <t>Marginal breakeven by Key-question date ($/MMBtu HH; STEO growth + extra supply)</t>
        </is>
      </c>
    </row>
    <row r="26">
      <c r="A26" s="4" t="inlineStr">
        <is>
          <t>Year-end</t>
        </is>
      </c>
      <c r="B26" s="4" t="inlineStr">
        <is>
          <t>Base case</t>
        </is>
      </c>
      <c r="C26" s="4" t="inlineStr">
        <is>
          <t>LNG and takeaway delayed 6 months</t>
        </is>
      </c>
      <c r="D26" s="4" t="inlineStr">
        <is>
          <t>Henry Hub, last 12 months average</t>
        </is>
      </c>
    </row>
    <row r="27">
      <c r="A27" t="inlineStr">
        <is>
          <t>Dec 2026</t>
        </is>
      </c>
      <c r="B27">
        <f>IF(ISNUMBER(Mapping!K6),Mapping!K6,0)</f>
        <v/>
      </c>
      <c r="C27">
        <f>IF(ISNUMBER(Mapping!K10),Mapping!K10,0)</f>
        <v/>
      </c>
      <c r="D27">
        <f>$B$5</f>
        <v/>
      </c>
    </row>
    <row r="28">
      <c r="A28" t="inlineStr">
        <is>
          <t>Dec 2028</t>
        </is>
      </c>
      <c r="B28">
        <f>IF(ISNUMBER(Mapping!K7),Mapping!K7,0)</f>
        <v/>
      </c>
      <c r="C28">
        <f>IF(ISNUMBER(Mapping!K11),Mapping!K11,0)</f>
        <v/>
      </c>
      <c r="D28">
        <f>$B$5</f>
        <v/>
      </c>
    </row>
    <row r="29">
      <c r="A29" t="inlineStr">
        <is>
          <t>Dec 2030</t>
        </is>
      </c>
      <c r="B29">
        <f>IF(ISNUMBER(Mapping!K8),Mapping!K8,0)</f>
        <v/>
      </c>
      <c r="C29">
        <f>IF(ISNUMBER(Mapping!K12),Mapping!K12,0)</f>
        <v/>
      </c>
      <c r="D29">
        <f>$B$5</f>
        <v/>
      </c>
    </row>
    <row r="30">
      <c r="A30" t="inlineStr">
        <is>
          <t>Dec 2033</t>
        </is>
      </c>
      <c r="B30">
        <f>IF(ISNUMBER(Mapping!K9),Mapping!K9,0)</f>
        <v/>
      </c>
      <c r="C30">
        <f>IF(ISNUMBER(Mapping!K13),Mapping!K13,0)</f>
        <v/>
      </c>
      <c r="D30">
        <f>$B$5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What happened (Actions, 6 Oct 2026)</t>
        </is>
      </c>
    </row>
    <row r="2">
      <c r="A2" t="inlineStr">
        <is>
          <t>Comstock IR website www.comstockresources.com/investors/presentations</t>
        </is>
      </c>
      <c r="B2" t="inlineStr">
        <is>
          <t>HTTP 404 from Actions; ir.comstockresources.com does not resolve. The investor presentations ARE on investors.comstockresources.com/static-files/..., opened with curl_cffi (browser impersonation) - plain requests are refused.</t>
        </is>
      </c>
    </row>
    <row r="3">
      <c r="A3" t="inlineStr">
        <is>
          <t>Expand IR website investors.expandenergy.com</t>
        </is>
      </c>
      <c r="B3" t="inlineStr">
        <is>
          <t>plain requests read-timed out from Actions; the 3Q 2025 deck opened with curl_cffi. The 4Q25 and 2Q26 decks were not located (only the press releases, which carry no breakeven figure, were opened).</t>
        </is>
      </c>
    </row>
    <row r="4">
      <c r="A4" t="inlineStr">
        <is>
          <t>IEA Gas Market Report / World Energy Outlook US supply cost charts</t>
        </is>
      </c>
      <c r="B4" t="inlineStr">
        <is>
          <t>iea.org returned HTTP 403 from Actions (guessed report URL); no IEA document with Haynesville cost data opened.</t>
        </is>
      </c>
    </row>
    <row r="5">
      <c r="A5" t="inlineStr">
        <is>
          <t>Oxford Institute for Energy Studies</t>
        </is>
      </c>
      <c r="B5" t="inlineStr">
        <is>
          <t>oxfordenergy.org returned HTTP 403; a web search found no OIES Haynesville breakeven publication.</t>
        </is>
      </c>
    </row>
    <row r="6">
      <c r="A6" t="inlineStr">
        <is>
          <t>Baker Institute (Rice)</t>
        </is>
      </c>
      <c r="B6" t="inlineStr">
        <is>
          <t>site root opened but no Haynesville cost document found.</t>
        </is>
      </c>
    </row>
    <row r="7">
      <c r="A7" t="inlineStr">
        <is>
          <t>Kansas City Fed Energy Survey</t>
        </is>
      </c>
      <c r="B7" t="inlineStr">
        <is>
          <t>page opened; no Haynesville or gas-basin breakeven in the text. Dallas Fed: oil breakevens by basin only.</t>
        </is>
      </c>
    </row>
    <row r="8">
      <c r="A8" t="inlineStr">
        <is>
          <t>EIA 'Trends in U.S. Oil and Natural Gas Upstream Costs' (2016 edition)</t>
        </is>
      </c>
      <c r="B8" t="inlineStr">
        <is>
          <t>opened (8 MB PDF); oil-focused, no Haynesville gas breakeven. The AEO OGSM file served is the 2023 edition.</t>
        </is>
      </c>
    </row>
    <row r="9">
      <c r="A9" t="inlineStr">
        <is>
          <t>EIA 2023 study quoted by Evaluate Energy (13% of acreage profitable at $4, 72% at $8)</t>
        </is>
      </c>
      <c r="B9" t="inlineStr">
        <is>
          <t>underlying study not found; only the secondary quote was opened.</t>
        </is>
      </c>
    </row>
    <row r="10">
      <c r="A10" t="inlineStr">
        <is>
          <t>Aethon, BPX (BP), TG Natural Resources, other private/foreign-owned operators</t>
        </is>
      </c>
      <c r="B10" t="inlineStr">
        <is>
          <t>no public filings with inventory or breakeven; Aethon appears only through the secondary quote above. BP investor materials were not probed.</t>
        </is>
      </c>
    </row>
    <row r="11">
      <c r="A11" t="inlineStr">
        <is>
          <t>Rystad, Enverus, Kayrros, Wood Mackenzie curves</t>
        </is>
      </c>
      <c r="B11" t="inlineStr">
        <is>
          <t>paywalled; no public document with data opened. This is the gap the editable override columns are for.</t>
        </is>
      </c>
    </row>
    <row r="12">
      <c r="A12" t="inlineStr">
        <is>
          <t>Goodrich Petroleum</t>
        </is>
      </c>
      <c r="B12" t="inlineStr">
        <is>
          <t>acquired (2021); no current filings.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Claim seen</t>
        </is>
      </c>
      <c r="C1" t="inlineStr">
        <is>
          <t>Why not used</t>
        </is>
      </c>
    </row>
    <row r="2">
      <c r="A2" t="inlineStr">
        <is>
          <t>SNIPPET - unopened</t>
        </is>
      </c>
      <c r="B2" t="inlineStr">
        <is>
          <t>Expand: 'owns 72% of the lowest breakeven inventory in the Haynesville' and 'breakevens below $3 and &lt;$2.75'</t>
        </is>
      </c>
      <c r="C2" t="inlineStr">
        <is>
          <t>web-search result summary only (gurufocus / transcripts); the opened Expand deck above gives &lt;$2.75 but not the 72%</t>
        </is>
      </c>
    </row>
    <row r="3">
      <c r="A3" t="inlineStr">
        <is>
          <t>SNIPPET - unopened</t>
        </is>
      </c>
      <c r="B3" t="inlineStr">
        <is>
          <t>Comstock Q3 2024 Western Haynesville cost $2,814 per completed lateral foot; horseshoe $1,740 vs $2,270 per lateral foot; D&amp;C 24.8 Bcf EUR for 10,000-ft Gen II wells</t>
        </is>
      </c>
      <c r="C3" t="inlineStr">
        <is>
          <t>web-search result summaries; the Q3 2024 release (SEC 000095017024119021) was not opened</t>
        </is>
      </c>
    </row>
    <row r="4">
      <c r="A4" t="inlineStr">
        <is>
          <t>SNIPPET - unopened</t>
        </is>
      </c>
      <c r="B4" t="inlineStr">
        <is>
          <t>Comstock investor-presentation 'big hole' lateral at $1,306 per lateral foot (Q2 2026 call)</t>
        </is>
      </c>
      <c r="C4" t="inlineStr">
        <is>
          <t>the Nasdaq call summary was opened (secondary) and states it; not used in the model</t>
        </is>
      </c>
    </row>
    <row r="5">
      <c r="A5" t="inlineStr">
        <is>
          <t>SNIPPET - unopened</t>
        </is>
      </c>
      <c r="B5" t="inlineStr">
        <is>
          <t>Haynesville breakeven ~$3.75 / class-1 $3.21, class-2 $3.57 at 30% FCF / 'S&amp;P Global core acreage ~$3'</t>
        </is>
      </c>
      <c r="C5" t="inlineStr">
        <is>
          <t>search-result snippets from unnamed articles; not opened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Year</t>
        </is>
      </c>
      <c r="C1" t="inlineStr">
        <is>
          <t>STEO Haynesville growth</t>
        </is>
      </c>
      <c r="D1" t="inlineStr">
        <is>
          <t>Extra supply required</t>
        </is>
      </c>
      <c r="E1" t="inlineStr">
        <is>
          <t>Haynesville growth required (STEO + extra)</t>
        </is>
      </c>
      <c r="F1" t="inlineStr">
        <is>
          <t>Extra with layers up to Cameron LNG Train 4</t>
        </is>
      </c>
      <c r="G1" t="inlineStr">
        <is>
          <t>Extra with layers up to Woodside Louisiana LNG Phase 2</t>
        </is>
      </c>
      <c r="H1" t="inlineStr">
        <is>
          <t>Extra with layers up to Lake Charles LNG (SUSPENDED)</t>
        </is>
      </c>
      <c r="I1" t="inlineStr">
        <is>
          <t>Extra with layers up to Delfin FLNG vessels 2-3</t>
        </is>
      </c>
    </row>
    <row r="2">
      <c r="A2" t="inlineStr">
        <is>
          <t>Base</t>
        </is>
      </c>
      <c r="B2" t="n">
        <v>2026</v>
      </c>
      <c r="C2" t="n">
        <v>1.292483378659551</v>
      </c>
      <c r="D2" t="n">
        <v>0</v>
      </c>
      <c r="E2" t="n">
        <v>1.292483378659551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Base</t>
        </is>
      </c>
      <c r="B3" t="n">
        <v>2027</v>
      </c>
      <c r="C3" t="n">
        <v>2.361390669357295</v>
      </c>
      <c r="D3" t="n">
        <v>0</v>
      </c>
      <c r="E3" t="n">
        <v>2.361390669357295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Base</t>
        </is>
      </c>
      <c r="B4" t="n">
        <v>2028</v>
      </c>
      <c r="C4" t="n">
        <v>3.780631316469318</v>
      </c>
      <c r="D4" t="n">
        <v>1.052288830241309</v>
      </c>
      <c r="E4" t="n">
        <v>4.832920146710627</v>
      </c>
      <c r="F4" t="n">
        <v>1.052288830241309</v>
      </c>
      <c r="G4" t="n">
        <v>1.052288830241309</v>
      </c>
      <c r="H4" t="n">
        <v>1.052288830241309</v>
      </c>
      <c r="I4" t="n">
        <v>1.052288830241309</v>
      </c>
    </row>
    <row r="5">
      <c r="A5" t="inlineStr">
        <is>
          <t>Base</t>
        </is>
      </c>
      <c r="B5" t="n">
        <v>2029</v>
      </c>
      <c r="C5" t="n">
        <v>4.548448072942644</v>
      </c>
      <c r="D5" t="n">
        <v>1.679665574116402</v>
      </c>
      <c r="E5" t="n">
        <v>6.228113647059047</v>
      </c>
      <c r="F5" t="n">
        <v>1.679665574116402</v>
      </c>
      <c r="G5" t="n">
        <v>1.679665574116402</v>
      </c>
      <c r="H5" t="n">
        <v>1.679665574116402</v>
      </c>
      <c r="I5" t="n">
        <v>1.679665574116402</v>
      </c>
    </row>
    <row r="6">
      <c r="A6" t="inlineStr">
        <is>
          <t>Base</t>
        </is>
      </c>
      <c r="B6" t="n">
        <v>2030</v>
      </c>
      <c r="C6" t="n">
        <v>4.948098741414547</v>
      </c>
      <c r="D6" t="n">
        <v>4.674625153575999</v>
      </c>
      <c r="E6" t="n">
        <v>9.622723894990546</v>
      </c>
      <c r="F6" t="n">
        <v>4.674625153575999</v>
      </c>
      <c r="G6" t="n">
        <v>4.674625153575999</v>
      </c>
      <c r="H6" t="n">
        <v>4.674625153575999</v>
      </c>
      <c r="I6" t="n">
        <v>4.674625153575999</v>
      </c>
    </row>
    <row r="7">
      <c r="A7" t="inlineStr">
        <is>
          <t>Base</t>
        </is>
      </c>
      <c r="B7" t="n">
        <v>2031</v>
      </c>
      <c r="C7" t="n">
        <v>5.152021027665903</v>
      </c>
      <c r="D7" t="n">
        <v>6.679229138726917</v>
      </c>
      <c r="E7" t="n">
        <v>11.83125016639282</v>
      </c>
      <c r="F7" t="n">
        <v>7.746472608874308</v>
      </c>
      <c r="G7" t="n">
        <v>9.24261013691337</v>
      </c>
      <c r="H7" t="n">
        <v>11.47868524689338</v>
      </c>
      <c r="I7" t="n">
        <v>12.6496884988236</v>
      </c>
    </row>
    <row r="8">
      <c r="A8" t="inlineStr">
        <is>
          <t>Base</t>
        </is>
      </c>
      <c r="B8" t="n">
        <v>2032</v>
      </c>
      <c r="C8" t="n">
        <v>5.255027408404782</v>
      </c>
      <c r="D8" t="n">
        <v>6.500739308657634</v>
      </c>
      <c r="E8" t="n">
        <v>11.75576671706242</v>
      </c>
      <c r="F8" t="n">
        <v>7.567982778805025</v>
      </c>
      <c r="G8" t="n">
        <v>9.184662192989414</v>
      </c>
      <c r="H8" t="n">
        <v>11.60089501325218</v>
      </c>
      <c r="I8" t="n">
        <v>12.7718982651824</v>
      </c>
    </row>
    <row r="9">
      <c r="A9" t="inlineStr">
        <is>
          <t>Base</t>
        </is>
      </c>
      <c r="B9" t="n">
        <v>2033</v>
      </c>
      <c r="C9" t="n">
        <v>5.306794586947159</v>
      </c>
      <c r="D9" t="n">
        <v>6.454472645105385</v>
      </c>
      <c r="E9" t="n">
        <v>11.76126723205254</v>
      </c>
      <c r="F9" t="n">
        <v>7.521716115252776</v>
      </c>
      <c r="G9" t="n">
        <v>9.138395529437165</v>
      </c>
      <c r="H9" t="n">
        <v>11.55462834969993</v>
      </c>
      <c r="I9" t="n">
        <v>12.72563160163015</v>
      </c>
    </row>
    <row r="10">
      <c r="A10" t="inlineStr">
        <is>
          <t>LNG and takeaway delayed 6 months</t>
        </is>
      </c>
      <c r="B10" t="n">
        <v>2026</v>
      </c>
      <c r="C10" t="n">
        <v>1.292483378659551</v>
      </c>
      <c r="D10" t="n">
        <v>0</v>
      </c>
      <c r="E10" t="n">
        <v>1.292483378659551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LNG and takeaway delayed 6 months</t>
        </is>
      </c>
      <c r="B11" t="n">
        <v>2027</v>
      </c>
      <c r="C11" t="n">
        <v>2.361390669357295</v>
      </c>
      <c r="D11" t="n">
        <v>0</v>
      </c>
      <c r="E11" t="n">
        <v>2.361390669357295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LNG and takeaway delayed 6 months</t>
        </is>
      </c>
      <c r="B12" t="n">
        <v>2028</v>
      </c>
      <c r="C12" t="n">
        <v>3.780631316469318</v>
      </c>
      <c r="D12" t="n">
        <v>0</v>
      </c>
      <c r="E12" t="n">
        <v>3.780631316469318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LNG and takeaway delayed 6 months</t>
        </is>
      </c>
      <c r="B13" t="n">
        <v>2029</v>
      </c>
      <c r="C13" t="n">
        <v>4.548448072942644</v>
      </c>
      <c r="D13" t="n">
        <v>0</v>
      </c>
      <c r="E13" t="n">
        <v>4.548448072942644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LNG and takeaway delayed 6 months</t>
        </is>
      </c>
      <c r="B14" t="n">
        <v>2030</v>
      </c>
      <c r="C14" t="n">
        <v>4.948098741414547</v>
      </c>
      <c r="D14" t="n">
        <v>1.567470103852932</v>
      </c>
      <c r="E14" t="n">
        <v>6.515568845267479</v>
      </c>
      <c r="F14" t="n">
        <v>1.567470103852932</v>
      </c>
      <c r="G14" t="n">
        <v>1.567470103852932</v>
      </c>
      <c r="H14" t="n">
        <v>1.567470103852932</v>
      </c>
      <c r="I14" t="n">
        <v>1.567470103852932</v>
      </c>
    </row>
    <row r="15">
      <c r="A15" t="inlineStr">
        <is>
          <t>LNG and takeaway delayed 6 months</t>
        </is>
      </c>
      <c r="B15" t="n">
        <v>2031</v>
      </c>
      <c r="C15" t="n">
        <v>5.152021027665903</v>
      </c>
      <c r="D15" t="n">
        <v>6.314116834714952</v>
      </c>
      <c r="E15" t="n">
        <v>11.46613786238085</v>
      </c>
      <c r="F15" t="n">
        <v>7.381360304862342</v>
      </c>
      <c r="G15" t="n">
        <v>8.877497832901405</v>
      </c>
      <c r="H15" t="n">
        <v>11.11357294288142</v>
      </c>
      <c r="I15" t="n">
        <v>12.28457619481163</v>
      </c>
    </row>
    <row r="16">
      <c r="A16" t="inlineStr">
        <is>
          <t>LNG and takeaway delayed 6 months</t>
        </is>
      </c>
      <c r="B16" t="n">
        <v>2032</v>
      </c>
      <c r="C16" t="n">
        <v>5.255027408404782</v>
      </c>
      <c r="D16" t="n">
        <v>6.500739308657634</v>
      </c>
      <c r="E16" t="n">
        <v>11.75576671706242</v>
      </c>
      <c r="F16" t="n">
        <v>7.567982778805025</v>
      </c>
      <c r="G16" t="n">
        <v>9.184662192989414</v>
      </c>
      <c r="H16" t="n">
        <v>11.60089501325218</v>
      </c>
      <c r="I16" t="n">
        <v>12.7718982651824</v>
      </c>
    </row>
    <row r="17">
      <c r="A17" t="inlineStr">
        <is>
          <t>LNG and takeaway delayed 6 months</t>
        </is>
      </c>
      <c r="B17" t="n">
        <v>2033</v>
      </c>
      <c r="C17" t="n">
        <v>5.306794586947159</v>
      </c>
      <c r="D17" t="n">
        <v>6.454472645105385</v>
      </c>
      <c r="E17" t="n">
        <v>11.76126723205254</v>
      </c>
      <c r="F17" t="n">
        <v>7.521716115252776</v>
      </c>
      <c r="G17" t="n">
        <v>9.138395529437165</v>
      </c>
      <c r="H17" t="n">
        <v>11.55462834969993</v>
      </c>
      <c r="I17" t="n">
        <v>12.72563160163015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Henry Hub average (USD/MMBtu)</t>
        </is>
      </c>
    </row>
    <row r="2">
      <c r="A2" t="inlineStr">
        <is>
          <t>Last daily spot (29 Sep 2026)</t>
        </is>
      </c>
      <c r="B2" t="n">
        <v>3.18</v>
      </c>
    </row>
    <row r="3">
      <c r="A3" t="inlineStr">
        <is>
          <t>Last 12 months average</t>
        </is>
      </c>
      <c r="B3" t="n">
        <v>3.549514170040486</v>
      </c>
    </row>
    <row r="4">
      <c r="A4" t="inlineStr">
        <is>
          <t>Last 12 months min</t>
        </is>
      </c>
      <c r="B4" t="n">
        <v>2.54</v>
      </c>
    </row>
    <row r="5">
      <c r="A5" t="inlineStr">
        <is>
          <t>Last 12 months max</t>
        </is>
      </c>
      <c r="B5" t="n">
        <v>30.72</v>
      </c>
    </row>
    <row r="6">
      <c r="A6" t="inlineStr">
        <is>
          <t>2025 average</t>
        </is>
      </c>
      <c r="B6" t="n">
        <v>3.516129032258065</v>
      </c>
    </row>
    <row r="7">
      <c r="A7" t="inlineStr">
        <is>
          <t>2024 average</t>
        </is>
      </c>
      <c r="B7" t="n">
        <v>2.190478087649403</v>
      </c>
    </row>
    <row r="8">
      <c r="A8" t="inlineStr">
        <is>
          <t>Jan 2021 - latest average</t>
        </is>
      </c>
      <c r="B8" t="n">
        <v>3.687677824267782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Tier (sorted by breakeven)</t>
        </is>
      </c>
      <c r="C1" t="inlineStr">
        <is>
          <t>Breakeven $/MMBtu HH</t>
        </is>
      </c>
      <c r="D1" t="inlineStr">
        <is>
          <t>Developable locations</t>
        </is>
      </c>
      <c r="E1" t="inlineStr">
        <is>
          <t>Cumulative locations</t>
        </is>
      </c>
      <c r="F1" t="inlineStr">
        <is>
          <t>Developable lateral (1,000 ft)</t>
        </is>
      </c>
      <c r="G1" t="inlineStr">
        <is>
          <t>EUR (Bcf per 1,000 ft)</t>
        </is>
      </c>
      <c r="H1" t="inlineStr">
        <is>
          <t>Developable EUR (Tcf)</t>
        </is>
      </c>
      <c r="I1" t="inlineStr">
        <is>
          <t>Capacity H=1 (Bcf/d)</t>
        </is>
      </c>
      <c r="J1" t="inlineStr">
        <is>
          <t>Capacity H=2 (Bcf/d)</t>
        </is>
      </c>
      <c r="K1" t="inlineStr">
        <is>
          <t>Capacity H=3 (Bcf/d)</t>
        </is>
      </c>
      <c r="L1" t="inlineStr">
        <is>
          <t>Capacity H=4 (Bcf/d)</t>
        </is>
      </c>
      <c r="M1" t="inlineStr">
        <is>
          <t>Capacity H=5 (Bcf/d)</t>
        </is>
      </c>
      <c r="N1" t="inlineStr">
        <is>
          <t>Capacity H=6 (Bcf/d)</t>
        </is>
      </c>
      <c r="O1" t="inlineStr">
        <is>
          <t>Capacity H=7 (Bcf/d)</t>
        </is>
      </c>
      <c r="P1" t="inlineStr">
        <is>
          <t>Capacity H=8 (Bcf/d)</t>
        </is>
      </c>
      <c r="Q1" t="inlineStr">
        <is>
          <t>Capacity H=9 (Bcf/d)</t>
        </is>
      </c>
      <c r="R1" t="inlineStr">
        <is>
          <t>Capacity H=10 (Bcf/d)</t>
        </is>
      </c>
      <c r="S1" t="inlineStr">
        <is>
          <t>Cumulative capacity H=1 (Bcf/d)</t>
        </is>
      </c>
      <c r="T1" t="inlineStr">
        <is>
          <t>Cumulative capacity H=2 (Bcf/d)</t>
        </is>
      </c>
      <c r="U1" t="inlineStr">
        <is>
          <t>Cumulative capacity H=3 (Bcf/d)</t>
        </is>
      </c>
      <c r="V1" t="inlineStr">
        <is>
          <t>Cumulative capacity H=4 (Bcf/d)</t>
        </is>
      </c>
      <c r="W1" t="inlineStr">
        <is>
          <t>Cumulative capacity H=5 (Bcf/d)</t>
        </is>
      </c>
      <c r="X1" t="inlineStr">
        <is>
          <t>Cumulative capacity H=6 (Bcf/d)</t>
        </is>
      </c>
      <c r="Y1" t="inlineStr">
        <is>
          <t>Cumulative capacity H=7 (Bcf/d)</t>
        </is>
      </c>
      <c r="Z1" t="inlineStr">
        <is>
          <t>Cumulative capacity H=8 (Bcf/d)</t>
        </is>
      </c>
      <c r="AA1" t="inlineStr">
        <is>
          <t>Cumulative capacity H=9 (Bcf/d)</t>
        </is>
      </c>
      <c r="AB1" t="inlineStr">
        <is>
          <t>Cumulative capacity H=10 (Bcf/d)</t>
        </is>
      </c>
    </row>
    <row r="2">
      <c r="A2" t="n">
        <v>1</v>
      </c>
      <c r="B2" t="inlineStr">
        <is>
          <t>Legacy Tier 1 (BEG)</t>
        </is>
      </c>
      <c r="C2" t="n">
        <v>2.342980821447023</v>
      </c>
      <c r="D2" t="n">
        <v>2260</v>
      </c>
      <c r="E2" t="n">
        <v>2260</v>
      </c>
      <c r="F2" t="n">
        <v>10848</v>
      </c>
      <c r="G2" t="n">
        <v>1.98015475367812</v>
      </c>
      <c r="H2" t="n">
        <v>21.48071876790025</v>
      </c>
      <c r="I2" t="n">
        <v>25.41106849315068</v>
      </c>
      <c r="J2" t="n">
        <v>17.30633913351923</v>
      </c>
      <c r="K2" t="n">
        <v>13.43426176395255</v>
      </c>
      <c r="L2" t="n">
        <v>11.0558901461586</v>
      </c>
      <c r="M2" t="n">
        <v>9.41620548729874</v>
      </c>
      <c r="N2" t="n">
        <v>8.206512789087377</v>
      </c>
      <c r="O2" t="n">
        <v>7.272912922443244</v>
      </c>
      <c r="P2" t="n">
        <v>6.528686336506216</v>
      </c>
      <c r="Q2" t="n">
        <v>5.920694357770929</v>
      </c>
      <c r="R2" t="n">
        <v>5.414318155196774</v>
      </c>
      <c r="S2" t="n">
        <v>25.41106849315068</v>
      </c>
      <c r="T2" t="n">
        <v>17.30633913351923</v>
      </c>
      <c r="U2" t="n">
        <v>13.43426176395255</v>
      </c>
      <c r="V2" t="n">
        <v>11.0558901461586</v>
      </c>
      <c r="W2" t="n">
        <v>9.41620548729874</v>
      </c>
      <c r="X2" t="n">
        <v>8.206512789087377</v>
      </c>
      <c r="Y2" t="n">
        <v>7.272912922443244</v>
      </c>
      <c r="Z2" t="n">
        <v>6.528686336506216</v>
      </c>
      <c r="AA2" t="n">
        <v>5.920694357770929</v>
      </c>
      <c r="AB2" t="n">
        <v>5.414318155196774</v>
      </c>
    </row>
    <row r="3">
      <c r="A3" t="n">
        <v>2</v>
      </c>
      <c r="B3" t="inlineStr">
        <is>
          <t>Legacy Tier 2 (BEG)</t>
        </is>
      </c>
      <c r="C3" t="n">
        <v>2.801618388039235</v>
      </c>
      <c r="D3" t="n">
        <v>1976</v>
      </c>
      <c r="E3" t="n">
        <v>4236</v>
      </c>
      <c r="F3" t="n">
        <v>9484.799999999999</v>
      </c>
      <c r="G3" t="n">
        <v>1.47884975274695</v>
      </c>
      <c r="H3" t="n">
        <v>14.02659413485427</v>
      </c>
      <c r="I3" t="n">
        <v>16.59305482920062</v>
      </c>
      <c r="J3" t="n">
        <v>11.30078549088275</v>
      </c>
      <c r="K3" t="n">
        <v>8.77237578967539</v>
      </c>
      <c r="L3" t="n">
        <v>7.219334024867</v>
      </c>
      <c r="M3" t="n">
        <v>6.148644004319682</v>
      </c>
      <c r="N3" t="n">
        <v>5.358732424123236</v>
      </c>
      <c r="O3" t="n">
        <v>4.749105411393095</v>
      </c>
      <c r="P3" t="n">
        <v>4.263136371990817</v>
      </c>
      <c r="Q3" t="n">
        <v>3.866126531905265</v>
      </c>
      <c r="R3" t="n">
        <v>3.535470302483817</v>
      </c>
      <c r="S3" t="n">
        <v>42.0041233223513</v>
      </c>
      <c r="T3" t="n">
        <v>28.60712462440198</v>
      </c>
      <c r="U3" t="n">
        <v>22.20663755362794</v>
      </c>
      <c r="V3" t="n">
        <v>18.2752241710256</v>
      </c>
      <c r="W3" t="n">
        <v>15.56484949161842</v>
      </c>
      <c r="X3" t="n">
        <v>13.56524521321061</v>
      </c>
      <c r="Y3" t="n">
        <v>12.02201833383634</v>
      </c>
      <c r="Z3" t="n">
        <v>10.79182270849703</v>
      </c>
      <c r="AA3" t="n">
        <v>9.786820889676195</v>
      </c>
      <c r="AB3" t="n">
        <v>8.949788457680592</v>
      </c>
    </row>
    <row r="4">
      <c r="A4" t="n">
        <v>3</v>
      </c>
      <c r="B4" t="inlineStr">
        <is>
          <t>Legacy Tier 3 (BEG)</t>
        </is>
      </c>
      <c r="C4" t="n">
        <v>3.365232997651441</v>
      </c>
      <c r="D4" t="n">
        <v>3320</v>
      </c>
      <c r="E4" t="n">
        <v>7556</v>
      </c>
      <c r="F4" t="n">
        <v>15936</v>
      </c>
      <c r="G4" t="n">
        <v>1.127936252095131</v>
      </c>
      <c r="H4" t="n">
        <v>17.97479211338802</v>
      </c>
      <c r="I4" t="n">
        <v>21.26365874804924</v>
      </c>
      <c r="J4" t="n">
        <v>14.48172435615421</v>
      </c>
      <c r="K4" t="n">
        <v>11.24161928718781</v>
      </c>
      <c r="L4" t="n">
        <v>9.251428183242382</v>
      </c>
      <c r="M4" t="n">
        <v>7.879360926416665</v>
      </c>
      <c r="N4" t="n">
        <v>6.867105470424857</v>
      </c>
      <c r="O4" t="n">
        <v>6.085880982485833</v>
      </c>
      <c r="P4" t="n">
        <v>5.463121645984253</v>
      </c>
      <c r="Q4" t="n">
        <v>4.954361695143815</v>
      </c>
      <c r="R4" t="n">
        <v>4.530632532689582</v>
      </c>
      <c r="S4" t="n">
        <v>63.26778207040054</v>
      </c>
      <c r="T4" t="n">
        <v>43.08884898055619</v>
      </c>
      <c r="U4" t="n">
        <v>33.44825684081575</v>
      </c>
      <c r="V4" t="n">
        <v>27.52665235426798</v>
      </c>
      <c r="W4" t="n">
        <v>23.44421041803509</v>
      </c>
      <c r="X4" t="n">
        <v>20.43235068363547</v>
      </c>
      <c r="Y4" t="n">
        <v>18.10789931632217</v>
      </c>
      <c r="Z4" t="n">
        <v>16.25494435448129</v>
      </c>
      <c r="AA4" t="n">
        <v>14.74118258482001</v>
      </c>
      <c r="AB4" t="n">
        <v>13.48042099037017</v>
      </c>
    </row>
    <row r="5">
      <c r="A5" t="n">
        <v>4</v>
      </c>
      <c r="B5" t="inlineStr">
        <is>
          <t>Legacy Tier 4 (BEG)</t>
        </is>
      </c>
      <c r="C5" t="n">
        <v>4.228954087706511</v>
      </c>
      <c r="D5" t="n">
        <v>2940</v>
      </c>
      <c r="E5" t="n">
        <v>10496</v>
      </c>
      <c r="F5" t="n">
        <v>14112</v>
      </c>
      <c r="G5" t="n">
        <v>0.8271532515364297</v>
      </c>
      <c r="H5" t="n">
        <v>11.6727866856821</v>
      </c>
      <c r="I5" t="n">
        <v>13.80856875325125</v>
      </c>
      <c r="J5" t="n">
        <v>9.404396901165205</v>
      </c>
      <c r="K5" t="n">
        <v>7.300280476860515</v>
      </c>
      <c r="L5" t="n">
        <v>6.007855169599571</v>
      </c>
      <c r="M5" t="n">
        <v>5.116837999203111</v>
      </c>
      <c r="N5" t="n">
        <v>4.459481745251805</v>
      </c>
      <c r="O5" t="n">
        <v>3.952156445252848</v>
      </c>
      <c r="P5" t="n">
        <v>3.547738032753629</v>
      </c>
      <c r="Q5" t="n">
        <v>3.217350546605441</v>
      </c>
      <c r="R5" t="n">
        <v>2.942181849541789</v>
      </c>
      <c r="S5" t="n">
        <v>77.07635082365179</v>
      </c>
      <c r="T5" t="n">
        <v>52.4932458817214</v>
      </c>
      <c r="U5" t="n">
        <v>40.74853731767627</v>
      </c>
      <c r="V5" t="n">
        <v>33.53450752386755</v>
      </c>
      <c r="W5" t="n">
        <v>28.5610484172382</v>
      </c>
      <c r="X5" t="n">
        <v>24.89183242888727</v>
      </c>
      <c r="Y5" t="n">
        <v>22.06005576157502</v>
      </c>
      <c r="Z5" t="n">
        <v>19.80268238723491</v>
      </c>
      <c r="AA5" t="n">
        <v>17.95853313142545</v>
      </c>
      <c r="AB5" t="n">
        <v>16.42260283991196</v>
      </c>
    </row>
    <row r="6">
      <c r="A6" t="n">
        <v>5</v>
      </c>
      <c r="B6" t="inlineStr">
        <is>
          <t>Western Haynesville - Comstock operated</t>
        </is>
      </c>
      <c r="C6" t="n">
        <v>4.247861013944739</v>
      </c>
      <c r="D6" t="n">
        <v>3277</v>
      </c>
      <c r="E6" t="n">
        <v>13773</v>
      </c>
      <c r="F6" t="n">
        <v>29083.375</v>
      </c>
      <c r="G6" t="n">
        <v>1.98015475367812</v>
      </c>
      <c r="H6" t="n">
        <v>57.58958325925339</v>
      </c>
      <c r="I6" t="n">
        <v>68.12680993150686</v>
      </c>
      <c r="J6" t="n">
        <v>46.39811494259909</v>
      </c>
      <c r="K6" t="n">
        <v>36.01711584893008</v>
      </c>
      <c r="L6" t="n">
        <v>29.64072631632886</v>
      </c>
      <c r="M6" t="n">
        <v>25.24474882597409</v>
      </c>
      <c r="N6" t="n">
        <v>22.00157530303504</v>
      </c>
      <c r="O6" t="n">
        <v>19.49860378556073</v>
      </c>
      <c r="P6" t="n">
        <v>17.50334006102382</v>
      </c>
      <c r="Q6" t="n">
        <v>15.8733198992843</v>
      </c>
      <c r="R6" t="n">
        <v>14.5157305749351</v>
      </c>
      <c r="S6" t="n">
        <v>145.2031607551586</v>
      </c>
      <c r="T6" t="n">
        <v>98.89136082432049</v>
      </c>
      <c r="U6" t="n">
        <v>76.76565316660634</v>
      </c>
      <c r="V6" t="n">
        <v>63.17523384019641</v>
      </c>
      <c r="W6" t="n">
        <v>53.80579724321228</v>
      </c>
      <c r="X6" t="n">
        <v>46.89340773192231</v>
      </c>
      <c r="Y6" t="n">
        <v>41.55865954713575</v>
      </c>
      <c r="Z6" t="n">
        <v>37.30602244825874</v>
      </c>
      <c r="AA6" t="n">
        <v>33.83185303070975</v>
      </c>
      <c r="AB6" t="n">
        <v>30.93833341484707</v>
      </c>
    </row>
    <row r="7">
      <c r="A7" t="n">
        <v>6</v>
      </c>
      <c r="B7" t="inlineStr">
        <is>
          <t>Western Haynesville - Expand prospective</t>
        </is>
      </c>
      <c r="C7" t="n">
        <v>4.247861013944739</v>
      </c>
      <c r="D7" t="n">
        <v>200</v>
      </c>
      <c r="E7" t="n">
        <v>13973</v>
      </c>
      <c r="F7" t="n">
        <v>2000</v>
      </c>
      <c r="G7" t="n">
        <v>1.98015475367812</v>
      </c>
      <c r="H7" t="n">
        <v>3.96030950735624</v>
      </c>
      <c r="I7" t="n">
        <v>4.684931506849315</v>
      </c>
      <c r="J7" t="n">
        <v>3.190696742905463</v>
      </c>
      <c r="K7" t="n">
        <v>2.476818171820161</v>
      </c>
      <c r="L7" t="n">
        <v>2.038327829306527</v>
      </c>
      <c r="M7" t="n">
        <v>1.736026085416434</v>
      </c>
      <c r="N7" t="n">
        <v>1.513000145480711</v>
      </c>
      <c r="O7" t="n">
        <v>1.34087627626166</v>
      </c>
      <c r="P7" t="n">
        <v>1.203666359975335</v>
      </c>
      <c r="Q7" t="n">
        <v>1.091573443541838</v>
      </c>
      <c r="R7" t="n">
        <v>0.9982149991144497</v>
      </c>
      <c r="S7" t="n">
        <v>149.888092262008</v>
      </c>
      <c r="T7" t="n">
        <v>102.0820575672259</v>
      </c>
      <c r="U7" t="n">
        <v>79.2424713384265</v>
      </c>
      <c r="V7" t="n">
        <v>65.21356166950294</v>
      </c>
      <c r="W7" t="n">
        <v>55.54182332862872</v>
      </c>
      <c r="X7" t="n">
        <v>48.40640787740302</v>
      </c>
      <c r="Y7" t="n">
        <v>42.89953582339741</v>
      </c>
      <c r="Z7" t="n">
        <v>38.50968880823407</v>
      </c>
      <c r="AA7" t="n">
        <v>34.92342647425159</v>
      </c>
      <c r="AB7" t="n">
        <v>31.93654841396151</v>
      </c>
    </row>
    <row r="8">
      <c r="A8" t="n">
        <v>7</v>
      </c>
      <c r="B8" t="inlineStr">
        <is>
          <t>Legacy Tier 5 (BEG)</t>
        </is>
      </c>
      <c r="C8" t="n">
        <v>5.443561870596453</v>
      </c>
      <c r="D8" t="n">
        <v>3320</v>
      </c>
      <c r="E8" t="n">
        <v>17293</v>
      </c>
      <c r="F8" t="n">
        <v>15936</v>
      </c>
      <c r="G8" t="n">
        <v>0.6015660011174034</v>
      </c>
      <c r="H8" t="n">
        <v>9.586555793806941</v>
      </c>
      <c r="I8" t="n">
        <v>11.3406179989596</v>
      </c>
      <c r="J8" t="n">
        <v>7.723586323282246</v>
      </c>
      <c r="K8" t="n">
        <v>5.995530286500164</v>
      </c>
      <c r="L8" t="n">
        <v>4.934095031062603</v>
      </c>
      <c r="M8" t="n">
        <v>4.202325827422221</v>
      </c>
      <c r="N8" t="n">
        <v>3.662456250893257</v>
      </c>
      <c r="O8" t="n">
        <v>3.24580319065911</v>
      </c>
      <c r="P8" t="n">
        <v>2.913664877858268</v>
      </c>
      <c r="Q8" t="n">
        <v>2.642326237410035</v>
      </c>
      <c r="R8" t="n">
        <v>2.416337350767777</v>
      </c>
      <c r="S8" t="n">
        <v>161.2287102609676</v>
      </c>
      <c r="T8" t="n">
        <v>109.8056438905082</v>
      </c>
      <c r="U8" t="n">
        <v>85.23800162492667</v>
      </c>
      <c r="V8" t="n">
        <v>70.14765670056553</v>
      </c>
      <c r="W8" t="n">
        <v>59.74414915605094</v>
      </c>
      <c r="X8" t="n">
        <v>52.06886412829628</v>
      </c>
      <c r="Y8" t="n">
        <v>46.14533901405652</v>
      </c>
      <c r="Z8" t="n">
        <v>41.42335368609234</v>
      </c>
      <c r="AA8" t="n">
        <v>37.56575271166162</v>
      </c>
      <c r="AB8" t="n">
        <v>34.35288576472929</v>
      </c>
    </row>
    <row r="9">
      <c r="A9" t="n">
        <v>8</v>
      </c>
      <c r="B9" t="inlineStr">
        <is>
          <t>Legacy Tier 6 (BEG)</t>
        </is>
      </c>
      <c r="C9" t="n">
        <v>8.624677492451063</v>
      </c>
      <c r="D9" t="n">
        <v>3216</v>
      </c>
      <c r="E9" t="n">
        <v>20509</v>
      </c>
      <c r="F9" t="n">
        <v>15436.8</v>
      </c>
      <c r="G9" t="n">
        <v>0.3509135006518186</v>
      </c>
      <c r="H9" t="n">
        <v>5.416981526861994</v>
      </c>
      <c r="I9" t="n">
        <v>6.408132339171145</v>
      </c>
      <c r="J9" t="n">
        <v>4.364291548939004</v>
      </c>
      <c r="K9" t="n">
        <v>3.387835788395875</v>
      </c>
      <c r="L9" t="n">
        <v>2.788060927190796</v>
      </c>
      <c r="M9" t="n">
        <v>2.374567244651833</v>
      </c>
      <c r="N9" t="n">
        <v>2.069508411649322</v>
      </c>
      <c r="O9" t="n">
        <v>1.834074333035088</v>
      </c>
      <c r="P9" t="n">
        <v>1.646396177970515</v>
      </c>
      <c r="Q9" t="n">
        <v>1.493073500416032</v>
      </c>
      <c r="R9" t="n">
        <v>1.365376165674804</v>
      </c>
      <c r="S9" t="n">
        <v>167.6368426001387</v>
      </c>
      <c r="T9" t="n">
        <v>114.1699354394472</v>
      </c>
      <c r="U9" t="n">
        <v>88.62583741332254</v>
      </c>
      <c r="V9" t="n">
        <v>72.93571762775633</v>
      </c>
      <c r="W9" t="n">
        <v>62.11871640070277</v>
      </c>
      <c r="X9" t="n">
        <v>54.1383725399456</v>
      </c>
      <c r="Y9" t="n">
        <v>47.97941334709161</v>
      </c>
      <c r="Z9" t="n">
        <v>43.06974986406286</v>
      </c>
      <c r="AA9" t="n">
        <v>39.05882621207765</v>
      </c>
      <c r="AB9" t="n">
        <v>35.7182619304041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Year-end</t>
        </is>
      </c>
      <c r="C1" t="inlineStr">
        <is>
          <t>H (years)</t>
        </is>
      </c>
      <c r="D1" t="inlineStr">
        <is>
          <t>STEO Haynesville growth</t>
        </is>
      </c>
      <c r="E1" t="inlineStr">
        <is>
          <t>Extra supply required</t>
        </is>
      </c>
      <c r="F1" t="inlineStr">
        <is>
          <t>Extra with layers up to Cameron LNG Train 4</t>
        </is>
      </c>
      <c r="G1" t="inlineStr">
        <is>
          <t>Extra with layers up to Woodside Louisiana LNG Phase 2</t>
        </is>
      </c>
      <c r="H1" t="inlineStr">
        <is>
          <t>Extra with layers up to Lake Charles LNG (SUSPENDED)</t>
        </is>
      </c>
      <c r="I1" t="inlineStr">
        <is>
          <t>Extra with layers up to Delfin FLNG vessels 2-3</t>
        </is>
      </c>
      <c r="J1" t="inlineStr">
        <is>
          <t>Marginal breakeven - extra supply alone</t>
        </is>
      </c>
      <c r="K1" t="inlineStr">
        <is>
          <t>Marginal breakeven - STEO growth + extra</t>
        </is>
      </c>
      <c r="L1" t="inlineStr">
        <is>
          <t>Marginal breakeven - STEO growth + layers up to Cameron LNG Train 4</t>
        </is>
      </c>
      <c r="M1" t="inlineStr">
        <is>
          <t>Marginal breakeven - STEO growth + layers up to Woodside Louisiana LNG Phase 2</t>
        </is>
      </c>
      <c r="N1" t="inlineStr">
        <is>
          <t>Marginal breakeven - STEO growth + layers up to Lake Charles LNG (SUSPENDED)</t>
        </is>
      </c>
      <c r="O1" t="inlineStr">
        <is>
          <t>Marginal breakeven - STEO growth + layers up to Delfin FLNG vessels 2-3</t>
        </is>
      </c>
    </row>
    <row r="2">
      <c r="A2" t="inlineStr">
        <is>
          <t>Base</t>
        </is>
      </c>
      <c r="B2" t="inlineStr">
        <is>
          <t>Dec 2026</t>
        </is>
      </c>
      <c r="C2" t="n">
        <v>1</v>
      </c>
      <c r="D2" t="n">
        <v>1.292483378659551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K2" t="n">
        <v>2.342980821447023</v>
      </c>
      <c r="L2" t="n">
        <v>2.342980821447023</v>
      </c>
      <c r="M2" t="n">
        <v>2.342980821447023</v>
      </c>
      <c r="N2" t="n">
        <v>2.342980821447023</v>
      </c>
      <c r="O2" t="n">
        <v>2.342980821447023</v>
      </c>
    </row>
    <row r="3">
      <c r="A3" t="inlineStr">
        <is>
          <t>Base</t>
        </is>
      </c>
      <c r="B3" t="inlineStr">
        <is>
          <t>Dec 2028</t>
        </is>
      </c>
      <c r="C3" t="n">
        <v>3</v>
      </c>
      <c r="D3" t="n">
        <v>3.780631316469318</v>
      </c>
      <c r="E3" t="n">
        <v>1.052288830241309</v>
      </c>
      <c r="F3" t="n">
        <v>1.052288830241309</v>
      </c>
      <c r="G3" t="n">
        <v>1.052288830241309</v>
      </c>
      <c r="H3" t="n">
        <v>1.052288830241309</v>
      </c>
      <c r="I3" t="n">
        <v>1.052288830241309</v>
      </c>
      <c r="J3" t="n">
        <v>2.342980821447023</v>
      </c>
      <c r="K3" t="n">
        <v>2.342980821447023</v>
      </c>
      <c r="L3" t="n">
        <v>2.342980821447023</v>
      </c>
      <c r="M3" t="n">
        <v>2.342980821447023</v>
      </c>
      <c r="N3" t="n">
        <v>2.342980821447023</v>
      </c>
      <c r="O3" t="n">
        <v>2.342980821447023</v>
      </c>
    </row>
    <row r="4">
      <c r="A4" t="inlineStr">
        <is>
          <t>Base</t>
        </is>
      </c>
      <c r="B4" t="inlineStr">
        <is>
          <t>Dec 2030</t>
        </is>
      </c>
      <c r="C4" t="n">
        <v>5</v>
      </c>
      <c r="D4" t="n">
        <v>4.948098741414547</v>
      </c>
      <c r="E4" t="n">
        <v>4.674625153575999</v>
      </c>
      <c r="F4" t="n">
        <v>4.674625153575999</v>
      </c>
      <c r="G4" t="n">
        <v>4.674625153575999</v>
      </c>
      <c r="H4" t="n">
        <v>4.674625153575999</v>
      </c>
      <c r="I4" t="n">
        <v>4.674625153575999</v>
      </c>
      <c r="J4" t="n">
        <v>2.342980821447023</v>
      </c>
      <c r="K4" t="n">
        <v>2.801618388039235</v>
      </c>
      <c r="L4" t="n">
        <v>2.801618388039235</v>
      </c>
      <c r="M4" t="n">
        <v>2.801618388039235</v>
      </c>
      <c r="N4" t="n">
        <v>2.801618388039235</v>
      </c>
      <c r="O4" t="n">
        <v>2.801618388039235</v>
      </c>
    </row>
    <row r="5">
      <c r="A5" t="inlineStr">
        <is>
          <t>Base</t>
        </is>
      </c>
      <c r="B5" t="inlineStr">
        <is>
          <t>Dec 2033</t>
        </is>
      </c>
      <c r="C5" t="n">
        <v>8</v>
      </c>
      <c r="D5" t="n">
        <v>5.306794586947159</v>
      </c>
      <c r="E5" t="n">
        <v>6.454472645105385</v>
      </c>
      <c r="F5" t="n">
        <v>7.521716115252776</v>
      </c>
      <c r="G5" t="n">
        <v>9.138395529437165</v>
      </c>
      <c r="H5" t="n">
        <v>11.55462834969993</v>
      </c>
      <c r="I5" t="n">
        <v>12.72563160163015</v>
      </c>
      <c r="J5" t="n">
        <v>2.342980821447023</v>
      </c>
      <c r="K5" t="n">
        <v>3.365232997651441</v>
      </c>
      <c r="L5" t="n">
        <v>3.365232997651441</v>
      </c>
      <c r="M5" t="n">
        <v>3.365232997651441</v>
      </c>
      <c r="N5" t="n">
        <v>4.228954087706511</v>
      </c>
      <c r="O5" t="n">
        <v>4.228954087706511</v>
      </c>
    </row>
    <row r="6">
      <c r="A6" t="inlineStr">
        <is>
          <t>LNG and takeaway delayed 6 months</t>
        </is>
      </c>
      <c r="B6" t="inlineStr">
        <is>
          <t>Dec 2026</t>
        </is>
      </c>
      <c r="C6" t="n">
        <v>1</v>
      </c>
      <c r="D6" t="n">
        <v>1.292483378659551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K6" t="n">
        <v>2.342980821447023</v>
      </c>
      <c r="L6" t="n">
        <v>2.342980821447023</v>
      </c>
      <c r="M6" t="n">
        <v>2.342980821447023</v>
      </c>
      <c r="N6" t="n">
        <v>2.342980821447023</v>
      </c>
      <c r="O6" t="n">
        <v>2.342980821447023</v>
      </c>
    </row>
    <row r="7">
      <c r="A7" t="inlineStr">
        <is>
          <t>LNG and takeaway delayed 6 months</t>
        </is>
      </c>
      <c r="B7" t="inlineStr">
        <is>
          <t>Dec 2028</t>
        </is>
      </c>
      <c r="C7" t="n">
        <v>3</v>
      </c>
      <c r="D7" t="n">
        <v>3.780631316469318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K7" t="n">
        <v>2.342980821447023</v>
      </c>
      <c r="L7" t="n">
        <v>2.342980821447023</v>
      </c>
      <c r="M7" t="n">
        <v>2.342980821447023</v>
      </c>
      <c r="N7" t="n">
        <v>2.342980821447023</v>
      </c>
      <c r="O7" t="n">
        <v>2.342980821447023</v>
      </c>
    </row>
    <row r="8">
      <c r="A8" t="inlineStr">
        <is>
          <t>LNG and takeaway delayed 6 months</t>
        </is>
      </c>
      <c r="B8" t="inlineStr">
        <is>
          <t>Dec 2030</t>
        </is>
      </c>
      <c r="C8" t="n">
        <v>5</v>
      </c>
      <c r="D8" t="n">
        <v>4.948098741414547</v>
      </c>
      <c r="E8" t="n">
        <v>1.567470103852932</v>
      </c>
      <c r="F8" t="n">
        <v>1.567470103852932</v>
      </c>
      <c r="G8" t="n">
        <v>1.567470103852932</v>
      </c>
      <c r="H8" t="n">
        <v>1.567470103852932</v>
      </c>
      <c r="I8" t="n">
        <v>1.567470103852932</v>
      </c>
      <c r="J8" t="n">
        <v>2.342980821447023</v>
      </c>
      <c r="K8" t="n">
        <v>2.342980821447023</v>
      </c>
      <c r="L8" t="n">
        <v>2.342980821447023</v>
      </c>
      <c r="M8" t="n">
        <v>2.342980821447023</v>
      </c>
      <c r="N8" t="n">
        <v>2.342980821447023</v>
      </c>
      <c r="O8" t="n">
        <v>2.342980821447023</v>
      </c>
    </row>
    <row r="9">
      <c r="A9" t="inlineStr">
        <is>
          <t>LNG and takeaway delayed 6 months</t>
        </is>
      </c>
      <c r="B9" t="inlineStr">
        <is>
          <t>Dec 2033</t>
        </is>
      </c>
      <c r="C9" t="n">
        <v>8</v>
      </c>
      <c r="D9" t="n">
        <v>5.306794586947159</v>
      </c>
      <c r="E9" t="n">
        <v>6.454472645105385</v>
      </c>
      <c r="F9" t="n">
        <v>7.521716115252776</v>
      </c>
      <c r="G9" t="n">
        <v>9.138395529437165</v>
      </c>
      <c r="H9" t="n">
        <v>11.55462834969993</v>
      </c>
      <c r="I9" t="n">
        <v>12.72563160163015</v>
      </c>
      <c r="J9" t="n">
        <v>2.342980821447023</v>
      </c>
      <c r="K9" t="n">
        <v>3.365232997651441</v>
      </c>
      <c r="L9" t="n">
        <v>3.365232997651441</v>
      </c>
      <c r="M9" t="n">
        <v>3.365232997651441</v>
      </c>
      <c r="N9" t="n">
        <v>4.228954087706511</v>
      </c>
      <c r="O9" t="n">
        <v>4.228954087706511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Henry Hub monthly average</t>
        </is>
      </c>
    </row>
    <row r="2">
      <c r="A2" s="10" t="n">
        <v>44197</v>
      </c>
      <c r="B2" t="n">
        <v>2.712631578947368</v>
      </c>
    </row>
    <row r="3">
      <c r="A3" s="10" t="n">
        <v>44228</v>
      </c>
      <c r="B3" t="n">
        <v>5.353684210526316</v>
      </c>
    </row>
    <row r="4">
      <c r="A4" s="10" t="n">
        <v>44256</v>
      </c>
      <c r="B4" t="n">
        <v>2.618260869565217</v>
      </c>
    </row>
    <row r="5">
      <c r="A5" s="10" t="n">
        <v>44287</v>
      </c>
      <c r="B5" t="n">
        <v>2.662857142857143</v>
      </c>
    </row>
    <row r="6">
      <c r="A6" s="10" t="n">
        <v>44317</v>
      </c>
      <c r="B6" t="n">
        <v>2.9125</v>
      </c>
    </row>
    <row r="7">
      <c r="A7" s="10" t="n">
        <v>44348</v>
      </c>
      <c r="B7" t="n">
        <v>3.258181818181818</v>
      </c>
    </row>
    <row r="8">
      <c r="A8" s="10" t="n">
        <v>44378</v>
      </c>
      <c r="B8" t="n">
        <v>3.840476190476191</v>
      </c>
    </row>
    <row r="9">
      <c r="A9" s="10" t="n">
        <v>44409</v>
      </c>
      <c r="B9" t="n">
        <v>4.074090909090909</v>
      </c>
    </row>
    <row r="10">
      <c r="A10" s="10" t="n">
        <v>44440</v>
      </c>
      <c r="B10" t="n">
        <v>5.161428571428571</v>
      </c>
    </row>
    <row r="11">
      <c r="A11" s="10" t="n">
        <v>44470</v>
      </c>
      <c r="B11" t="n">
        <v>5.513809523809523</v>
      </c>
    </row>
    <row r="12">
      <c r="A12" s="10" t="n">
        <v>44501</v>
      </c>
      <c r="B12" t="n">
        <v>5.0505</v>
      </c>
    </row>
    <row r="13">
      <c r="A13" s="10" t="n">
        <v>44531</v>
      </c>
      <c r="B13" t="n">
        <v>3.757727272727273</v>
      </c>
    </row>
    <row r="14">
      <c r="A14" s="10" t="n">
        <v>44562</v>
      </c>
      <c r="B14" t="n">
        <v>4.383</v>
      </c>
    </row>
    <row r="15">
      <c r="A15" s="10" t="n">
        <v>44593</v>
      </c>
      <c r="B15" t="n">
        <v>4.691578947368421</v>
      </c>
    </row>
    <row r="16">
      <c r="A16" s="10" t="n">
        <v>44621</v>
      </c>
      <c r="B16" t="n">
        <v>4.898260869565218</v>
      </c>
    </row>
    <row r="17">
      <c r="A17" s="10" t="n">
        <v>44652</v>
      </c>
      <c r="B17" t="n">
        <v>6.595999999999999</v>
      </c>
    </row>
    <row r="18">
      <c r="A18" s="10" t="n">
        <v>44682</v>
      </c>
      <c r="B18" t="n">
        <v>8.144761904761904</v>
      </c>
    </row>
    <row r="19">
      <c r="A19" s="10" t="n">
        <v>44713</v>
      </c>
      <c r="B19" t="n">
        <v>7.703333333333334</v>
      </c>
    </row>
    <row r="20">
      <c r="A20" s="10" t="n">
        <v>44743</v>
      </c>
      <c r="B20" t="n">
        <v>7.2845</v>
      </c>
    </row>
    <row r="21">
      <c r="A21" s="10" t="n">
        <v>44774</v>
      </c>
      <c r="B21" t="n">
        <v>8.805652173913044</v>
      </c>
    </row>
    <row r="22">
      <c r="A22" s="10" t="n">
        <v>44805</v>
      </c>
      <c r="B22" t="n">
        <v>7.880476190476191</v>
      </c>
    </row>
    <row r="23">
      <c r="A23" s="10" t="n">
        <v>44835</v>
      </c>
      <c r="B23" t="n">
        <v>5.6605</v>
      </c>
    </row>
    <row r="24">
      <c r="A24" s="10" t="n">
        <v>44866</v>
      </c>
      <c r="B24" t="n">
        <v>5.450952380952381</v>
      </c>
    </row>
    <row r="25">
      <c r="A25" s="10" t="n">
        <v>44896</v>
      </c>
      <c r="B25" t="n">
        <v>5.52952380952381</v>
      </c>
    </row>
    <row r="26">
      <c r="A26" s="10" t="n">
        <v>44927</v>
      </c>
      <c r="B26" t="n">
        <v>3.273000000000001</v>
      </c>
    </row>
    <row r="27">
      <c r="A27" s="10" t="n">
        <v>44958</v>
      </c>
      <c r="B27" t="n">
        <v>2.380526315789473</v>
      </c>
    </row>
    <row r="28">
      <c r="A28" s="10" t="n">
        <v>44986</v>
      </c>
      <c r="B28" t="n">
        <v>2.305652173913043</v>
      </c>
    </row>
    <row r="29">
      <c r="A29" s="10" t="n">
        <v>45017</v>
      </c>
      <c r="B29" t="n">
        <v>2.163157894736842</v>
      </c>
    </row>
    <row r="30">
      <c r="A30" s="10" t="n">
        <v>45047</v>
      </c>
      <c r="B30" t="n">
        <v>2.146818181818182</v>
      </c>
    </row>
    <row r="31">
      <c r="A31" s="10" t="n">
        <v>45078</v>
      </c>
      <c r="B31" t="n">
        <v>2.177142857142857</v>
      </c>
    </row>
    <row r="32">
      <c r="A32" s="10" t="n">
        <v>45108</v>
      </c>
      <c r="B32" t="n">
        <v>2.551</v>
      </c>
    </row>
    <row r="33">
      <c r="A33" s="10" t="n">
        <v>45139</v>
      </c>
      <c r="B33" t="n">
        <v>2.58304347826087</v>
      </c>
    </row>
    <row r="34">
      <c r="A34" s="10" t="n">
        <v>45170</v>
      </c>
      <c r="B34" t="n">
        <v>2.6365</v>
      </c>
    </row>
    <row r="35">
      <c r="A35" s="10" t="n">
        <v>45200</v>
      </c>
      <c r="B35" t="n">
        <v>2.981428571428571</v>
      </c>
    </row>
    <row r="36">
      <c r="A36" s="10" t="n">
        <v>45231</v>
      </c>
      <c r="B36" t="n">
        <v>2.707619047619048</v>
      </c>
    </row>
    <row r="37">
      <c r="A37" s="10" t="n">
        <v>45261</v>
      </c>
      <c r="B37" t="n">
        <v>2.523</v>
      </c>
    </row>
    <row r="38">
      <c r="A38" s="10" t="n">
        <v>45292</v>
      </c>
      <c r="B38" t="n">
        <v>3.176190476190476</v>
      </c>
    </row>
    <row r="39">
      <c r="A39" s="10" t="n">
        <v>45323</v>
      </c>
      <c r="B39" t="n">
        <v>1.7215</v>
      </c>
    </row>
    <row r="40">
      <c r="A40" s="10" t="n">
        <v>45352</v>
      </c>
      <c r="B40" t="n">
        <v>1.493</v>
      </c>
    </row>
    <row r="41">
      <c r="A41" s="10" t="n">
        <v>45383</v>
      </c>
      <c r="B41" t="n">
        <v>1.599090909090909</v>
      </c>
    </row>
    <row r="42">
      <c r="A42" s="10" t="n">
        <v>45413</v>
      </c>
      <c r="B42" t="n">
        <v>2.120454545454546</v>
      </c>
    </row>
    <row r="43">
      <c r="A43" s="10" t="n">
        <v>45444</v>
      </c>
      <c r="B43" t="n">
        <v>2.53578947368421</v>
      </c>
    </row>
    <row r="44">
      <c r="A44" s="10" t="n">
        <v>45474</v>
      </c>
      <c r="B44" t="n">
        <v>2.075454545454545</v>
      </c>
    </row>
    <row r="45">
      <c r="A45" s="10" t="n">
        <v>45505</v>
      </c>
      <c r="B45" t="n">
        <v>1.990454545454545</v>
      </c>
    </row>
    <row r="46">
      <c r="A46" s="10" t="n">
        <v>45536</v>
      </c>
      <c r="B46" t="n">
        <v>2.276</v>
      </c>
    </row>
    <row r="47">
      <c r="A47" s="10" t="n">
        <v>45566</v>
      </c>
      <c r="B47" t="n">
        <v>2.199090909090909</v>
      </c>
    </row>
    <row r="48">
      <c r="A48" s="10" t="n">
        <v>45597</v>
      </c>
      <c r="B48" t="n">
        <v>2.117</v>
      </c>
    </row>
    <row r="49">
      <c r="A49" s="10" t="n">
        <v>45627</v>
      </c>
      <c r="B49" t="n">
        <v>3.005714285714286</v>
      </c>
    </row>
    <row r="50">
      <c r="A50" s="10" t="n">
        <v>45658</v>
      </c>
      <c r="B50" t="n">
        <v>4.126190476190477</v>
      </c>
    </row>
    <row r="51">
      <c r="A51" s="10" t="n">
        <v>45689</v>
      </c>
      <c r="B51" t="n">
        <v>4.188947368421053</v>
      </c>
    </row>
    <row r="52">
      <c r="A52" s="10" t="n">
        <v>45717</v>
      </c>
      <c r="B52" t="n">
        <v>4.12</v>
      </c>
    </row>
    <row r="53">
      <c r="A53" s="10" t="n">
        <v>45748</v>
      </c>
      <c r="B53" t="n">
        <v>3.423333333333333</v>
      </c>
    </row>
    <row r="54">
      <c r="A54" s="10" t="n">
        <v>45778</v>
      </c>
      <c r="B54" t="n">
        <v>3.118571428571428</v>
      </c>
    </row>
    <row r="55">
      <c r="A55" s="10" t="n">
        <v>45809</v>
      </c>
      <c r="B55" t="n">
        <v>3.024</v>
      </c>
    </row>
    <row r="56">
      <c r="A56" s="10" t="n">
        <v>45839</v>
      </c>
      <c r="B56" t="n">
        <v>3.201363636363637</v>
      </c>
    </row>
    <row r="57">
      <c r="A57" s="10" t="n">
        <v>45870</v>
      </c>
      <c r="B57" t="n">
        <v>2.912857142857143</v>
      </c>
    </row>
    <row r="58">
      <c r="A58" s="10" t="n">
        <v>45901</v>
      </c>
      <c r="B58" t="n">
        <v>2.974285714285714</v>
      </c>
    </row>
    <row r="59">
      <c r="A59" s="10" t="n">
        <v>45931</v>
      </c>
      <c r="B59" t="n">
        <v>3.186086956521739</v>
      </c>
    </row>
    <row r="60">
      <c r="A60" s="10" t="n">
        <v>45962</v>
      </c>
      <c r="B60" t="n">
        <v>3.794117647058823</v>
      </c>
    </row>
    <row r="61">
      <c r="A61" s="10" t="n">
        <v>45992</v>
      </c>
      <c r="B61" t="n">
        <v>4.263809523809524</v>
      </c>
    </row>
    <row r="62">
      <c r="A62" s="10" t="n">
        <v>46023</v>
      </c>
      <c r="B62" t="n">
        <v>7.717894736842105</v>
      </c>
    </row>
    <row r="63">
      <c r="A63" s="10" t="n">
        <v>46054</v>
      </c>
      <c r="B63" t="n">
        <v>3.621578947368421</v>
      </c>
    </row>
    <row r="64">
      <c r="A64" s="10" t="n">
        <v>46082</v>
      </c>
      <c r="B64" t="n">
        <v>3.044090909090909</v>
      </c>
    </row>
    <row r="65">
      <c r="A65" s="10" t="n">
        <v>46113</v>
      </c>
      <c r="B65" t="n">
        <v>2.767619047619048</v>
      </c>
    </row>
    <row r="66">
      <c r="A66" s="10" t="n">
        <v>46143</v>
      </c>
      <c r="B66" t="n">
        <v>2.9385</v>
      </c>
    </row>
    <row r="67">
      <c r="A67" s="10" t="n">
        <v>46174</v>
      </c>
      <c r="B67" t="n">
        <v>3.144761904761905</v>
      </c>
    </row>
    <row r="68">
      <c r="A68" s="10" t="n">
        <v>46204</v>
      </c>
      <c r="B68" t="n">
        <v>2.887272727272727</v>
      </c>
    </row>
    <row r="69">
      <c r="A69" s="10" t="n">
        <v>46235</v>
      </c>
      <c r="B69" t="n">
        <v>2.785238095238095</v>
      </c>
    </row>
    <row r="70">
      <c r="A70" s="10" t="n">
        <v>46266</v>
      </c>
      <c r="B70" t="n">
        <v>2.9465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BEG legacy inventory left</t>
        </is>
      </c>
      <c r="B1" t="inlineStr">
        <is>
          <t>Western Haynesville productivity vs Tier 1</t>
        </is>
      </c>
      <c r="C1" t="inlineStr">
        <is>
          <t>Base Dec 2030: STEO + extra</t>
        </is>
      </c>
      <c r="D1" t="inlineStr">
        <is>
          <t>Base Dec 2030: STEO + extra with all layers</t>
        </is>
      </c>
      <c r="E1" t="inlineStr">
        <is>
          <t>Base Dec 2033: STEO + extra</t>
        </is>
      </c>
      <c r="F1" t="inlineStr">
        <is>
          <t>Base Dec 2033: STEO + extra with all layers</t>
        </is>
      </c>
      <c r="G1" t="inlineStr">
        <is>
          <t>Delayed Dec 2033: STEO + extra</t>
        </is>
      </c>
      <c r="H1" t="inlineStr">
        <is>
          <t>Delayed Dec 2033: STEO + extra with all layers</t>
        </is>
      </c>
    </row>
    <row r="2">
      <c r="A2" t="n">
        <v>1</v>
      </c>
      <c r="B2" t="n">
        <v>0.8</v>
      </c>
      <c r="C2" t="n">
        <v>2.801618388039235</v>
      </c>
      <c r="D2" t="n">
        <v>2.801618388039235</v>
      </c>
      <c r="E2" t="n">
        <v>3.365232997651441</v>
      </c>
      <c r="F2" t="n">
        <v>4.228954087706511</v>
      </c>
      <c r="G2" t="n">
        <v>3.365232997651441</v>
      </c>
      <c r="H2" t="n">
        <v>4.228954087706511</v>
      </c>
    </row>
    <row r="3">
      <c r="A3" t="n">
        <v>1</v>
      </c>
      <c r="B3" t="n">
        <v>1</v>
      </c>
      <c r="C3" t="n">
        <v>2.801618388039235</v>
      </c>
      <c r="D3" t="n">
        <v>2.801618388039235</v>
      </c>
      <c r="E3" t="n">
        <v>3.365232997651441</v>
      </c>
      <c r="F3" t="n">
        <v>4.228954087706511</v>
      </c>
      <c r="G3" t="n">
        <v>3.365232997651441</v>
      </c>
      <c r="H3" t="n">
        <v>4.228954087706511</v>
      </c>
    </row>
    <row r="4">
      <c r="A4" t="n">
        <v>1</v>
      </c>
      <c r="B4" t="n">
        <v>1.17</v>
      </c>
      <c r="C4" t="n">
        <v>2.801618388039235</v>
      </c>
      <c r="D4" t="n">
        <v>2.801618388039235</v>
      </c>
      <c r="E4" t="n">
        <v>3.365232997651441</v>
      </c>
      <c r="F4" t="n">
        <v>3.774496593115162</v>
      </c>
      <c r="G4" t="n">
        <v>3.365232997651441</v>
      </c>
      <c r="H4" t="n">
        <v>3.774496593115162</v>
      </c>
    </row>
    <row r="5">
      <c r="A5" t="n">
        <v>0.5</v>
      </c>
      <c r="B5" t="n">
        <v>0.8</v>
      </c>
      <c r="C5" t="n">
        <v>3.365232997651441</v>
      </c>
      <c r="D5" t="n">
        <v>3.365232997651441</v>
      </c>
      <c r="E5" t="n">
        <v>5.062326267430924</v>
      </c>
      <c r="F5" t="n">
        <v>5.062326267430924</v>
      </c>
      <c r="G5" t="n">
        <v>5.062326267430924</v>
      </c>
      <c r="H5" t="n">
        <v>5.062326267430924</v>
      </c>
    </row>
    <row r="6">
      <c r="A6" t="n">
        <v>0.5</v>
      </c>
      <c r="B6" t="n">
        <v>1</v>
      </c>
      <c r="C6" t="n">
        <v>3.365232997651441</v>
      </c>
      <c r="D6" t="n">
        <v>3.365232997651441</v>
      </c>
      <c r="E6" t="n">
        <v>4.247861013944739</v>
      </c>
      <c r="F6" t="n">
        <v>4.247861013944739</v>
      </c>
      <c r="G6" t="n">
        <v>4.247861013944739</v>
      </c>
      <c r="H6" t="n">
        <v>4.247861013944739</v>
      </c>
    </row>
    <row r="7">
      <c r="A7" t="n">
        <v>0.5</v>
      </c>
      <c r="B7" t="n">
        <v>1.17</v>
      </c>
      <c r="C7" t="n">
        <v>3.365232997651441</v>
      </c>
      <c r="D7" t="n">
        <v>3.365232997651441</v>
      </c>
      <c r="E7" t="n">
        <v>3.774496593115162</v>
      </c>
      <c r="F7" t="n">
        <v>3.774496593115162</v>
      </c>
      <c r="G7" t="n">
        <v>3.774496593115162</v>
      </c>
      <c r="H7" t="n">
        <v>3.774496593115162</v>
      </c>
    </row>
    <row r="8">
      <c r="A8" t="n">
        <v>0.25</v>
      </c>
      <c r="B8" t="n">
        <v>0.8</v>
      </c>
      <c r="C8" t="n">
        <v>5.062326267430924</v>
      </c>
      <c r="D8" t="n">
        <v>5.062326267430924</v>
      </c>
      <c r="E8" t="n">
        <v>5.062326267430924</v>
      </c>
      <c r="F8" t="n">
        <v>5.062326267430924</v>
      </c>
      <c r="G8" t="n">
        <v>5.062326267430924</v>
      </c>
      <c r="H8" t="n">
        <v>5.062326267430924</v>
      </c>
    </row>
    <row r="9">
      <c r="A9" t="n">
        <v>0.25</v>
      </c>
      <c r="B9" t="n">
        <v>1</v>
      </c>
      <c r="C9" t="n">
        <v>4.247861013944739</v>
      </c>
      <c r="D9" t="n">
        <v>4.247861013944739</v>
      </c>
      <c r="E9" t="n">
        <v>4.247861013944739</v>
      </c>
      <c r="F9" t="n">
        <v>4.247861013944739</v>
      </c>
      <c r="G9" t="n">
        <v>4.247861013944739</v>
      </c>
      <c r="H9" t="n">
        <v>4.247861013944739</v>
      </c>
    </row>
    <row r="10">
      <c r="A10" t="n">
        <v>0.25</v>
      </c>
      <c r="B10" t="n">
        <v>1.17</v>
      </c>
      <c r="C10" t="n">
        <v>3.774496593115162</v>
      </c>
      <c r="D10" t="n">
        <v>3.774496593115162</v>
      </c>
      <c r="E10" t="n">
        <v>3.774496593115162</v>
      </c>
      <c r="F10" t="n">
        <v>3.774496593115162</v>
      </c>
      <c r="G10" t="n">
        <v>3.774496593115162</v>
      </c>
      <c r="H10" t="n">
        <v>3.774496593115162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2026-10-06T00:55:38Z</dcterms:created>
  <dcterms:modified xsi:type="dcterms:W3CDTF">2026-10-06T00:55:39Z</dcterms:modified>
</cp:coreProperties>
</file>