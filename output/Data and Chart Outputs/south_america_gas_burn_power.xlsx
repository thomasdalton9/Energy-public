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Argentina" sheetId="3" state="visible" r:id="rId3"/>
    <sheet name="Chart - Brazil" sheetId="4" state="visible" r:id="rId4"/>
    <sheet name="Chart - Bolivia" sheetId="5" state="visible" r:id="rId5"/>
    <sheet name="Chart - Colombia" sheetId="6" state="visible" r:id="rId6"/>
    <sheet name="Chart - Peru" sheetId="7" state="visible" r:id="rId7"/>
    <sheet name="Chart - Dominican Republic" sheetId="8" state="visible" r:id="rId8"/>
    <sheet name="Chart - Puerto Rico" sheetId="9" state="visible" r:id="rId9"/>
    <sheet name="Chart - Heat rates" sheetId="10" state="visible" r:id="rId10"/>
    <sheet name="Monthly (Bcf per day)" sheetId="11" state="visible" r:id="rId11"/>
    <sheet name="Total coverage" sheetId="12" state="visible" r:id="rId12"/>
    <sheet name="Monthly mcm per day" sheetId="13" state="visible" r:id="rId13"/>
    <sheet name="Status" sheetId="14" state="visible" r:id="rId14"/>
    <sheet name="Heat rates" sheetId="15" state="visible" r:id="rId15"/>
    <sheet name="Detail" sheetId="16" state="visible" r:id="rId16"/>
    <sheet name="Countries" sheetId="17" state="visible" r:id="rId17"/>
    <sheet name="Back-test" sheetId="18" state="visible" r:id="rId18"/>
    <sheet name="Back-test serie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Gas burn for power by country, South &amp; Central America + Caribbean (latest months estimated)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'Chart'!$B$2:$B$69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'Chart'!$C$2:$C$69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'Chart'!$D$2:$D$69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'Chart'!$E$2:$E$69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'Chart'!$F$2:$F$69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'Chart'!$G$2:$G$69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'Chart'!$H$2:$H$69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'Chart'!$I$2:$I$69</f>
            </numRef>
          </val>
        </ser>
        <gapWidth val="30"/>
        <overlap val="100"/>
        <axId val="10"/>
        <axId val="100"/>
      </barChart>
      <lineChart>
        <grouping val="standard"/>
        <ser>
          <idx val="8"/>
          <order val="8"/>
          <tx>
            <strRef>
              <f>'Chart'!J1</f>
            </strRef>
          </tx>
          <spPr>
            <a:ln w="28575">
              <a:solidFill>
                <a:srgbClr val="25252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'Chart'!$A$2:$A$69</f>
            </numRef>
          </cat>
          <val>
            <numRef>
              <f>'Chart'!$J$2:$J$69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Argentina gas burn for power: published vs estimate from gas-fired output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Argentina'!B1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Argentina'!$A$2:$A$71</f>
            </numRef>
          </cat>
          <val>
            <numRef>
              <f>'Chart - Argentina'!$B$2:$B$71</f>
            </numRef>
          </val>
          <smooth val="0"/>
        </ser>
        <ser>
          <idx val="1"/>
          <order val="1"/>
          <tx>
            <strRef>
              <f>'Chart - Argentina'!C1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Argentina'!$A$2:$A$71</f>
            </numRef>
          </cat>
          <val>
            <numRef>
              <f>'Chart - Argentina'!$C$2:$C$71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Brazil gas burn for power: published vs estimate from gas-fired output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Brazil'!B1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Brazil'!$A$2:$A$71</f>
            </numRef>
          </cat>
          <val>
            <numRef>
              <f>'Chart - Brazil'!$B$2:$B$71</f>
            </numRef>
          </val>
          <smooth val="0"/>
        </ser>
        <ser>
          <idx val="1"/>
          <order val="1"/>
          <tx>
            <strRef>
              <f>'Chart - Brazil'!C1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Brazil'!$A$2:$A$71</f>
            </numRef>
          </cat>
          <val>
            <numRef>
              <f>'Chart - Brazil'!$C$2:$C$71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Bolivia gas burn for power: published vs estimate from gas-fired output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Bolivia'!B1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Bolivia'!$A$2:$A$71</f>
            </numRef>
          </cat>
          <val>
            <numRef>
              <f>'Chart - Bolivia'!$B$2:$B$71</f>
            </numRef>
          </val>
          <smooth val="0"/>
        </ser>
        <ser>
          <idx val="1"/>
          <order val="1"/>
          <tx>
            <strRef>
              <f>'Chart - Bolivia'!C1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Bolivia'!$A$2:$A$71</f>
            </numRef>
          </cat>
          <val>
            <numRef>
              <f>'Chart - Bolivia'!$C$2:$C$71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Colombia gas burn for power: published vs estimate from gas-fired output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Colombia'!B1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Colombia'!$A$2:$A$70</f>
            </numRef>
          </cat>
          <val>
            <numRef>
              <f>'Chart - Colombia'!$B$2:$B$70</f>
            </numRef>
          </val>
          <smooth val="0"/>
        </ser>
        <ser>
          <idx val="1"/>
          <order val="1"/>
          <tx>
            <strRef>
              <f>'Chart - Colombia'!C1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Colombia'!$A$2:$A$70</f>
            </numRef>
          </cat>
          <val>
            <numRef>
              <f>'Chart - Colombia'!$C$2:$C$70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Peru gas burn for power: published vs estimate from gas-fired output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Peru'!B1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Peru'!$A$2:$A$71</f>
            </numRef>
          </cat>
          <val>
            <numRef>
              <f>'Chart - Peru'!$B$2:$B$71</f>
            </numRef>
          </val>
          <smooth val="0"/>
        </ser>
        <ser>
          <idx val="1"/>
          <order val="1"/>
          <tx>
            <strRef>
              <f>'Chart - Peru'!C1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Peru'!$A$2:$A$71</f>
            </numRef>
          </cat>
          <val>
            <numRef>
              <f>'Chart - Peru'!$C$2:$C$71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Dominican Republic gas burn for power: published vs estimate from gas-fired output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Dominican Republic'!B1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Dominican Republic'!$A$2:$A$71</f>
            </numRef>
          </cat>
          <val>
            <numRef>
              <f>'Chart - Dominican Republic'!$B$2:$B$71</f>
            </numRef>
          </val>
          <smooth val="0"/>
        </ser>
        <ser>
          <idx val="1"/>
          <order val="1"/>
          <tx>
            <strRef>
              <f>'Chart - Dominican Republic'!C1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Dominican Republic'!$A$2:$A$71</f>
            </numRef>
          </cat>
          <val>
            <numRef>
              <f>'Chart - Dominican Republic'!$C$2:$C$71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Puerto Rico gas burn for power: published vs estimate from gas-fired output (to Aug/26)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Puerto Rico'!B1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Puerto Rico'!$A$2:$A$69</f>
            </numRef>
          </cat>
          <val>
            <numRef>
              <f>'Chart - Puerto Rico'!$B$2:$B$69</f>
            </numRef>
          </val>
          <smooth val="0"/>
        </ser>
        <ser>
          <idx val="1"/>
          <order val="1"/>
          <tx>
            <strRef>
              <f>'Chart - Puerto Rico'!C1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Puerto Rico'!$A$2:$A$69</f>
            </numRef>
          </cat>
          <val>
            <numRef>
              <f>'Chart - Puerto Rico'!$C$2:$C$69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Effective heat rate of gas-fired power by country (published gas / gas-fired MWh)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Heat rates'!B1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Heat rates'!$A$2:$A$70</f>
            </numRef>
          </cat>
          <val>
            <numRef>
              <f>'Chart - Heat rates'!$B$2:$B$70</f>
            </numRef>
          </val>
          <smooth val="0"/>
        </ser>
        <ser>
          <idx val="1"/>
          <order val="1"/>
          <tx>
            <strRef>
              <f>'Chart - Heat rates'!C1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Heat rates'!$A$2:$A$70</f>
            </numRef>
          </cat>
          <val>
            <numRef>
              <f>'Chart - Heat rates'!$C$2:$C$70</f>
            </numRef>
          </val>
          <smooth val="0"/>
        </ser>
        <ser>
          <idx val="2"/>
          <order val="2"/>
          <tx>
            <strRef>
              <f>'Chart - Heat rates'!D1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Heat rates'!$A$2:$A$70</f>
            </numRef>
          </cat>
          <val>
            <numRef>
              <f>'Chart - Heat rates'!$D$2:$D$70</f>
            </numRef>
          </val>
          <smooth val="0"/>
        </ser>
        <ser>
          <idx val="3"/>
          <order val="3"/>
          <tx>
            <strRef>
              <f>'Chart - Heat rates'!E1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Heat rates'!$A$2:$A$70</f>
            </numRef>
          </cat>
          <val>
            <numRef>
              <f>'Chart - Heat rates'!$E$2:$E$70</f>
            </numRef>
          </val>
          <smooth val="0"/>
        </ser>
        <ser>
          <idx val="4"/>
          <order val="4"/>
          <tx>
            <strRef>
              <f>'Chart - Heat rates'!F1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Heat rates'!$A$2:$A$70</f>
            </numRef>
          </cat>
          <val>
            <numRef>
              <f>'Chart - Heat rates'!$F$2:$F$70</f>
            </numRef>
          </val>
          <smooth val="0"/>
        </ser>
        <ser>
          <idx val="5"/>
          <order val="5"/>
          <tx>
            <strRef>
              <f>'Chart - Heat rates'!G1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Heat rates'!$A$2:$A$70</f>
            </numRef>
          </cat>
          <val>
            <numRef>
              <f>'Chart - Heat rates'!$G$2:$G$70</f>
            </numRef>
          </val>
          <smooth val="0"/>
        </ser>
        <ser>
          <idx val="6"/>
          <order val="6"/>
          <tx>
            <strRef>
              <f>'Chart - Heat rates'!H1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Heat rates'!$A$2:$A$70</f>
            </numRef>
          </cat>
          <val>
            <numRef>
              <f>'Chart - Heat rates'!$H$2:$H$70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MMBtu per MWh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GAS BURN FOR POWER - SOUTH AMERICA, CENTRAL AMERICA AND THE CARIBBEAN</t>
        </is>
      </c>
    </row>
    <row r="3">
      <c r="A3" t="inlineStr">
        <is>
          <t>Built by south_america/SA_GAS_BURN_POWER.py from this repo's workbooks (no downloads), 1st and 15th, before the South &amp; Central America master.</t>
        </is>
      </c>
    </row>
    <row r="4"/>
    <row r="5">
      <c r="A5" s="1" t="inlineStr">
        <is>
          <t>WHAT IT IS</t>
        </is>
      </c>
    </row>
    <row r="6">
      <c r="A6" t="inlineStr">
        <is>
          <t>Power-sector gas burn per country, monthly average, from Jan 2021: the PUBLISHED figure where the country publishes one, and an ESTIMATE = gas-fired generation (grid operator, monthly mean MWh/day) x heat rate for months not published yet and for countries that publish nothing. 'Status' says which, month by month. Estimates are not measured data.</t>
        </is>
      </c>
    </row>
    <row r="7"/>
    <row r="8">
      <c r="A8" s="1" t="inlineStr">
        <is>
          <t>HEAT RATE</t>
        </is>
      </c>
    </row>
    <row r="9">
      <c r="A9" t="inlineStr">
        <is>
          <t>Calibrated countries: effective heat rate = published burn / gas-fired MWh for each month both exist (it absorbs plant efficiency AND any scope difference between the gas statistic and the operator's 'gas' category). Months outside 5-15 MMBtu/MWh are not used (flagged on 'Detail'). An estimated month uses the ratio of sums over the latest 12 calibrated months before it (minimum 6).</t>
        </is>
      </c>
    </row>
    <row r="10">
      <c r="A10" t="inlineStr">
        <is>
          <t>Flat-rate countries (no published power-sector gas): Chile 7.5, Panama 7.0, El Salvador 8.2 MMBtu/MWh - ASSUMPTIONS, error roughly +/-10-15% from the heat rate alone.</t>
        </is>
      </c>
    </row>
    <row r="11">
      <c r="A11" t="inlineStr">
        <is>
          <t>Brazil: calibrated on MME's national power-generation gas (complete scope, incl. LNG-to-power and Parnaíba), which stops at Jun 2025, so every later month is estimated on the Jul 2024 - Jun 2025 rate. ANP's grid series is NOT used: it leaves out plants fed off the transport grid (about a third of power gas).</t>
        </is>
      </c>
    </row>
    <row r="12">
      <c r="A12" t="inlineStr">
        <is>
          <t>Argentina: 'centrales eléctricas' is gas delivered through the distribution/transport system; plants fed at the wellhead (ENARGAS 'Off System', Supply net sheet) are not in it, so the estimate follows the published scope.</t>
        </is>
      </c>
    </row>
    <row r="13">
      <c r="A13" t="inlineStr">
        <is>
          <t>Ecuador: Termogas Machala only (the one gas plant); generation history from the CENACE column of ecuador_gas.xlsx before the daily CENACE feed starts (Sep 2026).</t>
        </is>
      </c>
    </row>
    <row r="14"/>
    <row r="15">
      <c r="A15" s="1" t="inlineStr">
        <is>
          <t>UNITS</t>
        </is>
      </c>
    </row>
    <row r="16">
      <c r="A16" t="inlineStr">
        <is>
          <t>Bcf/d (billion cubic feet per day, monthly average) = million m3/day x 0.0353147. MMBtu are converted to m3 at each source's own heat content: Argentina 9,300 kcal/m3 (36,905 MMBtu per million m3), Peru 1,065 Btu/scf (37,610), Dominican Republic and Puerto Rico 1,037 Btu/cf (36,621), others 1,030 Btu/cf (36,374).</t>
        </is>
      </c>
    </row>
    <row r="17"/>
    <row r="18">
      <c r="A18" s="1" t="inlineStr">
        <is>
          <t>SHEETS</t>
        </is>
      </c>
    </row>
    <row r="19">
      <c r="A19" t="inlineStr">
        <is>
          <t>Monthly (Bcf/d): burn by country, the regional Total and the part of it that is estimated. The Total runs to the last month whose countries made up at least 95% of the region's burn over the previous 12 months; a country missing from a month of it (a late publisher such as El Salvador's SIGET or EIA-923 for Puerto Rico) is named on 'Total coverage' - nothing is filled. Monthly mcm per day: the same in million m3/day. Status: published / estimated per country and month. Heat rates: effective heat rate per calibration month. Detail: one row per country and month with every input. Countries: sources, heat-rate basis, and how many months the estimate runs ahead of publication. Back-test: each published month re-estimated with the trailing rate only (what the estimate would have said before publication) - mean and mean absolute error. Back-test series: the two lines per country.</t>
        </is>
      </c>
    </row>
    <row r="20"/>
    <row r="21">
      <c r="A21" s="1" t="inlineStr">
        <is>
          <t>NOT INCLUDED</t>
        </is>
      </c>
    </row>
    <row r="22">
      <c r="A22" t="inlineStr">
        <is>
          <t>Uruguay (generation feed has no gas column), Trinidad &amp; Tobago (no generation feed; MEEI publishes power gas itself - see trinidad_gas.xlsx), Jamaica (annual data only), Mexico (North America master; MISO/ERCOT burn there). Costa Rica, Guatemala, Honduras, Nicaragua and Belize are checked and appear only if their feeds show gas-fired output.</t>
        </is>
      </c>
    </row>
    <row r="23"/>
    <row r="24">
      <c r="A24" s="1" t="inlineStr">
        <is>
          <t>THIS RUN</t>
        </is>
      </c>
    </row>
    <row r="25">
      <c r="A25" t="inlineStr">
        <is>
          <t>Ecuador: no gas-fired generation months in ecuador_power_generation_daily.xlsx - published months only, nothing estimated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Argentina</t>
        </is>
      </c>
      <c r="C1" t="inlineStr">
        <is>
          <t>Brazil</t>
        </is>
      </c>
      <c r="D1" t="inlineStr">
        <is>
          <t>Peru</t>
        </is>
      </c>
      <c r="E1" t="inlineStr">
        <is>
          <t>Chile</t>
        </is>
      </c>
      <c r="F1" t="inlineStr">
        <is>
          <t>Colombia</t>
        </is>
      </c>
      <c r="G1" t="inlineStr">
        <is>
          <t>Dominican Republic</t>
        </is>
      </c>
      <c r="H1" t="inlineStr">
        <is>
          <t>Puerto Rico</t>
        </is>
      </c>
      <c r="I1" t="inlineStr">
        <is>
          <t>Other</t>
        </is>
      </c>
      <c r="J1" t="inlineStr">
        <is>
          <t>Of which estimated</t>
        </is>
      </c>
    </row>
    <row r="2">
      <c r="A2" s="3" t="n">
        <v>44197</v>
      </c>
      <c r="B2" t="n">
        <v>1.770618681254839</v>
      </c>
      <c r="C2" t="n">
        <v>1.559265144071726</v>
      </c>
      <c r="D2" t="n">
        <v>0.2676221064893778</v>
      </c>
      <c r="E2" t="n">
        <v>0.1693918796151141</v>
      </c>
      <c r="F2" t="n">
        <v>0.1854376120305713</v>
      </c>
      <c r="G2" t="n">
        <v>0.1295354497938341</v>
      </c>
      <c r="H2" t="n">
        <v>0.20266046889</v>
      </c>
      <c r="I2" t="n">
        <v>0.1617662858837881</v>
      </c>
      <c r="J2" t="n">
        <v>0.195726032745474</v>
      </c>
    </row>
    <row r="3">
      <c r="A3" s="3" t="n">
        <v>44228</v>
      </c>
      <c r="B3" t="n">
        <v>1.64585925085</v>
      </c>
      <c r="C3" t="n">
        <v>1.10937557956709</v>
      </c>
      <c r="D3" t="n">
        <v>0.2869381863521271</v>
      </c>
      <c r="E3" t="n">
        <v>0.2626592359201824</v>
      </c>
      <c r="F3" t="n">
        <v>0.2097095507780282</v>
      </c>
      <c r="G3" t="n">
        <v>0.1939651773026405</v>
      </c>
      <c r="H3" t="n">
        <v>0.20897120578</v>
      </c>
      <c r="I3" t="n">
        <v>0.1884987947013175</v>
      </c>
      <c r="J3" t="n">
        <v>0.3063204575255137</v>
      </c>
    </row>
    <row r="4">
      <c r="A4" s="3" t="n">
        <v>44256</v>
      </c>
      <c r="B4" t="n">
        <v>1.612943102490322</v>
      </c>
      <c r="C4" t="n">
        <v>1.14083489349268</v>
      </c>
      <c r="D4" t="n">
        <v>0.3275623543136267</v>
      </c>
      <c r="E4" t="n">
        <v>0.312131314856655</v>
      </c>
      <c r="F4" t="n">
        <v>0.1737870814317919</v>
      </c>
      <c r="G4" t="n">
        <v>0.1903122982550995</v>
      </c>
      <c r="H4" t="n">
        <v>0.2119694238099999</v>
      </c>
      <c r="I4" t="n">
        <v>0.1972249563761036</v>
      </c>
      <c r="J4" t="n">
        <v>0.3581882425295585</v>
      </c>
    </row>
    <row r="5">
      <c r="A5" s="3" t="n">
        <v>44287</v>
      </c>
      <c r="B5" t="n">
        <v>1.463272834596667</v>
      </c>
      <c r="C5" t="n">
        <v>1.147288854814432</v>
      </c>
      <c r="D5" t="n">
        <v>0.280279158820234</v>
      </c>
      <c r="E5" t="n">
        <v>0.3884757534525348</v>
      </c>
      <c r="F5" t="n">
        <v>0.1543695304338263</v>
      </c>
      <c r="G5" t="n">
        <v>0.1838647931569318</v>
      </c>
      <c r="H5" t="n">
        <v>0.18211084496</v>
      </c>
      <c r="I5" t="n">
        <v>0.1769039003098834</v>
      </c>
      <c r="J5" t="n">
        <v>0.4240488282405014</v>
      </c>
    </row>
    <row r="6">
      <c r="A6" s="3" t="n">
        <v>44317</v>
      </c>
      <c r="B6" t="n">
        <v>1.345232614445161</v>
      </c>
      <c r="C6" t="n">
        <v>1.138192781</v>
      </c>
      <c r="D6" t="n">
        <v>0.4032076670708056</v>
      </c>
      <c r="E6" t="n">
        <v>0.3612926783029618</v>
      </c>
      <c r="F6" t="n">
        <v>0.1485442651344367</v>
      </c>
      <c r="G6" t="n">
        <v>0.1942882275879959</v>
      </c>
      <c r="H6" t="n">
        <v>0.20661571529</v>
      </c>
      <c r="I6" t="n">
        <v>0.1845841475884886</v>
      </c>
      <c r="J6" t="n">
        <v>0.3835093945518067</v>
      </c>
    </row>
    <row r="7">
      <c r="A7" s="3" t="n">
        <v>44348</v>
      </c>
      <c r="B7" t="n">
        <v>1.4882674021</v>
      </c>
      <c r="C7" t="n">
        <v>1.582804854</v>
      </c>
      <c r="D7" t="n">
        <v>0.5015840738101833</v>
      </c>
      <c r="E7" t="n">
        <v>0.270503063135825</v>
      </c>
      <c r="F7" t="n">
        <v>0.1747579589816902</v>
      </c>
      <c r="G7" t="n">
        <v>0.1742224653859807</v>
      </c>
      <c r="H7" t="n">
        <v>0.2666153905899999</v>
      </c>
      <c r="I7" t="n">
        <v>0.1650564767148623</v>
      </c>
      <c r="J7" t="n">
        <v>0.2850524884669681</v>
      </c>
    </row>
    <row r="8">
      <c r="A8" s="3" t="n">
        <v>44378</v>
      </c>
      <c r="B8" t="n">
        <v>1.656031593225807</v>
      </c>
      <c r="C8" t="n">
        <v>1.791867878</v>
      </c>
      <c r="D8" t="n">
        <v>0.4986030614851235</v>
      </c>
      <c r="E8" t="n">
        <v>0.307793582727205</v>
      </c>
      <c r="F8" t="n">
        <v>0.1932046324297575</v>
      </c>
      <c r="G8" t="n">
        <v>0.1787769922448868</v>
      </c>
      <c r="H8" t="n">
        <v>0.27842462627</v>
      </c>
      <c r="I8" t="n">
        <v>0.1780248179966715</v>
      </c>
      <c r="J8" t="n">
        <v>0.3314425265761391</v>
      </c>
    </row>
    <row r="9">
      <c r="A9" s="3" t="n">
        <v>44409</v>
      </c>
      <c r="B9" t="n">
        <v>1.858557980174193</v>
      </c>
      <c r="C9" t="n">
        <v>1.794587146317254</v>
      </c>
      <c r="D9" t="n">
        <v>0.5515592804337544</v>
      </c>
      <c r="E9" t="n">
        <v>0.3626728903553495</v>
      </c>
      <c r="F9" t="n">
        <v>0.1922337548798592</v>
      </c>
      <c r="G9" t="n">
        <v>0.1579966620982496</v>
      </c>
      <c r="H9" t="n">
        <v>0.24708989296</v>
      </c>
      <c r="I9" t="n">
        <v>0.1668049832108717</v>
      </c>
      <c r="J9" t="n">
        <v>0.373079376044046</v>
      </c>
    </row>
    <row r="10">
      <c r="A10" s="3" t="n">
        <v>44440</v>
      </c>
      <c r="B10" t="n">
        <v>1.437835656186667</v>
      </c>
      <c r="C10" t="n">
        <v>1.699343364</v>
      </c>
      <c r="D10" t="n">
        <v>0.5600033153457988</v>
      </c>
      <c r="E10" t="n">
        <v>0.2723520994296063</v>
      </c>
      <c r="F10" t="n">
        <v>0.1912628773299609</v>
      </c>
      <c r="G10" t="n">
        <v>0.1812823195325086</v>
      </c>
      <c r="H10" t="n">
        <v>0.1723710507</v>
      </c>
      <c r="I10" t="n">
        <v>0.1732599221067686</v>
      </c>
      <c r="J10" t="n">
        <v>0.2802181105037801</v>
      </c>
    </row>
    <row r="11">
      <c r="A11" s="3" t="n">
        <v>44470</v>
      </c>
      <c r="B11" t="n">
        <v>1.330220449393548</v>
      </c>
      <c r="C11" t="n">
        <v>1.9114787669</v>
      </c>
      <c r="D11" t="n">
        <v>0.4667499297876628</v>
      </c>
      <c r="E11" t="n">
        <v>0.2648279996400966</v>
      </c>
      <c r="F11" t="n">
        <v>0.2000007752790455</v>
      </c>
      <c r="G11" t="n">
        <v>0.1702465360530843</v>
      </c>
      <c r="H11" t="n">
        <v>0.17246640039</v>
      </c>
      <c r="I11" t="n">
        <v>0.1971217248453408</v>
      </c>
      <c r="J11" t="n">
        <v>0.2886081826448039</v>
      </c>
    </row>
    <row r="12">
      <c r="A12" s="3" t="n">
        <v>44501</v>
      </c>
      <c r="B12" t="n">
        <v>1.473404622026667</v>
      </c>
      <c r="C12" t="n">
        <v>1.8045105406</v>
      </c>
      <c r="D12" t="n">
        <v>0.4459538438057963</v>
      </c>
      <c r="E12" t="n">
        <v>0.2367334662126106</v>
      </c>
      <c r="F12" t="n">
        <v>0.201942530378842</v>
      </c>
      <c r="G12" t="n">
        <v>0.1749794638158434</v>
      </c>
      <c r="H12" t="n">
        <v>0.07816202551000001</v>
      </c>
      <c r="I12" t="n">
        <v>0.2097221165225308</v>
      </c>
      <c r="J12" t="n">
        <v>0.2685640329656851</v>
      </c>
    </row>
    <row r="13">
      <c r="A13" s="3" t="n">
        <v>44531</v>
      </c>
      <c r="B13" t="n">
        <v>1.66246342536129</v>
      </c>
      <c r="C13" t="n">
        <v>1.470857255</v>
      </c>
      <c r="D13" t="n">
        <v>0.3640985053731322</v>
      </c>
      <c r="E13" t="n">
        <v>0.257143840507931</v>
      </c>
      <c r="F13" t="n">
        <v>0.2135930609776214</v>
      </c>
      <c r="G13" t="n">
        <v>0.1631278578247453</v>
      </c>
      <c r="H13" t="n">
        <v>0.11173924227</v>
      </c>
      <c r="I13" t="n">
        <v>0.1932573723773858</v>
      </c>
      <c r="J13" t="n">
        <v>0.3074917462925308</v>
      </c>
    </row>
    <row r="14">
      <c r="A14" s="3" t="n">
        <v>44562</v>
      </c>
      <c r="B14" t="n">
        <v>1.728345846170968</v>
      </c>
      <c r="C14" t="n">
        <v>1.218004003</v>
      </c>
      <c r="D14" t="n">
        <v>0.3368973929095453</v>
      </c>
      <c r="E14" t="n">
        <v>0.2808897828537577</v>
      </c>
      <c r="F14" t="n">
        <v>0.1922337548798592</v>
      </c>
      <c r="G14" t="n">
        <v>0.1400099936730291</v>
      </c>
      <c r="H14" t="n">
        <v>0.096055984</v>
      </c>
      <c r="I14" t="n">
        <v>0.1951715891931708</v>
      </c>
      <c r="J14" t="n">
        <v>0.3296098276460321</v>
      </c>
    </row>
    <row r="15">
      <c r="A15" s="3" t="n">
        <v>44593</v>
      </c>
      <c r="B15" t="n">
        <v>1.476587065075</v>
      </c>
      <c r="C15" t="n">
        <v>0.8373115369999999</v>
      </c>
      <c r="D15" t="n">
        <v>0.3109962858208588</v>
      </c>
      <c r="E15" t="n">
        <v>0.3183997432537172</v>
      </c>
      <c r="F15" t="n">
        <v>0.2223309589267059</v>
      </c>
      <c r="G15" t="n">
        <v>0.14484899764889</v>
      </c>
      <c r="H15" t="n">
        <v>0.10702826129</v>
      </c>
      <c r="I15" t="n">
        <v>0.1907438558312124</v>
      </c>
      <c r="J15" t="n">
        <v>0.3723344512849296</v>
      </c>
    </row>
    <row r="16">
      <c r="A16" s="3" t="n">
        <v>44621</v>
      </c>
      <c r="B16" t="n">
        <v>1.316009130603226</v>
      </c>
      <c r="C16" t="n">
        <v>0.5992904589999999</v>
      </c>
      <c r="D16" t="n">
        <v>0.3016422471463839</v>
      </c>
      <c r="E16" t="n">
        <v>0.3525545924420935</v>
      </c>
      <c r="F16" t="n">
        <v>0.2233018364766041</v>
      </c>
      <c r="G16" t="n">
        <v>0.1753960540345703</v>
      </c>
      <c r="H16" t="n">
        <v>0.1488161458</v>
      </c>
      <c r="I16" t="n">
        <v>0.1765631971100777</v>
      </c>
      <c r="J16" t="n">
        <v>0.4039271780521712</v>
      </c>
    </row>
    <row r="17">
      <c r="A17" s="3" t="n">
        <v>44652</v>
      </c>
      <c r="B17" t="n">
        <v>1.1732955928</v>
      </c>
      <c r="C17" t="n">
        <v>0.3397274139999999</v>
      </c>
      <c r="D17" t="n">
        <v>0.2649970956362138</v>
      </c>
      <c r="E17" t="n">
        <v>0.3819122328642025</v>
      </c>
      <c r="F17" t="n">
        <v>0.2038842854786386</v>
      </c>
      <c r="G17" t="n">
        <v>0.1878619377324486</v>
      </c>
      <c r="H17" t="n">
        <v>0.11314123586</v>
      </c>
      <c r="I17" t="n">
        <v>0.1725703331932848</v>
      </c>
      <c r="J17" t="n">
        <v>0.4343772713574873</v>
      </c>
    </row>
    <row r="18">
      <c r="A18" s="3" t="n">
        <v>44682</v>
      </c>
      <c r="B18" t="n">
        <v>1.153359875058064</v>
      </c>
      <c r="C18" t="n">
        <v>0.308297331</v>
      </c>
      <c r="D18" t="n">
        <v>0.3710665341825977</v>
      </c>
      <c r="E18" t="n">
        <v>0.370028579689343</v>
      </c>
      <c r="F18" t="n">
        <v>0.20873867322813</v>
      </c>
      <c r="G18" t="n">
        <v>0.1768300115698643</v>
      </c>
      <c r="H18" t="n">
        <v>0.13715523186</v>
      </c>
      <c r="I18" t="n">
        <v>0.1354910102131035</v>
      </c>
      <c r="J18" t="n">
        <v>0.3865443656024465</v>
      </c>
    </row>
    <row r="19">
      <c r="A19" s="3" t="n">
        <v>44713</v>
      </c>
      <c r="B19" t="n">
        <v>1.014929174963333</v>
      </c>
      <c r="C19" t="n">
        <v>0.5180666489999999</v>
      </c>
      <c r="D19" t="n">
        <v>0.4657029254588008</v>
      </c>
      <c r="E19" t="n">
        <v>0.3910440886510968</v>
      </c>
      <c r="F19" t="n">
        <v>0.2000007752790455</v>
      </c>
      <c r="G19" t="n">
        <v>0.1902987976461593</v>
      </c>
      <c r="H19" t="n">
        <v>0.16204150095</v>
      </c>
      <c r="I19" t="n">
        <v>0.112563382293159</v>
      </c>
      <c r="J19" t="n">
        <v>0.3925780541442558</v>
      </c>
    </row>
    <row r="20">
      <c r="A20" s="3" t="n">
        <v>44743</v>
      </c>
      <c r="B20" t="n">
        <v>1.513803347751613</v>
      </c>
      <c r="C20" t="n">
        <v>0.413535137</v>
      </c>
      <c r="D20" t="n">
        <v>0.5024170772542541</v>
      </c>
      <c r="E20" t="n">
        <v>0.3162835075885249</v>
      </c>
      <c r="F20" t="n">
        <v>0.2271853466761973</v>
      </c>
      <c r="G20" t="n">
        <v>0.2017289917724802</v>
      </c>
      <c r="H20" t="n">
        <v>0.16148352869</v>
      </c>
      <c r="I20" t="n">
        <v>0.09391241703115162</v>
      </c>
      <c r="J20" t="n">
        <v>0.3163294520196765</v>
      </c>
    </row>
    <row r="21">
      <c r="A21" s="3" t="n">
        <v>44774</v>
      </c>
      <c r="B21" t="n">
        <v>1.126849927196774</v>
      </c>
      <c r="C21" t="n">
        <v>0.4214903589615153</v>
      </c>
      <c r="D21" t="n">
        <v>0.5276871817340467</v>
      </c>
      <c r="E21" t="n">
        <v>0.2990028345889123</v>
      </c>
      <c r="F21" t="n">
        <v>0.1834958569307747</v>
      </c>
      <c r="G21" t="n">
        <v>0.1986874974440894</v>
      </c>
      <c r="H21" t="n">
        <v>0.17594489834</v>
      </c>
      <c r="I21" t="n">
        <v>0.1343073384152207</v>
      </c>
      <c r="J21" t="n">
        <v>0.3002443834041331</v>
      </c>
    </row>
    <row r="22">
      <c r="A22" s="3" t="n">
        <v>44805</v>
      </c>
      <c r="B22" t="n">
        <v>1.13023284762</v>
      </c>
      <c r="C22" t="n">
        <v>0.4749827149999999</v>
      </c>
      <c r="D22" t="n">
        <v>0.5482732668476601</v>
      </c>
      <c r="E22" t="n">
        <v>0.2992439755174026</v>
      </c>
      <c r="F22" t="n">
        <v>0.1815541018309781</v>
      </c>
      <c r="G22" t="n">
        <v>0.1617083652276017</v>
      </c>
      <c r="H22" t="n">
        <v>0.15356597295</v>
      </c>
      <c r="I22" t="n">
        <v>0.1414765840157347</v>
      </c>
      <c r="J22" t="n">
        <v>0.2994617595331373</v>
      </c>
    </row>
    <row r="23">
      <c r="A23" s="3" t="n">
        <v>44835</v>
      </c>
      <c r="B23" t="n">
        <v>1.157883574209677</v>
      </c>
      <c r="C23" t="n">
        <v>0.457678512</v>
      </c>
      <c r="D23" t="n">
        <v>0.5538122897488699</v>
      </c>
      <c r="E23" t="n">
        <v>0.2385367217150854</v>
      </c>
      <c r="F23" t="n">
        <v>0.1320393467861659</v>
      </c>
      <c r="G23" t="n">
        <v>0.1687151812675787</v>
      </c>
      <c r="H23" t="n">
        <v>0.12647606658</v>
      </c>
      <c r="I23" t="n">
        <v>0.1730614023268953</v>
      </c>
      <c r="J23" t="n">
        <v>0.2394742762419807</v>
      </c>
    </row>
    <row r="24">
      <c r="A24" s="3" t="n">
        <v>44866</v>
      </c>
      <c r="B24" t="n">
        <v>1.291224324823333</v>
      </c>
      <c r="C24" t="n">
        <v>0.4128288429999999</v>
      </c>
      <c r="D24" t="n">
        <v>0.5942864570901887</v>
      </c>
      <c r="E24" t="n">
        <v>0.2494000444392973</v>
      </c>
      <c r="F24" t="n">
        <v>0.1631074283829109</v>
      </c>
      <c r="G24" t="n">
        <v>0.1451382964118948</v>
      </c>
      <c r="H24" t="n">
        <v>0.14463488532</v>
      </c>
      <c r="I24" t="n">
        <v>0.2241248946832719</v>
      </c>
      <c r="J24" t="n">
        <v>0.2812363976225692</v>
      </c>
    </row>
    <row r="25">
      <c r="A25" s="3" t="n">
        <v>44896</v>
      </c>
      <c r="B25" t="n">
        <v>1.481728486680645</v>
      </c>
      <c r="C25" t="n">
        <v>0.4891794792480356</v>
      </c>
      <c r="D25" t="n">
        <v>0.5416062392826907</v>
      </c>
      <c r="E25" t="n">
        <v>0.3091385848090935</v>
      </c>
      <c r="F25" t="n">
        <v>0.1223305712871832</v>
      </c>
      <c r="G25" t="n">
        <v>0.1429087672783376</v>
      </c>
      <c r="H25" t="n">
        <v>0.09577346639999999</v>
      </c>
      <c r="I25" t="n">
        <v>0.2338404296614271</v>
      </c>
      <c r="J25" t="n">
        <v>0.3547869781705206</v>
      </c>
    </row>
    <row r="26">
      <c r="A26" s="3" t="n">
        <v>44927</v>
      </c>
      <c r="B26" t="n">
        <v>1.533567048729032</v>
      </c>
      <c r="C26" t="n">
        <v>0.413888284</v>
      </c>
      <c r="D26" t="n">
        <v>0.4009876578921297</v>
      </c>
      <c r="E26" t="n">
        <v>0.3566108796972803</v>
      </c>
      <c r="F26" t="n">
        <v>0.11844706108759</v>
      </c>
      <c r="G26" t="n">
        <v>0.1141206473717266</v>
      </c>
      <c r="H26" t="n">
        <v>0.1385395681</v>
      </c>
      <c r="I26" t="n">
        <v>0.2517426854025068</v>
      </c>
      <c r="J26" t="n">
        <v>0.4445286717997871</v>
      </c>
    </row>
    <row r="27">
      <c r="A27" s="3" t="n">
        <v>44958</v>
      </c>
      <c r="B27" t="n">
        <v>1.4154484907</v>
      </c>
      <c r="C27" t="n">
        <v>0.3421994429999999</v>
      </c>
      <c r="D27" t="n">
        <v>0.3609874925105823</v>
      </c>
      <c r="E27" t="n">
        <v>0.3877128586783437</v>
      </c>
      <c r="F27" t="n">
        <v>0.166990938582504</v>
      </c>
      <c r="G27" t="n">
        <v>0.1439348135577947</v>
      </c>
      <c r="H27" t="n">
        <v>0.18734801497</v>
      </c>
      <c r="I27" t="n">
        <v>0.2482710304927684</v>
      </c>
      <c r="J27" t="n">
        <v>0.4838834762711121</v>
      </c>
    </row>
    <row r="28">
      <c r="A28" s="3" t="n">
        <v>44986</v>
      </c>
      <c r="B28" t="n">
        <v>1.472510210796774</v>
      </c>
      <c r="C28" t="n">
        <v>0.3308987389999999</v>
      </c>
      <c r="D28" t="n">
        <v>0.4594338995393778</v>
      </c>
      <c r="E28" t="n">
        <v>0.4643428898537063</v>
      </c>
      <c r="F28" t="n">
        <v>0.1485442651344367</v>
      </c>
      <c r="G28" t="n">
        <v>0.1959140866360831</v>
      </c>
      <c r="H28" t="n">
        <v>0.15721398146</v>
      </c>
      <c r="I28" t="n">
        <v>0.2925268711830792</v>
      </c>
      <c r="J28" t="n">
        <v>0.5769413645367854</v>
      </c>
    </row>
    <row r="29">
      <c r="A29" s="3" t="n">
        <v>45017</v>
      </c>
      <c r="B29" t="n">
        <v>1.113238236823333</v>
      </c>
      <c r="C29" t="n">
        <v>0.437195986</v>
      </c>
      <c r="D29" t="n">
        <v>0.3859015955184791</v>
      </c>
      <c r="E29" t="n">
        <v>0.4727260314949551</v>
      </c>
      <c r="F29" t="n">
        <v>0.1417481222851487</v>
      </c>
      <c r="G29" t="n">
        <v>0.1903364064853499</v>
      </c>
      <c r="H29" t="n">
        <v>0.18831210628</v>
      </c>
      <c r="I29" t="n">
        <v>0.2790672396995253</v>
      </c>
      <c r="J29" t="n">
        <v>0.5807641790944804</v>
      </c>
    </row>
    <row r="30">
      <c r="A30" s="3" t="n">
        <v>45047</v>
      </c>
      <c r="B30" t="n">
        <v>1.373287295635484</v>
      </c>
      <c r="C30" t="n">
        <v>0.3121322032285914</v>
      </c>
      <c r="D30" t="n">
        <v>0.4787069792243419</v>
      </c>
      <c r="E30" t="n">
        <v>0.4636782928521702</v>
      </c>
      <c r="F30" t="n">
        <v>0.1922337548798592</v>
      </c>
      <c r="G30" t="n">
        <v>0.2132266889435024</v>
      </c>
      <c r="H30" t="n">
        <v>0.15568838642</v>
      </c>
      <c r="I30" t="n">
        <v>0.2884353834156198</v>
      </c>
      <c r="J30" t="n">
        <v>0.5858520686677899</v>
      </c>
    </row>
    <row r="31">
      <c r="A31" s="3" t="n">
        <v>45078</v>
      </c>
      <c r="B31" t="n">
        <v>1.675083342256667</v>
      </c>
      <c r="C31" t="n">
        <v>0.5701869638675807</v>
      </c>
      <c r="D31" t="n">
        <v>0.5447162521411061</v>
      </c>
      <c r="E31" t="n">
        <v>0.4293441157573404</v>
      </c>
      <c r="F31" t="n">
        <v>0.1970881426293506</v>
      </c>
      <c r="G31" t="n">
        <v>0.2125632304470113</v>
      </c>
      <c r="H31" t="n">
        <v>0.18667703567</v>
      </c>
      <c r="I31" t="n">
        <v>0.2861814931670442</v>
      </c>
      <c r="J31" t="n">
        <v>0.5437195934243847</v>
      </c>
    </row>
    <row r="32">
      <c r="A32" s="3" t="n">
        <v>45108</v>
      </c>
      <c r="B32" t="n">
        <v>1.477818807635484</v>
      </c>
      <c r="C32" t="n">
        <v>0.396937228</v>
      </c>
      <c r="D32" t="n">
        <v>0.5491652705356687</v>
      </c>
      <c r="E32" t="n">
        <v>0.2879621247066764</v>
      </c>
      <c r="F32" t="n">
        <v>0.1922337548798592</v>
      </c>
      <c r="G32" t="n">
        <v>0.2052285424756287</v>
      </c>
      <c r="H32" t="n">
        <v>0.19163168808</v>
      </c>
      <c r="I32" t="n">
        <v>0.2858800706602717</v>
      </c>
      <c r="J32" t="n">
        <v>0.4075805877669481</v>
      </c>
    </row>
    <row r="33">
      <c r="A33" s="3" t="n">
        <v>45139</v>
      </c>
      <c r="B33" t="n">
        <v>1.486581409970968</v>
      </c>
      <c r="C33" t="n">
        <v>0.400468698</v>
      </c>
      <c r="D33" t="n">
        <v>0.5727933682265488</v>
      </c>
      <c r="E33" t="n">
        <v>0.2378540147153807</v>
      </c>
      <c r="F33" t="n">
        <v>0.2252435915764007</v>
      </c>
      <c r="G33" t="n">
        <v>0.2083761130171213</v>
      </c>
      <c r="H33" t="n">
        <v>0.19873347425</v>
      </c>
      <c r="I33" t="n">
        <v>0.2888946517790693</v>
      </c>
      <c r="J33" t="n">
        <v>0.3564964977944499</v>
      </c>
    </row>
    <row r="34">
      <c r="A34" s="3" t="n">
        <v>45170</v>
      </c>
      <c r="B34" t="n">
        <v>1.370815418526667</v>
      </c>
      <c r="C34" t="n">
        <v>0.385989671</v>
      </c>
      <c r="D34" t="n">
        <v>0.5936764545681201</v>
      </c>
      <c r="E34" t="n">
        <v>0.1938140037239512</v>
      </c>
      <c r="F34" t="n">
        <v>0.3611664485621598</v>
      </c>
      <c r="G34" t="n">
        <v>0.2014985170912864</v>
      </c>
      <c r="H34" t="n">
        <v>0.20554921135</v>
      </c>
      <c r="I34" t="n">
        <v>0.283988086606314</v>
      </c>
      <c r="J34" t="n">
        <v>0.2988271907302652</v>
      </c>
    </row>
    <row r="35">
      <c r="A35" s="3" t="n">
        <v>45200</v>
      </c>
      <c r="B35" t="n">
        <v>1.143965025674194</v>
      </c>
      <c r="C35" t="n">
        <v>0.409297373</v>
      </c>
      <c r="D35" t="n">
        <v>0.543537247266485</v>
      </c>
      <c r="E35" t="n">
        <v>0.1520502997085608</v>
      </c>
      <c r="F35" t="n">
        <v>0.3631082036619563</v>
      </c>
      <c r="G35" t="n">
        <v>0.2272480356571366</v>
      </c>
      <c r="H35" t="n">
        <v>0.16965888174</v>
      </c>
      <c r="I35" t="n">
        <v>0.2572850253333254</v>
      </c>
      <c r="J35" t="n">
        <v>0.2291950403418863</v>
      </c>
    </row>
    <row r="36">
      <c r="A36" s="3" t="n">
        <v>45231</v>
      </c>
      <c r="B36" t="n">
        <v>1.377546400346667</v>
      </c>
      <c r="C36" t="n">
        <v>0.6918149729999999</v>
      </c>
      <c r="D36" t="n">
        <v>0.4831509975982318</v>
      </c>
      <c r="E36" t="n">
        <v>0.1164461310011272</v>
      </c>
      <c r="F36" t="n">
        <v>0.2349523670753835</v>
      </c>
      <c r="G36" t="n">
        <v>0.1982554779580022</v>
      </c>
      <c r="H36" t="n">
        <v>0.1811290963</v>
      </c>
      <c r="I36" t="n">
        <v>0.2774797131573193</v>
      </c>
      <c r="J36" t="n">
        <v>0.2105366070584465</v>
      </c>
    </row>
    <row r="37">
      <c r="A37" s="3" t="n">
        <v>45261</v>
      </c>
      <c r="B37" t="n">
        <v>1.390177974890322</v>
      </c>
      <c r="C37" t="n">
        <v>0.725717085</v>
      </c>
      <c r="D37" t="n">
        <v>0.3293573617351236</v>
      </c>
      <c r="E37" t="n">
        <v>0.1279738205349399</v>
      </c>
      <c r="F37" t="n">
        <v>0.344661530213889</v>
      </c>
      <c r="G37" t="n">
        <v>0.1849814863821305</v>
      </c>
      <c r="H37" t="n">
        <v>0.1678154544</v>
      </c>
      <c r="I37" t="n">
        <v>0.2479619023158114</v>
      </c>
      <c r="J37" t="n">
        <v>0.2115457943507512</v>
      </c>
    </row>
    <row r="38">
      <c r="A38" s="3" t="n">
        <v>45292</v>
      </c>
      <c r="B38" t="n">
        <v>1.598539261625806</v>
      </c>
      <c r="C38" t="n">
        <v>0.622951308</v>
      </c>
      <c r="D38" t="n">
        <v>0.3221993321400957</v>
      </c>
      <c r="E38" t="n">
        <v>0.1996138727457533</v>
      </c>
      <c r="F38" t="n">
        <v>0.2932050200692802</v>
      </c>
      <c r="G38" t="n">
        <v>0.1863652987985036</v>
      </c>
      <c r="H38" t="n">
        <v>0.14603334744</v>
      </c>
      <c r="I38" t="n">
        <v>0.3128985709470229</v>
      </c>
      <c r="J38" t="n">
        <v>0.3054714255890923</v>
      </c>
    </row>
    <row r="39">
      <c r="A39" s="3" t="n">
        <v>45323</v>
      </c>
      <c r="B39" t="n">
        <v>1.67643873667931</v>
      </c>
      <c r="C39" t="n">
        <v>0.3879236342182689</v>
      </c>
      <c r="D39" t="n">
        <v>0.3746295489139591</v>
      </c>
      <c r="E39" t="n">
        <v>0.2933373356139901</v>
      </c>
      <c r="F39" t="n">
        <v>0.3213604690163303</v>
      </c>
      <c r="G39" t="n">
        <v>0.2106172141011987</v>
      </c>
      <c r="H39" t="n">
        <v>0.13339421631</v>
      </c>
      <c r="I39" t="n">
        <v>0.3025761816047053</v>
      </c>
      <c r="J39" t="n">
        <v>0.3988874136647832</v>
      </c>
    </row>
    <row r="40">
      <c r="A40" s="3" t="n">
        <v>45352</v>
      </c>
      <c r="B40" t="n">
        <v>1.539056775803226</v>
      </c>
      <c r="C40" t="n">
        <v>0.3682970672441959</v>
      </c>
      <c r="D40" t="n">
        <v>0.3584074818434724</v>
      </c>
      <c r="E40" t="n">
        <v>0.319493769014867</v>
      </c>
      <c r="F40" t="n">
        <v>0.4475745505031066</v>
      </c>
      <c r="G40" t="n">
        <v>0.2113443183255509</v>
      </c>
      <c r="H40" t="n">
        <v>0.15655359657</v>
      </c>
      <c r="I40" t="n">
        <v>0.2677894536503538</v>
      </c>
      <c r="J40" t="n">
        <v>0.420222944008103</v>
      </c>
    </row>
    <row r="41">
      <c r="A41" s="3" t="n">
        <v>45383</v>
      </c>
      <c r="B41" t="n">
        <v>1.223208212623333</v>
      </c>
      <c r="C41" t="n">
        <v>0.3222568851806549</v>
      </c>
      <c r="D41" t="n">
        <v>0.3024712505739165</v>
      </c>
      <c r="E41" t="n">
        <v>0.3419206215308324</v>
      </c>
      <c r="F41" t="n">
        <v>0.4980601830978171</v>
      </c>
      <c r="G41" t="n">
        <v>0.2095660952622812</v>
      </c>
      <c r="H41" t="n">
        <v>0.16386373947</v>
      </c>
      <c r="I41" t="n">
        <v>0.2965004457885871</v>
      </c>
      <c r="J41" t="n">
        <v>0.4585588866100777</v>
      </c>
    </row>
    <row r="42">
      <c r="A42" s="3" t="n">
        <v>45413</v>
      </c>
      <c r="B42" t="n">
        <v>0.9344486064935482</v>
      </c>
      <c r="C42" t="n">
        <v>0.2927284920814197</v>
      </c>
      <c r="D42" t="n">
        <v>0.3920296208549322</v>
      </c>
      <c r="E42" t="n">
        <v>0.4120743815724454</v>
      </c>
      <c r="F42" t="n">
        <v>0.1699035712321988</v>
      </c>
      <c r="G42" t="n">
        <v>0.2069247975560471</v>
      </c>
      <c r="H42" t="n">
        <v>0.12625711544</v>
      </c>
      <c r="I42" t="n">
        <v>0.2919163303885801</v>
      </c>
      <c r="J42" t="n">
        <v>0.5254979346182642</v>
      </c>
    </row>
    <row r="43">
      <c r="A43" s="3" t="n">
        <v>45444</v>
      </c>
      <c r="B43" t="n">
        <v>1.187455610343333</v>
      </c>
      <c r="C43" t="n">
        <v>0.3222723944055917</v>
      </c>
      <c r="D43" t="n">
        <v>0.5048400872722414</v>
      </c>
      <c r="E43" t="n">
        <v>0.3146521177694919</v>
      </c>
      <c r="F43" t="n">
        <v>0.1592239181833177</v>
      </c>
      <c r="G43" t="n">
        <v>0.2333223453510281</v>
      </c>
      <c r="H43" t="n">
        <v>0.16702087365</v>
      </c>
      <c r="I43" t="n">
        <v>0.2692884968832339</v>
      </c>
      <c r="J43" t="n">
        <v>0.414935359524101</v>
      </c>
    </row>
    <row r="44">
      <c r="A44" s="3" t="n">
        <v>45474</v>
      </c>
      <c r="B44" t="n">
        <v>0.9897810454741934</v>
      </c>
      <c r="C44" t="n">
        <v>0.5964115642258622</v>
      </c>
      <c r="D44" t="n">
        <v>0.5353422133839404</v>
      </c>
      <c r="E44" t="n">
        <v>0.2807355542571617</v>
      </c>
      <c r="F44" t="n">
        <v>0.1864084895804696</v>
      </c>
      <c r="G44" t="n">
        <v>0.2273994353431091</v>
      </c>
      <c r="H44" t="n">
        <v>0.1530185951</v>
      </c>
      <c r="I44" t="n">
        <v>0.2425599569786987</v>
      </c>
      <c r="J44" t="n">
        <v>0.3589962199804087</v>
      </c>
    </row>
    <row r="45">
      <c r="A45" s="3" t="n">
        <v>45505</v>
      </c>
      <c r="B45" t="n">
        <v>1.084765057451613</v>
      </c>
      <c r="C45" t="n">
        <v>0.7703394863547661</v>
      </c>
      <c r="D45" t="n">
        <v>0.5321462001699547</v>
      </c>
      <c r="E45" t="n">
        <v>0.2648367610270186</v>
      </c>
      <c r="F45" t="n">
        <v>0.2271853466761973</v>
      </c>
      <c r="G45" t="n">
        <v>0.2375142844269681</v>
      </c>
      <c r="H45" t="n">
        <v>0.13839477783</v>
      </c>
      <c r="I45" t="n">
        <v>0.2376961059917726</v>
      </c>
      <c r="J45" t="n">
        <v>0.3356502744873456</v>
      </c>
    </row>
    <row r="46">
      <c r="A46" s="3" t="n">
        <v>45536</v>
      </c>
      <c r="B46" t="n">
        <v>1.23923873211</v>
      </c>
      <c r="C46" t="n">
        <v>1.168449680143298</v>
      </c>
      <c r="D46" t="n">
        <v>0.5443232505162323</v>
      </c>
      <c r="E46" t="n">
        <v>0.1620480068004619</v>
      </c>
      <c r="F46" t="n">
        <v>0.3728169791609391</v>
      </c>
      <c r="G46" t="n">
        <v>0.213624956907239</v>
      </c>
      <c r="H46" t="n">
        <v>0.14220170249</v>
      </c>
      <c r="I46" t="n">
        <v>0.2632870629955801</v>
      </c>
      <c r="J46" t="n">
        <v>0.2271516802026512</v>
      </c>
    </row>
    <row r="47">
      <c r="A47" s="3" t="n">
        <v>45566</v>
      </c>
      <c r="B47" t="n">
        <v>1.368858148745161</v>
      </c>
      <c r="C47" t="n">
        <v>1.207974871014898</v>
      </c>
      <c r="D47" t="n">
        <v>0.5448322526207127</v>
      </c>
      <c r="E47" t="n">
        <v>0.1277747984668684</v>
      </c>
      <c r="F47" t="n">
        <v>0.4504871831528014</v>
      </c>
      <c r="G47" t="n">
        <v>0.2342934248655143</v>
      </c>
      <c r="H47" t="n">
        <v>0.17467356914</v>
      </c>
      <c r="I47" t="n">
        <v>0.2766019401128123</v>
      </c>
      <c r="J47" t="n">
        <v>0.2238082891131551</v>
      </c>
    </row>
    <row r="48">
      <c r="A48" s="3" t="n">
        <v>45597</v>
      </c>
      <c r="B48" t="n">
        <v>1.43955783639</v>
      </c>
      <c r="C48" t="n">
        <v>0.9037502698384584</v>
      </c>
      <c r="D48" t="n">
        <v>0.473915959415767</v>
      </c>
      <c r="E48" t="n">
        <v>0.07244838763361192</v>
      </c>
      <c r="F48" t="n">
        <v>0.2640786935723319</v>
      </c>
      <c r="G48" t="n">
        <v>0.2157551601321646</v>
      </c>
      <c r="H48" t="n">
        <v>0.20487116911</v>
      </c>
      <c r="I48" t="n">
        <v>0.2210068790367873</v>
      </c>
      <c r="J48" t="n">
        <v>0.1258819083544867</v>
      </c>
    </row>
    <row r="49">
      <c r="A49" s="3" t="n">
        <v>45627</v>
      </c>
      <c r="B49" t="n">
        <v>1.3229592914</v>
      </c>
      <c r="C49" t="n">
        <v>0.7441657477074146</v>
      </c>
      <c r="D49" t="n">
        <v>0.299370237752712</v>
      </c>
      <c r="E49" t="n">
        <v>0.1558151357869942</v>
      </c>
      <c r="F49" t="n">
        <v>0.3339818771650079</v>
      </c>
      <c r="G49" t="n">
        <v>0.2023760566724011</v>
      </c>
      <c r="H49" t="n">
        <v>0.16403325003</v>
      </c>
      <c r="I49" t="n">
        <v>0.2345666458808392</v>
      </c>
      <c r="J49" t="n">
        <v>0.2052953942997133</v>
      </c>
    </row>
    <row r="50">
      <c r="A50" s="3" t="n">
        <v>45658</v>
      </c>
      <c r="B50" t="n">
        <v>1.751907586174194</v>
      </c>
      <c r="C50" t="n">
        <v>0.665328948</v>
      </c>
      <c r="D50" t="n">
        <v>0.2917842063881016</v>
      </c>
      <c r="E50" t="n">
        <v>0.2436360837934576</v>
      </c>
      <c r="F50" t="n">
        <v>0.1796123467311816</v>
      </c>
      <c r="G50" t="n">
        <v>0.1814665064116217</v>
      </c>
      <c r="H50" t="n">
        <v>0.16667478959</v>
      </c>
      <c r="I50" t="n">
        <v>0.2395169459344752</v>
      </c>
      <c r="J50" t="n">
        <v>0.3089809293279327</v>
      </c>
    </row>
    <row r="51">
      <c r="A51" s="3" t="n">
        <v>45689</v>
      </c>
      <c r="B51" t="n">
        <v>1.893120167857143</v>
      </c>
      <c r="C51" t="n">
        <v>0.4592381253733638</v>
      </c>
      <c r="D51" t="n">
        <v>0.3783485642903084</v>
      </c>
      <c r="E51" t="n">
        <v>0.2921882078753024</v>
      </c>
      <c r="F51" t="n">
        <v>0.1475733875845384</v>
      </c>
      <c r="G51" t="n">
        <v>0.2011108567488599</v>
      </c>
      <c r="H51" t="n">
        <v>0.14473023501</v>
      </c>
      <c r="I51" t="n">
        <v>0.3476753173472366</v>
      </c>
      <c r="J51" t="n">
        <v>0.408128463822539</v>
      </c>
    </row>
    <row r="52">
      <c r="A52" s="3" t="n">
        <v>45717</v>
      </c>
      <c r="B52" t="n">
        <v>1.471183061587096</v>
      </c>
      <c r="C52" t="n">
        <v>0.447407457492239</v>
      </c>
      <c r="D52" t="n">
        <v>0.385667594550997</v>
      </c>
      <c r="E52" t="n">
        <v>0.3139915945388366</v>
      </c>
      <c r="F52" t="n">
        <v>0.1543695304338263</v>
      </c>
      <c r="G52" t="n">
        <v>0.2098158565276753</v>
      </c>
      <c r="H52" t="n">
        <v>0.12940012374</v>
      </c>
      <c r="I52" t="n">
        <v>0.290307844792376</v>
      </c>
      <c r="J52" t="n">
        <v>0.4572843432312126</v>
      </c>
    </row>
    <row r="53">
      <c r="A53" s="3" t="n">
        <v>45748</v>
      </c>
      <c r="B53" t="n">
        <v>1.15147817114</v>
      </c>
      <c r="C53" t="n">
        <v>0.552004452590133</v>
      </c>
      <c r="D53" t="n">
        <v>0.3016852473241691</v>
      </c>
      <c r="E53" t="n">
        <v>0.3464331147511271</v>
      </c>
      <c r="F53" t="n">
        <v>0.1699035712321988</v>
      </c>
      <c r="G53" t="n">
        <v>0.2205420903306846</v>
      </c>
      <c r="H53" t="n">
        <v>0.13516348278</v>
      </c>
      <c r="I53" t="n">
        <v>0.2840043704882068</v>
      </c>
      <c r="J53" t="n">
        <v>0.4930986169393339</v>
      </c>
    </row>
    <row r="54">
      <c r="A54" s="3" t="n">
        <v>45778</v>
      </c>
      <c r="B54" t="n">
        <v>1.131445394932258</v>
      </c>
      <c r="C54" t="n">
        <v>0.5980169969265154</v>
      </c>
      <c r="D54" t="n">
        <v>0.3444644241955996</v>
      </c>
      <c r="E54" t="n">
        <v>0.3013242262996921</v>
      </c>
      <c r="F54" t="n">
        <v>0.149515142684335</v>
      </c>
      <c r="G54" t="n">
        <v>0.2117454792769176</v>
      </c>
      <c r="H54" t="n">
        <v>0.17688780083</v>
      </c>
      <c r="I54" t="n">
        <v>0.2717415453873265</v>
      </c>
      <c r="J54" t="n">
        <v>0.4254503256870186</v>
      </c>
    </row>
    <row r="55">
      <c r="A55" s="3" t="n">
        <v>45809</v>
      </c>
      <c r="B55" t="n">
        <v>1.123701982433333</v>
      </c>
      <c r="C55" t="n">
        <v>0.6713358511979279</v>
      </c>
      <c r="D55" t="n">
        <v>0.4177217270795002</v>
      </c>
      <c r="E55" t="n">
        <v>0.3396784769170972</v>
      </c>
      <c r="F55" t="n">
        <v>0.1650491834827074</v>
      </c>
      <c r="G55" t="n">
        <v>0.2080308831599356</v>
      </c>
      <c r="H55" t="n">
        <v>0.15988730425</v>
      </c>
      <c r="I55" t="n">
        <v>0.2628650584471087</v>
      </c>
      <c r="J55" t="n">
        <v>0.460755014864206</v>
      </c>
    </row>
    <row r="56">
      <c r="A56" s="3" t="n">
        <v>45839</v>
      </c>
      <c r="B56" t="n">
        <v>1.113014539083871</v>
      </c>
      <c r="C56" t="n">
        <v>1.120882995251721</v>
      </c>
      <c r="D56" t="n">
        <v>0.5114131144485642</v>
      </c>
      <c r="E56" t="n">
        <v>0.3610527384439567</v>
      </c>
      <c r="F56" t="n">
        <v>0.184466734480673</v>
      </c>
      <c r="G56" t="n">
        <v>0.2203058296742306</v>
      </c>
      <c r="H56" t="n">
        <v>0.18000255737</v>
      </c>
      <c r="I56" t="n">
        <v>0.2539565704641665</v>
      </c>
      <c r="J56" t="n">
        <v>1.581107974059845</v>
      </c>
    </row>
    <row r="57">
      <c r="A57" s="3" t="n">
        <v>45870</v>
      </c>
      <c r="B57" t="n">
        <v>1.206436729974193</v>
      </c>
      <c r="C57" t="n">
        <v>1.181884065195979</v>
      </c>
      <c r="D57" t="n">
        <v>0.5191621464871045</v>
      </c>
      <c r="E57" t="n">
        <v>0.2889812877553667</v>
      </c>
      <c r="F57" t="n">
        <v>0.1640783059328091</v>
      </c>
      <c r="G57" t="n">
        <v>0.2244861967996505</v>
      </c>
      <c r="H57" t="n">
        <v>0.23875209229</v>
      </c>
      <c r="I57" t="n">
        <v>0.2481624829868554</v>
      </c>
      <c r="J57" t="n">
        <v>1.570035116638201</v>
      </c>
    </row>
    <row r="58">
      <c r="A58" s="3" t="n">
        <v>45901</v>
      </c>
      <c r="B58" t="n">
        <v>0.9368059956233333</v>
      </c>
      <c r="C58" t="n">
        <v>0.9448322613674229</v>
      </c>
      <c r="D58" t="n">
        <v>0.5301291918305903</v>
      </c>
      <c r="E58" t="n">
        <v>0.1633266039898004</v>
      </c>
      <c r="F58" t="n">
        <v>0.1815541018309781</v>
      </c>
      <c r="G58" t="n">
        <v>0.2284168026596761</v>
      </c>
      <c r="H58" t="n">
        <v>0.24928293583</v>
      </c>
      <c r="I58" t="n">
        <v>0.2874374336342524</v>
      </c>
      <c r="J58" t="n">
        <v>1.208251815491476</v>
      </c>
    </row>
    <row r="59">
      <c r="A59" s="3" t="n">
        <v>45931</v>
      </c>
      <c r="B59" t="n">
        <v>0.9599401239741935</v>
      </c>
      <c r="C59" t="n">
        <v>1.330475324227714</v>
      </c>
      <c r="D59" t="n">
        <v>0.3927266237367056</v>
      </c>
      <c r="E59" t="n">
        <v>0.1372449651486484</v>
      </c>
      <c r="F59" t="n">
        <v>0.1533986528839281</v>
      </c>
      <c r="G59" t="n">
        <v>0.2056287390977854</v>
      </c>
      <c r="H59" t="n">
        <v>0.20457452563</v>
      </c>
      <c r="I59" t="n">
        <v>0.2415310668017918</v>
      </c>
      <c r="J59" t="n">
        <v>1.547615974278155</v>
      </c>
    </row>
    <row r="60">
      <c r="A60" s="3" t="n">
        <v>45962</v>
      </c>
      <c r="B60" t="n">
        <v>1.15125922</v>
      </c>
      <c r="C60" t="n">
        <v>1.416349668243662</v>
      </c>
      <c r="D60" t="n">
        <v>0.3987246485356686</v>
      </c>
      <c r="E60" t="n">
        <v>0.1836778479275032</v>
      </c>
      <c r="F60" t="n">
        <v>0.1631074283829109</v>
      </c>
      <c r="G60" t="n">
        <v>0.231999285674886</v>
      </c>
      <c r="H60" t="n">
        <v>0.19257812204</v>
      </c>
      <c r="I60" t="n">
        <v>0.2872749042016376</v>
      </c>
      <c r="J60" t="n">
        <v>1.699569475172803</v>
      </c>
    </row>
    <row r="61">
      <c r="A61" s="3" t="n">
        <v>45992</v>
      </c>
      <c r="B61" t="n">
        <v>1.632562127116129</v>
      </c>
      <c r="C61" t="n">
        <v>0.9216965329835282</v>
      </c>
      <c r="D61" t="n">
        <v>0.5055220900919967</v>
      </c>
      <c r="E61" t="n">
        <v>0.1928220596971517</v>
      </c>
      <c r="F61" t="n">
        <v>0.1300975916863694</v>
      </c>
      <c r="G61" t="n">
        <v>0.2159904564594085</v>
      </c>
      <c r="H61" t="n">
        <v>0.13905869419</v>
      </c>
      <c r="I61" t="n">
        <v>0.2698270981916945</v>
      </c>
      <c r="J61" t="n">
        <v>1.206465546972374</v>
      </c>
    </row>
    <row r="62">
      <c r="A62" s="3" t="n">
        <v>46023</v>
      </c>
      <c r="B62" t="n">
        <v>1.715250927574193</v>
      </c>
      <c r="C62" t="n">
        <v>1.013987406497427</v>
      </c>
      <c r="D62" t="n">
        <v>0.4058346779322388</v>
      </c>
      <c r="E62" t="n">
        <v>0.2820383701435756</v>
      </c>
      <c r="F62" t="n">
        <v>0.1398063671853522</v>
      </c>
      <c r="G62" t="n">
        <v>0.1672330072717839</v>
      </c>
      <c r="H62" t="n">
        <v>0.16597202706</v>
      </c>
      <c r="I62" t="n">
        <v>0.2344758267442866</v>
      </c>
      <c r="J62" t="n">
        <v>1.513258818099095</v>
      </c>
    </row>
    <row r="63">
      <c r="A63" s="3" t="n">
        <v>46054</v>
      </c>
      <c r="B63" t="n">
        <v>1.746591910121428</v>
      </c>
      <c r="C63" t="n">
        <v>0.7772211239240928</v>
      </c>
      <c r="D63" t="n">
        <v>0.3623554981666312</v>
      </c>
      <c r="E63" t="n">
        <v>0.2803517888999157</v>
      </c>
      <c r="F63" t="n">
        <v>0.1582530406334194</v>
      </c>
      <c r="G63" t="n">
        <v>0.1970153505939215</v>
      </c>
      <c r="H63" t="n">
        <v>0.18111143895</v>
      </c>
      <c r="I63" t="n">
        <v>0.2258767225076617</v>
      </c>
      <c r="J63" t="n">
        <v>1.266531123147143</v>
      </c>
    </row>
    <row r="64">
      <c r="A64" s="3" t="n">
        <v>46082</v>
      </c>
      <c r="B64" t="n">
        <v>1.60783158446129</v>
      </c>
      <c r="C64" t="n">
        <v>0.9931498842928415</v>
      </c>
      <c r="D64" t="n">
        <v>0.2530790463607817</v>
      </c>
      <c r="E64" t="n">
        <v>0.3185499116135551</v>
      </c>
      <c r="F64" t="n">
        <v>0.1417481222851487</v>
      </c>
      <c r="G64" t="n">
        <v>0.163585914199503</v>
      </c>
      <c r="H64" t="n">
        <v>0.20042857985</v>
      </c>
      <c r="I64" t="n">
        <v>0.268933087609836</v>
      </c>
      <c r="J64" t="n">
        <v>1.561936694537841</v>
      </c>
    </row>
    <row r="65">
      <c r="A65" s="3" t="n">
        <v>46113</v>
      </c>
      <c r="B65" t="n">
        <v>1.309199507123333</v>
      </c>
      <c r="C65" t="n">
        <v>0.6779693488824271</v>
      </c>
      <c r="D65" t="n">
        <v>0.3675295195587343</v>
      </c>
      <c r="E65" t="n">
        <v>0.298138097444191</v>
      </c>
      <c r="F65" t="n">
        <v>0.160194795733216</v>
      </c>
      <c r="G65" t="n">
        <v>0.2113828914939515</v>
      </c>
      <c r="H65" t="n">
        <v>0.19353515041</v>
      </c>
      <c r="I65" t="n">
        <v>0.2555370827014153</v>
      </c>
      <c r="J65" t="n">
        <v>1.231644529028033</v>
      </c>
    </row>
    <row r="66">
      <c r="A66" s="3" t="n">
        <v>46143</v>
      </c>
      <c r="B66" t="n">
        <v>1.140051929077419</v>
      </c>
      <c r="C66" t="n">
        <v>0.5984223948172539</v>
      </c>
      <c r="D66" t="n">
        <v>0.4228437482566073</v>
      </c>
      <c r="E66" t="n">
        <v>0.3190422169982723</v>
      </c>
      <c r="F66" t="n">
        <v>0.2029134079287403</v>
      </c>
      <c r="G66" t="n">
        <v>0.2386878730755577</v>
      </c>
      <c r="H66" t="n">
        <v>0.19445333261</v>
      </c>
      <c r="I66" t="n">
        <v>0.2440545886362616</v>
      </c>
      <c r="J66" t="n">
        <v>1.161519200451788</v>
      </c>
    </row>
    <row r="67">
      <c r="A67" s="3" t="n">
        <v>46174</v>
      </c>
      <c r="B67" t="n">
        <v>1.270328616833333</v>
      </c>
      <c r="C67" t="n">
        <v>0.7522970607876384</v>
      </c>
      <c r="D67" t="n">
        <v>0.5302731924259638</v>
      </c>
      <c r="E67" t="n">
        <v>0.3301159883929455</v>
      </c>
      <c r="F67" t="n">
        <v>0.2126221834277231</v>
      </c>
      <c r="G67" t="n">
        <v>0.2582633013966256</v>
      </c>
      <c r="H67" t="n">
        <v>0.23507936349</v>
      </c>
      <c r="I67" t="n">
        <v>0.249355942441705</v>
      </c>
      <c r="J67" t="n">
        <v>1.590032293018914</v>
      </c>
    </row>
    <row r="68">
      <c r="A68" s="3" t="n">
        <v>46204</v>
      </c>
      <c r="B68" t="n">
        <v>1.243881540560158</v>
      </c>
      <c r="C68" t="n">
        <v>0.8900791162797046</v>
      </c>
      <c r="D68" t="n">
        <v>0.5699623565216697</v>
      </c>
      <c r="E68" t="n">
        <v>0.2626163953890319</v>
      </c>
      <c r="F68" t="n">
        <v>0.2582534282729422</v>
      </c>
      <c r="G68" t="n">
        <v>0.2435599862294096</v>
      </c>
      <c r="H68" t="n">
        <v>0.19331973074</v>
      </c>
      <c r="I68" t="n">
        <v>0.2730433378532237</v>
      </c>
      <c r="J68" t="n">
        <v>2.913180376311527</v>
      </c>
    </row>
    <row r="69">
      <c r="A69" s="3" t="n">
        <v>46235</v>
      </c>
      <c r="B69" t="n">
        <v>1.06040702362656</v>
      </c>
      <c r="C69" t="n">
        <v>0.803077758300152</v>
      </c>
      <c r="D69" t="n">
        <v>0.5358652155463043</v>
      </c>
      <c r="E69" t="n">
        <v>0.1392482456983409</v>
      </c>
      <c r="F69" t="n">
        <v>0.309709938417551</v>
      </c>
      <c r="G69" t="n">
        <v>0.2438167478951612</v>
      </c>
      <c r="H69" t="n">
        <v>0.21839316774</v>
      </c>
      <c r="I69" t="n">
        <v>0.2681534868747631</v>
      </c>
      <c r="J69" t="n">
        <v>2.514703262394978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Published</t>
        </is>
      </c>
      <c r="C1" t="inlineStr">
        <is>
          <t>Estimate from gas-fired output</t>
        </is>
      </c>
    </row>
    <row r="2">
      <c r="A2" s="3" t="n">
        <v>44197</v>
      </c>
      <c r="B2" t="n">
        <v>1.770618681254839</v>
      </c>
      <c r="C2" t="n">
        <v>1.828623843633572</v>
      </c>
    </row>
    <row r="3">
      <c r="A3" s="3" t="n">
        <v>44228</v>
      </c>
      <c r="B3" t="n">
        <v>1.64585925085</v>
      </c>
      <c r="C3" t="n">
        <v>1.645845831765716</v>
      </c>
    </row>
    <row r="4">
      <c r="A4" s="3" t="n">
        <v>44256</v>
      </c>
      <c r="B4" t="n">
        <v>1.612943102490322</v>
      </c>
      <c r="C4" t="n">
        <v>1.640327624595572</v>
      </c>
    </row>
    <row r="5">
      <c r="A5" s="3" t="n">
        <v>44287</v>
      </c>
      <c r="B5" t="n">
        <v>1.463272834596667</v>
      </c>
      <c r="C5" t="n">
        <v>1.426281283896316</v>
      </c>
    </row>
    <row r="6">
      <c r="A6" s="3" t="n">
        <v>44317</v>
      </c>
      <c r="B6" t="n">
        <v>1.345232614445161</v>
      </c>
      <c r="C6" t="n">
        <v>1.310604194383775</v>
      </c>
    </row>
    <row r="7">
      <c r="A7" s="3" t="n">
        <v>44348</v>
      </c>
      <c r="B7" t="n">
        <v>1.4882674021</v>
      </c>
      <c r="C7" t="n">
        <v>1.504723771300498</v>
      </c>
    </row>
    <row r="8">
      <c r="A8" s="3" t="n">
        <v>44378</v>
      </c>
      <c r="B8" t="n">
        <v>1.656031593225807</v>
      </c>
      <c r="C8" t="n">
        <v>1.609915981931096</v>
      </c>
    </row>
    <row r="9">
      <c r="A9" s="3" t="n">
        <v>44409</v>
      </c>
      <c r="B9" t="n">
        <v>1.858557980174193</v>
      </c>
      <c r="C9" t="n">
        <v>1.841303753820673</v>
      </c>
    </row>
    <row r="10">
      <c r="A10" s="3" t="n">
        <v>44440</v>
      </c>
      <c r="B10" t="n">
        <v>1.437835656186667</v>
      </c>
      <c r="C10" t="n">
        <v>1.448073928725328</v>
      </c>
    </row>
    <row r="11">
      <c r="A11" s="3" t="n">
        <v>44470</v>
      </c>
      <c r="B11" t="n">
        <v>1.330220449393548</v>
      </c>
      <c r="C11" t="n">
        <v>1.297481333103707</v>
      </c>
    </row>
    <row r="12">
      <c r="A12" s="3" t="n">
        <v>44501</v>
      </c>
      <c r="B12" t="n">
        <v>1.473404622026667</v>
      </c>
      <c r="C12" t="n">
        <v>1.472477408416845</v>
      </c>
    </row>
    <row r="13">
      <c r="A13" s="3" t="n">
        <v>44531</v>
      </c>
      <c r="B13" t="n">
        <v>1.66246342536129</v>
      </c>
      <c r="C13" t="n">
        <v>1.73299017586812</v>
      </c>
    </row>
    <row r="14">
      <c r="A14" s="3" t="n">
        <v>44562</v>
      </c>
      <c r="B14" t="n">
        <v>1.728345846170968</v>
      </c>
      <c r="C14" t="n">
        <v>1.782881674200696</v>
      </c>
    </row>
    <row r="15">
      <c r="A15" s="3" t="n">
        <v>44593</v>
      </c>
      <c r="B15" t="n">
        <v>1.476587065075</v>
      </c>
      <c r="C15" t="n">
        <v>1.542016469465082</v>
      </c>
    </row>
    <row r="16">
      <c r="A16" s="3" t="n">
        <v>44621</v>
      </c>
      <c r="B16" t="n">
        <v>1.316009130603226</v>
      </c>
      <c r="C16" t="n">
        <v>1.365728567479208</v>
      </c>
    </row>
    <row r="17">
      <c r="A17" s="3" t="n">
        <v>44652</v>
      </c>
      <c r="B17" t="n">
        <v>1.1732955928</v>
      </c>
      <c r="C17" t="n">
        <v>1.230872201092438</v>
      </c>
    </row>
    <row r="18">
      <c r="A18" s="3" t="n">
        <v>44682</v>
      </c>
      <c r="B18" t="n">
        <v>1.153359875058064</v>
      </c>
      <c r="C18" t="n">
        <v>1.212964617145579</v>
      </c>
    </row>
    <row r="19">
      <c r="A19" s="3" t="n">
        <v>44713</v>
      </c>
      <c r="B19" t="n">
        <v>1.014929174963333</v>
      </c>
      <c r="C19" t="n">
        <v>1.111198768235968</v>
      </c>
    </row>
    <row r="20">
      <c r="A20" s="3" t="n">
        <v>44743</v>
      </c>
      <c r="B20" t="n">
        <v>1.513803347751613</v>
      </c>
      <c r="C20" t="n">
        <v>1.477174252236636</v>
      </c>
    </row>
    <row r="21">
      <c r="A21" s="3" t="n">
        <v>44774</v>
      </c>
      <c r="B21" t="n">
        <v>1.126849927196774</v>
      </c>
      <c r="C21" t="n">
        <v>1.133128383407986</v>
      </c>
    </row>
    <row r="22">
      <c r="A22" s="3" t="n">
        <v>44805</v>
      </c>
      <c r="B22" t="n">
        <v>1.13023284762</v>
      </c>
      <c r="C22" t="n">
        <v>1.128425709140252</v>
      </c>
    </row>
    <row r="23">
      <c r="A23" s="3" t="n">
        <v>44835</v>
      </c>
      <c r="B23" t="n">
        <v>1.157883574209677</v>
      </c>
      <c r="C23" t="n">
        <v>1.115765270917779</v>
      </c>
    </row>
    <row r="24">
      <c r="A24" s="3" t="n">
        <v>44866</v>
      </c>
      <c r="B24" t="n">
        <v>1.291224324823333</v>
      </c>
      <c r="C24" t="n">
        <v>1.272059687536949</v>
      </c>
    </row>
    <row r="25">
      <c r="A25" s="3" t="n">
        <v>44896</v>
      </c>
      <c r="B25" t="n">
        <v>1.481728486680645</v>
      </c>
      <c r="C25" t="n">
        <v>1.512193893293825</v>
      </c>
    </row>
    <row r="26">
      <c r="A26" s="3" t="n">
        <v>44927</v>
      </c>
      <c r="B26" t="n">
        <v>1.533567048729032</v>
      </c>
      <c r="C26" t="n">
        <v>1.584861055739212</v>
      </c>
    </row>
    <row r="27">
      <c r="A27" s="3" t="n">
        <v>44958</v>
      </c>
      <c r="B27" t="n">
        <v>1.4154484907</v>
      </c>
      <c r="C27" t="n">
        <v>1.45931131520381</v>
      </c>
    </row>
    <row r="28">
      <c r="A28" s="3" t="n">
        <v>44986</v>
      </c>
      <c r="B28" t="n">
        <v>1.472510210796774</v>
      </c>
      <c r="C28" t="n">
        <v>1.465422508630696</v>
      </c>
    </row>
    <row r="29">
      <c r="A29" s="3" t="n">
        <v>45017</v>
      </c>
      <c r="B29" t="n">
        <v>1.113238236823333</v>
      </c>
      <c r="C29" t="n">
        <v>1.069647051897088</v>
      </c>
    </row>
    <row r="30">
      <c r="A30" s="3" t="n">
        <v>45047</v>
      </c>
      <c r="B30" t="n">
        <v>1.373287295635484</v>
      </c>
      <c r="C30" t="n">
        <v>1.388389686410187</v>
      </c>
    </row>
    <row r="31">
      <c r="A31" s="3" t="n">
        <v>45078</v>
      </c>
      <c r="B31" t="n">
        <v>1.675083342256667</v>
      </c>
      <c r="C31" t="n">
        <v>1.368658209498921</v>
      </c>
    </row>
    <row r="32">
      <c r="A32" s="3" t="n">
        <v>45108</v>
      </c>
      <c r="B32" t="n">
        <v>1.477818807635484</v>
      </c>
      <c r="C32" t="n">
        <v>1.224935335155181</v>
      </c>
    </row>
    <row r="33">
      <c r="A33" s="3" t="n">
        <v>45139</v>
      </c>
      <c r="B33" t="n">
        <v>1.486581409970968</v>
      </c>
      <c r="C33" t="n">
        <v>1.205751154954592</v>
      </c>
    </row>
    <row r="34">
      <c r="A34" s="3" t="n">
        <v>45170</v>
      </c>
      <c r="B34" t="n">
        <v>1.370815418526667</v>
      </c>
      <c r="C34" t="n">
        <v>1.105767892759866</v>
      </c>
    </row>
    <row r="35">
      <c r="A35" s="3" t="n">
        <v>45200</v>
      </c>
      <c r="B35" t="n">
        <v>1.143965025674194</v>
      </c>
      <c r="C35" t="n">
        <v>0.9629157864316561</v>
      </c>
    </row>
    <row r="36">
      <c r="A36" s="3" t="n">
        <v>45231</v>
      </c>
      <c r="B36" t="n">
        <v>1.377546400346667</v>
      </c>
      <c r="C36" t="n">
        <v>1.195044029233448</v>
      </c>
    </row>
    <row r="37">
      <c r="A37" s="3" t="n">
        <v>45261</v>
      </c>
      <c r="B37" t="n">
        <v>1.390177974890322</v>
      </c>
      <c r="C37" t="n">
        <v>1.23745125111396</v>
      </c>
    </row>
    <row r="38">
      <c r="A38" s="3" t="n">
        <v>45292</v>
      </c>
      <c r="B38" t="n">
        <v>1.598539261625806</v>
      </c>
      <c r="C38" t="n">
        <v>1.735506393790216</v>
      </c>
    </row>
    <row r="39">
      <c r="A39" s="3" t="n">
        <v>45323</v>
      </c>
      <c r="B39" t="n">
        <v>1.67643873667931</v>
      </c>
      <c r="C39" t="n">
        <v>1.936662203246627</v>
      </c>
    </row>
    <row r="40">
      <c r="A40" s="3" t="n">
        <v>45352</v>
      </c>
      <c r="B40" t="n">
        <v>1.539056775803226</v>
      </c>
      <c r="C40" t="n">
        <v>1.70917446223478</v>
      </c>
    </row>
    <row r="41">
      <c r="A41" s="3" t="n">
        <v>45383</v>
      </c>
      <c r="B41" t="n">
        <v>1.223208212623333</v>
      </c>
      <c r="C41" t="n">
        <v>1.362395400985805</v>
      </c>
    </row>
    <row r="42">
      <c r="A42" s="3" t="n">
        <v>45413</v>
      </c>
      <c r="B42" t="n">
        <v>0.9344486064935482</v>
      </c>
      <c r="C42" t="n">
        <v>1.27424769014547</v>
      </c>
    </row>
    <row r="43">
      <c r="A43" s="3" t="n">
        <v>45444</v>
      </c>
      <c r="B43" t="n">
        <v>1.187455610343333</v>
      </c>
      <c r="C43" t="n">
        <v>1.438320489493632</v>
      </c>
    </row>
    <row r="44">
      <c r="A44" s="3" t="n">
        <v>45474</v>
      </c>
      <c r="B44" t="n">
        <v>0.9897810454741934</v>
      </c>
      <c r="C44" t="n">
        <v>1.272544753919137</v>
      </c>
    </row>
    <row r="45">
      <c r="A45" s="3" t="n">
        <v>45505</v>
      </c>
      <c r="B45" t="n">
        <v>1.084765057451613</v>
      </c>
      <c r="C45" t="n">
        <v>1.355391907901192</v>
      </c>
    </row>
    <row r="46">
      <c r="A46" s="3" t="n">
        <v>45536</v>
      </c>
      <c r="B46" t="n">
        <v>1.23923873211</v>
      </c>
      <c r="C46" t="n">
        <v>1.422614361294131</v>
      </c>
    </row>
    <row r="47">
      <c r="A47" s="3" t="n">
        <v>45566</v>
      </c>
      <c r="B47" t="n">
        <v>1.368858148745161</v>
      </c>
      <c r="C47" t="n">
        <v>1.296974638714242</v>
      </c>
    </row>
    <row r="48">
      <c r="A48" s="3" t="n">
        <v>45597</v>
      </c>
      <c r="B48" t="n">
        <v>1.43955783639</v>
      </c>
      <c r="C48" t="n">
        <v>1.36621790214134</v>
      </c>
    </row>
    <row r="49">
      <c r="A49" s="3" t="n">
        <v>45627</v>
      </c>
      <c r="B49" t="n">
        <v>1.3229592914</v>
      </c>
      <c r="C49" t="n">
        <v>1.271327128643808</v>
      </c>
    </row>
    <row r="50">
      <c r="A50" s="3" t="n">
        <v>45658</v>
      </c>
      <c r="B50" t="n">
        <v>1.751907586174194</v>
      </c>
      <c r="C50" t="n">
        <v>1.78865336604139</v>
      </c>
    </row>
    <row r="51">
      <c r="A51" s="3" t="n">
        <v>45689</v>
      </c>
      <c r="B51" t="n">
        <v>1.893120167857143</v>
      </c>
      <c r="C51" t="n">
        <v>1.866045086731886</v>
      </c>
    </row>
    <row r="52">
      <c r="A52" s="3" t="n">
        <v>45717</v>
      </c>
      <c r="B52" t="n">
        <v>1.471183061587096</v>
      </c>
      <c r="C52" t="n">
        <v>1.476172312947832</v>
      </c>
    </row>
    <row r="53">
      <c r="A53" s="3" t="n">
        <v>45748</v>
      </c>
      <c r="B53" t="n">
        <v>1.15147817114</v>
      </c>
      <c r="C53" t="n">
        <v>1.185452991945182</v>
      </c>
    </row>
    <row r="54">
      <c r="A54" s="3" t="n">
        <v>45778</v>
      </c>
      <c r="B54" t="n">
        <v>1.131445394932258</v>
      </c>
      <c r="C54" t="n">
        <v>1.214435833995294</v>
      </c>
    </row>
    <row r="55">
      <c r="A55" s="3" t="n">
        <v>45809</v>
      </c>
      <c r="B55" t="n">
        <v>1.123701982433333</v>
      </c>
      <c r="C55" t="n">
        <v>1.221303346639091</v>
      </c>
    </row>
    <row r="56">
      <c r="A56" s="3" t="n">
        <v>45839</v>
      </c>
      <c r="B56" t="n">
        <v>1.113014539083871</v>
      </c>
      <c r="C56" t="n">
        <v>1.230273971438604</v>
      </c>
    </row>
    <row r="57">
      <c r="A57" s="3" t="n">
        <v>45870</v>
      </c>
      <c r="B57" t="n">
        <v>1.206436729974193</v>
      </c>
      <c r="C57" t="n">
        <v>1.282619952795831</v>
      </c>
    </row>
    <row r="58">
      <c r="A58" s="3" t="n">
        <v>45901</v>
      </c>
      <c r="B58" t="n">
        <v>0.9368059956233333</v>
      </c>
      <c r="C58" t="n">
        <v>1.015519193452067</v>
      </c>
    </row>
    <row r="59">
      <c r="A59" s="3" t="n">
        <v>45931</v>
      </c>
      <c r="B59" t="n">
        <v>0.9599401239741935</v>
      </c>
      <c r="C59" t="n">
        <v>0.9186325787777135</v>
      </c>
    </row>
    <row r="60">
      <c r="A60" s="3" t="n">
        <v>45962</v>
      </c>
      <c r="B60" t="n">
        <v>1.15125922</v>
      </c>
      <c r="C60" t="n">
        <v>1.091242479678604</v>
      </c>
    </row>
    <row r="61">
      <c r="A61" s="3" t="n">
        <v>45992</v>
      </c>
      <c r="B61" t="n">
        <v>1.632562127116129</v>
      </c>
      <c r="C61" t="n">
        <v>1.558820971214513</v>
      </c>
    </row>
    <row r="62">
      <c r="A62" s="3" t="n">
        <v>46023</v>
      </c>
      <c r="B62" t="n">
        <v>1.715250927574193</v>
      </c>
      <c r="C62" t="n">
        <v>1.603444045943885</v>
      </c>
    </row>
    <row r="63">
      <c r="A63" s="3" t="n">
        <v>46054</v>
      </c>
      <c r="B63" t="n">
        <v>1.746591910121428</v>
      </c>
      <c r="C63" t="n">
        <v>1.717006433770981</v>
      </c>
    </row>
    <row r="64">
      <c r="A64" s="3" t="n">
        <v>46082</v>
      </c>
      <c r="B64" t="n">
        <v>1.60783158446129</v>
      </c>
      <c r="C64" t="n">
        <v>1.54433971273985</v>
      </c>
    </row>
    <row r="65">
      <c r="A65" s="3" t="n">
        <v>46113</v>
      </c>
      <c r="B65" t="n">
        <v>1.309199507123333</v>
      </c>
      <c r="C65" t="n">
        <v>1.300458136080271</v>
      </c>
    </row>
    <row r="66">
      <c r="A66" s="3" t="n">
        <v>46143</v>
      </c>
      <c r="B66" t="n">
        <v>1.140051929077419</v>
      </c>
      <c r="C66" t="n">
        <v>1.132631155936127</v>
      </c>
    </row>
    <row r="67">
      <c r="A67" s="3" t="n">
        <v>46174</v>
      </c>
      <c r="B67" t="n">
        <v>1.270328616833333</v>
      </c>
      <c r="C67" t="n">
        <v>1.339835802000066</v>
      </c>
    </row>
    <row r="68">
      <c r="A68" s="3" t="n">
        <v>46204</v>
      </c>
      <c r="C68" t="n">
        <v>1.243881540560158</v>
      </c>
    </row>
    <row r="69">
      <c r="A69" s="3" t="n">
        <v>46235</v>
      </c>
      <c r="C69" t="n">
        <v>1.06040702362656</v>
      </c>
    </row>
    <row r="70">
      <c r="A70" s="3" t="n">
        <v>46266</v>
      </c>
      <c r="C70" t="n">
        <v>0.8942481072877237</v>
      </c>
    </row>
    <row r="71">
      <c r="A71" s="3" t="n">
        <v>46296</v>
      </c>
      <c r="C71" t="n">
        <v>0.825197277323685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Published</t>
        </is>
      </c>
      <c r="C1" t="inlineStr">
        <is>
          <t>Estimate from gas-fired output</t>
        </is>
      </c>
    </row>
    <row r="2">
      <c r="A2" s="3" t="n">
        <v>44197</v>
      </c>
      <c r="B2" t="n">
        <v>1.559265144071726</v>
      </c>
      <c r="C2" t="n">
        <v>1.520025118298221</v>
      </c>
    </row>
    <row r="3">
      <c r="A3" s="3" t="n">
        <v>44228</v>
      </c>
      <c r="B3" t="n">
        <v>1.10937557956709</v>
      </c>
      <c r="C3" t="n">
        <v>1.100181711438081</v>
      </c>
    </row>
    <row r="4">
      <c r="A4" s="3" t="n">
        <v>44256</v>
      </c>
      <c r="B4" t="n">
        <v>1.14083489349268</v>
      </c>
      <c r="C4" t="n">
        <v>1.116640279506503</v>
      </c>
    </row>
    <row r="5">
      <c r="A5" s="3" t="n">
        <v>44287</v>
      </c>
      <c r="B5" t="n">
        <v>1.147288854814432</v>
      </c>
      <c r="C5" t="n">
        <v>1.122196370608697</v>
      </c>
    </row>
    <row r="6">
      <c r="A6" s="3" t="n">
        <v>44317</v>
      </c>
      <c r="B6" t="n">
        <v>1.138192781</v>
      </c>
      <c r="C6" t="n">
        <v>1.122256195332564</v>
      </c>
    </row>
    <row r="7">
      <c r="A7" s="3" t="n">
        <v>44348</v>
      </c>
      <c r="B7" t="n">
        <v>1.582804854</v>
      </c>
      <c r="C7" t="n">
        <v>1.530303795856326</v>
      </c>
    </row>
    <row r="8">
      <c r="A8" s="3" t="n">
        <v>44378</v>
      </c>
      <c r="B8" t="n">
        <v>1.791867878</v>
      </c>
      <c r="C8" t="n">
        <v>1.796809848547806</v>
      </c>
    </row>
    <row r="9">
      <c r="A9" s="3" t="n">
        <v>44409</v>
      </c>
      <c r="B9" t="n">
        <v>1.794587146317254</v>
      </c>
      <c r="C9" t="n">
        <v>1.818101376719147</v>
      </c>
    </row>
    <row r="10">
      <c r="A10" s="3" t="n">
        <v>44440</v>
      </c>
      <c r="B10" t="n">
        <v>1.699343364</v>
      </c>
      <c r="C10" t="n">
        <v>1.784779761909178</v>
      </c>
    </row>
    <row r="11">
      <c r="A11" s="3" t="n">
        <v>44470</v>
      </c>
      <c r="B11" t="n">
        <v>1.9114787669</v>
      </c>
      <c r="C11" t="n">
        <v>2.004576755677563</v>
      </c>
    </row>
    <row r="12">
      <c r="A12" s="3" t="n">
        <v>44501</v>
      </c>
      <c r="B12" t="n">
        <v>1.8045105406</v>
      </c>
      <c r="C12" t="n">
        <v>1.865998648439521</v>
      </c>
    </row>
    <row r="13">
      <c r="A13" s="3" t="n">
        <v>44531</v>
      </c>
      <c r="B13" t="n">
        <v>1.470857255</v>
      </c>
      <c r="C13" t="n">
        <v>1.521465135170869</v>
      </c>
    </row>
    <row r="14">
      <c r="A14" s="3" t="n">
        <v>44562</v>
      </c>
      <c r="B14" t="n">
        <v>1.218004003</v>
      </c>
      <c r="C14" t="n">
        <v>1.250400510433632</v>
      </c>
    </row>
    <row r="15">
      <c r="A15" s="3" t="n">
        <v>44593</v>
      </c>
      <c r="B15" t="n">
        <v>0.8373115369999999</v>
      </c>
      <c r="C15" t="n">
        <v>0.8296982810670634</v>
      </c>
    </row>
    <row r="16">
      <c r="A16" s="3" t="n">
        <v>44621</v>
      </c>
      <c r="B16" t="n">
        <v>0.5992904589999999</v>
      </c>
      <c r="C16" t="n">
        <v>0.5791283372671233</v>
      </c>
    </row>
    <row r="17">
      <c r="A17" s="3" t="n">
        <v>44652</v>
      </c>
      <c r="B17" t="n">
        <v>0.3397274139999999</v>
      </c>
      <c r="C17" t="n">
        <v>0.3100334975652106</v>
      </c>
    </row>
    <row r="18">
      <c r="A18" s="3" t="n">
        <v>44682</v>
      </c>
      <c r="B18" t="n">
        <v>0.308297331</v>
      </c>
      <c r="C18" t="n">
        <v>0.2934610228643987</v>
      </c>
    </row>
    <row r="19">
      <c r="A19" s="3" t="n">
        <v>44713</v>
      </c>
      <c r="B19" t="n">
        <v>0.5180666489999999</v>
      </c>
      <c r="C19" t="n">
        <v>0.4689233335544641</v>
      </c>
    </row>
    <row r="20">
      <c r="A20" s="3" t="n">
        <v>44743</v>
      </c>
      <c r="B20" t="n">
        <v>0.413535137</v>
      </c>
      <c r="C20" t="n">
        <v>0.3910752528781775</v>
      </c>
    </row>
    <row r="21">
      <c r="A21" s="3" t="n">
        <v>44774</v>
      </c>
      <c r="B21" t="n">
        <v>0.4214903589615153</v>
      </c>
      <c r="C21" t="n">
        <v>0.4230087075934015</v>
      </c>
    </row>
    <row r="22">
      <c r="A22" s="3" t="n">
        <v>44805</v>
      </c>
      <c r="B22" t="n">
        <v>0.4749827149999999</v>
      </c>
      <c r="C22" t="n">
        <v>0.4412739733047069</v>
      </c>
    </row>
    <row r="23">
      <c r="A23" s="3" t="n">
        <v>44835</v>
      </c>
      <c r="B23" t="n">
        <v>0.457678512</v>
      </c>
      <c r="C23" t="n">
        <v>0.4588367409166764</v>
      </c>
    </row>
    <row r="24">
      <c r="A24" s="3" t="n">
        <v>44866</v>
      </c>
      <c r="B24" t="n">
        <v>0.4128288429999999</v>
      </c>
      <c r="C24" t="n">
        <v>0.460839198346138</v>
      </c>
    </row>
    <row r="25">
      <c r="A25" s="3" t="n">
        <v>44896</v>
      </c>
      <c r="B25" t="n">
        <v>0.4891794792480356</v>
      </c>
      <c r="C25" t="n">
        <v>0.5140542839802266</v>
      </c>
    </row>
    <row r="26">
      <c r="A26" s="3" t="n">
        <v>44927</v>
      </c>
      <c r="B26" t="n">
        <v>0.413888284</v>
      </c>
      <c r="C26" t="n">
        <v>0.4498219911401196</v>
      </c>
    </row>
    <row r="27">
      <c r="A27" s="3" t="n">
        <v>44958</v>
      </c>
      <c r="B27" t="n">
        <v>0.3421994429999999</v>
      </c>
      <c r="C27" t="n">
        <v>0.3375896633539507</v>
      </c>
    </row>
    <row r="28">
      <c r="A28" s="3" t="n">
        <v>44986</v>
      </c>
      <c r="B28" t="n">
        <v>0.3308987389999999</v>
      </c>
      <c r="C28" t="n">
        <v>0.3173166965927983</v>
      </c>
    </row>
    <row r="29">
      <c r="A29" s="3" t="n">
        <v>45017</v>
      </c>
      <c r="B29" t="n">
        <v>0.437195986</v>
      </c>
      <c r="C29" t="n">
        <v>0.4259518219343644</v>
      </c>
    </row>
    <row r="30">
      <c r="A30" s="3" t="n">
        <v>45047</v>
      </c>
      <c r="B30" t="n">
        <v>0.3121322032285914</v>
      </c>
      <c r="C30" t="n">
        <v>0.3113490285692131</v>
      </c>
    </row>
    <row r="31">
      <c r="A31" s="3" t="n">
        <v>45078</v>
      </c>
      <c r="B31" t="n">
        <v>0.5701869638675807</v>
      </c>
      <c r="C31" t="n">
        <v>0.5911306486446485</v>
      </c>
    </row>
    <row r="32">
      <c r="A32" s="3" t="n">
        <v>45108</v>
      </c>
      <c r="B32" t="n">
        <v>0.396937228</v>
      </c>
      <c r="C32" t="n">
        <v>0.4084151949467731</v>
      </c>
    </row>
    <row r="33">
      <c r="A33" s="3" t="n">
        <v>45139</v>
      </c>
      <c r="B33" t="n">
        <v>0.400468698</v>
      </c>
      <c r="C33" t="n">
        <v>0.3822735536700578</v>
      </c>
    </row>
    <row r="34">
      <c r="A34" s="3" t="n">
        <v>45170</v>
      </c>
      <c r="B34" t="n">
        <v>0.385989671</v>
      </c>
      <c r="C34" t="n">
        <v>0.369490342735125</v>
      </c>
    </row>
    <row r="35">
      <c r="A35" s="3" t="n">
        <v>45200</v>
      </c>
      <c r="B35" t="n">
        <v>0.409297373</v>
      </c>
      <c r="C35" t="n">
        <v>0.3680677112569554</v>
      </c>
    </row>
    <row r="36">
      <c r="A36" s="3" t="n">
        <v>45231</v>
      </c>
      <c r="B36" t="n">
        <v>0.6918149729999999</v>
      </c>
      <c r="C36" t="n">
        <v>0.682816990327505</v>
      </c>
    </row>
    <row r="37">
      <c r="A37" s="3" t="n">
        <v>45261</v>
      </c>
      <c r="B37" t="n">
        <v>0.725717085</v>
      </c>
      <c r="C37" t="n">
        <v>0.7434238737508148</v>
      </c>
    </row>
    <row r="38">
      <c r="A38" s="3" t="n">
        <v>45292</v>
      </c>
      <c r="B38" t="n">
        <v>0.622951308</v>
      </c>
      <c r="C38" t="n">
        <v>0.6823423748681987</v>
      </c>
    </row>
    <row r="39">
      <c r="A39" s="3" t="n">
        <v>45323</v>
      </c>
      <c r="B39" t="n">
        <v>0.3879236342182689</v>
      </c>
      <c r="C39" t="n">
        <v>0.4279163228042294</v>
      </c>
    </row>
    <row r="40">
      <c r="A40" s="3" t="n">
        <v>45352</v>
      </c>
      <c r="B40" t="n">
        <v>0.3682970672441959</v>
      </c>
      <c r="C40" t="n">
        <v>0.3938380186472825</v>
      </c>
    </row>
    <row r="41">
      <c r="A41" s="3" t="n">
        <v>45383</v>
      </c>
      <c r="B41" t="n">
        <v>0.3222568851806549</v>
      </c>
      <c r="C41" t="n">
        <v>0.370291247076166</v>
      </c>
    </row>
    <row r="42">
      <c r="A42" s="3" t="n">
        <v>45413</v>
      </c>
      <c r="B42" t="n">
        <v>0.2927284920814197</v>
      </c>
      <c r="C42" t="n">
        <v>0.3005877433462461</v>
      </c>
    </row>
    <row r="43">
      <c r="A43" s="3" t="n">
        <v>45444</v>
      </c>
      <c r="B43" t="n">
        <v>0.3222723944055917</v>
      </c>
      <c r="C43" t="n">
        <v>0.3671046237973373</v>
      </c>
    </row>
    <row r="44">
      <c r="A44" s="3" t="n">
        <v>45474</v>
      </c>
      <c r="B44" t="n">
        <v>0.5964115642258622</v>
      </c>
      <c r="C44" t="n">
        <v>0.6237265931495503</v>
      </c>
    </row>
    <row r="45">
      <c r="A45" s="3" t="n">
        <v>45505</v>
      </c>
      <c r="B45" t="n">
        <v>0.7703394863547661</v>
      </c>
      <c r="C45" t="n">
        <v>0.8002650261025549</v>
      </c>
    </row>
    <row r="46">
      <c r="A46" s="3" t="n">
        <v>45536</v>
      </c>
      <c r="B46" t="n">
        <v>1.168449680143298</v>
      </c>
      <c r="C46" t="n">
        <v>1.215422831461215</v>
      </c>
    </row>
    <row r="47">
      <c r="A47" s="3" t="n">
        <v>45566</v>
      </c>
      <c r="B47" t="n">
        <v>1.207974871014898</v>
      </c>
      <c r="C47" t="n">
        <v>1.255664759960229</v>
      </c>
    </row>
    <row r="48">
      <c r="A48" s="3" t="n">
        <v>45597</v>
      </c>
      <c r="B48" t="n">
        <v>0.9037502698384584</v>
      </c>
      <c r="C48" t="n">
        <v>0.8194157854148241</v>
      </c>
    </row>
    <row r="49">
      <c r="A49" s="3" t="n">
        <v>45627</v>
      </c>
      <c r="B49" t="n">
        <v>0.7441657477074146</v>
      </c>
      <c r="C49" t="n">
        <v>0.6896987238792669</v>
      </c>
    </row>
    <row r="50">
      <c r="A50" s="3" t="n">
        <v>45658</v>
      </c>
      <c r="B50" t="n">
        <v>0.665328948</v>
      </c>
      <c r="C50" t="n">
        <v>0.5430110326690167</v>
      </c>
    </row>
    <row r="51">
      <c r="A51" s="3" t="n">
        <v>45689</v>
      </c>
      <c r="B51" t="n">
        <v>0.4592381253733638</v>
      </c>
      <c r="C51" t="n">
        <v>0.4115163655517562</v>
      </c>
    </row>
    <row r="52">
      <c r="A52" s="3" t="n">
        <v>45717</v>
      </c>
      <c r="B52" t="n">
        <v>0.447407457492239</v>
      </c>
      <c r="C52" t="n">
        <v>0.3872619549958787</v>
      </c>
    </row>
    <row r="53">
      <c r="A53" s="3" t="n">
        <v>45748</v>
      </c>
      <c r="B53" t="n">
        <v>0.552004452590133</v>
      </c>
      <c r="C53" t="n">
        <v>0.4697305471905547</v>
      </c>
    </row>
    <row r="54">
      <c r="A54" s="3" t="n">
        <v>45778</v>
      </c>
      <c r="B54" t="n">
        <v>0.5980169969265154</v>
      </c>
      <c r="C54" t="n">
        <v>0.4897021294808678</v>
      </c>
    </row>
    <row r="55">
      <c r="A55" s="3" t="n">
        <v>45809</v>
      </c>
      <c r="B55" t="n">
        <v>0.6713358511979279</v>
      </c>
      <c r="C55" t="n">
        <v>0.6415097587618988</v>
      </c>
    </row>
    <row r="56">
      <c r="A56" s="3" t="n">
        <v>45839</v>
      </c>
      <c r="C56" t="n">
        <v>1.120882995251721</v>
      </c>
    </row>
    <row r="57">
      <c r="A57" s="3" t="n">
        <v>45870</v>
      </c>
      <c r="C57" t="n">
        <v>1.181884065195979</v>
      </c>
    </row>
    <row r="58">
      <c r="A58" s="3" t="n">
        <v>45901</v>
      </c>
      <c r="C58" t="n">
        <v>0.9448322613674229</v>
      </c>
    </row>
    <row r="59">
      <c r="A59" s="3" t="n">
        <v>45931</v>
      </c>
      <c r="C59" t="n">
        <v>1.330475324227714</v>
      </c>
    </row>
    <row r="60">
      <c r="A60" s="3" t="n">
        <v>45962</v>
      </c>
      <c r="C60" t="n">
        <v>1.416349668243662</v>
      </c>
    </row>
    <row r="61">
      <c r="A61" s="3" t="n">
        <v>45992</v>
      </c>
      <c r="C61" t="n">
        <v>0.9216965329835282</v>
      </c>
    </row>
    <row r="62">
      <c r="A62" s="3" t="n">
        <v>46023</v>
      </c>
      <c r="C62" t="n">
        <v>1.013987406497427</v>
      </c>
    </row>
    <row r="63">
      <c r="A63" s="3" t="n">
        <v>46054</v>
      </c>
      <c r="C63" t="n">
        <v>0.7772211239240928</v>
      </c>
    </row>
    <row r="64">
      <c r="A64" s="3" t="n">
        <v>46082</v>
      </c>
      <c r="C64" t="n">
        <v>0.9931498842928415</v>
      </c>
    </row>
    <row r="65">
      <c r="A65" s="3" t="n">
        <v>46113</v>
      </c>
      <c r="C65" t="n">
        <v>0.6779693488824271</v>
      </c>
    </row>
    <row r="66">
      <c r="A66" s="3" t="n">
        <v>46143</v>
      </c>
      <c r="C66" t="n">
        <v>0.5984223948172539</v>
      </c>
    </row>
    <row r="67">
      <c r="A67" s="3" t="n">
        <v>46174</v>
      </c>
      <c r="C67" t="n">
        <v>0.7522970607876384</v>
      </c>
    </row>
    <row r="68">
      <c r="A68" s="3" t="n">
        <v>46204</v>
      </c>
      <c r="C68" t="n">
        <v>0.8900791162797046</v>
      </c>
    </row>
    <row r="69">
      <c r="A69" s="3" t="n">
        <v>46235</v>
      </c>
      <c r="C69" t="n">
        <v>0.803077758300152</v>
      </c>
    </row>
    <row r="70">
      <c r="A70" s="3" t="n">
        <v>46266</v>
      </c>
      <c r="C70" t="n">
        <v>0.7850368930136802</v>
      </c>
    </row>
    <row r="71">
      <c r="A71" s="3" t="n">
        <v>46296</v>
      </c>
      <c r="C71" t="n">
        <v>0.9500025546041582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Published</t>
        </is>
      </c>
      <c r="C1" t="inlineStr">
        <is>
          <t>Estimate from gas-fired output</t>
        </is>
      </c>
    </row>
    <row r="2">
      <c r="A2" s="3" t="n">
        <v>44197</v>
      </c>
      <c r="B2" t="n">
        <v>0.1127951518</v>
      </c>
      <c r="C2" t="n">
        <v>0.1085723753018149</v>
      </c>
    </row>
    <row r="3">
      <c r="A3" s="3" t="n">
        <v>44228</v>
      </c>
      <c r="B3" t="n">
        <v>0.1237073941</v>
      </c>
      <c r="C3" t="n">
        <v>0.1137610260888632</v>
      </c>
    </row>
    <row r="4">
      <c r="A4" s="3" t="n">
        <v>44256</v>
      </c>
      <c r="B4" t="n">
        <v>0.1292164873</v>
      </c>
      <c r="C4" t="n">
        <v>0.1224774196136754</v>
      </c>
    </row>
    <row r="5">
      <c r="A5" s="3" t="n">
        <v>44287</v>
      </c>
      <c r="B5" t="n">
        <v>0.1214472533</v>
      </c>
      <c r="C5" t="n">
        <v>0.115722854022265</v>
      </c>
    </row>
    <row r="6">
      <c r="A6" s="3" t="n">
        <v>44317</v>
      </c>
      <c r="B6" t="n">
        <v>0.1436955143</v>
      </c>
      <c r="C6" t="n">
        <v>0.1454485229984801</v>
      </c>
    </row>
    <row r="7">
      <c r="A7" s="3" t="n">
        <v>44348</v>
      </c>
      <c r="B7" t="n">
        <v>0.1311234811</v>
      </c>
      <c r="C7" t="n">
        <v>0.1321650044071274</v>
      </c>
    </row>
    <row r="8">
      <c r="A8" s="3" t="n">
        <v>44378</v>
      </c>
      <c r="B8" t="n">
        <v>0.1356437627</v>
      </c>
      <c r="C8" t="n">
        <v>0.1397233249822907</v>
      </c>
    </row>
    <row r="9">
      <c r="A9" s="3" t="n">
        <v>44409</v>
      </c>
      <c r="B9" t="n">
        <v>0.1385042534</v>
      </c>
      <c r="C9" t="n">
        <v>0.141951544167031</v>
      </c>
    </row>
    <row r="10">
      <c r="A10" s="3" t="n">
        <v>44440</v>
      </c>
      <c r="B10" t="n">
        <v>0.1476860754</v>
      </c>
      <c r="C10" t="n">
        <v>0.1556952641502013</v>
      </c>
    </row>
    <row r="11">
      <c r="A11" s="3" t="n">
        <v>44470</v>
      </c>
      <c r="B11" t="n">
        <v>0.1555259388</v>
      </c>
      <c r="C11" t="n">
        <v>0.1622128296416616</v>
      </c>
    </row>
    <row r="12">
      <c r="A12" s="3" t="n">
        <v>44501</v>
      </c>
      <c r="B12" t="n">
        <v>0.1602934233</v>
      </c>
      <c r="C12" t="n">
        <v>0.169648876582019</v>
      </c>
    </row>
    <row r="13">
      <c r="A13" s="3" t="n">
        <v>44531</v>
      </c>
      <c r="B13" t="n">
        <v>0.126073479</v>
      </c>
      <c r="C13" t="n">
        <v>0.1358338627304477</v>
      </c>
    </row>
    <row r="14">
      <c r="A14" s="3" t="n">
        <v>44562</v>
      </c>
      <c r="B14" t="n">
        <v>0.1278038993</v>
      </c>
      <c r="C14" t="n">
        <v>0.1344271125038931</v>
      </c>
    </row>
    <row r="15">
      <c r="A15" s="3" t="n">
        <v>44593</v>
      </c>
      <c r="B15" t="n">
        <v>0.1368091478</v>
      </c>
      <c r="C15" t="n">
        <v>0.1448527537485524</v>
      </c>
    </row>
    <row r="16">
      <c r="A16" s="3" t="n">
        <v>44621</v>
      </c>
      <c r="B16" t="n">
        <v>0.1251906115</v>
      </c>
      <c r="C16" t="n">
        <v>0.1295951994349587</v>
      </c>
    </row>
    <row r="17">
      <c r="A17" s="3" t="n">
        <v>44652</v>
      </c>
      <c r="B17" t="n">
        <v>0.1201052947</v>
      </c>
      <c r="C17" t="n">
        <v>0.126654195124366</v>
      </c>
    </row>
    <row r="18">
      <c r="A18" s="3" t="n">
        <v>44682</v>
      </c>
      <c r="B18" t="n">
        <v>0.1189752243</v>
      </c>
      <c r="C18" t="n">
        <v>0.1283502361993118</v>
      </c>
    </row>
    <row r="19">
      <c r="A19" s="3" t="n">
        <v>44713</v>
      </c>
      <c r="B19" t="n">
        <v>0.1110294168</v>
      </c>
      <c r="C19" t="n">
        <v>0.1202410311124212</v>
      </c>
    </row>
    <row r="20">
      <c r="A20" s="3" t="n">
        <v>44743</v>
      </c>
      <c r="B20" t="n">
        <v>0.09386647259999999</v>
      </c>
      <c r="C20" t="n">
        <v>0.1295349521434622</v>
      </c>
    </row>
    <row r="21">
      <c r="A21" s="3" t="n">
        <v>44774</v>
      </c>
      <c r="B21" t="n">
        <v>0.1330657896</v>
      </c>
      <c r="C21" t="n">
        <v>0.1293476091120981</v>
      </c>
    </row>
    <row r="22">
      <c r="A22" s="3" t="n">
        <v>44805</v>
      </c>
      <c r="B22" t="n">
        <v>0.1412588</v>
      </c>
      <c r="C22" t="n">
        <v>0.1390316208977506</v>
      </c>
    </row>
    <row r="23">
      <c r="A23" s="3" t="n">
        <v>44835</v>
      </c>
      <c r="B23" t="n">
        <v>0.1721238478</v>
      </c>
      <c r="C23" t="n">
        <v>0.1653066767797022</v>
      </c>
    </row>
    <row r="24">
      <c r="A24" s="3" t="n">
        <v>44866</v>
      </c>
      <c r="B24" t="n">
        <v>0.1922885415</v>
      </c>
      <c r="C24" t="n">
        <v>0.1785509611610004</v>
      </c>
    </row>
    <row r="25">
      <c r="A25" s="3" t="n">
        <v>44896</v>
      </c>
      <c r="B25" t="n">
        <v>0.1881920363</v>
      </c>
      <c r="C25" t="n">
        <v>0.178051950206996</v>
      </c>
    </row>
    <row r="26">
      <c r="A26" s="3" t="n">
        <v>44927</v>
      </c>
      <c r="B26" t="n">
        <v>0.1638248933</v>
      </c>
      <c r="C26" t="n">
        <v>0.1602167559095769</v>
      </c>
    </row>
    <row r="27">
      <c r="A27" s="3" t="n">
        <v>44958</v>
      </c>
      <c r="B27" t="n">
        <v>0.1521004129</v>
      </c>
      <c r="C27" t="n">
        <v>0.1473937632931066</v>
      </c>
    </row>
    <row r="28">
      <c r="A28" s="3" t="n">
        <v>44986</v>
      </c>
      <c r="B28" t="n">
        <v>0.1799283965</v>
      </c>
      <c r="C28" t="n">
        <v>0.1678207995217185</v>
      </c>
    </row>
    <row r="29">
      <c r="A29" s="3" t="n">
        <v>45017</v>
      </c>
      <c r="B29" t="n">
        <v>0.1710290921</v>
      </c>
      <c r="C29" t="n">
        <v>0.1578970782758064</v>
      </c>
    </row>
    <row r="30">
      <c r="A30" s="3" t="n">
        <v>45047</v>
      </c>
      <c r="B30" t="n">
        <v>0.1662616076</v>
      </c>
      <c r="C30" t="n">
        <v>0.1627430585166827</v>
      </c>
    </row>
    <row r="31">
      <c r="A31" s="3" t="n">
        <v>45078</v>
      </c>
      <c r="B31" t="n">
        <v>0.1718060155</v>
      </c>
      <c r="C31" t="n">
        <v>0.16309156034299</v>
      </c>
    </row>
    <row r="32">
      <c r="A32" s="3" t="n">
        <v>45108</v>
      </c>
      <c r="B32" t="n">
        <v>0.1662616076</v>
      </c>
      <c r="C32" t="n">
        <v>0.1572636431850769</v>
      </c>
    </row>
    <row r="33">
      <c r="A33" s="3" t="n">
        <v>45139</v>
      </c>
      <c r="B33" t="n">
        <v>0.1702521687</v>
      </c>
      <c r="C33" t="n">
        <v>0.1723727526251871</v>
      </c>
    </row>
    <row r="34">
      <c r="A34" s="3" t="n">
        <v>45170</v>
      </c>
      <c r="B34" t="n">
        <v>0.1789748996</v>
      </c>
      <c r="C34" t="n">
        <v>0.1826397479731967</v>
      </c>
    </row>
    <row r="35">
      <c r="A35" s="3" t="n">
        <v>45200</v>
      </c>
      <c r="B35" t="n">
        <v>0.1801402847</v>
      </c>
      <c r="C35" t="n">
        <v>0.1842427508229193</v>
      </c>
    </row>
    <row r="36">
      <c r="A36" s="3" t="n">
        <v>45231</v>
      </c>
      <c r="B36" t="n">
        <v>0.1833892371</v>
      </c>
      <c r="C36" t="n">
        <v>0.1838130030881716</v>
      </c>
    </row>
    <row r="37">
      <c r="A37" s="3" t="n">
        <v>45261</v>
      </c>
      <c r="B37" t="n">
        <v>0.1643899285</v>
      </c>
      <c r="C37" t="n">
        <v>0.1611641855193232</v>
      </c>
    </row>
    <row r="38">
      <c r="A38" s="3" t="n">
        <v>45292</v>
      </c>
      <c r="B38" t="n">
        <v>0.1925710591</v>
      </c>
      <c r="C38" t="n">
        <v>0.1909946223012676</v>
      </c>
    </row>
    <row r="39">
      <c r="A39" s="3" t="n">
        <v>45323</v>
      </c>
      <c r="B39" t="n">
        <v>0.181870705</v>
      </c>
      <c r="C39" t="n">
        <v>0.1734057772075122</v>
      </c>
    </row>
    <row r="40">
      <c r="A40" s="3" t="n">
        <v>45352</v>
      </c>
      <c r="B40" t="n">
        <v>0.152912651</v>
      </c>
      <c r="C40" t="n">
        <v>0.1494005222157627</v>
      </c>
    </row>
    <row r="41">
      <c r="A41" s="3" t="n">
        <v>45383</v>
      </c>
      <c r="B41" t="n">
        <v>0.1649902784</v>
      </c>
      <c r="C41" t="n">
        <v>0.1623097123643068</v>
      </c>
    </row>
    <row r="42">
      <c r="A42" s="3" t="n">
        <v>45413</v>
      </c>
      <c r="B42" t="n">
        <v>0.1642839844</v>
      </c>
      <c r="C42" t="n">
        <v>0.1522639051853791</v>
      </c>
    </row>
    <row r="43">
      <c r="A43" s="3" t="n">
        <v>45444</v>
      </c>
      <c r="B43" t="n">
        <v>0.1549255889</v>
      </c>
      <c r="C43" t="n">
        <v>0.1532022466865003</v>
      </c>
    </row>
    <row r="44">
      <c r="A44" s="3" t="n">
        <v>45474</v>
      </c>
      <c r="B44" t="n">
        <v>0.1504759367</v>
      </c>
      <c r="C44" t="n">
        <v>0.1496583376856835</v>
      </c>
    </row>
    <row r="45">
      <c r="A45" s="3" t="n">
        <v>45505</v>
      </c>
      <c r="B45" t="n">
        <v>0.1534776862</v>
      </c>
      <c r="C45" t="n">
        <v>0.1628152613504036</v>
      </c>
    </row>
    <row r="46">
      <c r="A46" s="3" t="n">
        <v>45536</v>
      </c>
      <c r="B46" t="n">
        <v>0.181870705</v>
      </c>
      <c r="C46" t="n">
        <v>0.1777769387541886</v>
      </c>
    </row>
    <row r="47">
      <c r="A47" s="3" t="n">
        <v>45566</v>
      </c>
      <c r="B47" t="n">
        <v>0.1622004171</v>
      </c>
      <c r="C47" t="n">
        <v>0.2016889031860985</v>
      </c>
    </row>
    <row r="48">
      <c r="A48" s="3" t="n">
        <v>45597</v>
      </c>
      <c r="B48" t="n">
        <v>0.1495577545</v>
      </c>
      <c r="C48" t="n">
        <v>0.192019684028091</v>
      </c>
    </row>
    <row r="49">
      <c r="A49" s="3" t="n">
        <v>45627</v>
      </c>
      <c r="B49" t="n">
        <v>0.168097972</v>
      </c>
      <c r="C49" t="n">
        <v>0.1700247330513723</v>
      </c>
    </row>
    <row r="50">
      <c r="A50" s="3" t="n">
        <v>45658</v>
      </c>
      <c r="B50" t="n">
        <v>0.1741721004</v>
      </c>
      <c r="C50" t="n">
        <v>0.1640131128326066</v>
      </c>
    </row>
    <row r="51">
      <c r="A51" s="3" t="n">
        <v>45689</v>
      </c>
      <c r="B51" t="n">
        <v>0.2317350614</v>
      </c>
      <c r="C51" t="n">
        <v>0.178680113790564</v>
      </c>
    </row>
    <row r="52">
      <c r="A52" s="3" t="n">
        <v>45717</v>
      </c>
      <c r="B52" t="n">
        <v>0.1470150961</v>
      </c>
      <c r="C52" t="n">
        <v>0.1432069053223776</v>
      </c>
    </row>
    <row r="53">
      <c r="A53" s="3" t="n">
        <v>45748</v>
      </c>
      <c r="B53" t="n">
        <v>0.1373388683</v>
      </c>
      <c r="C53" t="n">
        <v>0.140047663768089</v>
      </c>
    </row>
    <row r="54">
      <c r="A54" s="3" t="n">
        <v>45778</v>
      </c>
      <c r="B54" t="n">
        <v>0.147615446</v>
      </c>
      <c r="C54" t="n">
        <v>0.1503360954285328</v>
      </c>
    </row>
    <row r="55">
      <c r="A55" s="3" t="n">
        <v>45809</v>
      </c>
      <c r="B55" t="n">
        <v>0.1417885205</v>
      </c>
      <c r="C55" t="n">
        <v>0.1411957692459476</v>
      </c>
    </row>
    <row r="56">
      <c r="A56" s="3" t="n">
        <v>45839</v>
      </c>
      <c r="B56" t="n">
        <v>0.1547843301</v>
      </c>
      <c r="C56" t="n">
        <v>0.1539133211676628</v>
      </c>
    </row>
    <row r="57">
      <c r="A57" s="3" t="n">
        <v>45870</v>
      </c>
      <c r="B57" t="n">
        <v>0.1489927193</v>
      </c>
      <c r="C57" t="n">
        <v>0.151916397120426</v>
      </c>
    </row>
    <row r="58">
      <c r="A58" s="3" t="n">
        <v>45901</v>
      </c>
      <c r="B58" t="n">
        <v>0.1873444835</v>
      </c>
      <c r="C58" t="n">
        <v>0.1828453648305423</v>
      </c>
    </row>
    <row r="59">
      <c r="A59" s="3" t="n">
        <v>45931</v>
      </c>
      <c r="B59" t="n">
        <v>0.1616353819</v>
      </c>
      <c r="C59" t="n">
        <v>0.1643797523470872</v>
      </c>
    </row>
    <row r="60">
      <c r="A60" s="3" t="n">
        <v>45962</v>
      </c>
      <c r="B60" t="n">
        <v>0.1877329452</v>
      </c>
      <c r="C60" t="n">
        <v>0.1967787775903751</v>
      </c>
    </row>
    <row r="61">
      <c r="A61" s="3" t="n">
        <v>45992</v>
      </c>
      <c r="B61" t="n">
        <v>0.1778801439</v>
      </c>
      <c r="C61" t="n">
        <v>0.1888226696895223</v>
      </c>
    </row>
    <row r="62">
      <c r="A62" s="3" t="n">
        <v>46023</v>
      </c>
      <c r="C62" t="n">
        <v>0.1685023185787013</v>
      </c>
    </row>
    <row r="63">
      <c r="A63" s="3" t="n">
        <v>46054</v>
      </c>
      <c r="C63" t="n">
        <v>0.1860190125255218</v>
      </c>
    </row>
    <row r="64">
      <c r="A64" s="3" t="n">
        <v>46082</v>
      </c>
      <c r="C64" t="n">
        <v>0.2025178442524308</v>
      </c>
    </row>
    <row r="65">
      <c r="A65" s="3" t="n">
        <v>46113</v>
      </c>
      <c r="C65" t="n">
        <v>0.1861717539444781</v>
      </c>
    </row>
    <row r="66">
      <c r="A66" s="3" t="n">
        <v>46143</v>
      </c>
      <c r="C66" t="n">
        <v>0.164902120834065</v>
      </c>
    </row>
    <row r="67">
      <c r="A67" s="3" t="n">
        <v>46174</v>
      </c>
      <c r="C67" t="n">
        <v>0.1696250427595374</v>
      </c>
    </row>
    <row r="68">
      <c r="A68" s="3" t="n">
        <v>46204</v>
      </c>
      <c r="C68" t="n">
        <v>0.1849288058712604</v>
      </c>
    </row>
    <row r="69">
      <c r="A69" s="3" t="n">
        <v>46235</v>
      </c>
      <c r="C69" t="n">
        <v>0.1776937030832654</v>
      </c>
    </row>
    <row r="70">
      <c r="A70" s="3" t="n">
        <v>46266</v>
      </c>
      <c r="C70" t="n">
        <v>0.1714380041063484</v>
      </c>
    </row>
    <row r="71">
      <c r="A71" s="3" t="n">
        <v>46296</v>
      </c>
      <c r="C71" t="n">
        <v>0.1781536527782137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Published</t>
        </is>
      </c>
      <c r="C1" t="inlineStr">
        <is>
          <t>Estimate from gas-fired output</t>
        </is>
      </c>
    </row>
    <row r="2">
      <c r="A2" s="3" t="n">
        <v>44197</v>
      </c>
      <c r="B2" t="n">
        <v>0.1854376120305713</v>
      </c>
      <c r="C2" t="n">
        <v>0.1944853294951772</v>
      </c>
    </row>
    <row r="3">
      <c r="A3" s="3" t="n">
        <v>44228</v>
      </c>
      <c r="B3" t="n">
        <v>0.2097095507780282</v>
      </c>
      <c r="C3" t="n">
        <v>0.2148358220306285</v>
      </c>
    </row>
    <row r="4">
      <c r="A4" s="3" t="n">
        <v>44256</v>
      </c>
      <c r="B4" t="n">
        <v>0.1737870814317919</v>
      </c>
      <c r="C4" t="n">
        <v>0.188201610992472</v>
      </c>
    </row>
    <row r="5">
      <c r="A5" s="3" t="n">
        <v>44287</v>
      </c>
      <c r="B5" t="n">
        <v>0.1543695304338263</v>
      </c>
      <c r="C5" t="n">
        <v>0.1683233338633468</v>
      </c>
    </row>
    <row r="6">
      <c r="A6" s="3" t="n">
        <v>44317</v>
      </c>
      <c r="B6" t="n">
        <v>0.1485442651344367</v>
      </c>
      <c r="C6" t="n">
        <v>0.1541937123588703</v>
      </c>
    </row>
    <row r="7">
      <c r="A7" s="3" t="n">
        <v>44348</v>
      </c>
      <c r="B7" t="n">
        <v>0.1747579589816902</v>
      </c>
      <c r="C7" t="n">
        <v>0.1881834892499584</v>
      </c>
    </row>
    <row r="8">
      <c r="A8" s="3" t="n">
        <v>44378</v>
      </c>
      <c r="B8" t="n">
        <v>0.1932046324297575</v>
      </c>
      <c r="C8" t="n">
        <v>0.1793252491378768</v>
      </c>
    </row>
    <row r="9">
      <c r="A9" s="3" t="n">
        <v>44409</v>
      </c>
      <c r="B9" t="n">
        <v>0.1922337548798592</v>
      </c>
      <c r="C9" t="n">
        <v>0.1765513697849884</v>
      </c>
    </row>
    <row r="10">
      <c r="A10" s="3" t="n">
        <v>44440</v>
      </c>
      <c r="B10" t="n">
        <v>0.1912628773299609</v>
      </c>
      <c r="C10" t="n">
        <v>0.1794822148590478</v>
      </c>
    </row>
    <row r="11">
      <c r="A11" s="3" t="n">
        <v>44470</v>
      </c>
      <c r="B11" t="n">
        <v>0.2000007752790455</v>
      </c>
      <c r="C11" t="n">
        <v>0.1821066457386256</v>
      </c>
    </row>
    <row r="12">
      <c r="A12" s="3" t="n">
        <v>44501</v>
      </c>
      <c r="B12" t="n">
        <v>0.201942530378842</v>
      </c>
      <c r="C12" t="n">
        <v>0.1847139883699969</v>
      </c>
    </row>
    <row r="13">
      <c r="A13" s="3" t="n">
        <v>44531</v>
      </c>
      <c r="B13" t="n">
        <v>0.2135930609776214</v>
      </c>
      <c r="C13" t="n">
        <v>0.1929865336150477</v>
      </c>
    </row>
    <row r="14">
      <c r="A14" s="3" t="n">
        <v>44562</v>
      </c>
      <c r="B14" t="n">
        <v>0.1922337548798592</v>
      </c>
      <c r="C14" t="n">
        <v>0.173633638766532</v>
      </c>
    </row>
    <row r="15">
      <c r="A15" s="3" t="n">
        <v>44593</v>
      </c>
      <c r="B15" t="n">
        <v>0.2223309589267059</v>
      </c>
      <c r="C15" t="n">
        <v>0.2118800410984494</v>
      </c>
    </row>
    <row r="16">
      <c r="A16" s="3" t="n">
        <v>44621</v>
      </c>
      <c r="B16" t="n">
        <v>0.2233018364766041</v>
      </c>
      <c r="C16" t="n">
        <v>0.2058593694992617</v>
      </c>
    </row>
    <row r="17">
      <c r="A17" s="3" t="n">
        <v>44652</v>
      </c>
      <c r="B17" t="n">
        <v>0.2038842854786386</v>
      </c>
      <c r="C17" t="n">
        <v>0.1920781057428577</v>
      </c>
    </row>
    <row r="18">
      <c r="A18" s="3" t="n">
        <v>44682</v>
      </c>
      <c r="B18" t="n">
        <v>0.20873867322813</v>
      </c>
      <c r="C18" t="n">
        <v>0.2052263936928178</v>
      </c>
    </row>
    <row r="19">
      <c r="A19" s="3" t="n">
        <v>44713</v>
      </c>
      <c r="B19" t="n">
        <v>0.2000007752790455</v>
      </c>
      <c r="C19" t="n">
        <v>0.199614182552541</v>
      </c>
    </row>
    <row r="20">
      <c r="A20" s="3" t="n">
        <v>44743</v>
      </c>
      <c r="B20" t="n">
        <v>0.2271853466761973</v>
      </c>
      <c r="C20" t="n">
        <v>0.2292615482009965</v>
      </c>
    </row>
    <row r="21">
      <c r="A21" s="3" t="n">
        <v>44774</v>
      </c>
      <c r="B21" t="n">
        <v>0.1834958569307747</v>
      </c>
      <c r="C21" t="n">
        <v>0.1911290158465288</v>
      </c>
    </row>
    <row r="22">
      <c r="A22" s="3" t="n">
        <v>44805</v>
      </c>
      <c r="B22" t="n">
        <v>0.1815541018309781</v>
      </c>
      <c r="C22" t="n">
        <v>0.1829101120027987</v>
      </c>
    </row>
    <row r="23">
      <c r="A23" s="3" t="n">
        <v>44835</v>
      </c>
      <c r="B23" t="n">
        <v>0.1320393467861659</v>
      </c>
      <c r="C23" t="n">
        <v>0.1452610225218205</v>
      </c>
    </row>
    <row r="24">
      <c r="A24" s="3" t="n">
        <v>44866</v>
      </c>
      <c r="B24" t="n">
        <v>0.1631074283829109</v>
      </c>
      <c r="C24" t="n">
        <v>0.164401900184807</v>
      </c>
    </row>
    <row r="25">
      <c r="A25" s="3" t="n">
        <v>44896</v>
      </c>
      <c r="B25" t="n">
        <v>0.1223305712871832</v>
      </c>
      <c r="C25" t="n">
        <v>0.1489696976446726</v>
      </c>
    </row>
    <row r="26">
      <c r="A26" s="3" t="n">
        <v>44927</v>
      </c>
      <c r="B26" t="n">
        <v>0.11844706108759</v>
      </c>
      <c r="C26" t="n">
        <v>0.14391287943197</v>
      </c>
    </row>
    <row r="27">
      <c r="A27" s="3" t="n">
        <v>44958</v>
      </c>
      <c r="B27" t="n">
        <v>0.166990938582504</v>
      </c>
      <c r="C27" t="n">
        <v>0.1896133755603263</v>
      </c>
    </row>
    <row r="28">
      <c r="A28" s="3" t="n">
        <v>44986</v>
      </c>
      <c r="B28" t="n">
        <v>0.1485442651344367</v>
      </c>
      <c r="C28" t="n">
        <v>0.1532730766254539</v>
      </c>
    </row>
    <row r="29">
      <c r="A29" s="3" t="n">
        <v>45017</v>
      </c>
      <c r="B29" t="n">
        <v>0.1417481222851487</v>
      </c>
      <c r="C29" t="n">
        <v>0.1225013127985773</v>
      </c>
    </row>
    <row r="30">
      <c r="A30" s="3" t="n">
        <v>45047</v>
      </c>
      <c r="B30" t="n">
        <v>0.1922337548798592</v>
      </c>
      <c r="C30" t="n">
        <v>0.2023578033568278</v>
      </c>
    </row>
    <row r="31">
      <c r="A31" s="3" t="n">
        <v>45078</v>
      </c>
      <c r="B31" t="n">
        <v>0.1970881426293506</v>
      </c>
      <c r="C31" t="n">
        <v>0.1988866818828792</v>
      </c>
    </row>
    <row r="32">
      <c r="A32" s="3" t="n">
        <v>45108</v>
      </c>
      <c r="B32" t="n">
        <v>0.1922337548798592</v>
      </c>
      <c r="C32" t="n">
        <v>0.1977257866033282</v>
      </c>
    </row>
    <row r="33">
      <c r="A33" s="3" t="n">
        <v>45139</v>
      </c>
      <c r="B33" t="n">
        <v>0.2252435915764007</v>
      </c>
      <c r="C33" t="n">
        <v>0.216048205522512</v>
      </c>
    </row>
    <row r="34">
      <c r="A34" s="3" t="n">
        <v>45170</v>
      </c>
      <c r="B34" t="n">
        <v>0.3611664485621598</v>
      </c>
      <c r="C34" t="n">
        <v>0.4190773028647857</v>
      </c>
    </row>
    <row r="35">
      <c r="A35" s="3" t="n">
        <v>45200</v>
      </c>
      <c r="B35" t="n">
        <v>0.3631082036619563</v>
      </c>
      <c r="C35" t="n">
        <v>0.4567077574726861</v>
      </c>
    </row>
    <row r="36">
      <c r="A36" s="3" t="n">
        <v>45231</v>
      </c>
      <c r="B36" t="n">
        <v>0.2349523670753835</v>
      </c>
      <c r="C36" t="n">
        <v>0.2554179648196507</v>
      </c>
    </row>
    <row r="37">
      <c r="A37" s="3" t="n">
        <v>45261</v>
      </c>
      <c r="B37" t="n">
        <v>0.344661530213889</v>
      </c>
      <c r="C37" t="n">
        <v>0.3886840936141965</v>
      </c>
    </row>
    <row r="38">
      <c r="A38" s="3" t="n">
        <v>45292</v>
      </c>
      <c r="B38" t="n">
        <v>0.2932050200692802</v>
      </c>
      <c r="C38" t="n">
        <v>0.2853821793554198</v>
      </c>
    </row>
    <row r="39">
      <c r="A39" s="3" t="n">
        <v>45323</v>
      </c>
      <c r="B39" t="n">
        <v>0.3213604690163303</v>
      </c>
      <c r="C39" t="n">
        <v>0.3086982159557312</v>
      </c>
    </row>
    <row r="40">
      <c r="A40" s="3" t="n">
        <v>45352</v>
      </c>
      <c r="B40" t="n">
        <v>0.4475745505031066</v>
      </c>
      <c r="C40" t="n">
        <v>0.4423127472541932</v>
      </c>
    </row>
    <row r="41">
      <c r="A41" s="3" t="n">
        <v>45383</v>
      </c>
      <c r="B41" t="n">
        <v>0.4980601830978171</v>
      </c>
      <c r="C41" t="n">
        <v>0.5643585082677963</v>
      </c>
    </row>
    <row r="42">
      <c r="A42" s="3" t="n">
        <v>45413</v>
      </c>
      <c r="B42" t="n">
        <v>0.1699035712321988</v>
      </c>
      <c r="C42" t="n">
        <v>0.1371052572263805</v>
      </c>
    </row>
    <row r="43">
      <c r="A43" s="3" t="n">
        <v>45444</v>
      </c>
      <c r="B43" t="n">
        <v>0.1592239181833177</v>
      </c>
      <c r="C43" t="n">
        <v>0.1240570513816332</v>
      </c>
    </row>
    <row r="44">
      <c r="A44" s="3" t="n">
        <v>45474</v>
      </c>
      <c r="B44" t="n">
        <v>0.1864084895804696</v>
      </c>
      <c r="C44" t="n">
        <v>0.1532757104078279</v>
      </c>
    </row>
    <row r="45">
      <c r="A45" s="3" t="n">
        <v>45505</v>
      </c>
      <c r="B45" t="n">
        <v>0.2271853466761973</v>
      </c>
      <c r="C45" t="n">
        <v>0.2021386235351205</v>
      </c>
    </row>
    <row r="46">
      <c r="A46" s="3" t="n">
        <v>45536</v>
      </c>
      <c r="B46" t="n">
        <v>0.3728169791609391</v>
      </c>
      <c r="C46" t="n">
        <v>0.3752482540441427</v>
      </c>
    </row>
    <row r="47">
      <c r="A47" s="3" t="n">
        <v>45566</v>
      </c>
      <c r="B47" t="n">
        <v>0.4504871831528014</v>
      </c>
      <c r="C47" t="n">
        <v>0.4905439701599482</v>
      </c>
    </row>
    <row r="48">
      <c r="A48" s="3" t="n">
        <v>45597</v>
      </c>
      <c r="B48" t="n">
        <v>0.2640786935723319</v>
      </c>
      <c r="C48" t="n">
        <v>0.281237731432042</v>
      </c>
    </row>
    <row r="49">
      <c r="A49" s="3" t="n">
        <v>45627</v>
      </c>
      <c r="B49" t="n">
        <v>0.3339818771650079</v>
      </c>
      <c r="C49" t="n">
        <v>0.3417344481557192</v>
      </c>
    </row>
    <row r="50">
      <c r="A50" s="3" t="n">
        <v>45658</v>
      </c>
      <c r="B50" t="n">
        <v>0.1796123467311816</v>
      </c>
      <c r="C50" t="n">
        <v>0.1749080546397751</v>
      </c>
    </row>
    <row r="51">
      <c r="A51" s="3" t="n">
        <v>45689</v>
      </c>
      <c r="B51" t="n">
        <v>0.1475733875845384</v>
      </c>
      <c r="C51" t="n">
        <v>0.1431779536392794</v>
      </c>
    </row>
    <row r="52">
      <c r="A52" s="3" t="n">
        <v>45717</v>
      </c>
      <c r="B52" t="n">
        <v>0.1543695304338263</v>
      </c>
      <c r="C52" t="n">
        <v>0.1315324933521773</v>
      </c>
    </row>
    <row r="53">
      <c r="A53" s="3" t="n">
        <v>45748</v>
      </c>
      <c r="B53" t="n">
        <v>0.1699035712321988</v>
      </c>
      <c r="C53" t="n">
        <v>0.1496563112239259</v>
      </c>
    </row>
    <row r="54">
      <c r="A54" s="3" t="n">
        <v>45778</v>
      </c>
      <c r="B54" t="n">
        <v>0.149515142684335</v>
      </c>
      <c r="C54" t="n">
        <v>0.1281028320487721</v>
      </c>
    </row>
    <row r="55">
      <c r="A55" s="3" t="n">
        <v>45809</v>
      </c>
      <c r="B55" t="n">
        <v>0.1650491834827074</v>
      </c>
      <c r="C55" t="n">
        <v>0.1432644967748697</v>
      </c>
    </row>
    <row r="56">
      <c r="A56" s="3" t="n">
        <v>45839</v>
      </c>
      <c r="B56" t="n">
        <v>0.184466734480673</v>
      </c>
      <c r="C56" t="n">
        <v>0.162612230136204</v>
      </c>
    </row>
    <row r="57">
      <c r="A57" s="3" t="n">
        <v>45870</v>
      </c>
      <c r="B57" t="n">
        <v>0.1640783059328091</v>
      </c>
      <c r="C57" t="n">
        <v>0.141474883817128</v>
      </c>
    </row>
    <row r="58">
      <c r="A58" s="3" t="n">
        <v>45901</v>
      </c>
      <c r="B58" t="n">
        <v>0.1815541018309781</v>
      </c>
      <c r="C58" t="n">
        <v>0.1626068380179702</v>
      </c>
    </row>
    <row r="59">
      <c r="A59" s="3" t="n">
        <v>45931</v>
      </c>
      <c r="B59" t="n">
        <v>0.1533986528839281</v>
      </c>
      <c r="C59" t="n">
        <v>0.1363210537625749</v>
      </c>
    </row>
    <row r="60">
      <c r="A60" s="3" t="n">
        <v>45962</v>
      </c>
      <c r="B60" t="n">
        <v>0.1631074283829109</v>
      </c>
      <c r="C60" t="n">
        <v>0.1617255840290719</v>
      </c>
    </row>
    <row r="61">
      <c r="A61" s="3" t="n">
        <v>45992</v>
      </c>
      <c r="B61" t="n">
        <v>0.1300975916863694</v>
      </c>
      <c r="C61" t="n">
        <v>0.1307924509332214</v>
      </c>
    </row>
    <row r="62">
      <c r="A62" s="3" t="n">
        <v>46023</v>
      </c>
      <c r="B62" t="n">
        <v>0.1398063671853522</v>
      </c>
      <c r="C62" t="n">
        <v>0.1242572007724368</v>
      </c>
    </row>
    <row r="63">
      <c r="A63" s="3" t="n">
        <v>46054</v>
      </c>
      <c r="B63" t="n">
        <v>0.1582530406334194</v>
      </c>
      <c r="C63" t="n">
        <v>0.1332750020526412</v>
      </c>
    </row>
    <row r="64">
      <c r="A64" s="3" t="n">
        <v>46082</v>
      </c>
      <c r="B64" t="n">
        <v>0.1417481222851487</v>
      </c>
      <c r="C64" t="n">
        <v>0.149037747664943</v>
      </c>
    </row>
    <row r="65">
      <c r="A65" s="3" t="n">
        <v>46113</v>
      </c>
      <c r="B65" t="n">
        <v>0.160194795733216</v>
      </c>
      <c r="C65" t="n">
        <v>0.155520523495334</v>
      </c>
    </row>
    <row r="66">
      <c r="A66" s="3" t="n">
        <v>46143</v>
      </c>
      <c r="B66" t="n">
        <v>0.2029134079287403</v>
      </c>
      <c r="C66" t="n">
        <v>0.2135488711864264</v>
      </c>
    </row>
    <row r="67">
      <c r="A67" s="3" t="n">
        <v>46174</v>
      </c>
      <c r="B67" t="n">
        <v>0.2126221834277231</v>
      </c>
      <c r="C67" t="n">
        <v>0.2200752350745582</v>
      </c>
    </row>
    <row r="68">
      <c r="A68" s="3" t="n">
        <v>46204</v>
      </c>
      <c r="B68" t="n">
        <v>0.2582534282729422</v>
      </c>
      <c r="C68" t="n">
        <v>0.2812537379150643</v>
      </c>
    </row>
    <row r="69">
      <c r="A69" s="3" t="n">
        <v>46235</v>
      </c>
      <c r="B69" t="n">
        <v>0.309709938417551</v>
      </c>
      <c r="C69" t="n">
        <v>0.3690015861395525</v>
      </c>
    </row>
    <row r="70">
      <c r="A70" s="3" t="n">
        <v>46266</v>
      </c>
      <c r="B70" t="n">
        <v>0.3514576730631769</v>
      </c>
      <c r="C70" t="n">
        <v>0.44069093211255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Published</t>
        </is>
      </c>
      <c r="C1" t="inlineStr">
        <is>
          <t>Estimate from gas-fired output</t>
        </is>
      </c>
    </row>
    <row r="2">
      <c r="A2" s="3" t="n">
        <v>44197</v>
      </c>
      <c r="B2" t="n">
        <v>0.2676221064893778</v>
      </c>
      <c r="C2" t="n">
        <v>0.2341666311435077</v>
      </c>
    </row>
    <row r="3">
      <c r="A3" s="3" t="n">
        <v>44228</v>
      </c>
      <c r="B3" t="n">
        <v>0.2869381863521271</v>
      </c>
      <c r="C3" t="n">
        <v>0.2782040191708791</v>
      </c>
    </row>
    <row r="4">
      <c r="A4" s="3" t="n">
        <v>44256</v>
      </c>
      <c r="B4" t="n">
        <v>0.3275623543136267</v>
      </c>
      <c r="C4" t="n">
        <v>0.2991338655268078</v>
      </c>
    </row>
    <row r="5">
      <c r="A5" s="3" t="n">
        <v>44287</v>
      </c>
      <c r="B5" t="n">
        <v>0.280279158820234</v>
      </c>
      <c r="C5" t="n">
        <v>0.2324689187187612</v>
      </c>
    </row>
    <row r="6">
      <c r="A6" s="3" t="n">
        <v>44317</v>
      </c>
      <c r="B6" t="n">
        <v>0.4032076670708056</v>
      </c>
      <c r="C6" t="n">
        <v>0.4040190434625197</v>
      </c>
    </row>
    <row r="7">
      <c r="A7" s="3" t="n">
        <v>44348</v>
      </c>
      <c r="B7" t="n">
        <v>0.5015840738101833</v>
      </c>
      <c r="C7" t="n">
        <v>0.5048863749156961</v>
      </c>
    </row>
    <row r="8">
      <c r="A8" s="3" t="n">
        <v>44378</v>
      </c>
      <c r="B8" t="n">
        <v>0.4986030614851235</v>
      </c>
      <c r="C8" t="n">
        <v>0.5583418761404506</v>
      </c>
    </row>
    <row r="9">
      <c r="A9" s="3" t="n">
        <v>44409</v>
      </c>
      <c r="B9" t="n">
        <v>0.5515592804337544</v>
      </c>
      <c r="C9" t="n">
        <v>0.5866914714705507</v>
      </c>
    </row>
    <row r="10">
      <c r="A10" s="3" t="n">
        <v>44440</v>
      </c>
      <c r="B10" t="n">
        <v>0.5600033153457988</v>
      </c>
      <c r="C10" t="n">
        <v>0.6012250157010023</v>
      </c>
    </row>
    <row r="11">
      <c r="A11" s="3" t="n">
        <v>44470</v>
      </c>
      <c r="B11" t="n">
        <v>0.4667499297876628</v>
      </c>
      <c r="C11" t="n">
        <v>0.5013547959030454</v>
      </c>
    </row>
    <row r="12">
      <c r="A12" s="3" t="n">
        <v>44501</v>
      </c>
      <c r="B12" t="n">
        <v>0.4459538438057963</v>
      </c>
      <c r="C12" t="n">
        <v>0.464195050906669</v>
      </c>
    </row>
    <row r="13">
      <c r="A13" s="3" t="n">
        <v>44531</v>
      </c>
      <c r="B13" t="n">
        <v>0.3640985053731322</v>
      </c>
      <c r="C13" t="n">
        <v>0.3603124306330305</v>
      </c>
    </row>
    <row r="14">
      <c r="A14" s="3" t="n">
        <v>44562</v>
      </c>
      <c r="B14" t="n">
        <v>0.3368973929095453</v>
      </c>
      <c r="C14" t="n">
        <v>0.3716255060739948</v>
      </c>
    </row>
    <row r="15">
      <c r="A15" s="3" t="n">
        <v>44593</v>
      </c>
      <c r="B15" t="n">
        <v>0.3109962858208588</v>
      </c>
      <c r="C15" t="n">
        <v>0.3249912312047775</v>
      </c>
    </row>
    <row r="16">
      <c r="A16" s="3" t="n">
        <v>44621</v>
      </c>
      <c r="B16" t="n">
        <v>0.3016422471463839</v>
      </c>
      <c r="C16" t="n">
        <v>0.3076904384525691</v>
      </c>
    </row>
    <row r="17">
      <c r="A17" s="3" t="n">
        <v>44652</v>
      </c>
      <c r="B17" t="n">
        <v>0.2649970956362138</v>
      </c>
      <c r="C17" t="n">
        <v>0.2642331899378273</v>
      </c>
    </row>
    <row r="18">
      <c r="A18" s="3" t="n">
        <v>44682</v>
      </c>
      <c r="B18" t="n">
        <v>0.3710665341825977</v>
      </c>
      <c r="C18" t="n">
        <v>0.4034931688901225</v>
      </c>
    </row>
    <row r="19">
      <c r="A19" s="3" t="n">
        <v>44713</v>
      </c>
      <c r="B19" t="n">
        <v>0.4657029254588008</v>
      </c>
      <c r="C19" t="n">
        <v>0.5012429373553177</v>
      </c>
    </row>
    <row r="20">
      <c r="A20" s="3" t="n">
        <v>44743</v>
      </c>
      <c r="B20" t="n">
        <v>0.5024170772542541</v>
      </c>
      <c r="C20" t="n">
        <v>0.5529055432741512</v>
      </c>
    </row>
    <row r="21">
      <c r="A21" s="3" t="n">
        <v>44774</v>
      </c>
      <c r="B21" t="n">
        <v>0.5276871817340467</v>
      </c>
      <c r="C21" t="n">
        <v>0.5571454612361756</v>
      </c>
    </row>
    <row r="22">
      <c r="A22" s="3" t="n">
        <v>44805</v>
      </c>
      <c r="B22" t="n">
        <v>0.5482732668476601</v>
      </c>
      <c r="C22" t="n">
        <v>0.5758354528104321</v>
      </c>
    </row>
    <row r="23">
      <c r="A23" s="3" t="n">
        <v>44835</v>
      </c>
      <c r="B23" t="n">
        <v>0.5538122897488699</v>
      </c>
      <c r="C23" t="n">
        <v>0.5664186137303762</v>
      </c>
    </row>
    <row r="24">
      <c r="A24" s="3" t="n">
        <v>44866</v>
      </c>
      <c r="B24" t="n">
        <v>0.5942864570901887</v>
      </c>
      <c r="C24" t="n">
        <v>0.5970707356390633</v>
      </c>
    </row>
    <row r="25">
      <c r="A25" s="3" t="n">
        <v>44896</v>
      </c>
      <c r="B25" t="n">
        <v>0.5416062392826907</v>
      </c>
      <c r="C25" t="n">
        <v>0.5505451909450516</v>
      </c>
    </row>
    <row r="26">
      <c r="A26" s="3" t="n">
        <v>44927</v>
      </c>
      <c r="B26" t="n">
        <v>0.4009876578921297</v>
      </c>
      <c r="C26" t="n">
        <v>0.4031996252536821</v>
      </c>
    </row>
    <row r="27">
      <c r="A27" s="3" t="n">
        <v>44958</v>
      </c>
      <c r="B27" t="n">
        <v>0.3609874925105823</v>
      </c>
      <c r="C27" t="n">
        <v>0.3426423346091511</v>
      </c>
    </row>
    <row r="28">
      <c r="A28" s="3" t="n">
        <v>44986</v>
      </c>
      <c r="B28" t="n">
        <v>0.4594338995393778</v>
      </c>
      <c r="C28" t="n">
        <v>0.4500169552176651</v>
      </c>
    </row>
    <row r="29">
      <c r="A29" s="3" t="n">
        <v>45017</v>
      </c>
      <c r="B29" t="n">
        <v>0.3859015955184791</v>
      </c>
      <c r="C29" t="n">
        <v>0.3698128813951744</v>
      </c>
    </row>
    <row r="30">
      <c r="A30" s="3" t="n">
        <v>45047</v>
      </c>
      <c r="B30" t="n">
        <v>0.4787069792243419</v>
      </c>
      <c r="C30" t="n">
        <v>0.4633061705655787</v>
      </c>
    </row>
    <row r="31">
      <c r="A31" s="3" t="n">
        <v>45078</v>
      </c>
      <c r="B31" t="n">
        <v>0.5447162521411061</v>
      </c>
      <c r="C31" t="n">
        <v>0.5906698614815397</v>
      </c>
    </row>
    <row r="32">
      <c r="A32" s="3" t="n">
        <v>45108</v>
      </c>
      <c r="B32" t="n">
        <v>0.5491652705356687</v>
      </c>
      <c r="C32" t="n">
        <v>0.5539993170458544</v>
      </c>
    </row>
    <row r="33">
      <c r="A33" s="3" t="n">
        <v>45139</v>
      </c>
      <c r="B33" t="n">
        <v>0.5727933682265488</v>
      </c>
      <c r="C33" t="n">
        <v>0.5892317207353438</v>
      </c>
    </row>
    <row r="34">
      <c r="A34" s="3" t="n">
        <v>45170</v>
      </c>
      <c r="B34" t="n">
        <v>0.5936764545681201</v>
      </c>
      <c r="C34" t="n">
        <v>0.6152427387704928</v>
      </c>
    </row>
    <row r="35">
      <c r="A35" s="3" t="n">
        <v>45200</v>
      </c>
      <c r="B35" t="n">
        <v>0.543537247266485</v>
      </c>
      <c r="C35" t="n">
        <v>0.5545300710393672</v>
      </c>
    </row>
    <row r="36">
      <c r="A36" s="3" t="n">
        <v>45231</v>
      </c>
      <c r="B36" t="n">
        <v>0.4831509975982318</v>
      </c>
      <c r="C36" t="n">
        <v>0.4943580903293704</v>
      </c>
    </row>
    <row r="37">
      <c r="A37" s="3" t="n">
        <v>45261</v>
      </c>
      <c r="B37" t="n">
        <v>0.3293573617351236</v>
      </c>
      <c r="C37" t="n">
        <v>0.3237095719960432</v>
      </c>
    </row>
    <row r="38">
      <c r="A38" s="3" t="n">
        <v>45292</v>
      </c>
      <c r="B38" t="n">
        <v>0.3221993321400957</v>
      </c>
      <c r="C38" t="n">
        <v>0.3072002189716461</v>
      </c>
    </row>
    <row r="39">
      <c r="A39" s="3" t="n">
        <v>45323</v>
      </c>
      <c r="B39" t="n">
        <v>0.3746295489139591</v>
      </c>
      <c r="C39" t="n">
        <v>0.354736742620109</v>
      </c>
    </row>
    <row r="40">
      <c r="A40" s="3" t="n">
        <v>45352</v>
      </c>
      <c r="B40" t="n">
        <v>0.3584074818434724</v>
      </c>
      <c r="C40" t="n">
        <v>0.3375018217097664</v>
      </c>
    </row>
    <row r="41">
      <c r="A41" s="3" t="n">
        <v>45383</v>
      </c>
      <c r="B41" t="n">
        <v>0.3024712505739165</v>
      </c>
      <c r="C41" t="n">
        <v>0.2874121508977616</v>
      </c>
    </row>
    <row r="42">
      <c r="A42" s="3" t="n">
        <v>45413</v>
      </c>
      <c r="B42" t="n">
        <v>0.3920296208549322</v>
      </c>
      <c r="C42" t="n">
        <v>0.3857814454946636</v>
      </c>
    </row>
    <row r="43">
      <c r="A43" s="3" t="n">
        <v>45444</v>
      </c>
      <c r="B43" t="n">
        <v>0.5048400872722414</v>
      </c>
      <c r="C43" t="n">
        <v>0.5092410021500601</v>
      </c>
    </row>
    <row r="44">
      <c r="A44" s="3" t="n">
        <v>45474</v>
      </c>
      <c r="B44" t="n">
        <v>0.5353422133839404</v>
      </c>
      <c r="C44" t="n">
        <v>0.5369411744601288</v>
      </c>
    </row>
    <row r="45">
      <c r="A45" s="3" t="n">
        <v>45505</v>
      </c>
      <c r="B45" t="n">
        <v>0.5321462001699547</v>
      </c>
      <c r="C45" t="n">
        <v>0.5321395540265734</v>
      </c>
    </row>
    <row r="46">
      <c r="A46" s="3" t="n">
        <v>45536</v>
      </c>
      <c r="B46" t="n">
        <v>0.5443232505162323</v>
      </c>
      <c r="C46" t="n">
        <v>0.5446546292831712</v>
      </c>
    </row>
    <row r="47">
      <c r="A47" s="3" t="n">
        <v>45566</v>
      </c>
      <c r="B47" t="n">
        <v>0.5448322526207127</v>
      </c>
      <c r="C47" t="n">
        <v>0.545272287831139</v>
      </c>
    </row>
    <row r="48">
      <c r="A48" s="3" t="n">
        <v>45597</v>
      </c>
      <c r="B48" t="n">
        <v>0.473915959415767</v>
      </c>
      <c r="C48" t="n">
        <v>0.4723878505129616</v>
      </c>
    </row>
    <row r="49">
      <c r="A49" s="3" t="n">
        <v>45627</v>
      </c>
      <c r="B49" t="n">
        <v>0.299370237752712</v>
      </c>
      <c r="C49" t="n">
        <v>0.2933645201988139</v>
      </c>
    </row>
    <row r="50">
      <c r="A50" s="3" t="n">
        <v>45658</v>
      </c>
      <c r="B50" t="n">
        <v>0.2917842063881016</v>
      </c>
      <c r="C50" t="n">
        <v>0.2770761712894395</v>
      </c>
    </row>
    <row r="51">
      <c r="A51" s="3" t="n">
        <v>45689</v>
      </c>
      <c r="B51" t="n">
        <v>0.3783485642903084</v>
      </c>
      <c r="C51" t="n">
        <v>0.3612802811022887</v>
      </c>
    </row>
    <row r="52">
      <c r="A52" s="3" t="n">
        <v>45717</v>
      </c>
      <c r="B52" t="n">
        <v>0.385667594550997</v>
      </c>
      <c r="C52" t="n">
        <v>0.3704582674719069</v>
      </c>
    </row>
    <row r="53">
      <c r="A53" s="3" t="n">
        <v>45748</v>
      </c>
      <c r="B53" t="n">
        <v>0.3016852473241691</v>
      </c>
      <c r="C53" t="n">
        <v>0.2830512122104052</v>
      </c>
    </row>
    <row r="54">
      <c r="A54" s="3" t="n">
        <v>45778</v>
      </c>
      <c r="B54" t="n">
        <v>0.3444644241955996</v>
      </c>
      <c r="C54" t="n">
        <v>0.3271732381678303</v>
      </c>
    </row>
    <row r="55">
      <c r="A55" s="3" t="n">
        <v>45809</v>
      </c>
      <c r="B55" t="n">
        <v>0.4177217270795002</v>
      </c>
      <c r="C55" t="n">
        <v>0.413531160289546</v>
      </c>
    </row>
    <row r="56">
      <c r="A56" s="3" t="n">
        <v>45839</v>
      </c>
      <c r="B56" t="n">
        <v>0.5114131144485642</v>
      </c>
      <c r="C56" t="n">
        <v>0.5247573684723877</v>
      </c>
    </row>
    <row r="57">
      <c r="A57" s="3" t="n">
        <v>45870</v>
      </c>
      <c r="B57" t="n">
        <v>0.5191621464871045</v>
      </c>
      <c r="C57" t="n">
        <v>0.526617214244094</v>
      </c>
    </row>
    <row r="58">
      <c r="A58" s="3" t="n">
        <v>45901</v>
      </c>
      <c r="B58" t="n">
        <v>0.5301291918305903</v>
      </c>
      <c r="C58" t="n">
        <v>0.5363757002189748</v>
      </c>
    </row>
    <row r="59">
      <c r="A59" s="3" t="n">
        <v>45931</v>
      </c>
      <c r="B59" t="n">
        <v>0.3927266237367056</v>
      </c>
      <c r="C59" t="n">
        <v>0.3899539314618559</v>
      </c>
    </row>
    <row r="60">
      <c r="A60" s="3" t="n">
        <v>45962</v>
      </c>
      <c r="B60" t="n">
        <v>0.3987246485356686</v>
      </c>
      <c r="C60" t="n">
        <v>0.3941786732072941</v>
      </c>
    </row>
    <row r="61">
      <c r="A61" s="3" t="n">
        <v>45992</v>
      </c>
      <c r="B61" t="n">
        <v>0.5055220900919967</v>
      </c>
      <c r="C61" t="n">
        <v>0.4826277383659242</v>
      </c>
    </row>
    <row r="62">
      <c r="A62" s="3" t="n">
        <v>46023</v>
      </c>
      <c r="B62" t="n">
        <v>0.4058346779322388</v>
      </c>
      <c r="C62" t="n">
        <v>0.3661833140942171</v>
      </c>
    </row>
    <row r="63">
      <c r="A63" s="3" t="n">
        <v>46054</v>
      </c>
      <c r="B63" t="n">
        <v>0.3623554981666312</v>
      </c>
      <c r="C63" t="n">
        <v>0.3342400412259107</v>
      </c>
    </row>
    <row r="64">
      <c r="A64" s="3" t="n">
        <v>46082</v>
      </c>
      <c r="B64" t="n">
        <v>0.2530790463607817</v>
      </c>
      <c r="C64" t="n">
        <v>0.287196341360246</v>
      </c>
    </row>
    <row r="65">
      <c r="A65" s="3" t="n">
        <v>46113</v>
      </c>
      <c r="B65" t="n">
        <v>0.3675295195587343</v>
      </c>
      <c r="C65" t="n">
        <v>0.3666990413411242</v>
      </c>
    </row>
    <row r="66">
      <c r="A66" s="3" t="n">
        <v>46143</v>
      </c>
      <c r="B66" t="n">
        <v>0.4228437482566073</v>
      </c>
      <c r="C66" t="n">
        <v>0.4291021786054667</v>
      </c>
    </row>
    <row r="67">
      <c r="A67" s="3" t="n">
        <v>46174</v>
      </c>
      <c r="B67" t="n">
        <v>0.5302731924259638</v>
      </c>
      <c r="C67" t="n">
        <v>0.54296826237966</v>
      </c>
    </row>
    <row r="68">
      <c r="A68" s="3" t="n">
        <v>46204</v>
      </c>
      <c r="B68" t="n">
        <v>0.5699623565216697</v>
      </c>
      <c r="C68" t="n">
        <v>0.607274001492685</v>
      </c>
    </row>
    <row r="69">
      <c r="A69" s="3" t="n">
        <v>46235</v>
      </c>
      <c r="B69" t="n">
        <v>0.5358652155463043</v>
      </c>
      <c r="C69" t="n">
        <v>0.589566391561725</v>
      </c>
    </row>
    <row r="70">
      <c r="A70" s="3" t="n">
        <v>46266</v>
      </c>
      <c r="B70" t="n">
        <v>0.6081175142749933</v>
      </c>
      <c r="C70" t="n">
        <v>0.6044733457237457</v>
      </c>
    </row>
    <row r="71">
      <c r="A71" s="3" t="n">
        <v>46296</v>
      </c>
      <c r="C71" t="n">
        <v>0.6058449231291081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Published</t>
        </is>
      </c>
      <c r="C1" t="inlineStr">
        <is>
          <t>Estimate from gas-fired output</t>
        </is>
      </c>
    </row>
    <row r="2">
      <c r="A2" s="3" t="n">
        <v>44197</v>
      </c>
      <c r="B2" t="n">
        <v>0.1295354497938341</v>
      </c>
      <c r="C2" t="n">
        <v>0.1553094905200342</v>
      </c>
    </row>
    <row r="3">
      <c r="A3" s="3" t="n">
        <v>44228</v>
      </c>
      <c r="B3" t="n">
        <v>0.1939651773026405</v>
      </c>
      <c r="C3" t="n">
        <v>0.1905750603703141</v>
      </c>
    </row>
    <row r="4">
      <c r="A4" s="3" t="n">
        <v>44256</v>
      </c>
      <c r="B4" t="n">
        <v>0.1903122982550995</v>
      </c>
      <c r="C4" t="n">
        <v>0.1868591495085954</v>
      </c>
    </row>
    <row r="5">
      <c r="A5" s="3" t="n">
        <v>44287</v>
      </c>
      <c r="B5" t="n">
        <v>0.1838647931569318</v>
      </c>
      <c r="C5" t="n">
        <v>0.1782674122924062</v>
      </c>
    </row>
    <row r="6">
      <c r="A6" s="3" t="n">
        <v>44317</v>
      </c>
      <c r="B6" t="n">
        <v>0.1942882275879959</v>
      </c>
      <c r="C6" t="n">
        <v>0.1868543761966165</v>
      </c>
    </row>
    <row r="7">
      <c r="A7" s="3" t="n">
        <v>44348</v>
      </c>
      <c r="B7" t="n">
        <v>0.1742224653859807</v>
      </c>
      <c r="C7" t="n">
        <v>0.1696924453123026</v>
      </c>
    </row>
    <row r="8">
      <c r="A8" s="3" t="n">
        <v>44378</v>
      </c>
      <c r="B8" t="n">
        <v>0.1787769922448868</v>
      </c>
      <c r="C8" t="n">
        <v>0.1740511012307998</v>
      </c>
    </row>
    <row r="9">
      <c r="A9" s="3" t="n">
        <v>44409</v>
      </c>
      <c r="B9" t="n">
        <v>0.1579966620982496</v>
      </c>
      <c r="C9" t="n">
        <v>0.1552993953339283</v>
      </c>
    </row>
    <row r="10">
      <c r="A10" s="3" t="n">
        <v>44440</v>
      </c>
      <c r="B10" t="n">
        <v>0.1812823195325086</v>
      </c>
      <c r="C10" t="n">
        <v>0.182147476126792</v>
      </c>
    </row>
    <row r="11">
      <c r="A11" s="3" t="n">
        <v>44470</v>
      </c>
      <c r="B11" t="n">
        <v>0.1702465360530843</v>
      </c>
      <c r="C11" t="n">
        <v>0.168765502484515</v>
      </c>
    </row>
    <row r="12">
      <c r="A12" s="3" t="n">
        <v>44501</v>
      </c>
      <c r="B12" t="n">
        <v>0.1749794638158434</v>
      </c>
      <c r="C12" t="n">
        <v>0.1795675458014954</v>
      </c>
    </row>
    <row r="13">
      <c r="A13" s="3" t="n">
        <v>44531</v>
      </c>
      <c r="B13" t="n">
        <v>0.1631278578247453</v>
      </c>
      <c r="C13" t="n">
        <v>0.1680877794101172</v>
      </c>
    </row>
    <row r="14">
      <c r="A14" s="3" t="n">
        <v>44562</v>
      </c>
      <c r="B14" t="n">
        <v>0.1400099936730291</v>
      </c>
      <c r="C14" t="n">
        <v>0.1431189529239195</v>
      </c>
    </row>
    <row r="15">
      <c r="A15" s="3" t="n">
        <v>44593</v>
      </c>
      <c r="B15" t="n">
        <v>0.14484899764889</v>
      </c>
      <c r="C15" t="n">
        <v>0.1435910640063173</v>
      </c>
    </row>
    <row r="16">
      <c r="A16" s="3" t="n">
        <v>44621</v>
      </c>
      <c r="B16" t="n">
        <v>0.1753960540345703</v>
      </c>
      <c r="C16" t="n">
        <v>0.1751148378547206</v>
      </c>
    </row>
    <row r="17">
      <c r="A17" s="3" t="n">
        <v>44652</v>
      </c>
      <c r="B17" t="n">
        <v>0.1878619377324486</v>
      </c>
      <c r="C17" t="n">
        <v>0.1861855205333198</v>
      </c>
    </row>
    <row r="18">
      <c r="A18" s="3" t="n">
        <v>44682</v>
      </c>
      <c r="B18" t="n">
        <v>0.1768300115698643</v>
      </c>
      <c r="C18" t="n">
        <v>0.1722584102487523</v>
      </c>
    </row>
    <row r="19">
      <c r="A19" s="3" t="n">
        <v>44713</v>
      </c>
      <c r="B19" t="n">
        <v>0.1902987976461593</v>
      </c>
      <c r="C19" t="n">
        <v>0.2124348408037816</v>
      </c>
    </row>
    <row r="20">
      <c r="A20" s="3" t="n">
        <v>44743</v>
      </c>
      <c r="B20" t="n">
        <v>0.2017289917724802</v>
      </c>
      <c r="C20" t="n">
        <v>0.1991063564904646</v>
      </c>
    </row>
    <row r="21">
      <c r="A21" s="3" t="n">
        <v>44774</v>
      </c>
      <c r="B21" t="n">
        <v>0.1986874974440894</v>
      </c>
      <c r="C21" t="n">
        <v>0.1955653197173684</v>
      </c>
    </row>
    <row r="22">
      <c r="A22" s="3" t="n">
        <v>44805</v>
      </c>
      <c r="B22" t="n">
        <v>0.1617083652276017</v>
      </c>
      <c r="C22" t="n">
        <v>0.1602090746104942</v>
      </c>
    </row>
    <row r="23">
      <c r="A23" s="3" t="n">
        <v>44835</v>
      </c>
      <c r="B23" t="n">
        <v>0.1687151812675787</v>
      </c>
      <c r="C23" t="n">
        <v>0.1698860980260964</v>
      </c>
    </row>
    <row r="24">
      <c r="A24" s="3" t="n">
        <v>44866</v>
      </c>
      <c r="B24" t="n">
        <v>0.1451382964118948</v>
      </c>
      <c r="C24" t="n">
        <v>0.1398136530115042</v>
      </c>
    </row>
    <row r="25">
      <c r="A25" s="3" t="n">
        <v>44896</v>
      </c>
      <c r="B25" t="n">
        <v>0.1429087672783376</v>
      </c>
      <c r="C25" t="n">
        <v>0.1416432381987566</v>
      </c>
    </row>
    <row r="26">
      <c r="A26" s="3" t="n">
        <v>44927</v>
      </c>
      <c r="B26" t="n">
        <v>0.1141206473717266</v>
      </c>
      <c r="C26" t="n">
        <v>0.1123331288212945</v>
      </c>
    </row>
    <row r="27">
      <c r="A27" s="3" t="n">
        <v>44958</v>
      </c>
      <c r="B27" t="n">
        <v>0.1439348135577947</v>
      </c>
      <c r="C27" t="n">
        <v>0.1436501869450883</v>
      </c>
    </row>
    <row r="28">
      <c r="A28" s="3" t="n">
        <v>44986</v>
      </c>
      <c r="B28" t="n">
        <v>0.1959140866360831</v>
      </c>
      <c r="C28" t="n">
        <v>0.1949051646414598</v>
      </c>
    </row>
    <row r="29">
      <c r="A29" s="3" t="n">
        <v>45017</v>
      </c>
      <c r="B29" t="n">
        <v>0.1903364064853499</v>
      </c>
      <c r="C29" t="n">
        <v>0.1895334609445909</v>
      </c>
    </row>
    <row r="30">
      <c r="A30" s="3" t="n">
        <v>45047</v>
      </c>
      <c r="B30" t="n">
        <v>0.2132266889435024</v>
      </c>
      <c r="C30" t="n">
        <v>0.2095283924173935</v>
      </c>
    </row>
    <row r="31">
      <c r="A31" s="3" t="n">
        <v>45078</v>
      </c>
      <c r="B31" t="n">
        <v>0.2125632304470113</v>
      </c>
      <c r="C31" t="n">
        <v>0.2053129340961311</v>
      </c>
    </row>
    <row r="32">
      <c r="A32" s="3" t="n">
        <v>45108</v>
      </c>
      <c r="B32" t="n">
        <v>0.2052285424756287</v>
      </c>
      <c r="C32" t="n">
        <v>0.205850664688992</v>
      </c>
    </row>
    <row r="33">
      <c r="A33" s="3" t="n">
        <v>45139</v>
      </c>
      <c r="B33" t="n">
        <v>0.2083761130171213</v>
      </c>
      <c r="C33" t="n">
        <v>0.2081194111835435</v>
      </c>
    </row>
    <row r="34">
      <c r="A34" s="3" t="n">
        <v>45170</v>
      </c>
      <c r="B34" t="n">
        <v>0.2014985170912864</v>
      </c>
      <c r="C34" t="n">
        <v>0.197973101864476</v>
      </c>
    </row>
    <row r="35">
      <c r="A35" s="3" t="n">
        <v>45200</v>
      </c>
      <c r="B35" t="n">
        <v>0.2272480356571366</v>
      </c>
      <c r="C35" t="n">
        <v>0.2202891505642567</v>
      </c>
    </row>
    <row r="36">
      <c r="A36" s="3" t="n">
        <v>45231</v>
      </c>
      <c r="B36" t="n">
        <v>0.1982554779580022</v>
      </c>
      <c r="C36" t="n">
        <v>0.1955627037900518</v>
      </c>
    </row>
    <row r="37">
      <c r="A37" s="3" t="n">
        <v>45261</v>
      </c>
      <c r="B37" t="n">
        <v>0.1849814863821305</v>
      </c>
      <c r="C37" t="n">
        <v>0.1810323602004096</v>
      </c>
    </row>
    <row r="38">
      <c r="A38" s="3" t="n">
        <v>45292</v>
      </c>
      <c r="B38" t="n">
        <v>0.1863652987985036</v>
      </c>
      <c r="C38" t="n">
        <v>0.1864345523831255</v>
      </c>
    </row>
    <row r="39">
      <c r="A39" s="3" t="n">
        <v>45323</v>
      </c>
      <c r="B39" t="n">
        <v>0.2106172141011987</v>
      </c>
      <c r="C39" t="n">
        <v>0.2145040737569938</v>
      </c>
    </row>
    <row r="40">
      <c r="A40" s="3" t="n">
        <v>45352</v>
      </c>
      <c r="B40" t="n">
        <v>0.2113443183255509</v>
      </c>
      <c r="C40" t="n">
        <v>0.211564429008525</v>
      </c>
    </row>
    <row r="41">
      <c r="A41" s="3" t="n">
        <v>45383</v>
      </c>
      <c r="B41" t="n">
        <v>0.2095660952622812</v>
      </c>
      <c r="C41" t="n">
        <v>0.2086899944597162</v>
      </c>
    </row>
    <row r="42">
      <c r="A42" s="3" t="n">
        <v>45413</v>
      </c>
      <c r="B42" t="n">
        <v>0.2069247975560471</v>
      </c>
      <c r="C42" t="n">
        <v>0.2077329937227017</v>
      </c>
    </row>
    <row r="43">
      <c r="A43" s="3" t="n">
        <v>45444</v>
      </c>
      <c r="B43" t="n">
        <v>0.2333223453510281</v>
      </c>
      <c r="C43" t="n">
        <v>0.231415916464915</v>
      </c>
    </row>
    <row r="44">
      <c r="A44" s="3" t="n">
        <v>45474</v>
      </c>
      <c r="B44" t="n">
        <v>0.2273994353431091</v>
      </c>
      <c r="C44" t="n">
        <v>0.2262726042653782</v>
      </c>
    </row>
    <row r="45">
      <c r="A45" s="3" t="n">
        <v>45505</v>
      </c>
      <c r="B45" t="n">
        <v>0.2375142844269681</v>
      </c>
      <c r="C45" t="n">
        <v>0.2350021097946352</v>
      </c>
    </row>
    <row r="46">
      <c r="A46" s="3" t="n">
        <v>45536</v>
      </c>
      <c r="B46" t="n">
        <v>0.213624956907239</v>
      </c>
      <c r="C46" t="n">
        <v>0.2112916828482326</v>
      </c>
    </row>
    <row r="47">
      <c r="A47" s="3" t="n">
        <v>45566</v>
      </c>
      <c r="B47" t="n">
        <v>0.2342934248655143</v>
      </c>
      <c r="C47" t="n">
        <v>0.23553397954762</v>
      </c>
    </row>
    <row r="48">
      <c r="A48" s="3" t="n">
        <v>45597</v>
      </c>
      <c r="B48" t="n">
        <v>0.2157551601321646</v>
      </c>
      <c r="C48" t="n">
        <v>0.2160724888143275</v>
      </c>
    </row>
    <row r="49">
      <c r="A49" s="3" t="n">
        <v>45627</v>
      </c>
      <c r="B49" t="n">
        <v>0.2023760566724011</v>
      </c>
      <c r="C49" t="n">
        <v>0.202508056827332</v>
      </c>
    </row>
    <row r="50">
      <c r="A50" s="3" t="n">
        <v>45658</v>
      </c>
      <c r="B50" t="n">
        <v>0.1814665064116217</v>
      </c>
      <c r="C50" t="n">
        <v>0.1806343144203917</v>
      </c>
    </row>
    <row r="51">
      <c r="A51" s="3" t="n">
        <v>45689</v>
      </c>
      <c r="B51" t="n">
        <v>0.2011108567488599</v>
      </c>
      <c r="C51" t="n">
        <v>0.200873478924718</v>
      </c>
    </row>
    <row r="52">
      <c r="A52" s="3" t="n">
        <v>45717</v>
      </c>
      <c r="B52" t="n">
        <v>0.2098158565276753</v>
      </c>
      <c r="C52" t="n">
        <v>0.2086883571223437</v>
      </c>
    </row>
    <row r="53">
      <c r="A53" s="3" t="n">
        <v>45748</v>
      </c>
      <c r="B53" t="n">
        <v>0.2205420903306846</v>
      </c>
      <c r="C53" t="n">
        <v>0.2190900003444643</v>
      </c>
    </row>
    <row r="54">
      <c r="A54" s="3" t="n">
        <v>45778</v>
      </c>
      <c r="B54" t="n">
        <v>0.2117454792769176</v>
      </c>
      <c r="C54" t="n">
        <v>0.2113953830932269</v>
      </c>
    </row>
    <row r="55">
      <c r="A55" s="3" t="n">
        <v>45809</v>
      </c>
      <c r="B55" t="n">
        <v>0.2080308831599356</v>
      </c>
      <c r="C55" t="n">
        <v>0.2092413522786175</v>
      </c>
    </row>
    <row r="56">
      <c r="A56" s="3" t="n">
        <v>45839</v>
      </c>
      <c r="B56" t="n">
        <v>0.2203058296742306</v>
      </c>
      <c r="C56" t="n">
        <v>0.2195033321058786</v>
      </c>
    </row>
    <row r="57">
      <c r="A57" s="3" t="n">
        <v>45870</v>
      </c>
      <c r="B57" t="n">
        <v>0.2244861967996505</v>
      </c>
      <c r="C57" t="n">
        <v>0.2243462033411223</v>
      </c>
    </row>
    <row r="58">
      <c r="A58" s="3" t="n">
        <v>45901</v>
      </c>
      <c r="B58" t="n">
        <v>0.2284168026596761</v>
      </c>
      <c r="C58" t="n">
        <v>0.2231760730942019</v>
      </c>
    </row>
    <row r="59">
      <c r="A59" s="3" t="n">
        <v>45931</v>
      </c>
      <c r="B59" t="n">
        <v>0.2056287390977854</v>
      </c>
      <c r="C59" t="n">
        <v>0.2035836371429678</v>
      </c>
    </row>
    <row r="60">
      <c r="A60" s="3" t="n">
        <v>45962</v>
      </c>
      <c r="B60" t="n">
        <v>0.231999285674886</v>
      </c>
      <c r="C60" t="n">
        <v>0.2323537390493875</v>
      </c>
    </row>
    <row r="61">
      <c r="A61" s="3" t="n">
        <v>45992</v>
      </c>
      <c r="B61" t="n">
        <v>0.2159904564594085</v>
      </c>
      <c r="C61" t="n">
        <v>0.2238641468354994</v>
      </c>
    </row>
    <row r="62">
      <c r="A62" s="3" t="n">
        <v>46023</v>
      </c>
      <c r="B62" t="n">
        <v>0.1672330072717839</v>
      </c>
      <c r="C62" t="n">
        <v>0.167985709277809</v>
      </c>
    </row>
    <row r="63">
      <c r="A63" s="3" t="n">
        <v>46054</v>
      </c>
      <c r="B63" t="n">
        <v>0.1970153505939215</v>
      </c>
      <c r="C63" t="n">
        <v>0.1987176983655416</v>
      </c>
    </row>
    <row r="64">
      <c r="A64" s="3" t="n">
        <v>46082</v>
      </c>
      <c r="B64" t="n">
        <v>0.163585914199503</v>
      </c>
      <c r="C64" t="n">
        <v>0.1776982611644727</v>
      </c>
    </row>
    <row r="65">
      <c r="A65" s="3" t="n">
        <v>46113</v>
      </c>
      <c r="B65" t="n">
        <v>0.2113828914939515</v>
      </c>
      <c r="C65" t="n">
        <v>0.2245599640748194</v>
      </c>
    </row>
    <row r="66">
      <c r="A66" s="3" t="n">
        <v>46143</v>
      </c>
      <c r="B66" t="n">
        <v>0.2386878730755577</v>
      </c>
      <c r="C66" t="n">
        <v>0.2424300325962827</v>
      </c>
    </row>
    <row r="67">
      <c r="A67" s="3" t="n">
        <v>46174</v>
      </c>
      <c r="C67" t="n">
        <v>0.2582633013966256</v>
      </c>
    </row>
    <row r="68">
      <c r="A68" s="3" t="n">
        <v>46204</v>
      </c>
      <c r="C68" t="n">
        <v>0.2435599862294096</v>
      </c>
    </row>
    <row r="69">
      <c r="A69" s="3" t="n">
        <v>46235</v>
      </c>
      <c r="C69" t="n">
        <v>0.2438167478951612</v>
      </c>
    </row>
    <row r="70">
      <c r="A70" s="3" t="n">
        <v>46266</v>
      </c>
      <c r="C70" t="n">
        <v>0.2496951358498268</v>
      </c>
    </row>
    <row r="71">
      <c r="A71" s="3" t="n">
        <v>46296</v>
      </c>
      <c r="C71" t="n">
        <v>0.2335245457698224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Published</t>
        </is>
      </c>
      <c r="C1" t="inlineStr">
        <is>
          <t>Estimate from gas-fired output</t>
        </is>
      </c>
    </row>
    <row r="2">
      <c r="A2" s="3" t="n">
        <v>44197</v>
      </c>
      <c r="B2" t="n">
        <v>0.20266046889</v>
      </c>
      <c r="C2" t="n">
        <v>0.1953924108573225</v>
      </c>
    </row>
    <row r="3">
      <c r="A3" s="3" t="n">
        <v>44228</v>
      </c>
      <c r="B3" t="n">
        <v>0.20897120578</v>
      </c>
      <c r="C3" t="n">
        <v>0.2078111009193335</v>
      </c>
    </row>
    <row r="4">
      <c r="A4" s="3" t="n">
        <v>44256</v>
      </c>
      <c r="B4" t="n">
        <v>0.2119694238099999</v>
      </c>
      <c r="C4" t="n">
        <v>0.202349642405635</v>
      </c>
    </row>
    <row r="5">
      <c r="A5" s="3" t="n">
        <v>44287</v>
      </c>
      <c r="B5" t="n">
        <v>0.18211084496</v>
      </c>
      <c r="C5" t="n">
        <v>0.1866987854647825</v>
      </c>
    </row>
    <row r="6">
      <c r="A6" s="3" t="n">
        <v>44317</v>
      </c>
      <c r="B6" t="n">
        <v>0.20661571529</v>
      </c>
      <c r="C6" t="n">
        <v>0.2042829388477731</v>
      </c>
    </row>
    <row r="7">
      <c r="A7" s="3" t="n">
        <v>44348</v>
      </c>
      <c r="B7" t="n">
        <v>0.2666153905899999</v>
      </c>
      <c r="C7" t="n">
        <v>0.2580178851611227</v>
      </c>
    </row>
    <row r="8">
      <c r="A8" s="3" t="n">
        <v>44378</v>
      </c>
      <c r="B8" t="n">
        <v>0.27842462627</v>
      </c>
      <c r="C8" t="n">
        <v>0.2777399910652696</v>
      </c>
    </row>
    <row r="9">
      <c r="A9" s="3" t="n">
        <v>44409</v>
      </c>
      <c r="B9" t="n">
        <v>0.24708989296</v>
      </c>
      <c r="C9" t="n">
        <v>0.2561951239200974</v>
      </c>
    </row>
    <row r="10">
      <c r="A10" s="3" t="n">
        <v>44440</v>
      </c>
      <c r="B10" t="n">
        <v>0.1723710507</v>
      </c>
      <c r="C10" t="n">
        <v>0.1928031753242263</v>
      </c>
    </row>
    <row r="11">
      <c r="A11" s="3" t="n">
        <v>44470</v>
      </c>
      <c r="B11" t="n">
        <v>0.17246640039</v>
      </c>
      <c r="C11" t="n">
        <v>0.1777677404662869</v>
      </c>
    </row>
    <row r="12">
      <c r="A12" s="3" t="n">
        <v>44501</v>
      </c>
      <c r="B12" t="n">
        <v>0.07816202551000001</v>
      </c>
      <c r="C12" t="n">
        <v>0.08423057884133914</v>
      </c>
    </row>
    <row r="13">
      <c r="A13" s="3" t="n">
        <v>44531</v>
      </c>
      <c r="B13" t="n">
        <v>0.11173924227</v>
      </c>
      <c r="C13" t="n">
        <v>0.1098552636592944</v>
      </c>
    </row>
    <row r="14">
      <c r="A14" s="3" t="n">
        <v>44562</v>
      </c>
      <c r="B14" t="n">
        <v>0.096055984</v>
      </c>
      <c r="C14" t="n">
        <v>0.1026847818760473</v>
      </c>
    </row>
    <row r="15">
      <c r="A15" s="3" t="n">
        <v>44593</v>
      </c>
      <c r="B15" t="n">
        <v>0.10702826129</v>
      </c>
      <c r="C15" t="n">
        <v>0.1200448470799119</v>
      </c>
    </row>
    <row r="16">
      <c r="A16" s="3" t="n">
        <v>44621</v>
      </c>
      <c r="B16" t="n">
        <v>0.1488161458</v>
      </c>
      <c r="C16" t="n">
        <v>0.1557175901849341</v>
      </c>
    </row>
    <row r="17">
      <c r="A17" s="3" t="n">
        <v>44652</v>
      </c>
      <c r="B17" t="n">
        <v>0.11314123586</v>
      </c>
      <c r="C17" t="n">
        <v>0.1256372016814093</v>
      </c>
    </row>
    <row r="18">
      <c r="A18" s="3" t="n">
        <v>44682</v>
      </c>
      <c r="B18" t="n">
        <v>0.13715523186</v>
      </c>
      <c r="C18" t="n">
        <v>0.1353857133766994</v>
      </c>
    </row>
    <row r="19">
      <c r="A19" s="3" t="n">
        <v>44713</v>
      </c>
      <c r="B19" t="n">
        <v>0.16204150095</v>
      </c>
      <c r="C19" t="n">
        <v>0.162097281283464</v>
      </c>
    </row>
    <row r="20">
      <c r="A20" s="3" t="n">
        <v>44743</v>
      </c>
      <c r="B20" t="n">
        <v>0.16148352869</v>
      </c>
      <c r="C20" t="n">
        <v>0.167307023516701</v>
      </c>
    </row>
    <row r="21">
      <c r="A21" s="3" t="n">
        <v>44774</v>
      </c>
      <c r="B21" t="n">
        <v>0.17594489834</v>
      </c>
      <c r="C21" t="n">
        <v>0.1774678719439504</v>
      </c>
    </row>
    <row r="22">
      <c r="A22" s="3" t="n">
        <v>44805</v>
      </c>
      <c r="B22" t="n">
        <v>0.15356597295</v>
      </c>
      <c r="C22" t="n">
        <v>0.1281146954526984</v>
      </c>
    </row>
    <row r="23">
      <c r="A23" s="3" t="n">
        <v>44835</v>
      </c>
      <c r="B23" t="n">
        <v>0.12647606658</v>
      </c>
      <c r="C23" t="n">
        <v>0.1242367670684031</v>
      </c>
    </row>
    <row r="24">
      <c r="A24" s="3" t="n">
        <v>44866</v>
      </c>
      <c r="B24" t="n">
        <v>0.14463488532</v>
      </c>
      <c r="C24" t="n">
        <v>0.1450146698846096</v>
      </c>
    </row>
    <row r="25">
      <c r="A25" s="3" t="n">
        <v>44896</v>
      </c>
      <c r="B25" t="n">
        <v>0.09577346639999999</v>
      </c>
      <c r="C25" t="n">
        <v>0.1023751181335668</v>
      </c>
    </row>
    <row r="26">
      <c r="A26" s="3" t="n">
        <v>44927</v>
      </c>
      <c r="B26" t="n">
        <v>0.1385395681</v>
      </c>
      <c r="C26" t="n">
        <v>0.1376721293236761</v>
      </c>
    </row>
    <row r="27">
      <c r="A27" s="3" t="n">
        <v>44958</v>
      </c>
      <c r="B27" t="n">
        <v>0.18734801497</v>
      </c>
      <c r="C27" t="n">
        <v>0.1849220448463862</v>
      </c>
    </row>
    <row r="28">
      <c r="A28" s="3" t="n">
        <v>44986</v>
      </c>
      <c r="B28" t="n">
        <v>0.15721398146</v>
      </c>
      <c r="C28" t="n">
        <v>0.1577713475733699</v>
      </c>
    </row>
    <row r="29">
      <c r="A29" s="3" t="n">
        <v>45017</v>
      </c>
      <c r="B29" t="n">
        <v>0.18831210628</v>
      </c>
      <c r="C29" t="n">
        <v>0.175529399336818</v>
      </c>
    </row>
    <row r="30">
      <c r="A30" s="3" t="n">
        <v>45047</v>
      </c>
      <c r="B30" t="n">
        <v>0.15568838642</v>
      </c>
      <c r="C30" t="n">
        <v>0.1715077870531076</v>
      </c>
    </row>
    <row r="31">
      <c r="A31" s="3" t="n">
        <v>45078</v>
      </c>
      <c r="B31" t="n">
        <v>0.18667703567</v>
      </c>
      <c r="C31" t="n">
        <v>0.1980928406480373</v>
      </c>
    </row>
    <row r="32">
      <c r="A32" s="3" t="n">
        <v>45108</v>
      </c>
      <c r="B32" t="n">
        <v>0.19163168808</v>
      </c>
      <c r="C32" t="n">
        <v>0.1955970616567395</v>
      </c>
    </row>
    <row r="33">
      <c r="A33" s="3" t="n">
        <v>45139</v>
      </c>
      <c r="B33" t="n">
        <v>0.19873347425</v>
      </c>
      <c r="C33" t="n">
        <v>0.205741740246783</v>
      </c>
    </row>
    <row r="34">
      <c r="A34" s="3" t="n">
        <v>45170</v>
      </c>
      <c r="B34" t="n">
        <v>0.20554921135</v>
      </c>
      <c r="C34" t="n">
        <v>0.2121779968858291</v>
      </c>
    </row>
    <row r="35">
      <c r="A35" s="3" t="n">
        <v>45200</v>
      </c>
      <c r="B35" t="n">
        <v>0.16965888174</v>
      </c>
      <c r="C35" t="n">
        <v>0.1654647366698772</v>
      </c>
    </row>
    <row r="36">
      <c r="A36" s="3" t="n">
        <v>45231</v>
      </c>
      <c r="B36" t="n">
        <v>0.1811290963</v>
      </c>
      <c r="C36" t="n">
        <v>0.1741699401414475</v>
      </c>
    </row>
    <row r="37">
      <c r="A37" s="3" t="n">
        <v>45261</v>
      </c>
      <c r="B37" t="n">
        <v>0.1678154544</v>
      </c>
      <c r="C37" t="n">
        <v>0.1728295190445954</v>
      </c>
    </row>
    <row r="38">
      <c r="A38" s="3" t="n">
        <v>45292</v>
      </c>
      <c r="B38" t="n">
        <v>0.14603334744</v>
      </c>
      <c r="C38" t="n">
        <v>0.1591089207589795</v>
      </c>
    </row>
    <row r="39">
      <c r="A39" s="3" t="n">
        <v>45323</v>
      </c>
      <c r="B39" t="n">
        <v>0.13339421631</v>
      </c>
      <c r="C39" t="n">
        <v>0.1400467946317201</v>
      </c>
    </row>
    <row r="40">
      <c r="A40" s="3" t="n">
        <v>45352</v>
      </c>
      <c r="B40" t="n">
        <v>0.15655359657</v>
      </c>
      <c r="C40" t="n">
        <v>0.1598769885326148</v>
      </c>
    </row>
    <row r="41">
      <c r="A41" s="3" t="n">
        <v>45383</v>
      </c>
      <c r="B41" t="n">
        <v>0.16386373947</v>
      </c>
      <c r="C41" t="n">
        <v>0.1643386231149702</v>
      </c>
    </row>
    <row r="42">
      <c r="A42" s="3" t="n">
        <v>45413</v>
      </c>
      <c r="B42" t="n">
        <v>0.12625711544</v>
      </c>
      <c r="C42" t="n">
        <v>0.1301262197136336</v>
      </c>
    </row>
    <row r="43">
      <c r="A43" s="3" t="n">
        <v>45444</v>
      </c>
      <c r="B43" t="n">
        <v>0.16702087365</v>
      </c>
      <c r="C43" t="n">
        <v>0.1608073350717245</v>
      </c>
    </row>
    <row r="44">
      <c r="A44" s="3" t="n">
        <v>45474</v>
      </c>
      <c r="B44" t="n">
        <v>0.1530185951</v>
      </c>
      <c r="C44" t="n">
        <v>0.1452583871390182</v>
      </c>
    </row>
    <row r="45">
      <c r="A45" s="3" t="n">
        <v>45505</v>
      </c>
      <c r="B45" t="n">
        <v>0.13839477783</v>
      </c>
      <c r="C45" t="n">
        <v>0.1177437582242195</v>
      </c>
    </row>
    <row r="46">
      <c r="A46" s="3" t="n">
        <v>45536</v>
      </c>
      <c r="B46" t="n">
        <v>0.14220170249</v>
      </c>
      <c r="C46" t="n">
        <v>0.1405983126464004</v>
      </c>
    </row>
    <row r="47">
      <c r="A47" s="3" t="n">
        <v>45566</v>
      </c>
      <c r="B47" t="n">
        <v>0.17467356914</v>
      </c>
      <c r="C47" t="n">
        <v>0.1654709844340009</v>
      </c>
    </row>
    <row r="48">
      <c r="A48" s="3" t="n">
        <v>45597</v>
      </c>
      <c r="B48" t="n">
        <v>0.20487116911</v>
      </c>
      <c r="C48" t="n">
        <v>0.1871616358380634</v>
      </c>
    </row>
    <row r="49">
      <c r="A49" s="3" t="n">
        <v>45627</v>
      </c>
      <c r="B49" t="n">
        <v>0.16403325003</v>
      </c>
      <c r="C49" t="n">
        <v>0.1587145820475288</v>
      </c>
    </row>
    <row r="50">
      <c r="A50" s="3" t="n">
        <v>45658</v>
      </c>
      <c r="B50" t="n">
        <v>0.16667478959</v>
      </c>
      <c r="C50" t="n">
        <v>0.1539384334726758</v>
      </c>
    </row>
    <row r="51">
      <c r="A51" s="3" t="n">
        <v>45689</v>
      </c>
      <c r="B51" t="n">
        <v>0.14473023501</v>
      </c>
      <c r="C51" t="n">
        <v>0.1385590432600088</v>
      </c>
    </row>
    <row r="52">
      <c r="A52" s="3" t="n">
        <v>45717</v>
      </c>
      <c r="B52" t="n">
        <v>0.12940012374</v>
      </c>
      <c r="C52" t="n">
        <v>0.1285484483347073</v>
      </c>
    </row>
    <row r="53">
      <c r="A53" s="3" t="n">
        <v>45748</v>
      </c>
      <c r="B53" t="n">
        <v>0.13516348278</v>
      </c>
      <c r="C53" t="n">
        <v>0.1354752596104255</v>
      </c>
    </row>
    <row r="54">
      <c r="A54" s="3" t="n">
        <v>45778</v>
      </c>
      <c r="B54" t="n">
        <v>0.17688780083</v>
      </c>
      <c r="C54" t="n">
        <v>0.1734625067619293</v>
      </c>
    </row>
    <row r="55">
      <c r="A55" s="3" t="n">
        <v>45809</v>
      </c>
      <c r="B55" t="n">
        <v>0.15988730425</v>
      </c>
      <c r="C55" t="n">
        <v>0.1602125608001296</v>
      </c>
    </row>
    <row r="56">
      <c r="A56" s="3" t="n">
        <v>45839</v>
      </c>
      <c r="B56" t="n">
        <v>0.18000255737</v>
      </c>
      <c r="C56" t="n">
        <v>0.1789489679096223</v>
      </c>
    </row>
    <row r="57">
      <c r="A57" s="3" t="n">
        <v>45870</v>
      </c>
      <c r="B57" t="n">
        <v>0.23875209229</v>
      </c>
      <c r="C57" t="n">
        <v>0.2295137808098253</v>
      </c>
    </row>
    <row r="58">
      <c r="A58" s="3" t="n">
        <v>45901</v>
      </c>
      <c r="B58" t="n">
        <v>0.24928293583</v>
      </c>
      <c r="C58" t="n">
        <v>0.2358960002978764</v>
      </c>
    </row>
    <row r="59">
      <c r="A59" s="3" t="n">
        <v>45931</v>
      </c>
      <c r="B59" t="n">
        <v>0.20457452563</v>
      </c>
      <c r="C59" t="n">
        <v>0.2003988271163573</v>
      </c>
    </row>
    <row r="60">
      <c r="A60" s="3" t="n">
        <v>45962</v>
      </c>
      <c r="B60" t="n">
        <v>0.19257812204</v>
      </c>
      <c r="C60" t="n">
        <v>0.1843557974779598</v>
      </c>
    </row>
    <row r="61">
      <c r="A61" s="3" t="n">
        <v>45992</v>
      </c>
      <c r="B61" t="n">
        <v>0.13905869419</v>
      </c>
      <c r="C61" t="n">
        <v>0.1442474738138848</v>
      </c>
    </row>
    <row r="62">
      <c r="A62" s="3" t="n">
        <v>46023</v>
      </c>
      <c r="B62" t="n">
        <v>0.16597202706</v>
      </c>
      <c r="C62" t="n">
        <v>0.1686873027018612</v>
      </c>
    </row>
    <row r="63">
      <c r="A63" s="3" t="n">
        <v>46054</v>
      </c>
      <c r="B63" t="n">
        <v>0.18111143895</v>
      </c>
      <c r="C63" t="n">
        <v>0.1824868826925675</v>
      </c>
    </row>
    <row r="64">
      <c r="A64" s="3" t="n">
        <v>46082</v>
      </c>
      <c r="B64" t="n">
        <v>0.20042857985</v>
      </c>
      <c r="C64" t="n">
        <v>0.194290607520046</v>
      </c>
    </row>
    <row r="65">
      <c r="A65" s="3" t="n">
        <v>46113</v>
      </c>
      <c r="B65" t="n">
        <v>0.19353515041</v>
      </c>
      <c r="C65" t="n">
        <v>0.1895001198645203</v>
      </c>
    </row>
    <row r="66">
      <c r="A66" s="3" t="n">
        <v>46143</v>
      </c>
      <c r="B66" t="n">
        <v>0.19445333261</v>
      </c>
      <c r="C66" t="n">
        <v>0.1926356787221924</v>
      </c>
    </row>
    <row r="67">
      <c r="A67" s="3" t="n">
        <v>46174</v>
      </c>
      <c r="B67" t="n">
        <v>0.23507936349</v>
      </c>
      <c r="C67" t="n">
        <v>0.2290280490466743</v>
      </c>
    </row>
    <row r="68">
      <c r="A68" s="3" t="n">
        <v>46204</v>
      </c>
      <c r="B68" t="n">
        <v>0.19331973074</v>
      </c>
      <c r="C68" t="n">
        <v>0.1954771192227683</v>
      </c>
    </row>
    <row r="69">
      <c r="A69" s="3" t="n">
        <v>46235</v>
      </c>
      <c r="B69" t="n">
        <v>0.21839316774</v>
      </c>
      <c r="C69" t="n">
        <v>0.2162998076638326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Argentina</t>
        </is>
      </c>
      <c r="C1" t="inlineStr">
        <is>
          <t>Brazil</t>
        </is>
      </c>
      <c r="D1" t="inlineStr">
        <is>
          <t>Bolivia</t>
        </is>
      </c>
      <c r="E1" t="inlineStr">
        <is>
          <t>Colombia</t>
        </is>
      </c>
      <c r="F1" t="inlineStr">
        <is>
          <t>Peru</t>
        </is>
      </c>
      <c r="G1" t="inlineStr">
        <is>
          <t>Dominican Republic</t>
        </is>
      </c>
      <c r="H1" t="inlineStr">
        <is>
          <t>Puerto Rico</t>
        </is>
      </c>
    </row>
    <row r="2">
      <c r="A2" s="3" t="n">
        <v>44197</v>
      </c>
      <c r="B2" t="n">
        <v>7.210749183147446</v>
      </c>
      <c r="C2" t="n">
        <v>8.481986254026722</v>
      </c>
      <c r="D2" t="n">
        <v>8.76886538103348</v>
      </c>
      <c r="E2" t="n">
        <v>8.699252402027994</v>
      </c>
      <c r="F2" t="n">
        <v>9.057601515684896</v>
      </c>
      <c r="G2" t="n">
        <v>6.399069675954027</v>
      </c>
      <c r="H2" t="n">
        <v>9.635838955391279</v>
      </c>
    </row>
    <row r="3">
      <c r="A3" s="3" t="n">
        <v>44228</v>
      </c>
      <c r="B3" t="n">
        <v>7.447032799210023</v>
      </c>
      <c r="C3" t="n">
        <v>8.337628465752465</v>
      </c>
      <c r="D3" t="n">
        <v>9.178558220448563</v>
      </c>
      <c r="E3" t="n">
        <v>8.905995363522321</v>
      </c>
      <c r="F3" t="n">
        <v>8.174123263641768</v>
      </c>
      <c r="G3" t="n">
        <v>7.808792781200951</v>
      </c>
      <c r="H3" t="n">
        <v>9.342129579584759</v>
      </c>
    </row>
    <row r="4">
      <c r="A4" s="3" t="n">
        <v>44256</v>
      </c>
      <c r="B4" t="n">
        <v>7.322648276858696</v>
      </c>
      <c r="C4" t="n">
        <v>8.447687979649134</v>
      </c>
      <c r="D4" t="n">
        <v>8.905005906286348</v>
      </c>
      <c r="E4" t="n">
        <v>8.42490681208905</v>
      </c>
      <c r="F4" t="n">
        <v>8.678499328032656</v>
      </c>
      <c r="G4" t="n">
        <v>7.814094924354307</v>
      </c>
      <c r="H4" t="n">
        <v>9.731929617249239</v>
      </c>
    </row>
    <row r="5">
      <c r="A5" s="3" t="n">
        <v>44287</v>
      </c>
      <c r="B5" t="n">
        <v>7.640114239938096</v>
      </c>
      <c r="C5" t="n">
        <v>8.453416616206891</v>
      </c>
      <c r="D5" t="n">
        <v>8.858105944460773</v>
      </c>
      <c r="E5" t="n">
        <v>8.367355315796619</v>
      </c>
      <c r="F5" t="n">
        <v>9.555251957865426</v>
      </c>
      <c r="G5" t="n">
        <v>7.913212233094167</v>
      </c>
      <c r="H5" t="n">
        <v>9.061967452886023</v>
      </c>
    </row>
    <row r="6">
      <c r="A6" s="3" t="n">
        <v>44317</v>
      </c>
      <c r="B6" t="n">
        <v>7.643733910045569</v>
      </c>
      <c r="C6" t="n">
        <v>8.385948161307313</v>
      </c>
      <c r="D6" t="n">
        <v>8.338850824937712</v>
      </c>
      <c r="E6" t="n">
        <v>8.78941919228888</v>
      </c>
      <c r="F6" t="n">
        <v>7.90939343424819</v>
      </c>
      <c r="G6" t="n">
        <v>7.977547694002744</v>
      </c>
      <c r="H6" t="n">
        <v>9.396355411990193</v>
      </c>
    </row>
    <row r="7">
      <c r="A7" s="3" t="n">
        <v>44348</v>
      </c>
      <c r="B7" t="n">
        <v>7.365528481063214</v>
      </c>
      <c r="C7" t="n">
        <v>8.552204480941823</v>
      </c>
      <c r="D7" t="n">
        <v>8.374064559891913</v>
      </c>
      <c r="E7" t="n">
        <v>8.472789166880055</v>
      </c>
      <c r="F7" t="n">
        <v>7.873472610532676</v>
      </c>
      <c r="G7" t="n">
        <v>7.877126929347534</v>
      </c>
      <c r="H7" t="n">
        <v>9.599830963292453</v>
      </c>
    </row>
    <row r="8">
      <c r="A8" s="3" t="n">
        <v>44378</v>
      </c>
      <c r="B8" t="n">
        <v>7.635552849677048</v>
      </c>
      <c r="C8" t="n">
        <v>8.428188118934106</v>
      </c>
      <c r="D8" t="n">
        <v>8.458762479642063</v>
      </c>
      <c r="E8" t="n">
        <v>9.283312895197282</v>
      </c>
      <c r="F8" t="n">
        <v>7.491638461864385</v>
      </c>
      <c r="G8" t="n">
        <v>7.870522281158536</v>
      </c>
      <c r="H8" t="n">
        <v>9.494228593113464</v>
      </c>
    </row>
    <row r="9">
      <c r="A9" s="3" t="n">
        <v>44409</v>
      </c>
      <c r="B9" t="n">
        <v>7.524077292481791</v>
      </c>
      <c r="C9" t="n">
        <v>8.337776018146199</v>
      </c>
      <c r="D9" t="n">
        <v>8.463102185709214</v>
      </c>
      <c r="E9" t="n">
        <v>9.488000415505788</v>
      </c>
      <c r="F9" t="n">
        <v>7.70741665853655</v>
      </c>
      <c r="G9" t="n">
        <v>7.825256258538292</v>
      </c>
      <c r="H9" t="n">
        <v>9.138302703068366</v>
      </c>
    </row>
    <row r="10">
      <c r="A10" s="3" t="n">
        <v>44440</v>
      </c>
      <c r="B10" t="n">
        <v>7.411481752019355</v>
      </c>
      <c r="C10" t="n">
        <v>8.025916234355716</v>
      </c>
      <c r="D10" t="n">
        <v>8.200271121239425</v>
      </c>
      <c r="E10" t="n">
        <v>9.388746530850216</v>
      </c>
      <c r="F10" t="n">
        <v>7.551146645816782</v>
      </c>
      <c r="G10" t="n">
        <v>7.669878247870384</v>
      </c>
      <c r="H10" t="n">
        <v>8.428409741937948</v>
      </c>
    </row>
    <row r="11">
      <c r="A11" s="3" t="n">
        <v>44470</v>
      </c>
      <c r="B11" t="n">
        <v>7.647117048490861</v>
      </c>
      <c r="C11" t="n">
        <v>7.985315402808858</v>
      </c>
      <c r="D11" t="n">
        <v>8.232909655281833</v>
      </c>
      <c r="E11" t="n">
        <v>9.746921920226036</v>
      </c>
      <c r="F11" t="n">
        <v>7.463752940759354</v>
      </c>
      <c r="G11" t="n">
        <v>7.769868742317603</v>
      </c>
      <c r="H11" t="n">
        <v>9.052765992080133</v>
      </c>
    </row>
    <row r="12">
      <c r="A12" s="3" t="n">
        <v>44501</v>
      </c>
      <c r="B12" t="n">
        <v>7.479292211166456</v>
      </c>
      <c r="C12" t="n">
        <v>8.047921818745744</v>
      </c>
      <c r="D12" t="n">
        <v>8.073048208983829</v>
      </c>
      <c r="E12" t="n">
        <v>9.798799552835549</v>
      </c>
      <c r="F12" t="n">
        <v>7.638289405551494</v>
      </c>
      <c r="G12" t="n">
        <v>7.511818201513773</v>
      </c>
      <c r="H12" t="n">
        <v>8.637456597771083</v>
      </c>
    </row>
    <row r="13">
      <c r="A13" s="3" t="n">
        <v>44531</v>
      </c>
      <c r="B13" t="n">
        <v>7.170784749906846</v>
      </c>
      <c r="C13" t="n">
        <v>8.015786054728004</v>
      </c>
      <c r="D13" t="n">
        <v>7.881113803728182</v>
      </c>
      <c r="E13" t="n">
        <v>10.00495846915334</v>
      </c>
      <c r="F13" t="n">
        <v>8.002466417955906</v>
      </c>
      <c r="G13" t="n">
        <v>7.463565457215475</v>
      </c>
      <c r="H13" t="n">
        <v>9.441980794813919</v>
      </c>
    </row>
    <row r="14">
      <c r="A14" s="3" t="n">
        <v>44562</v>
      </c>
      <c r="B14" t="n">
        <v>7.219179741610275</v>
      </c>
      <c r="C14" t="n">
        <v>8.054302406203847</v>
      </c>
      <c r="D14" t="n">
        <v>8.024713634193365</v>
      </c>
      <c r="E14" t="n">
        <v>10.10105498261937</v>
      </c>
      <c r="F14" t="n">
        <v>7.184695554393413</v>
      </c>
      <c r="G14" t="n">
        <v>7.505646086944487</v>
      </c>
      <c r="H14" t="n">
        <v>8.690535174926181</v>
      </c>
    </row>
    <row r="15">
      <c r="A15" s="3" t="n">
        <v>44593</v>
      </c>
      <c r="B15" t="n">
        <v>7.132312165545994</v>
      </c>
      <c r="C15" t="n">
        <v>8.310971941591021</v>
      </c>
      <c r="D15" t="n">
        <v>7.919526814779251</v>
      </c>
      <c r="E15" t="n">
        <v>9.69306161518878</v>
      </c>
      <c r="F15" t="n">
        <v>7.482465420346294</v>
      </c>
      <c r="G15" t="n">
        <v>7.823843006584921</v>
      </c>
      <c r="H15" t="n">
        <v>8.231675167526395</v>
      </c>
    </row>
    <row r="16">
      <c r="A16" s="3" t="n">
        <v>44621</v>
      </c>
      <c r="B16" t="n">
        <v>7.152059025824689</v>
      </c>
      <c r="C16" t="n">
        <v>8.519207717300393</v>
      </c>
      <c r="D16" t="n">
        <v>8.009418837755661</v>
      </c>
      <c r="E16" t="n">
        <v>10.10177574482886</v>
      </c>
      <c r="F16" t="n">
        <v>7.625513098251552</v>
      </c>
      <c r="G16" t="n">
        <v>7.76814078091913</v>
      </c>
      <c r="H16" t="n">
        <v>8.760024907015277</v>
      </c>
    </row>
    <row r="17">
      <c r="A17" s="3" t="n">
        <v>44652</v>
      </c>
      <c r="B17" t="n">
        <v>7.06431510036405</v>
      </c>
      <c r="C17" t="n">
        <v>9.016368033167405</v>
      </c>
      <c r="D17" t="n">
        <v>7.799572154527074</v>
      </c>
      <c r="E17" t="n">
        <v>10.04068709537425</v>
      </c>
      <c r="F17" t="n">
        <v>7.739218473160568</v>
      </c>
      <c r="G17" t="n">
        <v>7.821140457021084</v>
      </c>
      <c r="H17" t="n">
        <v>8.178554958624975</v>
      </c>
    </row>
    <row r="18">
      <c r="A18" s="3" t="n">
        <v>44682</v>
      </c>
      <c r="B18" t="n">
        <v>7.007189470876284</v>
      </c>
      <c r="C18" t="n">
        <v>8.643824232064382</v>
      </c>
      <c r="D18" t="n">
        <v>7.554292699834494</v>
      </c>
      <c r="E18" t="n">
        <v>9.753353565871427</v>
      </c>
      <c r="F18" t="n">
        <v>7.022176221516911</v>
      </c>
      <c r="G18" t="n">
        <v>7.948951366465681</v>
      </c>
      <c r="H18" t="n">
        <v>9.145189348317123</v>
      </c>
    </row>
    <row r="19">
      <c r="A19" s="3" t="n">
        <v>44713</v>
      </c>
      <c r="B19" t="n">
        <v>6.690210104986999</v>
      </c>
      <c r="C19" t="n">
        <v>9.086218740753473</v>
      </c>
      <c r="D19" t="n">
        <v>7.467108117802333</v>
      </c>
      <c r="E19" t="n">
        <v>9.675973867981513</v>
      </c>
      <c r="F19" t="n">
        <v>7.02889051436052</v>
      </c>
      <c r="G19" t="n">
        <v>6.932700411490537</v>
      </c>
      <c r="H19" t="n">
        <v>8.994498375265497</v>
      </c>
    </row>
    <row r="20">
      <c r="A20" s="3" t="n">
        <v>44743</v>
      </c>
      <c r="B20" t="n">
        <v>7.461312270286572</v>
      </c>
      <c r="C20" t="n">
        <v>8.689622613757523</v>
      </c>
      <c r="D20" t="n">
        <v>5.81022300136147</v>
      </c>
      <c r="E20" t="n">
        <v>9.66803868228391</v>
      </c>
      <c r="F20" t="n">
        <v>6.79851897269404</v>
      </c>
      <c r="G20" t="n">
        <v>7.745512445046204</v>
      </c>
      <c r="H20" t="n">
        <v>8.605262137665303</v>
      </c>
    </row>
    <row r="21">
      <c r="A21" s="3" t="n">
        <v>44774</v>
      </c>
      <c r="B21" t="n">
        <v>7.223439143087989</v>
      </c>
      <c r="C21" t="n">
        <v>8.174064274049448</v>
      </c>
      <c r="D21" t="n">
        <v>8.028858926830889</v>
      </c>
      <c r="E21" t="n">
        <v>9.39622630616206</v>
      </c>
      <c r="F21" t="n">
        <v>7.013536826913205</v>
      </c>
      <c r="G21" t="n">
        <v>7.757453913318914</v>
      </c>
      <c r="H21" t="n">
        <v>8.722647930917702</v>
      </c>
    </row>
    <row r="22">
      <c r="A22" s="3" t="n">
        <v>44805</v>
      </c>
      <c r="B22" t="n">
        <v>7.244147245332824</v>
      </c>
      <c r="C22" t="n">
        <v>8.806963214604108</v>
      </c>
      <c r="D22" t="n">
        <v>7.893728861315035</v>
      </c>
      <c r="E22" t="n">
        <v>9.708349751866001</v>
      </c>
      <c r="F22" t="n">
        <v>6.978132817518683</v>
      </c>
      <c r="G22" t="n">
        <v>7.704418167645025</v>
      </c>
      <c r="H22" t="n">
        <v>10.47735383351477</v>
      </c>
    </row>
    <row r="23">
      <c r="A23" s="3" t="n">
        <v>44835</v>
      </c>
      <c r="B23" t="n">
        <v>7.490273848068838</v>
      </c>
      <c r="C23" t="n">
        <v>8.214434285900584</v>
      </c>
      <c r="D23" t="n">
        <v>8.060886626764306</v>
      </c>
      <c r="E23" t="n">
        <v>8.914655494872276</v>
      </c>
      <c r="F23" t="n">
        <v>7.102065355182562</v>
      </c>
      <c r="G23" t="n">
        <v>7.582657421653547</v>
      </c>
      <c r="H23" t="n">
        <v>9.077117396959519</v>
      </c>
    </row>
    <row r="24">
      <c r="A24" s="3" t="n">
        <v>44866</v>
      </c>
      <c r="B24" t="n">
        <v>7.311608769964576</v>
      </c>
      <c r="C24" t="n">
        <v>7.426424852458135</v>
      </c>
      <c r="D24" t="n">
        <v>8.324170341894233</v>
      </c>
      <c r="E24" t="n">
        <v>9.681564878970836</v>
      </c>
      <c r="F24" t="n">
        <v>7.193675373291248</v>
      </c>
      <c r="G24" t="n">
        <v>7.910426946969493</v>
      </c>
      <c r="H24" t="n">
        <v>8.891024101634986</v>
      </c>
    </row>
    <row r="25">
      <c r="A25" s="3" t="n">
        <v>44896</v>
      </c>
      <c r="B25" t="n">
        <v>7.042206485673939</v>
      </c>
      <c r="C25" t="n">
        <v>7.89558060391034</v>
      </c>
      <c r="D25" t="n">
        <v>8.205161698648276</v>
      </c>
      <c r="E25" t="n">
        <v>8.006137628908347</v>
      </c>
      <c r="F25" t="n">
        <v>7.073198918054353</v>
      </c>
      <c r="G25" t="n">
        <v>7.717793270331623</v>
      </c>
      <c r="H25" t="n">
        <v>8.350365706769008</v>
      </c>
    </row>
    <row r="26">
      <c r="A26" s="3" t="n">
        <v>44927</v>
      </c>
      <c r="B26" t="n">
        <v>6.942479793783013</v>
      </c>
      <c r="C26" t="n">
        <v>7.665848138682495</v>
      </c>
      <c r="D26" t="n">
        <v>7.977518843042817</v>
      </c>
      <c r="E26" t="n">
        <v>7.912026300897582</v>
      </c>
      <c r="F26" t="n">
        <v>7.089311956328491</v>
      </c>
      <c r="G26" t="n">
        <v>7.791580951393867</v>
      </c>
      <c r="H26" t="n">
        <v>8.912371693748778</v>
      </c>
    </row>
    <row r="27">
      <c r="A27" s="3" t="n">
        <v>44958</v>
      </c>
      <c r="B27" t="n">
        <v>6.931102018983221</v>
      </c>
      <c r="C27" t="n">
        <v>8.454035791715519</v>
      </c>
      <c r="D27" t="n">
        <v>8.051227075693735</v>
      </c>
      <c r="E27" t="n">
        <v>8.333709699998563</v>
      </c>
      <c r="F27" t="n">
        <v>7.503315116995395</v>
      </c>
      <c r="G27" t="n">
        <v>7.703318291356251</v>
      </c>
      <c r="H27" t="n">
        <v>8.987348452388721</v>
      </c>
    </row>
    <row r="28">
      <c r="A28" s="3" t="n">
        <v>44986</v>
      </c>
      <c r="B28" t="n">
        <v>7.161245125074964</v>
      </c>
      <c r="C28" t="n">
        <v>8.709799695037027</v>
      </c>
      <c r="D28" t="n">
        <v>8.378080999368848</v>
      </c>
      <c r="E28" t="n">
        <v>9.052202177681579</v>
      </c>
      <c r="F28" t="n">
        <v>7.275537824802264</v>
      </c>
      <c r="G28" t="n">
        <v>7.71931155605144</v>
      </c>
      <c r="H28" t="n">
        <v>8.894367572327855</v>
      </c>
    </row>
    <row r="29">
      <c r="A29" s="3" t="n">
        <v>45017</v>
      </c>
      <c r="B29" t="n">
        <v>7.418380376716913</v>
      </c>
      <c r="C29" t="n">
        <v>8.575986330531615</v>
      </c>
      <c r="D29" t="n">
        <v>8.507830526570658</v>
      </c>
      <c r="E29" t="n">
        <v>10.69574607224366</v>
      </c>
      <c r="F29" t="n">
        <v>7.422738561073561</v>
      </c>
      <c r="G29" t="n">
        <v>7.708324763190685</v>
      </c>
      <c r="H29" t="n">
        <v>9.588280072426825</v>
      </c>
    </row>
    <row r="30">
      <c r="A30" s="3" t="n">
        <v>45047</v>
      </c>
      <c r="B30" t="n">
        <v>7.075234613870497</v>
      </c>
      <c r="C30" t="n">
        <v>8.35370988075625</v>
      </c>
      <c r="D30" t="n">
        <v>8.086588228555899</v>
      </c>
      <c r="E30" t="n">
        <v>8.794492567235315</v>
      </c>
      <c r="F30" t="n">
        <v>7.342858852943418</v>
      </c>
      <c r="G30" t="n">
        <v>7.800961467003672</v>
      </c>
      <c r="H30" t="n">
        <v>8.217690254989936</v>
      </c>
    </row>
    <row r="31">
      <c r="A31" s="3" t="n">
        <v>45078</v>
      </c>
      <c r="B31" t="n">
        <v>8.759509978185243</v>
      </c>
      <c r="C31" t="n">
        <v>8.021058088975899</v>
      </c>
      <c r="D31" t="n">
        <v>8.379767181743018</v>
      </c>
      <c r="E31" t="n">
        <v>9.078763415773672</v>
      </c>
      <c r="F31" t="n">
        <v>6.576182180476922</v>
      </c>
      <c r="G31" t="n">
        <v>7.926372540875875</v>
      </c>
      <c r="H31" t="n">
        <v>8.452250876994077</v>
      </c>
    </row>
    <row r="32">
      <c r="A32" s="3" t="n">
        <v>45108</v>
      </c>
      <c r="B32" t="n">
        <v>8.839459714220309</v>
      </c>
      <c r="C32" t="n">
        <v>7.97999080744622</v>
      </c>
      <c r="D32" t="n">
        <v>8.480161516767557</v>
      </c>
      <c r="E32" t="n">
        <v>8.851423279445116</v>
      </c>
      <c r="F32" t="n">
        <v>7.022088906692896</v>
      </c>
      <c r="G32" t="n">
        <v>7.733214179634047</v>
      </c>
      <c r="H32" t="n">
        <v>8.731905326208704</v>
      </c>
    </row>
    <row r="33">
      <c r="A33" s="3" t="n">
        <v>45139</v>
      </c>
      <c r="B33" t="n">
        <v>9.160534834940082</v>
      </c>
      <c r="C33" t="n">
        <v>8.543686413444846</v>
      </c>
      <c r="D33" t="n">
        <v>8.10390318781641</v>
      </c>
      <c r="E33" t="n">
        <v>9.400983992315037</v>
      </c>
      <c r="F33" t="n">
        <v>6.905154439004018</v>
      </c>
      <c r="G33" t="n">
        <v>7.764992108196533</v>
      </c>
      <c r="H33" t="n">
        <v>8.617162935715616</v>
      </c>
    </row>
    <row r="34">
      <c r="A34" s="3" t="n">
        <v>45170</v>
      </c>
      <c r="B34" t="n">
        <v>9.387911602655519</v>
      </c>
      <c r="C34" t="n">
        <v>8.548933705135969</v>
      </c>
      <c r="D34" t="n">
        <v>8.043349328977071</v>
      </c>
      <c r="E34" t="n">
        <v>7.77818078109105</v>
      </c>
      <c r="F34" t="n">
        <v>6.843266556960151</v>
      </c>
      <c r="G34" t="n">
        <v>7.894300378497132</v>
      </c>
      <c r="H34" t="n">
        <v>8.628857101912415</v>
      </c>
    </row>
    <row r="35">
      <c r="A35" s="3" t="n">
        <v>45200</v>
      </c>
      <c r="B35" t="n">
        <v>9.168728882605732</v>
      </c>
      <c r="C35" t="n">
        <v>9.068814998058043</v>
      </c>
      <c r="D35" t="n">
        <v>8.032881156908889</v>
      </c>
      <c r="E35" t="n">
        <v>6.948415298044404</v>
      </c>
      <c r="F35" t="n">
        <v>6.93675740483098</v>
      </c>
      <c r="G35" t="n">
        <v>8.018462517206668</v>
      </c>
      <c r="H35" t="n">
        <v>8.997959617866929</v>
      </c>
    </row>
    <row r="36">
      <c r="A36" s="3" t="n">
        <v>45231</v>
      </c>
      <c r="B36" t="n">
        <v>9.011981971700681</v>
      </c>
      <c r="C36" t="n">
        <v>8.327207081908524</v>
      </c>
      <c r="D36" t="n">
        <v>8.193751979139044</v>
      </c>
      <c r="E36" t="n">
        <v>7.728500132321291</v>
      </c>
      <c r="F36" t="n">
        <v>6.901788805299591</v>
      </c>
      <c r="G36" t="n">
        <v>7.920229976335634</v>
      </c>
      <c r="H36" t="n">
        <v>9.126119606520163</v>
      </c>
    </row>
    <row r="37">
      <c r="A37" s="3" t="n">
        <v>45261</v>
      </c>
      <c r="B37" t="n">
        <v>8.926399035138267</v>
      </c>
      <c r="C37" t="n">
        <v>8.106160036868738</v>
      </c>
      <c r="D37" t="n">
        <v>8.364957982778128</v>
      </c>
      <c r="E37" t="n">
        <v>7.325173957072949</v>
      </c>
      <c r="F37" t="n">
        <v>7.1583500458453</v>
      </c>
      <c r="G37" t="n">
        <v>7.986269064029353</v>
      </c>
      <c r="H37" t="n">
        <v>8.541995687447965</v>
      </c>
    </row>
    <row r="38">
      <c r="A38" s="3" t="n">
        <v>45292</v>
      </c>
      <c r="B38" t="n">
        <v>7.470835816818267</v>
      </c>
      <c r="C38" t="n">
        <v>7.591810424337782</v>
      </c>
      <c r="D38" t="n">
        <v>8.281142829668207</v>
      </c>
      <c r="E38" t="n">
        <v>8.362317549942786</v>
      </c>
      <c r="F38" t="n">
        <v>7.382698451498238</v>
      </c>
      <c r="G38" t="n">
        <v>7.832532608593335</v>
      </c>
      <c r="H38" t="n">
        <v>8.074683084048781</v>
      </c>
    </row>
    <row r="39">
      <c r="A39" s="3" t="n">
        <v>45323</v>
      </c>
      <c r="B39" t="n">
        <v>7.071820403001554</v>
      </c>
      <c r="C39" t="n">
        <v>7.50599637605155</v>
      </c>
      <c r="D39" t="n">
        <v>8.640997544076198</v>
      </c>
      <c r="E39" t="n">
        <v>8.506432152984271</v>
      </c>
      <c r="F39" t="n">
        <v>7.449849939141198</v>
      </c>
      <c r="G39" t="n">
        <v>7.695326016383436</v>
      </c>
      <c r="H39" t="n">
        <v>8.321869902745858</v>
      </c>
    </row>
    <row r="40">
      <c r="A40" s="3" t="n">
        <v>45352</v>
      </c>
      <c r="B40" t="n">
        <v>7.353270518106421</v>
      </c>
      <c r="C40" t="n">
        <v>7.67916550530751</v>
      </c>
      <c r="D40" t="n">
        <v>8.480832067789935</v>
      </c>
      <c r="E40" t="n">
        <v>8.294342302068559</v>
      </c>
      <c r="F40" t="n">
        <v>7.48894774636153</v>
      </c>
      <c r="G40" t="n">
        <v>7.824742460388665</v>
      </c>
      <c r="H40" t="n">
        <v>8.506761990975466</v>
      </c>
    </row>
    <row r="41">
      <c r="A41" s="3" t="n">
        <v>45383</v>
      </c>
      <c r="B41" t="n">
        <v>7.347350085360385</v>
      </c>
      <c r="C41" t="n">
        <v>7.091248966407322</v>
      </c>
      <c r="D41" t="n">
        <v>8.429110654380461</v>
      </c>
      <c r="E41" t="n">
        <v>7.214804948521732</v>
      </c>
      <c r="F41" t="n">
        <v>7.430745606103105</v>
      </c>
      <c r="G41" t="n">
        <v>7.874332249972613</v>
      </c>
      <c r="H41" t="n">
        <v>8.633278179627967</v>
      </c>
    </row>
    <row r="42">
      <c r="A42" s="3" t="n">
        <v>45413</v>
      </c>
      <c r="B42" t="n">
        <v>5.992727003879444</v>
      </c>
      <c r="C42" t="n">
        <v>7.837348109898489</v>
      </c>
      <c r="D42" t="n">
        <v>8.939634235522384</v>
      </c>
      <c r="E42" t="n">
        <v>9.862976440849048</v>
      </c>
      <c r="F42" t="n">
        <v>7.170207793468305</v>
      </c>
      <c r="G42" t="n">
        <v>7.824094608755218</v>
      </c>
      <c r="H42" t="n">
        <v>8.325004482119517</v>
      </c>
    </row>
    <row r="43">
      <c r="A43" s="3" t="n">
        <v>45444</v>
      </c>
      <c r="B43" t="n">
        <v>6.696279199430553</v>
      </c>
      <c r="C43" t="n">
        <v>7.04057924398176</v>
      </c>
      <c r="D43" t="n">
        <v>8.444419839098204</v>
      </c>
      <c r="E43" t="n">
        <v>10.25605107013138</v>
      </c>
      <c r="F43" t="n">
        <v>6.978749212436226</v>
      </c>
      <c r="G43" t="n">
        <v>7.921481775088364</v>
      </c>
      <c r="H43" t="n">
        <v>8.924849430960332</v>
      </c>
    </row>
    <row r="44">
      <c r="A44" s="3" t="n">
        <v>45474</v>
      </c>
      <c r="B44" t="n">
        <v>6.167734688709974</v>
      </c>
      <c r="C44" t="n">
        <v>7.604680219782431</v>
      </c>
      <c r="D44" t="n">
        <v>8.400697337823333</v>
      </c>
      <c r="E44" t="n">
        <v>9.749382555484832</v>
      </c>
      <c r="F44" t="n">
        <v>7.06369194617826</v>
      </c>
      <c r="G44" t="n">
        <v>7.896009081855516</v>
      </c>
      <c r="H44" t="n">
        <v>9.094093721043912</v>
      </c>
    </row>
    <row r="45">
      <c r="A45" s="3" t="n">
        <v>45505</v>
      </c>
      <c r="B45" t="n">
        <v>6.177679963180783</v>
      </c>
      <c r="C45" t="n">
        <v>7.616071182931384</v>
      </c>
      <c r="D45" t="n">
        <v>7.869573543585872</v>
      </c>
      <c r="E45" t="n">
        <v>9.047459876373832</v>
      </c>
      <c r="F45" t="n">
        <v>7.089288153115446</v>
      </c>
      <c r="G45" t="n">
        <v>7.954867718925298</v>
      </c>
      <c r="H45" t="n">
        <v>10.17588863380814</v>
      </c>
    </row>
    <row r="46">
      <c r="A46" s="3" t="n">
        <v>45536</v>
      </c>
      <c r="B46" t="n">
        <v>6.512146000321824</v>
      </c>
      <c r="C46" t="n">
        <v>7.53011819710999</v>
      </c>
      <c r="D46" t="n">
        <v>8.522892356717749</v>
      </c>
      <c r="E46" t="n">
        <v>7.981635033779567</v>
      </c>
      <c r="F46" t="n">
        <v>7.105472454585346</v>
      </c>
      <c r="G46" t="n">
        <v>7.974473754879796</v>
      </c>
      <c r="H46" t="n">
        <v>8.856324045296073</v>
      </c>
    </row>
    <row r="47">
      <c r="A47" s="3" t="n">
        <v>45566</v>
      </c>
      <c r="B47" t="n">
        <v>7.659799931930589</v>
      </c>
      <c r="C47" t="n">
        <v>7.446918280836985</v>
      </c>
      <c r="D47" t="n">
        <v>6.734821366036133</v>
      </c>
      <c r="E47" t="n">
        <v>7.396954824270897</v>
      </c>
      <c r="F47" t="n">
        <v>7.135199188880909</v>
      </c>
      <c r="G47" t="n">
        <v>7.852479609957453</v>
      </c>
      <c r="H47" t="n">
        <v>9.266767813206384</v>
      </c>
    </row>
    <row r="48">
      <c r="A48" s="3" t="n">
        <v>45597</v>
      </c>
      <c r="B48" t="n">
        <v>7.566408567781078</v>
      </c>
      <c r="C48" t="n">
        <v>8.416472539120999</v>
      </c>
      <c r="D48" t="n">
        <v>6.420770331265981</v>
      </c>
      <c r="E48" t="n">
        <v>7.599655370530232</v>
      </c>
      <c r="F48" t="n">
        <v>7.185466297970764</v>
      </c>
      <c r="G48" t="n">
        <v>7.867782506231615</v>
      </c>
      <c r="H48" t="n">
        <v>9.635572542222929</v>
      </c>
    </row>
    <row r="49">
      <c r="A49" s="3" t="n">
        <v>45627</v>
      </c>
      <c r="B49" t="n">
        <v>7.375360080775761</v>
      </c>
      <c r="C49" t="n">
        <v>8.262199319083873</v>
      </c>
      <c r="D49" t="n">
        <v>7.983076794250294</v>
      </c>
      <c r="E49" t="n">
        <v>7.897028787350655</v>
      </c>
      <c r="F49" t="n">
        <v>7.3367314749093</v>
      </c>
      <c r="G49" t="n">
        <v>7.870116003886111</v>
      </c>
      <c r="H49" t="n">
        <v>9.152772573762396</v>
      </c>
    </row>
    <row r="50">
      <c r="A50" s="3" t="n">
        <v>45658</v>
      </c>
      <c r="B50" t="n">
        <v>6.839025067372864</v>
      </c>
      <c r="C50" t="n">
        <v>9.399820205886694</v>
      </c>
      <c r="D50" t="n">
        <v>8.541743756915517</v>
      </c>
      <c r="E50" t="n">
        <v>8.360022967832935</v>
      </c>
      <c r="F50" t="n">
        <v>7.58207313541887</v>
      </c>
      <c r="G50" t="n">
        <v>7.903278556154196</v>
      </c>
      <c r="H50" t="n">
        <v>9.647974535715308</v>
      </c>
    </row>
    <row r="51">
      <c r="A51" s="3" t="n">
        <v>45689</v>
      </c>
      <c r="B51" t="n">
        <v>7.020852529879438</v>
      </c>
      <c r="C51" t="n">
        <v>8.706131762240968</v>
      </c>
      <c r="D51" t="n">
        <v>10.45660119204266</v>
      </c>
      <c r="E51" t="n">
        <v>8.383895749723377</v>
      </c>
      <c r="F51" t="n">
        <v>7.549889705823307</v>
      </c>
      <c r="G51" t="n">
        <v>7.881373146455413</v>
      </c>
      <c r="H51" t="n">
        <v>9.446764043761739</v>
      </c>
    </row>
    <row r="52">
      <c r="A52" s="3" t="n">
        <v>45717</v>
      </c>
      <c r="B52" t="n">
        <v>6.893249424113156</v>
      </c>
      <c r="C52" t="n">
        <v>9.086249935263606</v>
      </c>
      <c r="D52" t="n">
        <v>8.448954065778089</v>
      </c>
      <c r="E52" t="n">
        <v>9.519685605091999</v>
      </c>
      <c r="F52" t="n">
        <v>7.512516564661003</v>
      </c>
      <c r="G52" t="n">
        <v>7.930232303851619</v>
      </c>
      <c r="H52" t="n">
        <v>9.18960680428072</v>
      </c>
    </row>
    <row r="53">
      <c r="A53" s="3" t="n">
        <v>45748</v>
      </c>
      <c r="B53" t="n">
        <v>6.677935001930036</v>
      </c>
      <c r="C53" t="n">
        <v>9.32378845366614</v>
      </c>
      <c r="D53" t="n">
        <v>8.068040442155706</v>
      </c>
      <c r="E53" t="n">
        <v>9.246899074411823</v>
      </c>
      <c r="F53" t="n">
        <v>7.694518906757362</v>
      </c>
      <c r="G53" t="n">
        <v>7.948623692505852</v>
      </c>
      <c r="H53" t="n">
        <v>9.168279157753449</v>
      </c>
    </row>
    <row r="54">
      <c r="A54" s="3" t="n">
        <v>45778</v>
      </c>
      <c r="B54" t="n">
        <v>6.359925620511833</v>
      </c>
      <c r="C54" t="n">
        <v>9.834888788596357</v>
      </c>
      <c r="D54" t="n">
        <v>8.051128066653638</v>
      </c>
      <c r="E54" t="n">
        <v>9.800361262583788</v>
      </c>
      <c r="F54" t="n">
        <v>7.615521732515489</v>
      </c>
      <c r="G54" t="n">
        <v>7.915603555471004</v>
      </c>
      <c r="H54" t="n">
        <v>9.423167721140883</v>
      </c>
    </row>
    <row r="55">
      <c r="A55" s="3" t="n">
        <v>45809</v>
      </c>
      <c r="B55" t="n">
        <v>6.299352382944844</v>
      </c>
      <c r="C55" t="n">
        <v>8.545915231996576</v>
      </c>
      <c r="D55" t="n">
        <v>8.165884046172184</v>
      </c>
      <c r="E55" t="n">
        <v>9.660366150607379</v>
      </c>
      <c r="F55" t="n">
        <v>7.336159035714635</v>
      </c>
      <c r="G55" t="n">
        <v>7.864163107704055</v>
      </c>
      <c r="H55" t="n">
        <v>9.306869925848863</v>
      </c>
    </row>
    <row r="56">
      <c r="A56" s="3" t="n">
        <v>45839</v>
      </c>
      <c r="B56" t="n">
        <v>6.166539676201593</v>
      </c>
      <c r="D56" t="n">
        <v>8.156198663419971</v>
      </c>
      <c r="E56" t="n">
        <v>9.487672147287332</v>
      </c>
      <c r="F56" t="n">
        <v>7.112702487414559</v>
      </c>
      <c r="G56" t="n">
        <v>7.934040888720396</v>
      </c>
      <c r="H56" t="n">
        <v>9.41647492281615</v>
      </c>
    </row>
    <row r="57">
      <c r="A57" s="3" t="n">
        <v>45870</v>
      </c>
      <c r="B57" t="n">
        <v>6.406091051613899</v>
      </c>
      <c r="D57" t="n">
        <v>7.936587442915291</v>
      </c>
      <c r="E57" t="n">
        <v>9.683829169785861</v>
      </c>
      <c r="F57" t="n">
        <v>7.201331073003773</v>
      </c>
      <c r="G57" t="n">
        <v>7.913370703633577</v>
      </c>
      <c r="H57" t="n">
        <v>9.766448425559108</v>
      </c>
    </row>
    <row r="58">
      <c r="A58" s="3" t="n">
        <v>45901</v>
      </c>
      <c r="B58" t="n">
        <v>6.29630097403475</v>
      </c>
      <c r="D58" t="n">
        <v>8.297507560881218</v>
      </c>
      <c r="E58" t="n">
        <v>9.340076169070365</v>
      </c>
      <c r="F58" t="n">
        <v>7.232249025587195</v>
      </c>
      <c r="G58" t="n">
        <v>8.090181297533935</v>
      </c>
      <c r="H58" t="n">
        <v>9.91411391045756</v>
      </c>
    </row>
    <row r="59">
      <c r="A59" s="3" t="n">
        <v>45931</v>
      </c>
      <c r="B59" t="n">
        <v>7.123686808307106</v>
      </c>
      <c r="D59" t="n">
        <v>7.944456415609316</v>
      </c>
      <c r="E59" t="n">
        <v>9.55169067655144</v>
      </c>
      <c r="F59" t="n">
        <v>7.384259443825126</v>
      </c>
      <c r="G59" t="n">
        <v>7.994492141245098</v>
      </c>
      <c r="H59" t="n">
        <v>9.676598735761315</v>
      </c>
    </row>
    <row r="60">
      <c r="A60" s="3" t="n">
        <v>45962</v>
      </c>
      <c r="B60" t="n">
        <v>7.141730981263437</v>
      </c>
      <c r="D60" t="n">
        <v>7.826891282396136</v>
      </c>
      <c r="E60" t="n">
        <v>8.891339887873853</v>
      </c>
      <c r="F60" t="n">
        <v>7.444041193727562</v>
      </c>
      <c r="G60" t="n">
        <v>7.915141837866055</v>
      </c>
      <c r="H60" t="n">
        <v>9.939585065958086</v>
      </c>
    </row>
    <row r="61">
      <c r="A61" s="3" t="n">
        <v>45992</v>
      </c>
      <c r="B61" t="n">
        <v>7.047216398193413</v>
      </c>
      <c r="D61" t="n">
        <v>7.856988089375336</v>
      </c>
      <c r="E61" t="n">
        <v>8.951187583836578</v>
      </c>
      <c r="F61" t="n">
        <v>7.734205954281099</v>
      </c>
      <c r="G61" t="n">
        <v>7.652255065470426</v>
      </c>
      <c r="H61" t="n">
        <v>9.197245324046955</v>
      </c>
    </row>
    <row r="62">
      <c r="A62" s="3" t="n">
        <v>46023</v>
      </c>
      <c r="B62" t="n">
        <v>7.17857806214802</v>
      </c>
      <c r="E62" t="n">
        <v>10.37016662887813</v>
      </c>
      <c r="F62" t="n">
        <v>8.224501487012807</v>
      </c>
      <c r="G62" t="n">
        <v>7.876276857558355</v>
      </c>
      <c r="H62" t="n">
        <v>9.394664547015735</v>
      </c>
    </row>
    <row r="63">
      <c r="A63" s="3" t="n">
        <v>46054</v>
      </c>
      <c r="B63" t="n">
        <v>6.861246720250516</v>
      </c>
      <c r="E63" t="n">
        <v>11.14303516355163</v>
      </c>
      <c r="F63" t="n">
        <v>8.098378749794081</v>
      </c>
      <c r="G63" t="n">
        <v>7.842228803166018</v>
      </c>
      <c r="H63" t="n">
        <v>9.456568727466548</v>
      </c>
    </row>
    <row r="64">
      <c r="A64" s="3" t="n">
        <v>46082</v>
      </c>
      <c r="B64" t="n">
        <v>7.001885477653054</v>
      </c>
      <c r="E64" t="n">
        <v>9.128415794297222</v>
      </c>
      <c r="F64" t="n">
        <v>6.614045972667746</v>
      </c>
      <c r="G64" t="n">
        <v>7.279015066860396</v>
      </c>
      <c r="H64" t="n">
        <v>9.828833809384193</v>
      </c>
    </row>
    <row r="65">
      <c r="A65" s="3" t="n">
        <v>46113</v>
      </c>
      <c r="B65" t="n">
        <v>6.782718613922113</v>
      </c>
      <c r="E65" t="n">
        <v>9.855109974068121</v>
      </c>
      <c r="F65" t="n">
        <v>7.47058078427957</v>
      </c>
      <c r="G65" t="n">
        <v>7.399311046712788</v>
      </c>
      <c r="H65" t="n">
        <v>9.778644616397328</v>
      </c>
    </row>
    <row r="66">
      <c r="A66" s="3" t="n">
        <v>46143</v>
      </c>
      <c r="B66" t="n">
        <v>6.789825294710132</v>
      </c>
      <c r="E66" t="n">
        <v>9.142128562399929</v>
      </c>
      <c r="F66" t="n">
        <v>7.332381583916389</v>
      </c>
      <c r="G66" t="n">
        <v>7.690901423999517</v>
      </c>
      <c r="H66" t="n">
        <v>9.707770728374076</v>
      </c>
    </row>
    <row r="67">
      <c r="A67" s="3" t="n">
        <v>46174</v>
      </c>
      <c r="B67" t="n">
        <v>6.426924683410945</v>
      </c>
      <c r="E67" t="n">
        <v>9.232009244936869</v>
      </c>
      <c r="F67" t="n">
        <v>7.246765078087846</v>
      </c>
      <c r="H67" t="n">
        <v>9.894604115733005</v>
      </c>
    </row>
    <row r="68">
      <c r="A68" s="3" t="n">
        <v>46204</v>
      </c>
      <c r="E68" t="n">
        <v>8.733663304675847</v>
      </c>
      <c r="F68" t="n">
        <v>6.953773692735492</v>
      </c>
      <c r="H68" t="n">
        <v>9.581005796157665</v>
      </c>
    </row>
    <row r="69">
      <c r="A69" s="3" t="n">
        <v>46235</v>
      </c>
      <c r="E69" t="n">
        <v>7.897028939508631</v>
      </c>
      <c r="F69" t="n">
        <v>6.713697076866343</v>
      </c>
      <c r="H69" t="n">
        <v>9.794120132005283</v>
      </c>
    </row>
    <row r="70">
      <c r="A70" s="3" t="n">
        <v>46266</v>
      </c>
      <c r="E70" t="n">
        <v>7.292830724333213</v>
      </c>
      <c r="F70" t="n">
        <v>7.374619479333178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Argentina</t>
        </is>
      </c>
      <c r="C1" t="inlineStr">
        <is>
          <t>Brazil</t>
        </is>
      </c>
      <c r="D1" t="inlineStr">
        <is>
          <t>Bolivia</t>
        </is>
      </c>
      <c r="E1" t="inlineStr">
        <is>
          <t>Chile</t>
        </is>
      </c>
      <c r="F1" t="inlineStr">
        <is>
          <t>Colombia</t>
        </is>
      </c>
      <c r="G1" t="inlineStr">
        <is>
          <t>Ecuador</t>
        </is>
      </c>
      <c r="H1" t="inlineStr">
        <is>
          <t>Peru</t>
        </is>
      </c>
      <c r="I1" t="inlineStr">
        <is>
          <t>Panama</t>
        </is>
      </c>
      <c r="J1" t="inlineStr">
        <is>
          <t>El Salvador</t>
        </is>
      </c>
      <c r="K1" t="inlineStr">
        <is>
          <t>Dominican Republic</t>
        </is>
      </c>
      <c r="L1" t="inlineStr">
        <is>
          <t>Puerto Rico</t>
        </is>
      </c>
      <c r="M1" t="inlineStr">
        <is>
          <t>Guatemala</t>
        </is>
      </c>
      <c r="N1" t="inlineStr">
        <is>
          <t>Total</t>
        </is>
      </c>
      <c r="O1" t="inlineStr">
        <is>
          <t>Of which estimated</t>
        </is>
      </c>
    </row>
    <row r="2">
      <c r="A2" s="4" t="n">
        <v>44197</v>
      </c>
      <c r="B2" t="n">
        <v>1.770618681254839</v>
      </c>
      <c r="C2" t="n">
        <v>1.559265144071726</v>
      </c>
      <c r="D2" t="n">
        <v>0.1127951518</v>
      </c>
      <c r="E2" t="n">
        <v>0.1693918796151141</v>
      </c>
      <c r="F2" t="n">
        <v>0.1854376120305713</v>
      </c>
      <c r="G2" t="n">
        <v>0.02263698095342827</v>
      </c>
      <c r="H2" t="n">
        <v>0.2676221064893778</v>
      </c>
      <c r="I2" t="n">
        <v>0.02623552293281092</v>
      </c>
      <c r="K2" t="n">
        <v>0.1295354497938341</v>
      </c>
      <c r="L2" t="n">
        <v>0.20266046889</v>
      </c>
      <c r="M2" t="n">
        <v>9.863019754894047e-05</v>
      </c>
      <c r="N2" t="n">
        <v>4.446297628029249</v>
      </c>
      <c r="O2" t="n">
        <v>0.195726032745474</v>
      </c>
    </row>
    <row r="3">
      <c r="A3" s="4" t="n">
        <v>44228</v>
      </c>
      <c r="B3" t="n">
        <v>1.64585925085</v>
      </c>
      <c r="C3" t="n">
        <v>1.10937557956709</v>
      </c>
      <c r="D3" t="n">
        <v>0.1237073941</v>
      </c>
      <c r="E3" t="n">
        <v>0.2626592359201824</v>
      </c>
      <c r="F3" t="n">
        <v>0.2097095507780282</v>
      </c>
      <c r="G3" t="n">
        <v>0.02113017899598614</v>
      </c>
      <c r="H3" t="n">
        <v>0.2869381863521271</v>
      </c>
      <c r="I3" t="n">
        <v>0.04335453699070765</v>
      </c>
      <c r="K3" t="n">
        <v>0.1939651773026405</v>
      </c>
      <c r="L3" t="n">
        <v>0.20897120578</v>
      </c>
      <c r="M3" t="n">
        <v>0.0003066846146236715</v>
      </c>
      <c r="N3" t="n">
        <v>4.105976981251387</v>
      </c>
      <c r="O3" t="n">
        <v>0.3063204575255137</v>
      </c>
    </row>
    <row r="4">
      <c r="A4" s="4" t="n">
        <v>44256</v>
      </c>
      <c r="B4" t="n">
        <v>1.612943102490322</v>
      </c>
      <c r="C4" t="n">
        <v>1.14083489349268</v>
      </c>
      <c r="D4" t="n">
        <v>0.1292164873</v>
      </c>
      <c r="E4" t="n">
        <v>0.312131314856655</v>
      </c>
      <c r="F4" t="n">
        <v>0.1737870814317919</v>
      </c>
      <c r="G4" t="n">
        <v>0.02195154140320009</v>
      </c>
      <c r="H4" t="n">
        <v>0.3275623543136267</v>
      </c>
      <c r="I4" t="n">
        <v>0.0457577721130123</v>
      </c>
      <c r="K4" t="n">
        <v>0.1903122982550995</v>
      </c>
      <c r="L4" t="n">
        <v>0.2119694238099999</v>
      </c>
      <c r="M4" t="n">
        <v>0.0002991555598912374</v>
      </c>
      <c r="N4" t="n">
        <v>4.16676542502628</v>
      </c>
      <c r="O4" t="n">
        <v>0.3581882425295585</v>
      </c>
    </row>
    <row r="5">
      <c r="A5" s="4" t="n">
        <v>44287</v>
      </c>
      <c r="B5" t="n">
        <v>1.463272834596667</v>
      </c>
      <c r="C5" t="n">
        <v>1.147288854814432</v>
      </c>
      <c r="D5" t="n">
        <v>0.1214472533</v>
      </c>
      <c r="E5" t="n">
        <v>0.3884757534525348</v>
      </c>
      <c r="F5" t="n">
        <v>0.1543695304338263</v>
      </c>
      <c r="G5" t="n">
        <v>0.01988357222191675</v>
      </c>
      <c r="H5" t="n">
        <v>0.280279158820234</v>
      </c>
      <c r="I5" t="n">
        <v>0.03524683565926211</v>
      </c>
      <c r="K5" t="n">
        <v>0.1838647931569318</v>
      </c>
      <c r="L5" t="n">
        <v>0.18211084496</v>
      </c>
      <c r="M5" t="n">
        <v>0.0003262391287045691</v>
      </c>
      <c r="N5" t="n">
        <v>3.976565670544508</v>
      </c>
      <c r="O5" t="n">
        <v>0.4240488282405014</v>
      </c>
    </row>
    <row r="6">
      <c r="A6" s="4" t="n">
        <v>44317</v>
      </c>
      <c r="B6" t="n">
        <v>1.345232614445161</v>
      </c>
      <c r="C6" t="n">
        <v>1.138192781</v>
      </c>
      <c r="D6" t="n">
        <v>0.1436955143</v>
      </c>
      <c r="E6" t="n">
        <v>0.3612926783029618</v>
      </c>
      <c r="F6" t="n">
        <v>0.1485442651344367</v>
      </c>
      <c r="G6" t="n">
        <v>0.0186719170396437</v>
      </c>
      <c r="H6" t="n">
        <v>0.4032076670708056</v>
      </c>
      <c r="I6" t="n">
        <v>0.02188303189867098</v>
      </c>
      <c r="K6" t="n">
        <v>0.1942882275879959</v>
      </c>
      <c r="L6" t="n">
        <v>0.20661571529</v>
      </c>
      <c r="M6" t="n">
        <v>0.00033368435017391</v>
      </c>
      <c r="N6" t="n">
        <v>3.98195809641985</v>
      </c>
      <c r="O6" t="n">
        <v>0.3835093945518067</v>
      </c>
    </row>
    <row r="7">
      <c r="A7" s="4" t="n">
        <v>44348</v>
      </c>
      <c r="B7" t="n">
        <v>1.4882674021</v>
      </c>
      <c r="C7" t="n">
        <v>1.582804854</v>
      </c>
      <c r="D7" t="n">
        <v>0.1311234811</v>
      </c>
      <c r="E7" t="n">
        <v>0.270503063135825</v>
      </c>
      <c r="F7" t="n">
        <v>0.1747579589816902</v>
      </c>
      <c r="G7" t="n">
        <v>0.01938357028371914</v>
      </c>
      <c r="H7" t="n">
        <v>0.5015840738101833</v>
      </c>
      <c r="I7" t="n">
        <v>0.014326269126299</v>
      </c>
      <c r="K7" t="n">
        <v>0.1742224653859807</v>
      </c>
      <c r="L7" t="n">
        <v>0.2666153905899999</v>
      </c>
      <c r="M7" t="n">
        <v>0.0002231562048441194</v>
      </c>
      <c r="N7" t="n">
        <v>4.62381168471854</v>
      </c>
      <c r="O7" t="n">
        <v>0.2850524884669681</v>
      </c>
    </row>
    <row r="8">
      <c r="A8" s="4" t="n">
        <v>44378</v>
      </c>
      <c r="B8" t="n">
        <v>1.656031593225807</v>
      </c>
      <c r="C8" t="n">
        <v>1.791867878</v>
      </c>
      <c r="D8" t="n">
        <v>0.1356437627</v>
      </c>
      <c r="E8" t="n">
        <v>0.307793582727205</v>
      </c>
      <c r="F8" t="n">
        <v>0.1932046324297575</v>
      </c>
      <c r="G8" t="n">
        <v>0.01873211144773739</v>
      </c>
      <c r="H8" t="n">
        <v>0.4986030614851235</v>
      </c>
      <c r="I8" t="n">
        <v>0.02354486420965347</v>
      </c>
      <c r="K8" t="n">
        <v>0.1787769922448868</v>
      </c>
      <c r="L8" t="n">
        <v>0.27842462627</v>
      </c>
      <c r="M8" t="n">
        <v>0.0001040796392806276</v>
      </c>
      <c r="N8" t="n">
        <v>5.082727184379451</v>
      </c>
      <c r="O8" t="n">
        <v>0.3314425265761391</v>
      </c>
    </row>
    <row r="9">
      <c r="A9" s="4" t="n">
        <v>44409</v>
      </c>
      <c r="B9" t="n">
        <v>1.858557980174193</v>
      </c>
      <c r="C9" t="n">
        <v>1.794587146317254</v>
      </c>
      <c r="D9" t="n">
        <v>0.1385042534</v>
      </c>
      <c r="E9" t="n">
        <v>0.3626728903553495</v>
      </c>
      <c r="F9" t="n">
        <v>0.1922337548798592</v>
      </c>
      <c r="G9" t="n">
        <v>0.01789424412217518</v>
      </c>
      <c r="H9" t="n">
        <v>0.5515592804337544</v>
      </c>
      <c r="I9" t="n">
        <v>0.01010277326804683</v>
      </c>
      <c r="K9" t="n">
        <v>0.1579966620982496</v>
      </c>
      <c r="L9" t="n">
        <v>0.24708989296</v>
      </c>
      <c r="M9" t="n">
        <v>0.000303712420649631</v>
      </c>
      <c r="N9" t="n">
        <v>5.331502590429531</v>
      </c>
      <c r="O9" t="n">
        <v>0.373079376044046</v>
      </c>
    </row>
    <row r="10">
      <c r="A10" s="4" t="n">
        <v>44440</v>
      </c>
      <c r="B10" t="n">
        <v>1.437835656186667</v>
      </c>
      <c r="C10" t="n">
        <v>1.699343364</v>
      </c>
      <c r="D10" t="n">
        <v>0.1476860754</v>
      </c>
      <c r="E10" t="n">
        <v>0.2723520994296063</v>
      </c>
      <c r="F10" t="n">
        <v>0.1912628773299609</v>
      </c>
      <c r="G10" t="n">
        <v>0.01770783563259471</v>
      </c>
      <c r="H10" t="n">
        <v>0.5600033153457988</v>
      </c>
      <c r="I10" t="n">
        <v>0.007631252882608457</v>
      </c>
      <c r="K10" t="n">
        <v>0.1812823195325086</v>
      </c>
      <c r="L10" t="n">
        <v>0.1723710507</v>
      </c>
      <c r="M10" t="n">
        <v>0.0002347581915654038</v>
      </c>
      <c r="N10" t="n">
        <v>4.68771060463131</v>
      </c>
      <c r="O10" t="n">
        <v>0.2802181105037801</v>
      </c>
    </row>
    <row r="11">
      <c r="A11" s="4" t="n">
        <v>44470</v>
      </c>
      <c r="B11" t="n">
        <v>1.330220449393548</v>
      </c>
      <c r="C11" t="n">
        <v>1.9114787669</v>
      </c>
      <c r="D11" t="n">
        <v>0.1555259388</v>
      </c>
      <c r="E11" t="n">
        <v>0.2648279996400966</v>
      </c>
      <c r="F11" t="n">
        <v>0.2000007752790455</v>
      </c>
      <c r="G11" t="n">
        <v>0.01781560304063342</v>
      </c>
      <c r="H11" t="n">
        <v>0.4667499297876628</v>
      </c>
      <c r="I11" t="n">
        <v>0.02341652672500918</v>
      </c>
      <c r="K11" t="n">
        <v>0.1702465360530843</v>
      </c>
      <c r="L11" t="n">
        <v>0.17246640039</v>
      </c>
      <c r="M11" t="n">
        <v>0.0003636562796981892</v>
      </c>
      <c r="N11" t="n">
        <v>4.713112582288779</v>
      </c>
      <c r="O11" t="n">
        <v>0.2886081826448039</v>
      </c>
    </row>
    <row r="12">
      <c r="A12" s="4" t="n">
        <v>44501</v>
      </c>
      <c r="B12" t="n">
        <v>1.473404622026667</v>
      </c>
      <c r="C12" t="n">
        <v>1.8045105406</v>
      </c>
      <c r="D12" t="n">
        <v>0.1602934233</v>
      </c>
      <c r="E12" t="n">
        <v>0.2367334662126106</v>
      </c>
      <c r="F12" t="n">
        <v>0.201942530378842</v>
      </c>
      <c r="G12" t="n">
        <v>0.01759812646945621</v>
      </c>
      <c r="H12" t="n">
        <v>0.4459538438057963</v>
      </c>
      <c r="I12" t="n">
        <v>0.03144464292698997</v>
      </c>
      <c r="K12" t="n">
        <v>0.1749794638158434</v>
      </c>
      <c r="L12" t="n">
        <v>0.07816202551000001</v>
      </c>
      <c r="M12" t="n">
        <v>0.0003859238260845659</v>
      </c>
      <c r="N12" t="n">
        <v>4.625408608872291</v>
      </c>
      <c r="O12" t="n">
        <v>0.2685640329656851</v>
      </c>
    </row>
    <row r="13">
      <c r="A13" s="4" t="n">
        <v>44531</v>
      </c>
      <c r="B13" t="n">
        <v>1.66246342536129</v>
      </c>
      <c r="C13" t="n">
        <v>1.470857255</v>
      </c>
      <c r="D13" t="n">
        <v>0.126073479</v>
      </c>
      <c r="E13" t="n">
        <v>0.257143840507931</v>
      </c>
      <c r="F13" t="n">
        <v>0.2135930609776214</v>
      </c>
      <c r="G13" t="n">
        <v>0.01683598759278606</v>
      </c>
      <c r="H13" t="n">
        <v>0.3640985053731322</v>
      </c>
      <c r="I13" t="n">
        <v>0.04999082641733638</v>
      </c>
      <c r="K13" t="n">
        <v>0.1631278578247453</v>
      </c>
      <c r="L13" t="n">
        <v>0.11173924227</v>
      </c>
      <c r="M13" t="n">
        <v>0.0003570793672633944</v>
      </c>
      <c r="N13" t="n">
        <v>4.436280559692106</v>
      </c>
      <c r="O13" t="n">
        <v>0.3074917462925308</v>
      </c>
    </row>
    <row r="14">
      <c r="A14" s="4" t="n">
        <v>44562</v>
      </c>
      <c r="B14" t="n">
        <v>1.728345846170968</v>
      </c>
      <c r="C14" t="n">
        <v>1.218004003</v>
      </c>
      <c r="D14" t="n">
        <v>0.1278038993</v>
      </c>
      <c r="E14" t="n">
        <v>0.2808897828537577</v>
      </c>
      <c r="F14" t="n">
        <v>0.1922337548798592</v>
      </c>
      <c r="G14" t="n">
        <v>0.01864764510089624</v>
      </c>
      <c r="H14" t="n">
        <v>0.3368973929095453</v>
      </c>
      <c r="I14" t="n">
        <v>0.04838809862610123</v>
      </c>
      <c r="K14" t="n">
        <v>0.1400099936730291</v>
      </c>
      <c r="L14" t="n">
        <v>0.096055984</v>
      </c>
      <c r="M14" t="n">
        <v>0.0003319461661732857</v>
      </c>
      <c r="N14" t="n">
        <v>4.18760834668033</v>
      </c>
      <c r="O14" t="n">
        <v>0.3296098276460321</v>
      </c>
    </row>
    <row r="15">
      <c r="A15" s="4" t="n">
        <v>44593</v>
      </c>
      <c r="B15" t="n">
        <v>1.476587065075</v>
      </c>
      <c r="C15" t="n">
        <v>0.8373115369999999</v>
      </c>
      <c r="D15" t="n">
        <v>0.1368091478</v>
      </c>
      <c r="E15" t="n">
        <v>0.3183997432537172</v>
      </c>
      <c r="F15" t="n">
        <v>0.2223309589267059</v>
      </c>
      <c r="H15" t="n">
        <v>0.3109962858208588</v>
      </c>
      <c r="I15" t="n">
        <v>0.05356503773553912</v>
      </c>
      <c r="K15" t="n">
        <v>0.14484899764889</v>
      </c>
      <c r="L15" t="n">
        <v>0.10702826129</v>
      </c>
      <c r="M15" t="n">
        <v>0.0003696702956733224</v>
      </c>
      <c r="N15" t="n">
        <v>3.608246704846384</v>
      </c>
      <c r="O15" t="n">
        <v>0.3723344512849296</v>
      </c>
    </row>
    <row r="16">
      <c r="A16" s="4" t="n">
        <v>44621</v>
      </c>
      <c r="B16" t="n">
        <v>1.316009130603226</v>
      </c>
      <c r="C16" t="n">
        <v>0.5992904589999999</v>
      </c>
      <c r="D16" t="n">
        <v>0.1251906115</v>
      </c>
      <c r="E16" t="n">
        <v>0.3525545924420935</v>
      </c>
      <c r="F16" t="n">
        <v>0.2233018364766041</v>
      </c>
      <c r="H16" t="n">
        <v>0.3016422471463839</v>
      </c>
      <c r="I16" t="n">
        <v>0.05100667438897333</v>
      </c>
      <c r="K16" t="n">
        <v>0.1753960540345703</v>
      </c>
      <c r="L16" t="n">
        <v>0.1488161458</v>
      </c>
      <c r="M16" t="n">
        <v>0.0003659112211044047</v>
      </c>
      <c r="N16" t="n">
        <v>3.293573662612955</v>
      </c>
      <c r="O16" t="n">
        <v>0.4039271780521712</v>
      </c>
    </row>
    <row r="17">
      <c r="A17" s="4" t="n">
        <v>44652</v>
      </c>
      <c r="B17" t="n">
        <v>1.1732955928</v>
      </c>
      <c r="C17" t="n">
        <v>0.3397274139999999</v>
      </c>
      <c r="D17" t="n">
        <v>0.1201052947</v>
      </c>
      <c r="E17" t="n">
        <v>0.3819122328642025</v>
      </c>
      <c r="F17" t="n">
        <v>0.2038842854786386</v>
      </c>
      <c r="H17" t="n">
        <v>0.2649970956362138</v>
      </c>
      <c r="I17" t="n">
        <v>0.05209977008707432</v>
      </c>
      <c r="K17" t="n">
        <v>0.1878619377324486</v>
      </c>
      <c r="L17" t="n">
        <v>0.11314123586</v>
      </c>
      <c r="M17" t="n">
        <v>0.00036526840621048</v>
      </c>
      <c r="N17" t="n">
        <v>2.837390127564788</v>
      </c>
      <c r="O17" t="n">
        <v>0.4343772713574873</v>
      </c>
    </row>
    <row r="18">
      <c r="A18" s="4" t="n">
        <v>44682</v>
      </c>
      <c r="B18" t="n">
        <v>1.153359875058064</v>
      </c>
      <c r="C18" t="n">
        <v>0.308297331</v>
      </c>
      <c r="D18" t="n">
        <v>0.1189752243</v>
      </c>
      <c r="E18" t="n">
        <v>0.370028579689343</v>
      </c>
      <c r="F18" t="n">
        <v>0.20873867322813</v>
      </c>
      <c r="H18" t="n">
        <v>0.3710665341825977</v>
      </c>
      <c r="I18" t="n">
        <v>0.01636357736818394</v>
      </c>
      <c r="K18" t="n">
        <v>0.1768300115698643</v>
      </c>
      <c r="L18" t="n">
        <v>0.13715523186</v>
      </c>
      <c r="M18" t="n">
        <v>0.0001522085449195366</v>
      </c>
      <c r="N18" t="n">
        <v>2.860967246801103</v>
      </c>
      <c r="O18" t="n">
        <v>0.3865443656024465</v>
      </c>
    </row>
    <row r="19">
      <c r="A19" s="4" t="n">
        <v>44713</v>
      </c>
      <c r="B19" t="n">
        <v>1.014929174963333</v>
      </c>
      <c r="C19" t="n">
        <v>0.5180666489999999</v>
      </c>
      <c r="D19" t="n">
        <v>0.1110294168</v>
      </c>
      <c r="E19" t="n">
        <v>0.3910440886510968</v>
      </c>
      <c r="F19" t="n">
        <v>0.2000007752790455</v>
      </c>
      <c r="H19" t="n">
        <v>0.4657029254588008</v>
      </c>
      <c r="I19" t="n">
        <v>0.001338794833690731</v>
      </c>
      <c r="K19" t="n">
        <v>0.1902987976461593</v>
      </c>
      <c r="L19" t="n">
        <v>0.16204150095</v>
      </c>
      <c r="M19" t="n">
        <v>0.0001951706594683015</v>
      </c>
      <c r="N19" t="n">
        <v>3.054647294241595</v>
      </c>
      <c r="O19" t="n">
        <v>0.3925780541442558</v>
      </c>
    </row>
    <row r="20">
      <c r="A20" s="4" t="n">
        <v>44743</v>
      </c>
      <c r="B20" t="n">
        <v>1.513803347751613</v>
      </c>
      <c r="C20" t="n">
        <v>0.413535137</v>
      </c>
      <c r="D20" t="n">
        <v>0.09386647259999999</v>
      </c>
      <c r="E20" t="n">
        <v>0.3162835075885249</v>
      </c>
      <c r="F20" t="n">
        <v>0.2271853466761973</v>
      </c>
      <c r="H20" t="n">
        <v>0.5024170772542541</v>
      </c>
      <c r="I20" t="n">
        <v>0</v>
      </c>
      <c r="K20" t="n">
        <v>0.2017289917724802</v>
      </c>
      <c r="L20" t="n">
        <v>0.16148352869</v>
      </c>
      <c r="M20" t="n">
        <v>4.59444311516379e-05</v>
      </c>
      <c r="N20" t="n">
        <v>3.430349353764221</v>
      </c>
      <c r="O20" t="n">
        <v>0.3163294520196765</v>
      </c>
    </row>
    <row r="21">
      <c r="A21" s="4" t="n">
        <v>44774</v>
      </c>
      <c r="B21" t="n">
        <v>1.126849927196774</v>
      </c>
      <c r="C21" t="n">
        <v>0.4214903589615153</v>
      </c>
      <c r="D21" t="n">
        <v>0.1330657896</v>
      </c>
      <c r="E21" t="n">
        <v>0.2990028345889123</v>
      </c>
      <c r="F21" t="n">
        <v>0.1834958569307747</v>
      </c>
      <c r="H21" t="n">
        <v>0.5276871817340467</v>
      </c>
      <c r="I21" t="n">
        <v>0.001197436523961638</v>
      </c>
      <c r="K21" t="n">
        <v>0.1986874974440894</v>
      </c>
      <c r="L21" t="n">
        <v>0.17594489834</v>
      </c>
      <c r="M21" t="n">
        <v>4.411229125908793e-05</v>
      </c>
      <c r="N21" t="n">
        <v>3.067465893611333</v>
      </c>
      <c r="O21" t="n">
        <v>0.3002443834041331</v>
      </c>
    </row>
    <row r="22">
      <c r="A22" s="4" t="n">
        <v>44805</v>
      </c>
      <c r="B22" t="n">
        <v>1.13023284762</v>
      </c>
      <c r="C22" t="n">
        <v>0.4749827149999999</v>
      </c>
      <c r="D22" t="n">
        <v>0.1412588</v>
      </c>
      <c r="E22" t="n">
        <v>0.2992439755174026</v>
      </c>
      <c r="F22" t="n">
        <v>0.1815541018309781</v>
      </c>
      <c r="H22" t="n">
        <v>0.5482732668476601</v>
      </c>
      <c r="I22" t="n">
        <v>7.351161181979803e-05</v>
      </c>
      <c r="K22" t="n">
        <v>0.1617083652276017</v>
      </c>
      <c r="L22" t="n">
        <v>0.15356597295</v>
      </c>
      <c r="M22" t="n">
        <v>0.0001442724039148842</v>
      </c>
      <c r="N22" t="n">
        <v>3.091037829009377</v>
      </c>
      <c r="O22" t="n">
        <v>0.2994617595331373</v>
      </c>
    </row>
    <row r="23">
      <c r="A23" s="4" t="n">
        <v>44835</v>
      </c>
      <c r="B23" t="n">
        <v>1.157883574209677</v>
      </c>
      <c r="C23" t="n">
        <v>0.457678512</v>
      </c>
      <c r="D23" t="n">
        <v>0.1721238478</v>
      </c>
      <c r="E23" t="n">
        <v>0.2385367217150854</v>
      </c>
      <c r="F23" t="n">
        <v>0.1320393467861659</v>
      </c>
      <c r="H23" t="n">
        <v>0.5538122897488699</v>
      </c>
      <c r="I23" t="n">
        <v>0.0009195619735915588</v>
      </c>
      <c r="K23" t="n">
        <v>0.1687151812675787</v>
      </c>
      <c r="L23" t="n">
        <v>0.12647606658</v>
      </c>
      <c r="M23" t="n">
        <v>1.799255330376004e-05</v>
      </c>
      <c r="N23" t="n">
        <v>3.008203094634273</v>
      </c>
      <c r="O23" t="n">
        <v>0.2394742762419807</v>
      </c>
    </row>
    <row r="24">
      <c r="A24" s="4" t="n">
        <v>44866</v>
      </c>
      <c r="B24" t="n">
        <v>1.291224324823333</v>
      </c>
      <c r="C24" t="n">
        <v>0.4128288429999999</v>
      </c>
      <c r="D24" t="n">
        <v>0.1922885415</v>
      </c>
      <c r="E24" t="n">
        <v>0.2494000444392973</v>
      </c>
      <c r="F24" t="n">
        <v>0.1631074283829109</v>
      </c>
      <c r="H24" t="n">
        <v>0.5942864570901887</v>
      </c>
      <c r="I24" t="n">
        <v>0.03173436249665511</v>
      </c>
      <c r="K24" t="n">
        <v>0.1451382964118948</v>
      </c>
      <c r="L24" t="n">
        <v>0.14463488532</v>
      </c>
      <c r="M24" t="n">
        <v>0.0001019906866168142</v>
      </c>
      <c r="N24" t="n">
        <v>3.224745174150897</v>
      </c>
      <c r="O24" t="n">
        <v>0.2812363976225692</v>
      </c>
    </row>
    <row r="25">
      <c r="A25" s="4" t="n">
        <v>44896</v>
      </c>
      <c r="B25" t="n">
        <v>1.481728486680645</v>
      </c>
      <c r="C25" t="n">
        <v>0.4891794792480356</v>
      </c>
      <c r="D25" t="n">
        <v>0.1881920363</v>
      </c>
      <c r="E25" t="n">
        <v>0.3091385848090935</v>
      </c>
      <c r="F25" t="n">
        <v>0.1223305712871832</v>
      </c>
      <c r="H25" t="n">
        <v>0.5416062392826907</v>
      </c>
      <c r="I25" t="n">
        <v>0.0455465216856067</v>
      </c>
      <c r="K25" t="n">
        <v>0.1429087672783376</v>
      </c>
      <c r="L25" t="n">
        <v>0.09577346639999999</v>
      </c>
      <c r="M25" t="n">
        <v>0.0001018716758203751</v>
      </c>
      <c r="N25" t="n">
        <v>3.416506024647412</v>
      </c>
      <c r="O25" t="n">
        <v>0.3547869781705206</v>
      </c>
    </row>
    <row r="26">
      <c r="A26" s="4" t="n">
        <v>44927</v>
      </c>
      <c r="B26" t="n">
        <v>1.533567048729032</v>
      </c>
      <c r="C26" t="n">
        <v>0.413888284</v>
      </c>
      <c r="D26" t="n">
        <v>0.1638248933</v>
      </c>
      <c r="E26" t="n">
        <v>0.3566108796972803</v>
      </c>
      <c r="F26" t="n">
        <v>0.11844706108759</v>
      </c>
      <c r="H26" t="n">
        <v>0.4009876578921297</v>
      </c>
      <c r="I26" t="n">
        <v>0.04953401600265699</v>
      </c>
      <c r="J26" t="n">
        <v>0.03838377609984975</v>
      </c>
      <c r="K26" t="n">
        <v>0.1141206473717266</v>
      </c>
      <c r="L26" t="n">
        <v>0.1385395681</v>
      </c>
      <c r="M26" t="n">
        <v>0</v>
      </c>
      <c r="N26" t="n">
        <v>3.327903832280266</v>
      </c>
      <c r="O26" t="n">
        <v>0.4445286717997871</v>
      </c>
    </row>
    <row r="27">
      <c r="A27" s="4" t="n">
        <v>44958</v>
      </c>
      <c r="B27" t="n">
        <v>1.4154484907</v>
      </c>
      <c r="C27" t="n">
        <v>0.3421994429999999</v>
      </c>
      <c r="D27" t="n">
        <v>0.1521004129</v>
      </c>
      <c r="E27" t="n">
        <v>0.3877128586783437</v>
      </c>
      <c r="F27" t="n">
        <v>0.166990938582504</v>
      </c>
      <c r="H27" t="n">
        <v>0.3609874925105823</v>
      </c>
      <c r="I27" t="n">
        <v>0.05369911592518007</v>
      </c>
      <c r="J27" t="n">
        <v>0.04247150166758831</v>
      </c>
      <c r="K27" t="n">
        <v>0.1439348135577947</v>
      </c>
      <c r="L27" t="n">
        <v>0.18734801497</v>
      </c>
      <c r="M27" t="n">
        <v>0</v>
      </c>
      <c r="N27" t="n">
        <v>3.252893082491993</v>
      </c>
      <c r="O27" t="n">
        <v>0.4838834762711121</v>
      </c>
    </row>
    <row r="28">
      <c r="A28" s="4" t="n">
        <v>44986</v>
      </c>
      <c r="B28" t="n">
        <v>1.472510210796774</v>
      </c>
      <c r="C28" t="n">
        <v>0.3308987389999999</v>
      </c>
      <c r="D28" t="n">
        <v>0.1799283965</v>
      </c>
      <c r="E28" t="n">
        <v>0.4643428898537063</v>
      </c>
      <c r="F28" t="n">
        <v>0.1485442651344367</v>
      </c>
      <c r="H28" t="n">
        <v>0.4594338995393778</v>
      </c>
      <c r="I28" t="n">
        <v>0.05379289564980835</v>
      </c>
      <c r="J28" t="n">
        <v>0.05880557903327083</v>
      </c>
      <c r="K28" t="n">
        <v>0.1959140866360831</v>
      </c>
      <c r="L28" t="n">
        <v>0.15721398146</v>
      </c>
      <c r="M28" t="n">
        <v>0</v>
      </c>
      <c r="N28" t="n">
        <v>3.521384943603457</v>
      </c>
      <c r="O28" t="n">
        <v>0.5769413645367854</v>
      </c>
    </row>
    <row r="29">
      <c r="A29" s="4" t="n">
        <v>45017</v>
      </c>
      <c r="B29" t="n">
        <v>1.113238236823333</v>
      </c>
      <c r="C29" t="n">
        <v>0.437195986</v>
      </c>
      <c r="D29" t="n">
        <v>0.1710290921</v>
      </c>
      <c r="E29" t="n">
        <v>0.4727260314949551</v>
      </c>
      <c r="F29" t="n">
        <v>0.1417481222851487</v>
      </c>
      <c r="H29" t="n">
        <v>0.3859015955184791</v>
      </c>
      <c r="I29" t="n">
        <v>0.04983434851668775</v>
      </c>
      <c r="J29" t="n">
        <v>0.05820379908283755</v>
      </c>
      <c r="K29" t="n">
        <v>0.1903364064853499</v>
      </c>
      <c r="L29" t="n">
        <v>0.18831210628</v>
      </c>
      <c r="M29" t="n">
        <v>0</v>
      </c>
      <c r="N29" t="n">
        <v>3.208525724586792</v>
      </c>
      <c r="O29" t="n">
        <v>0.5807641790944804</v>
      </c>
    </row>
    <row r="30">
      <c r="A30" s="4" t="n">
        <v>45047</v>
      </c>
      <c r="B30" t="n">
        <v>1.373287295635484</v>
      </c>
      <c r="C30" t="n">
        <v>0.3121322032285914</v>
      </c>
      <c r="D30" t="n">
        <v>0.1662616076</v>
      </c>
      <c r="E30" t="n">
        <v>0.4636782928521702</v>
      </c>
      <c r="F30" t="n">
        <v>0.1922337548798592</v>
      </c>
      <c r="H30" t="n">
        <v>0.4787069792243419</v>
      </c>
      <c r="I30" t="n">
        <v>0.05555456549155104</v>
      </c>
      <c r="J30" t="n">
        <v>0.06661921032406876</v>
      </c>
      <c r="K30" t="n">
        <v>0.2132266889435024</v>
      </c>
      <c r="L30" t="n">
        <v>0.15568838642</v>
      </c>
      <c r="M30" t="n">
        <v>0</v>
      </c>
      <c r="N30" t="n">
        <v>3.477388984599569</v>
      </c>
      <c r="O30" t="n">
        <v>0.5858520686677899</v>
      </c>
    </row>
    <row r="31">
      <c r="A31" s="4" t="n">
        <v>45078</v>
      </c>
      <c r="B31" t="n">
        <v>1.675083342256667</v>
      </c>
      <c r="C31" t="n">
        <v>0.5701869638675807</v>
      </c>
      <c r="D31" t="n">
        <v>0.1718060155</v>
      </c>
      <c r="E31" t="n">
        <v>0.4293441157573404</v>
      </c>
      <c r="F31" t="n">
        <v>0.1970881426293506</v>
      </c>
      <c r="H31" t="n">
        <v>0.5447162521411061</v>
      </c>
      <c r="I31" t="n">
        <v>0.05229983056574292</v>
      </c>
      <c r="J31" t="n">
        <v>0.06207564710130128</v>
      </c>
      <c r="K31" t="n">
        <v>0.2125632304470113</v>
      </c>
      <c r="L31" t="n">
        <v>0.18667703567</v>
      </c>
      <c r="M31" t="n">
        <v>0</v>
      </c>
      <c r="N31" t="n">
        <v>4.1018405759361</v>
      </c>
      <c r="O31" t="n">
        <v>0.5437195934243847</v>
      </c>
    </row>
    <row r="32">
      <c r="A32" s="4" t="n">
        <v>45108</v>
      </c>
      <c r="B32" t="n">
        <v>1.477818807635484</v>
      </c>
      <c r="C32" t="n">
        <v>0.396937228</v>
      </c>
      <c r="D32" t="n">
        <v>0.1662616076</v>
      </c>
      <c r="E32" t="n">
        <v>0.2879621247066764</v>
      </c>
      <c r="F32" t="n">
        <v>0.1922337548798592</v>
      </c>
      <c r="H32" t="n">
        <v>0.5491652705356687</v>
      </c>
      <c r="I32" t="n">
        <v>0.05482470359562041</v>
      </c>
      <c r="J32" t="n">
        <v>0.06479375946465127</v>
      </c>
      <c r="K32" t="n">
        <v>0.2052285424756287</v>
      </c>
      <c r="L32" t="n">
        <v>0.19163168808</v>
      </c>
      <c r="M32" t="n">
        <v>0</v>
      </c>
      <c r="N32" t="n">
        <v>3.586857486973589</v>
      </c>
      <c r="O32" t="n">
        <v>0.4075805877669481</v>
      </c>
    </row>
    <row r="33">
      <c r="A33" s="4" t="n">
        <v>45139</v>
      </c>
      <c r="B33" t="n">
        <v>1.486581409970968</v>
      </c>
      <c r="C33" t="n">
        <v>0.400468698</v>
      </c>
      <c r="D33" t="n">
        <v>0.1702521687</v>
      </c>
      <c r="E33" t="n">
        <v>0.2378540147153807</v>
      </c>
      <c r="F33" t="n">
        <v>0.2252435915764007</v>
      </c>
      <c r="H33" t="n">
        <v>0.5727933682265488</v>
      </c>
      <c r="I33" t="n">
        <v>0.05376669761527642</v>
      </c>
      <c r="J33" t="n">
        <v>0.0648757854637928</v>
      </c>
      <c r="K33" t="n">
        <v>0.2083761130171213</v>
      </c>
      <c r="L33" t="n">
        <v>0.19873347425</v>
      </c>
      <c r="M33" t="n">
        <v>0</v>
      </c>
      <c r="N33" t="n">
        <v>3.618945321535489</v>
      </c>
      <c r="O33" t="n">
        <v>0.3564964977944499</v>
      </c>
    </row>
    <row r="34">
      <c r="A34" s="4" t="n">
        <v>45170</v>
      </c>
      <c r="B34" t="n">
        <v>1.370815418526667</v>
      </c>
      <c r="C34" t="n">
        <v>0.385989671</v>
      </c>
      <c r="D34" t="n">
        <v>0.1789748996</v>
      </c>
      <c r="E34" t="n">
        <v>0.1938140037239512</v>
      </c>
      <c r="F34" t="n">
        <v>0.3611664485621598</v>
      </c>
      <c r="H34" t="n">
        <v>0.5936764545681201</v>
      </c>
      <c r="I34" t="n">
        <v>0.05002520686170524</v>
      </c>
      <c r="J34" t="n">
        <v>0.05498798014460878</v>
      </c>
      <c r="K34" t="n">
        <v>0.2014985170912864</v>
      </c>
      <c r="L34" t="n">
        <v>0.20554921135</v>
      </c>
      <c r="M34" t="n">
        <v>0</v>
      </c>
      <c r="N34" t="n">
        <v>3.596497811428498</v>
      </c>
      <c r="O34" t="n">
        <v>0.2988271907302652</v>
      </c>
    </row>
    <row r="35">
      <c r="A35" s="4" t="n">
        <v>45200</v>
      </c>
      <c r="B35" t="n">
        <v>1.143965025674194</v>
      </c>
      <c r="C35" t="n">
        <v>0.409297373</v>
      </c>
      <c r="D35" t="n">
        <v>0.1801402847</v>
      </c>
      <c r="E35" t="n">
        <v>0.1520502997085608</v>
      </c>
      <c r="F35" t="n">
        <v>0.3631082036619563</v>
      </c>
      <c r="H35" t="n">
        <v>0.543537247266485</v>
      </c>
      <c r="I35" t="n">
        <v>0.02947037731386474</v>
      </c>
      <c r="J35" t="n">
        <v>0.04767436331946072</v>
      </c>
      <c r="K35" t="n">
        <v>0.2272480356571366</v>
      </c>
      <c r="L35" t="n">
        <v>0.16965888174</v>
      </c>
      <c r="M35" t="n">
        <v>0</v>
      </c>
      <c r="N35" t="n">
        <v>3.266150092041658</v>
      </c>
      <c r="O35" t="n">
        <v>0.2291950403418863</v>
      </c>
    </row>
    <row r="36">
      <c r="A36" s="4" t="n">
        <v>45231</v>
      </c>
      <c r="B36" t="n">
        <v>1.377546400346667</v>
      </c>
      <c r="C36" t="n">
        <v>0.6918149729999999</v>
      </c>
      <c r="D36" t="n">
        <v>0.1833892371</v>
      </c>
      <c r="E36" t="n">
        <v>0.1164461310011272</v>
      </c>
      <c r="F36" t="n">
        <v>0.2349523670753835</v>
      </c>
      <c r="H36" t="n">
        <v>0.4831509975982318</v>
      </c>
      <c r="I36" t="n">
        <v>0.04621789436848665</v>
      </c>
      <c r="J36" t="n">
        <v>0.04787258168883268</v>
      </c>
      <c r="K36" t="n">
        <v>0.1982554779580022</v>
      </c>
      <c r="L36" t="n">
        <v>0.1811290963</v>
      </c>
      <c r="M36" t="n">
        <v>0</v>
      </c>
      <c r="N36" t="n">
        <v>3.560775156436731</v>
      </c>
      <c r="O36" t="n">
        <v>0.2105366070584465</v>
      </c>
    </row>
    <row r="37">
      <c r="A37" s="4" t="n">
        <v>45261</v>
      </c>
      <c r="B37" t="n">
        <v>1.390177974890322</v>
      </c>
      <c r="C37" t="n">
        <v>0.725717085</v>
      </c>
      <c r="D37" t="n">
        <v>0.1643899285</v>
      </c>
      <c r="E37" t="n">
        <v>0.1279738205349399</v>
      </c>
      <c r="F37" t="n">
        <v>0.344661530213889</v>
      </c>
      <c r="H37" t="n">
        <v>0.3293573617351236</v>
      </c>
      <c r="I37" t="n">
        <v>0.0419791166888082</v>
      </c>
      <c r="J37" t="n">
        <v>0.04159285712700315</v>
      </c>
      <c r="K37" t="n">
        <v>0.1849814863821305</v>
      </c>
      <c r="L37" t="n">
        <v>0.1678154544</v>
      </c>
      <c r="M37" t="n">
        <v>0</v>
      </c>
      <c r="N37" t="n">
        <v>3.518646615472217</v>
      </c>
      <c r="O37" t="n">
        <v>0.2115457943507512</v>
      </c>
    </row>
    <row r="38">
      <c r="A38" s="4" t="n">
        <v>45292</v>
      </c>
      <c r="B38" t="n">
        <v>1.598539261625806</v>
      </c>
      <c r="C38" t="n">
        <v>0.622951308</v>
      </c>
      <c r="D38" t="n">
        <v>0.1925710591</v>
      </c>
      <c r="E38" t="n">
        <v>0.1996138727457533</v>
      </c>
      <c r="F38" t="n">
        <v>0.2932050200692802</v>
      </c>
      <c r="G38" t="n">
        <v>0.01446995900368395</v>
      </c>
      <c r="H38" t="n">
        <v>0.3221993321400957</v>
      </c>
      <c r="I38" t="n">
        <v>0.05487742851030601</v>
      </c>
      <c r="J38" t="n">
        <v>0.05096983616286712</v>
      </c>
      <c r="K38" t="n">
        <v>0.1863652987985036</v>
      </c>
      <c r="L38" t="n">
        <v>0.14603334744</v>
      </c>
      <c r="M38" t="n">
        <v>1.028817016585757e-05</v>
      </c>
      <c r="N38" t="n">
        <v>3.681806011766463</v>
      </c>
      <c r="O38" t="n">
        <v>0.3054714255890923</v>
      </c>
    </row>
    <row r="39">
      <c r="A39" s="4" t="n">
        <v>45323</v>
      </c>
      <c r="B39" t="n">
        <v>1.67643873667931</v>
      </c>
      <c r="C39" t="n">
        <v>0.3879236342182689</v>
      </c>
      <c r="D39" t="n">
        <v>0.181870705</v>
      </c>
      <c r="E39" t="n">
        <v>0.2933373356139901</v>
      </c>
      <c r="F39" t="n">
        <v>0.3213604690163303</v>
      </c>
      <c r="G39" t="n">
        <v>0.01515539855391213</v>
      </c>
      <c r="H39" t="n">
        <v>0.3746295489139591</v>
      </c>
      <c r="I39" t="n">
        <v>0.04890649691194733</v>
      </c>
      <c r="J39" t="n">
        <v>0.05649917984256658</v>
      </c>
      <c r="K39" t="n">
        <v>0.2106172141011987</v>
      </c>
      <c r="L39" t="n">
        <v>0.13339421631</v>
      </c>
      <c r="M39" t="n">
        <v>0.0001444012962792673</v>
      </c>
      <c r="N39" t="n">
        <v>3.700277336457763</v>
      </c>
      <c r="O39" t="n">
        <v>0.3988874136647832</v>
      </c>
    </row>
    <row r="40">
      <c r="A40" s="4" t="n">
        <v>45352</v>
      </c>
      <c r="B40" t="n">
        <v>1.539056775803226</v>
      </c>
      <c r="C40" t="n">
        <v>0.3682970672441959</v>
      </c>
      <c r="D40" t="n">
        <v>0.152912651</v>
      </c>
      <c r="E40" t="n">
        <v>0.319493769014867</v>
      </c>
      <c r="F40" t="n">
        <v>0.4475745505031066</v>
      </c>
      <c r="G40" t="n">
        <v>0.01414762765711772</v>
      </c>
      <c r="H40" t="n">
        <v>0.3584074818434724</v>
      </c>
      <c r="I40" t="n">
        <v>0.0418830937672602</v>
      </c>
      <c r="J40" t="n">
        <v>0.05763487233418943</v>
      </c>
      <c r="K40" t="n">
        <v>0.2113443183255509</v>
      </c>
      <c r="L40" t="n">
        <v>0.15655359657</v>
      </c>
      <c r="M40" t="n">
        <v>0.001211208891786405</v>
      </c>
      <c r="N40" t="n">
        <v>3.668517012954772</v>
      </c>
      <c r="O40" t="n">
        <v>0.420222944008103</v>
      </c>
    </row>
    <row r="41">
      <c r="A41" s="4" t="n">
        <v>45383</v>
      </c>
      <c r="B41" t="n">
        <v>1.223208212623333</v>
      </c>
      <c r="C41" t="n">
        <v>0.3222568851806549</v>
      </c>
      <c r="D41" t="n">
        <v>0.1649902784</v>
      </c>
      <c r="E41" t="n">
        <v>0.3419206215308324</v>
      </c>
      <c r="F41" t="n">
        <v>0.4980601830978171</v>
      </c>
      <c r="G41" t="n">
        <v>0.01487190230934184</v>
      </c>
      <c r="H41" t="n">
        <v>0.3024712505739165</v>
      </c>
      <c r="I41" t="n">
        <v>0.05278002336566412</v>
      </c>
      <c r="J41" t="n">
        <v>0.06201469087795677</v>
      </c>
      <c r="K41" t="n">
        <v>0.2095660952622812</v>
      </c>
      <c r="L41" t="n">
        <v>0.16386373947</v>
      </c>
      <c r="M41" t="n">
        <v>0.001843550835624347</v>
      </c>
      <c r="N41" t="n">
        <v>3.357847433527422</v>
      </c>
      <c r="O41" t="n">
        <v>0.4585588866100777</v>
      </c>
    </row>
    <row r="42">
      <c r="A42" s="4" t="n">
        <v>45413</v>
      </c>
      <c r="B42" t="n">
        <v>0.9344486064935482</v>
      </c>
      <c r="C42" t="n">
        <v>0.2927284920814197</v>
      </c>
      <c r="D42" t="n">
        <v>0.1642839844</v>
      </c>
      <c r="E42" t="n">
        <v>0.4120743815724454</v>
      </c>
      <c r="F42" t="n">
        <v>0.1699035712321988</v>
      </c>
      <c r="G42" t="n">
        <v>0.01420879294276131</v>
      </c>
      <c r="H42" t="n">
        <v>0.3920296208549322</v>
      </c>
      <c r="I42" t="n">
        <v>0.05281019531684277</v>
      </c>
      <c r="J42" t="n">
        <v>0.05851140000378859</v>
      </c>
      <c r="K42" t="n">
        <v>0.2069247975560471</v>
      </c>
      <c r="L42" t="n">
        <v>0.12625711544</v>
      </c>
      <c r="M42" t="n">
        <v>0.002101957725187434</v>
      </c>
      <c r="N42" t="n">
        <v>2.826282915619171</v>
      </c>
      <c r="O42" t="n">
        <v>0.5254979346182642</v>
      </c>
    </row>
    <row r="43">
      <c r="A43" s="4" t="n">
        <v>45444</v>
      </c>
      <c r="B43" t="n">
        <v>1.187455610343333</v>
      </c>
      <c r="C43" t="n">
        <v>0.3222723944055917</v>
      </c>
      <c r="D43" t="n">
        <v>0.1549255889</v>
      </c>
      <c r="E43" t="n">
        <v>0.3146521177694919</v>
      </c>
      <c r="F43" t="n">
        <v>0.1592239181833177</v>
      </c>
      <c r="G43" t="n">
        <v>0.01407966622862484</v>
      </c>
      <c r="H43" t="n">
        <v>0.5048400872722414</v>
      </c>
      <c r="I43" t="n">
        <v>0.04668411133027948</v>
      </c>
      <c r="J43" t="n">
        <v>0.05165298210361979</v>
      </c>
      <c r="K43" t="n">
        <v>0.2333223453510281</v>
      </c>
      <c r="L43" t="n">
        <v>0.16702087365</v>
      </c>
      <c r="M43" t="n">
        <v>0.001946148320709848</v>
      </c>
      <c r="N43" t="n">
        <v>3.158075843858238</v>
      </c>
      <c r="O43" t="n">
        <v>0.414935359524101</v>
      </c>
    </row>
    <row r="44">
      <c r="A44" s="4" t="n">
        <v>45474</v>
      </c>
      <c r="B44" t="n">
        <v>0.9897810454741934</v>
      </c>
      <c r="C44" t="n">
        <v>0.5964115642258622</v>
      </c>
      <c r="D44" t="n">
        <v>0.1504759367</v>
      </c>
      <c r="E44" t="n">
        <v>0.2807355542571617</v>
      </c>
      <c r="F44" t="n">
        <v>0.1864084895804696</v>
      </c>
      <c r="G44" t="n">
        <v>0.0138233545554517</v>
      </c>
      <c r="H44" t="n">
        <v>0.5353422133839404</v>
      </c>
      <c r="I44" t="n">
        <v>0.03834054949946523</v>
      </c>
      <c r="J44" t="n">
        <v>0.03823790644577215</v>
      </c>
      <c r="K44" t="n">
        <v>0.2273994353431091</v>
      </c>
      <c r="L44" t="n">
        <v>0.1530185951</v>
      </c>
      <c r="M44" t="n">
        <v>0.001682209778009638</v>
      </c>
      <c r="N44" t="n">
        <v>3.211656854343435</v>
      </c>
      <c r="O44" t="n">
        <v>0.3589962199804087</v>
      </c>
    </row>
    <row r="45">
      <c r="A45" s="4" t="n">
        <v>45505</v>
      </c>
      <c r="B45" t="n">
        <v>1.084765057451613</v>
      </c>
      <c r="C45" t="n">
        <v>0.7703394863547661</v>
      </c>
      <c r="D45" t="n">
        <v>0.1534776862</v>
      </c>
      <c r="E45" t="n">
        <v>0.2648367610270186</v>
      </c>
      <c r="F45" t="n">
        <v>0.2271853466761973</v>
      </c>
      <c r="G45" t="n">
        <v>0.01340490633144554</v>
      </c>
      <c r="H45" t="n">
        <v>0.5321462001699547</v>
      </c>
      <c r="I45" t="n">
        <v>0.0406682065023049</v>
      </c>
      <c r="J45" t="n">
        <v>0.02829000693811247</v>
      </c>
      <c r="K45" t="n">
        <v>0.2375142844269681</v>
      </c>
      <c r="L45" t="n">
        <v>0.13839477783</v>
      </c>
      <c r="M45" t="n">
        <v>0.001855300019909648</v>
      </c>
      <c r="N45" t="n">
        <v>3.49287801992829</v>
      </c>
      <c r="O45" t="n">
        <v>0.3356502744873456</v>
      </c>
    </row>
    <row r="46">
      <c r="A46" s="4" t="n">
        <v>45536</v>
      </c>
      <c r="B46" t="n">
        <v>1.23923873211</v>
      </c>
      <c r="C46" t="n">
        <v>1.168449680143298</v>
      </c>
      <c r="D46" t="n">
        <v>0.181870705</v>
      </c>
      <c r="E46" t="n">
        <v>0.1620480068004619</v>
      </c>
      <c r="F46" t="n">
        <v>0.3728169791609391</v>
      </c>
      <c r="G46" t="n">
        <v>0.01631268459339088</v>
      </c>
      <c r="H46" t="n">
        <v>0.5443232505162323</v>
      </c>
      <c r="I46" t="n">
        <v>0.04110212049249463</v>
      </c>
      <c r="J46" t="n">
        <v>0.02209491930526566</v>
      </c>
      <c r="K46" t="n">
        <v>0.213624956907239</v>
      </c>
      <c r="L46" t="n">
        <v>0.14220170249</v>
      </c>
      <c r="M46" t="n">
        <v>0.001906633604428988</v>
      </c>
      <c r="N46" t="n">
        <v>4.105990371123752</v>
      </c>
      <c r="O46" t="n">
        <v>0.2271516802026512</v>
      </c>
    </row>
    <row r="47">
      <c r="A47" s="4" t="n">
        <v>45566</v>
      </c>
      <c r="B47" t="n">
        <v>1.368858148745161</v>
      </c>
      <c r="C47" t="n">
        <v>1.207974871014898</v>
      </c>
      <c r="D47" t="n">
        <v>0.1622004171</v>
      </c>
      <c r="E47" t="n">
        <v>0.1277747984668684</v>
      </c>
      <c r="F47" t="n">
        <v>0.4504871831528014</v>
      </c>
      <c r="G47" t="n">
        <v>0.01836803236652554</v>
      </c>
      <c r="H47" t="n">
        <v>0.5448322526207127</v>
      </c>
      <c r="I47" t="n">
        <v>0.04510365432528906</v>
      </c>
      <c r="J47" t="n">
        <v>0.04884812609052016</v>
      </c>
      <c r="K47" t="n">
        <v>0.2342934248655143</v>
      </c>
      <c r="L47" t="n">
        <v>0.17467356914</v>
      </c>
      <c r="M47" t="n">
        <v>0.002081710230477459</v>
      </c>
      <c r="N47" t="n">
        <v>4.385496188118768</v>
      </c>
      <c r="O47" t="n">
        <v>0.2238082891131551</v>
      </c>
    </row>
    <row r="48">
      <c r="A48" s="4" t="n">
        <v>45597</v>
      </c>
      <c r="B48" t="n">
        <v>1.43955783639</v>
      </c>
      <c r="C48" t="n">
        <v>0.9037502698384584</v>
      </c>
      <c r="D48" t="n">
        <v>0.1495577545</v>
      </c>
      <c r="E48" t="n">
        <v>0.07244838763361192</v>
      </c>
      <c r="F48" t="n">
        <v>0.2640786935723319</v>
      </c>
      <c r="G48" t="n">
        <v>0.01801560381591246</v>
      </c>
      <c r="H48" t="n">
        <v>0.473915959415767</v>
      </c>
      <c r="I48" t="n">
        <v>0.007066198912309159</v>
      </c>
      <c r="J48" t="n">
        <v>0.04496661249538864</v>
      </c>
      <c r="K48" t="n">
        <v>0.2157551601321646</v>
      </c>
      <c r="L48" t="n">
        <v>0.20487116911</v>
      </c>
      <c r="M48" t="n">
        <v>0.001400709313176994</v>
      </c>
      <c r="N48" t="n">
        <v>3.795384355129122</v>
      </c>
      <c r="O48" t="n">
        <v>0.1258819083544867</v>
      </c>
    </row>
    <row r="49">
      <c r="A49" s="4" t="n">
        <v>45627</v>
      </c>
      <c r="B49" t="n">
        <v>1.3229592914</v>
      </c>
      <c r="C49" t="n">
        <v>0.7441657477074146</v>
      </c>
      <c r="D49" t="n">
        <v>0.168097972</v>
      </c>
      <c r="E49" t="n">
        <v>0.1558151357869942</v>
      </c>
      <c r="F49" t="n">
        <v>0.3339818771650079</v>
      </c>
      <c r="G49" t="n">
        <v>0.01698841536812009</v>
      </c>
      <c r="H49" t="n">
        <v>0.299370237752712</v>
      </c>
      <c r="I49" t="n">
        <v>0.01207705276576498</v>
      </c>
      <c r="J49" t="n">
        <v>0.0359194777906374</v>
      </c>
      <c r="K49" t="n">
        <v>0.2023760566724011</v>
      </c>
      <c r="L49" t="n">
        <v>0.16403325003</v>
      </c>
      <c r="M49" t="n">
        <v>0.001483727956316724</v>
      </c>
      <c r="N49" t="n">
        <v>3.457268242395368</v>
      </c>
      <c r="O49" t="n">
        <v>0.2052953942997133</v>
      </c>
    </row>
    <row r="50">
      <c r="A50" s="4" t="n">
        <v>45658</v>
      </c>
      <c r="B50" t="n">
        <v>1.751907586174194</v>
      </c>
      <c r="C50" t="n">
        <v>0.665328948</v>
      </c>
      <c r="D50" t="n">
        <v>0.1741721004</v>
      </c>
      <c r="E50" t="n">
        <v>0.2436360837934576</v>
      </c>
      <c r="F50" t="n">
        <v>0.1796123467311816</v>
      </c>
      <c r="H50" t="n">
        <v>0.2917842063881016</v>
      </c>
      <c r="I50" t="n">
        <v>0.02602957788143605</v>
      </c>
      <c r="J50" t="n">
        <v>0.03774721428371913</v>
      </c>
      <c r="K50" t="n">
        <v>0.1814665064116217</v>
      </c>
      <c r="L50" t="n">
        <v>0.16667478959</v>
      </c>
      <c r="M50" t="n">
        <v>0.001568053369319986</v>
      </c>
      <c r="N50" t="n">
        <v>3.719927413023031</v>
      </c>
      <c r="O50" t="n">
        <v>0.3089809293279327</v>
      </c>
    </row>
    <row r="51">
      <c r="A51" s="4" t="n">
        <v>45689</v>
      </c>
      <c r="B51" t="n">
        <v>1.893120167857143</v>
      </c>
      <c r="C51" t="n">
        <v>0.4592381253733638</v>
      </c>
      <c r="D51" t="n">
        <v>0.2317350614</v>
      </c>
      <c r="E51" t="n">
        <v>0.2921882078753024</v>
      </c>
      <c r="F51" t="n">
        <v>0.1475733875845384</v>
      </c>
      <c r="H51" t="n">
        <v>0.3783485642903084</v>
      </c>
      <c r="I51" t="n">
        <v>0.06553896764618956</v>
      </c>
      <c r="J51" t="n">
        <v>0.04850745294317761</v>
      </c>
      <c r="K51" t="n">
        <v>0.2011108567488599</v>
      </c>
      <c r="L51" t="n">
        <v>0.14473023501</v>
      </c>
      <c r="M51" t="n">
        <v>0.001893835357869436</v>
      </c>
      <c r="N51" t="n">
        <v>3.863984862086752</v>
      </c>
      <c r="O51" t="n">
        <v>0.408128463822539</v>
      </c>
    </row>
    <row r="52">
      <c r="A52" s="4" t="n">
        <v>45717</v>
      </c>
      <c r="B52" t="n">
        <v>1.471183061587096</v>
      </c>
      <c r="C52" t="n">
        <v>0.447407457492239</v>
      </c>
      <c r="D52" t="n">
        <v>0.1470150961</v>
      </c>
      <c r="E52" t="n">
        <v>0.3139915945388366</v>
      </c>
      <c r="F52" t="n">
        <v>0.1543695304338263</v>
      </c>
      <c r="H52" t="n">
        <v>0.385667594550997</v>
      </c>
      <c r="I52" t="n">
        <v>0.08244043544895593</v>
      </c>
      <c r="J52" t="n">
        <v>0.05894094504500377</v>
      </c>
      <c r="K52" t="n">
        <v>0.2098158565276753</v>
      </c>
      <c r="L52" t="n">
        <v>0.12940012374</v>
      </c>
      <c r="M52" t="n">
        <v>0.001911368198416274</v>
      </c>
      <c r="N52" t="n">
        <v>3.402143063663047</v>
      </c>
      <c r="O52" t="n">
        <v>0.4572843432312126</v>
      </c>
    </row>
    <row r="53">
      <c r="A53" s="4" t="n">
        <v>45748</v>
      </c>
      <c r="B53" t="n">
        <v>1.15147817114</v>
      </c>
      <c r="C53" t="n">
        <v>0.552004452590133</v>
      </c>
      <c r="D53" t="n">
        <v>0.1373388683</v>
      </c>
      <c r="E53" t="n">
        <v>0.3464331147511271</v>
      </c>
      <c r="F53" t="n">
        <v>0.1699035712321988</v>
      </c>
      <c r="H53" t="n">
        <v>0.3016852473241691</v>
      </c>
      <c r="I53" t="n">
        <v>0.0881826266190319</v>
      </c>
      <c r="J53" t="n">
        <v>0.05652794080663844</v>
      </c>
      <c r="K53" t="n">
        <v>0.2205420903306846</v>
      </c>
      <c r="L53" t="n">
        <v>0.13516348278</v>
      </c>
      <c r="M53" t="n">
        <v>0.001954934762536427</v>
      </c>
      <c r="N53" t="n">
        <v>3.16121450063652</v>
      </c>
      <c r="O53" t="n">
        <v>0.4930986169393339</v>
      </c>
    </row>
    <row r="54">
      <c r="A54" s="4" t="n">
        <v>45778</v>
      </c>
      <c r="B54" t="n">
        <v>1.131445394932258</v>
      </c>
      <c r="C54" t="n">
        <v>0.5980169969265154</v>
      </c>
      <c r="D54" t="n">
        <v>0.147615446</v>
      </c>
      <c r="E54" t="n">
        <v>0.3013242262996921</v>
      </c>
      <c r="F54" t="n">
        <v>0.149515142684335</v>
      </c>
      <c r="H54" t="n">
        <v>0.3444644241955996</v>
      </c>
      <c r="I54" t="n">
        <v>0.06071082099434726</v>
      </c>
      <c r="J54" t="n">
        <v>0.06150170223110268</v>
      </c>
      <c r="K54" t="n">
        <v>0.2117454792769176</v>
      </c>
      <c r="L54" t="n">
        <v>0.17688780083</v>
      </c>
      <c r="M54" t="n">
        <v>0.001913576161876526</v>
      </c>
      <c r="N54" t="n">
        <v>3.185141010532644</v>
      </c>
      <c r="O54" t="n">
        <v>0.4254503256870186</v>
      </c>
    </row>
    <row r="55">
      <c r="A55" s="4" t="n">
        <v>45809</v>
      </c>
      <c r="B55" t="n">
        <v>1.123701982433333</v>
      </c>
      <c r="C55" t="n">
        <v>0.6713358511979279</v>
      </c>
      <c r="D55" t="n">
        <v>0.1417885205</v>
      </c>
      <c r="E55" t="n">
        <v>0.3396784769170972</v>
      </c>
      <c r="F55" t="n">
        <v>0.1650491834827074</v>
      </c>
      <c r="H55" t="n">
        <v>0.4177217270795002</v>
      </c>
      <c r="I55" t="n">
        <v>0.07011392550991551</v>
      </c>
      <c r="J55" t="n">
        <v>0.04914289664541888</v>
      </c>
      <c r="K55" t="n">
        <v>0.2080308831599356</v>
      </c>
      <c r="L55" t="n">
        <v>0.15988730425</v>
      </c>
      <c r="M55" t="n">
        <v>0.001819715791774344</v>
      </c>
      <c r="N55" t="n">
        <v>3.348270466967611</v>
      </c>
      <c r="O55" t="n">
        <v>0.460755014864206</v>
      </c>
    </row>
    <row r="56">
      <c r="A56" s="4" t="n">
        <v>45839</v>
      </c>
      <c r="B56" t="n">
        <v>1.113014539083871</v>
      </c>
      <c r="C56" t="n">
        <v>1.120882995251721</v>
      </c>
      <c r="D56" t="n">
        <v>0.1547843301</v>
      </c>
      <c r="E56" t="n">
        <v>0.3610527384439567</v>
      </c>
      <c r="F56" t="n">
        <v>0.184466734480673</v>
      </c>
      <c r="H56" t="n">
        <v>0.5114131144485642</v>
      </c>
      <c r="I56" t="n">
        <v>0.04143590756777705</v>
      </c>
      <c r="J56" t="n">
        <v>0.0557977878562337</v>
      </c>
      <c r="K56" t="n">
        <v>0.2203058296742306</v>
      </c>
      <c r="L56" t="n">
        <v>0.18000255737</v>
      </c>
      <c r="M56" t="n">
        <v>0.001938544940155765</v>
      </c>
      <c r="N56" t="n">
        <v>3.945095079217184</v>
      </c>
      <c r="O56" t="n">
        <v>1.581107974059845</v>
      </c>
    </row>
    <row r="57">
      <c r="A57" s="4" t="n">
        <v>45870</v>
      </c>
      <c r="B57" t="n">
        <v>1.206436729974193</v>
      </c>
      <c r="C57" t="n">
        <v>1.181884065195979</v>
      </c>
      <c r="D57" t="n">
        <v>0.1489927193</v>
      </c>
      <c r="E57" t="n">
        <v>0.2889812877553667</v>
      </c>
      <c r="F57" t="n">
        <v>0.1640783059328091</v>
      </c>
      <c r="H57" t="n">
        <v>0.5191621464871045</v>
      </c>
      <c r="I57" t="n">
        <v>0.04846417157993036</v>
      </c>
      <c r="J57" t="n">
        <v>0.0486038457824944</v>
      </c>
      <c r="K57" t="n">
        <v>0.2244861967996505</v>
      </c>
      <c r="L57" t="n">
        <v>0.23875209229</v>
      </c>
      <c r="M57" t="n">
        <v>0.002101746324430601</v>
      </c>
      <c r="N57" t="n">
        <v>4.071943307421957</v>
      </c>
      <c r="O57" t="n">
        <v>1.570035116638201</v>
      </c>
    </row>
    <row r="58">
      <c r="A58" s="4" t="n">
        <v>45901</v>
      </c>
      <c r="B58" t="n">
        <v>0.9368059956233333</v>
      </c>
      <c r="C58" t="n">
        <v>0.9448322613674229</v>
      </c>
      <c r="D58" t="n">
        <v>0.1873444835</v>
      </c>
      <c r="E58" t="n">
        <v>0.1633266039898004</v>
      </c>
      <c r="F58" t="n">
        <v>0.1815541018309781</v>
      </c>
      <c r="H58" t="n">
        <v>0.5301291918305903</v>
      </c>
      <c r="I58" t="n">
        <v>0.06074161409836695</v>
      </c>
      <c r="J58" t="n">
        <v>0.0374030517845659</v>
      </c>
      <c r="K58" t="n">
        <v>0.2284168026596761</v>
      </c>
      <c r="L58" t="n">
        <v>0.24928293583</v>
      </c>
      <c r="M58" t="n">
        <v>0.001948284251319624</v>
      </c>
      <c r="N58" t="n">
        <v>3.521785326766054</v>
      </c>
      <c r="O58" t="n">
        <v>1.208251815491476</v>
      </c>
    </row>
    <row r="59">
      <c r="A59" s="4" t="n">
        <v>45931</v>
      </c>
      <c r="B59" t="n">
        <v>0.9599401239741935</v>
      </c>
      <c r="C59" t="n">
        <v>1.330475324227714</v>
      </c>
      <c r="D59" t="n">
        <v>0.1616353819</v>
      </c>
      <c r="E59" t="n">
        <v>0.1372449651486484</v>
      </c>
      <c r="F59" t="n">
        <v>0.1533986528839281</v>
      </c>
      <c r="H59" t="n">
        <v>0.3927266237367056</v>
      </c>
      <c r="I59" t="n">
        <v>0.04711899567964178</v>
      </c>
      <c r="J59" t="n">
        <v>0.03105403143266636</v>
      </c>
      <c r="K59" t="n">
        <v>0.2056287390977854</v>
      </c>
      <c r="L59" t="n">
        <v>0.20457452563</v>
      </c>
      <c r="M59" t="n">
        <v>0.001722657789483626</v>
      </c>
      <c r="N59" t="n">
        <v>3.625520021500767</v>
      </c>
      <c r="O59" t="n">
        <v>1.547615974278155</v>
      </c>
    </row>
    <row r="60">
      <c r="A60" s="4" t="n">
        <v>45962</v>
      </c>
      <c r="B60" t="n">
        <v>1.15125922</v>
      </c>
      <c r="C60" t="n">
        <v>1.416349668243662</v>
      </c>
      <c r="D60" t="n">
        <v>0.1877329452</v>
      </c>
      <c r="E60" t="n">
        <v>0.1836778479275032</v>
      </c>
      <c r="F60" t="n">
        <v>0.1631074283829109</v>
      </c>
      <c r="H60" t="n">
        <v>0.3987246485356686</v>
      </c>
      <c r="I60" t="n">
        <v>0.04392075277780832</v>
      </c>
      <c r="J60" t="n">
        <v>0.05356685360018327</v>
      </c>
      <c r="K60" t="n">
        <v>0.231999285674886</v>
      </c>
      <c r="L60" t="n">
        <v>0.19257812204</v>
      </c>
      <c r="M60" t="n">
        <v>0.00205435262364601</v>
      </c>
      <c r="N60" t="n">
        <v>4.024971125006268</v>
      </c>
      <c r="O60" t="n">
        <v>1.699569475172803</v>
      </c>
    </row>
    <row r="61">
      <c r="A61" s="4" t="n">
        <v>45992</v>
      </c>
      <c r="B61" t="n">
        <v>1.632562127116129</v>
      </c>
      <c r="C61" t="n">
        <v>0.9216965329835282</v>
      </c>
      <c r="D61" t="n">
        <v>0.1778801439</v>
      </c>
      <c r="E61" t="n">
        <v>0.1928220596971517</v>
      </c>
      <c r="F61" t="n">
        <v>0.1300975916863694</v>
      </c>
      <c r="H61" t="n">
        <v>0.5055220900919967</v>
      </c>
      <c r="I61" t="n">
        <v>0.04590573071975374</v>
      </c>
      <c r="J61" t="n">
        <v>0.04406460300658215</v>
      </c>
      <c r="K61" t="n">
        <v>0.2159904564594085</v>
      </c>
      <c r="L61" t="n">
        <v>0.13905869419</v>
      </c>
      <c r="M61" t="n">
        <v>0.001976620565358631</v>
      </c>
      <c r="N61" t="n">
        <v>4.007576650416278</v>
      </c>
      <c r="O61" t="n">
        <v>1.206465546972374</v>
      </c>
    </row>
    <row r="62">
      <c r="A62" s="4" t="n">
        <v>46023</v>
      </c>
      <c r="B62" t="n">
        <v>1.715250927574193</v>
      </c>
      <c r="C62" t="n">
        <v>1.013987406497427</v>
      </c>
      <c r="D62" t="n">
        <v>0.1685023185787013</v>
      </c>
      <c r="E62" t="n">
        <v>0.2820383701435756</v>
      </c>
      <c r="F62" t="n">
        <v>0.1398063671853522</v>
      </c>
      <c r="G62" t="n">
        <v>0.01724278528619343</v>
      </c>
      <c r="H62" t="n">
        <v>0.4058346779322388</v>
      </c>
      <c r="I62" t="n">
        <v>0.04670914441974682</v>
      </c>
      <c r="K62" t="n">
        <v>0.1672330072717839</v>
      </c>
      <c r="L62" t="n">
        <v>0.16597202706</v>
      </c>
      <c r="M62" t="n">
        <v>0.002021578459645049</v>
      </c>
      <c r="N62" t="n">
        <v>4.124598610408856</v>
      </c>
      <c r="O62" t="n">
        <v>1.513258818099095</v>
      </c>
    </row>
    <row r="63">
      <c r="A63" s="4" t="n">
        <v>46054</v>
      </c>
      <c r="B63" t="n">
        <v>1.746591910121428</v>
      </c>
      <c r="C63" t="n">
        <v>0.7772211239240928</v>
      </c>
      <c r="D63" t="n">
        <v>0.1860190125255218</v>
      </c>
      <c r="E63" t="n">
        <v>0.2803517888999157</v>
      </c>
      <c r="F63" t="n">
        <v>0.1582530406334194</v>
      </c>
      <c r="G63" t="n">
        <v>0.01691851218452741</v>
      </c>
      <c r="H63" t="n">
        <v>0.3623554981666312</v>
      </c>
      <c r="I63" t="n">
        <v>0.02075097849693463</v>
      </c>
      <c r="K63" t="n">
        <v>0.1970153505939215</v>
      </c>
      <c r="L63" t="n">
        <v>0.18111143895</v>
      </c>
      <c r="M63" t="n">
        <v>0.002188219300677878</v>
      </c>
      <c r="N63" t="n">
        <v>3.92877687379707</v>
      </c>
      <c r="O63" t="n">
        <v>1.266531123147143</v>
      </c>
    </row>
    <row r="64">
      <c r="A64" s="4" t="n">
        <v>46082</v>
      </c>
      <c r="B64" t="n">
        <v>1.60783158446129</v>
      </c>
      <c r="C64" t="n">
        <v>0.9931498842928415</v>
      </c>
      <c r="D64" t="n">
        <v>0.2025178442524308</v>
      </c>
      <c r="E64" t="n">
        <v>0.3185499116135551</v>
      </c>
      <c r="F64" t="n">
        <v>0.1417481222851487</v>
      </c>
      <c r="G64" t="n">
        <v>0.01869618897839116</v>
      </c>
      <c r="H64" t="n">
        <v>0.2530790463607817</v>
      </c>
      <c r="I64" t="n">
        <v>0.04473440453815823</v>
      </c>
      <c r="K64" t="n">
        <v>0.163585914199503</v>
      </c>
      <c r="L64" t="n">
        <v>0.20042857985</v>
      </c>
      <c r="M64" t="n">
        <v>0.00298464984085584</v>
      </c>
      <c r="N64" t="n">
        <v>3.947306130672957</v>
      </c>
      <c r="O64" t="n">
        <v>1.561936694537841</v>
      </c>
    </row>
    <row r="65">
      <c r="A65" s="4" t="n">
        <v>46113</v>
      </c>
      <c r="B65" t="n">
        <v>1.309199507123333</v>
      </c>
      <c r="C65" t="n">
        <v>0.6779693488824271</v>
      </c>
      <c r="D65" t="n">
        <v>0.1861717539444781</v>
      </c>
      <c r="E65" t="n">
        <v>0.298138097444191</v>
      </c>
      <c r="F65" t="n">
        <v>0.160194795733216</v>
      </c>
      <c r="H65" t="n">
        <v>0.3675295195587343</v>
      </c>
      <c r="I65" t="n">
        <v>0.06599616521134144</v>
      </c>
      <c r="K65" t="n">
        <v>0.2113828914939515</v>
      </c>
      <c r="L65" t="n">
        <v>0.19353515041</v>
      </c>
      <c r="M65" t="n">
        <v>0.003369163545595755</v>
      </c>
      <c r="N65" t="n">
        <v>3.473486393347268</v>
      </c>
      <c r="O65" t="n">
        <v>1.231644529028033</v>
      </c>
    </row>
    <row r="66">
      <c r="A66" s="4" t="n">
        <v>46143</v>
      </c>
      <c r="B66" t="n">
        <v>1.140051929077419</v>
      </c>
      <c r="C66" t="n">
        <v>0.5984223948172539</v>
      </c>
      <c r="D66" t="n">
        <v>0.164902120834065</v>
      </c>
      <c r="E66" t="n">
        <v>0.3190422169982723</v>
      </c>
      <c r="F66" t="n">
        <v>0.2029134079287403</v>
      </c>
      <c r="H66" t="n">
        <v>0.4228437482566073</v>
      </c>
      <c r="I66" t="n">
        <v>0.07599216742138572</v>
      </c>
      <c r="K66" t="n">
        <v>0.2386878730755577</v>
      </c>
      <c r="L66" t="n">
        <v>0.19445333261</v>
      </c>
      <c r="M66" t="n">
        <v>0.003160300380810823</v>
      </c>
      <c r="N66" t="n">
        <v>3.360469491400112</v>
      </c>
      <c r="O66" t="n">
        <v>1.161519200451788</v>
      </c>
    </row>
    <row r="67">
      <c r="A67" s="4" t="n">
        <v>46174</v>
      </c>
      <c r="B67" t="n">
        <v>1.270328616833333</v>
      </c>
      <c r="C67" t="n">
        <v>0.7522970607876384</v>
      </c>
      <c r="D67" t="n">
        <v>0.1696250427595374</v>
      </c>
      <c r="E67" t="n">
        <v>0.3301159883929455</v>
      </c>
      <c r="F67" t="n">
        <v>0.2126221834277231</v>
      </c>
      <c r="H67" t="n">
        <v>0.5302731924259638</v>
      </c>
      <c r="I67" t="n">
        <v>0.07639498869265587</v>
      </c>
      <c r="K67" t="n">
        <v>0.2582633013966256</v>
      </c>
      <c r="L67" t="n">
        <v>0.23507936349</v>
      </c>
      <c r="M67" t="n">
        <v>0.00333591098951174</v>
      </c>
      <c r="N67" t="n">
        <v>3.838335649195935</v>
      </c>
      <c r="O67" t="n">
        <v>1.590032293018914</v>
      </c>
    </row>
    <row r="68">
      <c r="A68" s="4" t="n">
        <v>46204</v>
      </c>
      <c r="B68" t="n">
        <v>1.243881540560158</v>
      </c>
      <c r="C68" t="n">
        <v>0.8900791162797046</v>
      </c>
      <c r="D68" t="n">
        <v>0.1849288058712604</v>
      </c>
      <c r="E68" t="n">
        <v>0.2626163953890319</v>
      </c>
      <c r="F68" t="n">
        <v>0.2582534282729422</v>
      </c>
      <c r="H68" t="n">
        <v>0.5699623565216697</v>
      </c>
      <c r="I68" t="n">
        <v>0.08474654210205089</v>
      </c>
      <c r="K68" t="n">
        <v>0.2435599862294096</v>
      </c>
      <c r="L68" t="n">
        <v>0.19331973074</v>
      </c>
      <c r="M68" t="n">
        <v>0.003367989879912451</v>
      </c>
      <c r="N68" t="n">
        <v>3.934715891846139</v>
      </c>
      <c r="O68" t="n">
        <v>2.913180376311527</v>
      </c>
    </row>
    <row r="69">
      <c r="A69" s="4" t="n">
        <v>46235</v>
      </c>
      <c r="B69" t="n">
        <v>1.06040702362656</v>
      </c>
      <c r="C69" t="n">
        <v>0.803077758300152</v>
      </c>
      <c r="D69" t="n">
        <v>0.1776937030832654</v>
      </c>
      <c r="E69" t="n">
        <v>0.1392482456983409</v>
      </c>
      <c r="F69" t="n">
        <v>0.309709938417551</v>
      </c>
      <c r="H69" t="n">
        <v>0.5358652155463043</v>
      </c>
      <c r="I69" t="n">
        <v>0.08770029924564161</v>
      </c>
      <c r="K69" t="n">
        <v>0.2438167478951612</v>
      </c>
      <c r="L69" t="n">
        <v>0.21839316774</v>
      </c>
      <c r="M69" t="n">
        <v>0.002759484545856044</v>
      </c>
      <c r="N69" t="n">
        <v>3.578671584098833</v>
      </c>
      <c r="O69" t="n">
        <v>2.514703262394978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Share of the region's last-12-month burn present (%)</t>
        </is>
      </c>
      <c r="C1" t="inlineStr">
        <is>
          <t>Countries missing</t>
        </is>
      </c>
    </row>
    <row r="2">
      <c r="A2" s="4" t="n">
        <v>44228</v>
      </c>
      <c r="B2" t="n">
        <v>100</v>
      </c>
    </row>
    <row r="3">
      <c r="A3" s="4" t="n">
        <v>44256</v>
      </c>
      <c r="B3" t="n">
        <v>100</v>
      </c>
    </row>
    <row r="4">
      <c r="A4" s="4" t="n">
        <v>44287</v>
      </c>
      <c r="B4" t="n">
        <v>100</v>
      </c>
    </row>
    <row r="5">
      <c r="A5" s="4" t="n">
        <v>44317</v>
      </c>
      <c r="B5" t="n">
        <v>100</v>
      </c>
    </row>
    <row r="6">
      <c r="A6" s="4" t="n">
        <v>44348</v>
      </c>
      <c r="B6" t="n">
        <v>100</v>
      </c>
    </row>
    <row r="7">
      <c r="A7" s="4" t="n">
        <v>44378</v>
      </c>
      <c r="B7" t="n">
        <v>100</v>
      </c>
    </row>
    <row r="8">
      <c r="A8" s="4" t="n">
        <v>44409</v>
      </c>
      <c r="B8" t="n">
        <v>100</v>
      </c>
    </row>
    <row r="9">
      <c r="A9" s="4" t="n">
        <v>44440</v>
      </c>
      <c r="B9" t="n">
        <v>100</v>
      </c>
    </row>
    <row r="10">
      <c r="A10" s="4" t="n">
        <v>44470</v>
      </c>
      <c r="B10" t="n">
        <v>100</v>
      </c>
    </row>
    <row r="11">
      <c r="A11" s="4" t="n">
        <v>44501</v>
      </c>
      <c r="B11" t="n">
        <v>100</v>
      </c>
    </row>
    <row r="12">
      <c r="A12" s="4" t="n">
        <v>44531</v>
      </c>
      <c r="B12" t="n">
        <v>100</v>
      </c>
    </row>
    <row r="13">
      <c r="A13" s="4" t="n">
        <v>44562</v>
      </c>
      <c r="B13" t="n">
        <v>100</v>
      </c>
    </row>
    <row r="14">
      <c r="A14" s="4" t="n">
        <v>44593</v>
      </c>
      <c r="B14" t="n">
        <v>99.59999999999999</v>
      </c>
      <c r="C14" t="inlineStr">
        <is>
          <t>Ecuador</t>
        </is>
      </c>
    </row>
    <row r="15">
      <c r="A15" s="4" t="n">
        <v>44621</v>
      </c>
      <c r="B15" t="n">
        <v>99.59999999999999</v>
      </c>
      <c r="C15" t="inlineStr">
        <is>
          <t>Ecuador</t>
        </is>
      </c>
    </row>
    <row r="16">
      <c r="A16" s="4" t="n">
        <v>44652</v>
      </c>
      <c r="B16" t="n">
        <v>99.59999999999999</v>
      </c>
      <c r="C16" t="inlineStr">
        <is>
          <t>Ecuador</t>
        </is>
      </c>
    </row>
    <row r="17">
      <c r="A17" s="4" t="n">
        <v>44682</v>
      </c>
      <c r="B17" t="n">
        <v>99.59999999999999</v>
      </c>
      <c r="C17" t="inlineStr">
        <is>
          <t>Ecuador</t>
        </is>
      </c>
    </row>
    <row r="18">
      <c r="A18" s="4" t="n">
        <v>44713</v>
      </c>
      <c r="B18" t="n">
        <v>99.59999999999999</v>
      </c>
      <c r="C18" t="inlineStr">
        <is>
          <t>Ecuador</t>
        </is>
      </c>
    </row>
    <row r="19">
      <c r="A19" s="4" t="n">
        <v>44743</v>
      </c>
      <c r="B19" t="n">
        <v>99.59999999999999</v>
      </c>
      <c r="C19" t="inlineStr">
        <is>
          <t>Ecuador</t>
        </is>
      </c>
    </row>
    <row r="20">
      <c r="A20" s="4" t="n">
        <v>44774</v>
      </c>
      <c r="B20" t="n">
        <v>99.5</v>
      </c>
      <c r="C20" t="inlineStr">
        <is>
          <t>Ecuador</t>
        </is>
      </c>
    </row>
    <row r="21">
      <c r="A21" s="4" t="n">
        <v>44805</v>
      </c>
      <c r="B21" t="n">
        <v>99.5</v>
      </c>
      <c r="C21" t="inlineStr">
        <is>
          <t>Ecuador</t>
        </is>
      </c>
    </row>
    <row r="22">
      <c r="A22" s="4" t="n">
        <v>44835</v>
      </c>
      <c r="B22" t="n">
        <v>99.5</v>
      </c>
      <c r="C22" t="inlineStr">
        <is>
          <t>Ecuador</t>
        </is>
      </c>
    </row>
    <row r="23">
      <c r="A23" s="4" t="n">
        <v>44866</v>
      </c>
      <c r="B23" t="n">
        <v>99.5</v>
      </c>
      <c r="C23" t="inlineStr">
        <is>
          <t>Ecuador</t>
        </is>
      </c>
    </row>
    <row r="24">
      <c r="A24" s="4" t="n">
        <v>44896</v>
      </c>
      <c r="B24" t="n">
        <v>99.5</v>
      </c>
      <c r="C24" t="inlineStr">
        <is>
          <t>Ecuador</t>
        </is>
      </c>
    </row>
    <row r="25">
      <c r="A25" s="4" t="n">
        <v>44927</v>
      </c>
      <c r="B25" t="n">
        <v>99.40000000000001</v>
      </c>
      <c r="C25" t="inlineStr">
        <is>
          <t>Ecuador</t>
        </is>
      </c>
    </row>
    <row r="26">
      <c r="A26" s="4" t="n">
        <v>44958</v>
      </c>
      <c r="B26" t="n">
        <v>100</v>
      </c>
    </row>
    <row r="27">
      <c r="A27" s="4" t="n">
        <v>44986</v>
      </c>
      <c r="B27" t="n">
        <v>100</v>
      </c>
    </row>
    <row r="28">
      <c r="A28" s="4" t="n">
        <v>45017</v>
      </c>
      <c r="B28" t="n">
        <v>100</v>
      </c>
    </row>
    <row r="29">
      <c r="A29" s="4" t="n">
        <v>45047</v>
      </c>
      <c r="B29" t="n">
        <v>100</v>
      </c>
    </row>
    <row r="30">
      <c r="A30" s="4" t="n">
        <v>45078</v>
      </c>
      <c r="B30" t="n">
        <v>100</v>
      </c>
    </row>
    <row r="31">
      <c r="A31" s="4" t="n">
        <v>45108</v>
      </c>
      <c r="B31" t="n">
        <v>100</v>
      </c>
    </row>
    <row r="32">
      <c r="A32" s="4" t="n">
        <v>45139</v>
      </c>
      <c r="B32" t="n">
        <v>100</v>
      </c>
    </row>
    <row r="33">
      <c r="A33" s="4" t="n">
        <v>45170</v>
      </c>
      <c r="B33" t="n">
        <v>100</v>
      </c>
    </row>
    <row r="34">
      <c r="A34" s="4" t="n">
        <v>45200</v>
      </c>
      <c r="B34" t="n">
        <v>100</v>
      </c>
    </row>
    <row r="35">
      <c r="A35" s="4" t="n">
        <v>45231</v>
      </c>
      <c r="B35" t="n">
        <v>100</v>
      </c>
    </row>
    <row r="36">
      <c r="A36" s="4" t="n">
        <v>45261</v>
      </c>
      <c r="B36" t="n">
        <v>100</v>
      </c>
    </row>
    <row r="37">
      <c r="A37" s="4" t="n">
        <v>45292</v>
      </c>
      <c r="B37" t="n">
        <v>100</v>
      </c>
    </row>
    <row r="38">
      <c r="A38" s="4" t="n">
        <v>45323</v>
      </c>
      <c r="B38" t="n">
        <v>100</v>
      </c>
    </row>
    <row r="39">
      <c r="A39" s="4" t="n">
        <v>45352</v>
      </c>
      <c r="B39" t="n">
        <v>100</v>
      </c>
    </row>
    <row r="40">
      <c r="A40" s="4" t="n">
        <v>45383</v>
      </c>
      <c r="B40" t="n">
        <v>100</v>
      </c>
    </row>
    <row r="41">
      <c r="A41" s="4" t="n">
        <v>45413</v>
      </c>
      <c r="B41" t="n">
        <v>100</v>
      </c>
    </row>
    <row r="42">
      <c r="A42" s="4" t="n">
        <v>45444</v>
      </c>
      <c r="B42" t="n">
        <v>100</v>
      </c>
    </row>
    <row r="43">
      <c r="A43" s="4" t="n">
        <v>45474</v>
      </c>
      <c r="B43" t="n">
        <v>100</v>
      </c>
    </row>
    <row r="44">
      <c r="A44" s="4" t="n">
        <v>45505</v>
      </c>
      <c r="B44" t="n">
        <v>100</v>
      </c>
    </row>
    <row r="45">
      <c r="A45" s="4" t="n">
        <v>45536</v>
      </c>
      <c r="B45" t="n">
        <v>100</v>
      </c>
    </row>
    <row r="46">
      <c r="A46" s="4" t="n">
        <v>45566</v>
      </c>
      <c r="B46" t="n">
        <v>100</v>
      </c>
    </row>
    <row r="47">
      <c r="A47" s="4" t="n">
        <v>45597</v>
      </c>
      <c r="B47" t="n">
        <v>100</v>
      </c>
    </row>
    <row r="48">
      <c r="A48" s="4" t="n">
        <v>45627</v>
      </c>
      <c r="B48" t="n">
        <v>100</v>
      </c>
    </row>
    <row r="49">
      <c r="A49" s="4" t="n">
        <v>45658</v>
      </c>
      <c r="B49" t="n">
        <v>99.59999999999999</v>
      </c>
      <c r="C49" t="inlineStr">
        <is>
          <t>Ecuador</t>
        </is>
      </c>
    </row>
    <row r="50">
      <c r="A50" s="4" t="n">
        <v>45689</v>
      </c>
      <c r="B50" t="n">
        <v>99.59999999999999</v>
      </c>
      <c r="C50" t="inlineStr">
        <is>
          <t>Ecuador</t>
        </is>
      </c>
    </row>
    <row r="51">
      <c r="A51" s="4" t="n">
        <v>45717</v>
      </c>
      <c r="B51" t="n">
        <v>99.59999999999999</v>
      </c>
      <c r="C51" t="inlineStr">
        <is>
          <t>Ecuador</t>
        </is>
      </c>
    </row>
    <row r="52">
      <c r="A52" s="4" t="n">
        <v>45748</v>
      </c>
      <c r="B52" t="n">
        <v>99.59999999999999</v>
      </c>
      <c r="C52" t="inlineStr">
        <is>
          <t>Ecuador</t>
        </is>
      </c>
    </row>
    <row r="53">
      <c r="A53" s="4" t="n">
        <v>45778</v>
      </c>
      <c r="B53" t="n">
        <v>99.59999999999999</v>
      </c>
      <c r="C53" t="inlineStr">
        <is>
          <t>Ecuador</t>
        </is>
      </c>
    </row>
    <row r="54">
      <c r="A54" s="4" t="n">
        <v>45809</v>
      </c>
      <c r="B54" t="n">
        <v>99.59999999999999</v>
      </c>
      <c r="C54" t="inlineStr">
        <is>
          <t>Ecuador</t>
        </is>
      </c>
    </row>
    <row r="55">
      <c r="A55" s="4" t="n">
        <v>45839</v>
      </c>
      <c r="B55" t="n">
        <v>99.59999999999999</v>
      </c>
      <c r="C55" t="inlineStr">
        <is>
          <t>Ecuador</t>
        </is>
      </c>
    </row>
    <row r="56">
      <c r="A56" s="4" t="n">
        <v>45870</v>
      </c>
      <c r="B56" t="n">
        <v>99.5</v>
      </c>
      <c r="C56" t="inlineStr">
        <is>
          <t>Ecuador</t>
        </is>
      </c>
    </row>
    <row r="57">
      <c r="A57" s="4" t="n">
        <v>45901</v>
      </c>
      <c r="B57" t="n">
        <v>99.5</v>
      </c>
      <c r="C57" t="inlineStr">
        <is>
          <t>Ecuador</t>
        </is>
      </c>
    </row>
    <row r="58">
      <c r="A58" s="4" t="n">
        <v>45931</v>
      </c>
      <c r="B58" t="n">
        <v>99.5</v>
      </c>
      <c r="C58" t="inlineStr">
        <is>
          <t>Ecuador</t>
        </is>
      </c>
    </row>
    <row r="59">
      <c r="A59" s="4" t="n">
        <v>45962</v>
      </c>
      <c r="B59" t="n">
        <v>99.5</v>
      </c>
      <c r="C59" t="inlineStr">
        <is>
          <t>Ecuador</t>
        </is>
      </c>
    </row>
    <row r="60">
      <c r="A60" s="4" t="n">
        <v>45992</v>
      </c>
      <c r="B60" t="n">
        <v>99.5</v>
      </c>
      <c r="C60" t="inlineStr">
        <is>
          <t>Ecuador</t>
        </is>
      </c>
    </row>
    <row r="61">
      <c r="A61" s="4" t="n">
        <v>46023</v>
      </c>
      <c r="B61" t="n">
        <v>98.7</v>
      </c>
      <c r="C61" t="inlineStr">
        <is>
          <t>El Salvador</t>
        </is>
      </c>
    </row>
    <row r="62">
      <c r="A62" s="4" t="n">
        <v>46054</v>
      </c>
      <c r="B62" t="n">
        <v>98.7</v>
      </c>
      <c r="C62" t="inlineStr">
        <is>
          <t>El Salvador</t>
        </is>
      </c>
    </row>
    <row r="63">
      <c r="A63" s="4" t="n">
        <v>46082</v>
      </c>
      <c r="B63" t="n">
        <v>98.7</v>
      </c>
      <c r="C63" t="inlineStr">
        <is>
          <t>El Salvador</t>
        </is>
      </c>
    </row>
    <row r="64">
      <c r="A64" s="4" t="n">
        <v>46113</v>
      </c>
      <c r="B64" t="n">
        <v>98.2</v>
      </c>
      <c r="C64" t="inlineStr">
        <is>
          <t>Ecuador, El Salvador</t>
        </is>
      </c>
    </row>
    <row r="65">
      <c r="A65" s="4" t="n">
        <v>46143</v>
      </c>
      <c r="B65" t="n">
        <v>98.3</v>
      </c>
      <c r="C65" t="inlineStr">
        <is>
          <t>Ecuador, El Salvador</t>
        </is>
      </c>
    </row>
    <row r="66">
      <c r="A66" s="4" t="n">
        <v>46174</v>
      </c>
      <c r="B66" t="n">
        <v>98.3</v>
      </c>
      <c r="C66" t="inlineStr">
        <is>
          <t>Ecuador, El Salvador</t>
        </is>
      </c>
    </row>
    <row r="67">
      <c r="A67" s="4" t="n">
        <v>46204</v>
      </c>
      <c r="B67" t="n">
        <v>98.40000000000001</v>
      </c>
      <c r="C67" t="inlineStr">
        <is>
          <t>Ecuador, El Salvador</t>
        </is>
      </c>
    </row>
    <row r="68">
      <c r="A68" s="4" t="n">
        <v>46235</v>
      </c>
      <c r="B68" t="n">
        <v>98.40000000000001</v>
      </c>
      <c r="C68" t="inlineStr">
        <is>
          <t>Ecuador, El Salvador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Argentina</t>
        </is>
      </c>
      <c r="C1" t="inlineStr">
        <is>
          <t>Brazil</t>
        </is>
      </c>
      <c r="D1" t="inlineStr">
        <is>
          <t>Bolivia</t>
        </is>
      </c>
      <c r="E1" t="inlineStr">
        <is>
          <t>Chile</t>
        </is>
      </c>
      <c r="F1" t="inlineStr">
        <is>
          <t>Colombia</t>
        </is>
      </c>
      <c r="G1" t="inlineStr">
        <is>
          <t>Ecuador</t>
        </is>
      </c>
      <c r="H1" t="inlineStr">
        <is>
          <t>Peru</t>
        </is>
      </c>
      <c r="I1" t="inlineStr">
        <is>
          <t>Panama</t>
        </is>
      </c>
      <c r="J1" t="inlineStr">
        <is>
          <t>El Salvador</t>
        </is>
      </c>
      <c r="K1" t="inlineStr">
        <is>
          <t>Dominican Republic</t>
        </is>
      </c>
      <c r="L1" t="inlineStr">
        <is>
          <t>Puerto Rico</t>
        </is>
      </c>
      <c r="M1" t="inlineStr">
        <is>
          <t>Guatemala</t>
        </is>
      </c>
    </row>
    <row r="2">
      <c r="A2" s="4" t="n">
        <v>44197</v>
      </c>
      <c r="B2" t="n">
        <v>50.13829032258064</v>
      </c>
      <c r="C2" t="n">
        <v>44.15343027327786</v>
      </c>
      <c r="D2" t="n">
        <v>3.194</v>
      </c>
      <c r="E2" t="n">
        <v>4.796639348914592</v>
      </c>
      <c r="F2" t="n">
        <v>5.251003464012756</v>
      </c>
      <c r="G2" t="n">
        <v>0.641007312915819</v>
      </c>
      <c r="H2" t="n">
        <v>7.578206992821058</v>
      </c>
      <c r="I2" t="n">
        <v>0.742906578076861</v>
      </c>
      <c r="K2" t="n">
        <v>3.668032003495262</v>
      </c>
      <c r="L2" t="n">
        <v>5.7387</v>
      </c>
      <c r="M2" t="n">
        <v>0.002792893541469713</v>
      </c>
    </row>
    <row r="3">
      <c r="A3" s="4" t="n">
        <v>44228</v>
      </c>
      <c r="B3" t="n">
        <v>46.6055</v>
      </c>
      <c r="C3" t="n">
        <v>31.41398849677586</v>
      </c>
      <c r="D3" t="n">
        <v>3.503</v>
      </c>
      <c r="E3" t="n">
        <v>7.437674280687147</v>
      </c>
      <c r="F3" t="n">
        <v>5.938307582339033</v>
      </c>
      <c r="G3" t="n">
        <v>0.5983394732501237</v>
      </c>
      <c r="H3" t="n">
        <v>8.125176947620314</v>
      </c>
      <c r="I3" t="n">
        <v>1.227662616154396</v>
      </c>
      <c r="K3" t="n">
        <v>5.492476994074438</v>
      </c>
      <c r="L3" t="n">
        <v>5.9174</v>
      </c>
      <c r="M3" t="n">
        <v>0.008684333000809055</v>
      </c>
    </row>
    <row r="4">
      <c r="A4" s="4" t="n">
        <v>44256</v>
      </c>
      <c r="B4" t="n">
        <v>45.67341935483871</v>
      </c>
      <c r="C4" t="n">
        <v>32.30481622363153</v>
      </c>
      <c r="D4" t="n">
        <v>3.659</v>
      </c>
      <c r="E4" t="n">
        <v>8.838566230398531</v>
      </c>
      <c r="F4" t="n">
        <v>4.921097487216143</v>
      </c>
      <c r="G4" t="n">
        <v>0.6215978446142849</v>
      </c>
      <c r="H4" t="n">
        <v>9.275524195692634</v>
      </c>
      <c r="I4" t="n">
        <v>1.295714592308934</v>
      </c>
      <c r="K4" t="n">
        <v>5.389039075940034</v>
      </c>
      <c r="L4" t="n">
        <v>6.002299999999999</v>
      </c>
      <c r="M4" t="n">
        <v>0.00847113411387432</v>
      </c>
    </row>
    <row r="5">
      <c r="A5" s="4" t="n">
        <v>44287</v>
      </c>
      <c r="B5" t="n">
        <v>41.43523333333334</v>
      </c>
      <c r="C5" t="n">
        <v>32.48757188407183</v>
      </c>
      <c r="D5" t="n">
        <v>3.439</v>
      </c>
      <c r="E5" t="n">
        <v>11.00039794908451</v>
      </c>
      <c r="F5" t="n">
        <v>4.371254192555122</v>
      </c>
      <c r="G5" t="n">
        <v>0.5630395337328862</v>
      </c>
      <c r="H5" t="n">
        <v>7.936614464238235</v>
      </c>
      <c r="I5" t="n">
        <v>0.9980782976851597</v>
      </c>
      <c r="K5" t="n">
        <v>5.206466235220229</v>
      </c>
      <c r="L5" t="n">
        <v>5.1568</v>
      </c>
      <c r="M5" t="n">
        <v>0.009238054654423488</v>
      </c>
    </row>
    <row r="6">
      <c r="A6" s="4" t="n">
        <v>44317</v>
      </c>
      <c r="B6" t="n">
        <v>38.09270967741936</v>
      </c>
      <c r="C6" t="n">
        <v>32.23</v>
      </c>
      <c r="D6" t="n">
        <v>4.069</v>
      </c>
      <c r="E6" t="n">
        <v>10.23065970553231</v>
      </c>
      <c r="F6" t="n">
        <v>4.206301204156816</v>
      </c>
      <c r="G6" t="n">
        <v>0.5287293121460384</v>
      </c>
      <c r="H6" t="n">
        <v>11.41755889391119</v>
      </c>
      <c r="I6" t="n">
        <v>0.6196578733125576</v>
      </c>
      <c r="K6" t="n">
        <v>5.501624750826029</v>
      </c>
      <c r="L6" t="n">
        <v>5.850700000000001</v>
      </c>
      <c r="M6" t="n">
        <v>0.009448879649944926</v>
      </c>
    </row>
    <row r="7">
      <c r="A7" s="4" t="n">
        <v>44348</v>
      </c>
      <c r="B7" t="n">
        <v>42.143</v>
      </c>
      <c r="C7" t="n">
        <v>44.82</v>
      </c>
      <c r="D7" t="n">
        <v>3.713000000000001</v>
      </c>
      <c r="E7" t="n">
        <v>7.659786523340847</v>
      </c>
      <c r="F7" t="n">
        <v>4.948589651949194</v>
      </c>
      <c r="G7" t="n">
        <v>0.5488810688953648</v>
      </c>
      <c r="H7" t="n">
        <v>14.20326588673225</v>
      </c>
      <c r="I7" t="n">
        <v>0.4056743828009017</v>
      </c>
      <c r="K7" t="n">
        <v>4.933426176237678</v>
      </c>
      <c r="L7" t="n">
        <v>7.5497</v>
      </c>
      <c r="M7" t="n">
        <v>0.00631907406389179</v>
      </c>
    </row>
    <row r="8">
      <c r="A8" s="4" t="n">
        <v>44378</v>
      </c>
      <c r="B8" t="n">
        <v>46.89354838709678</v>
      </c>
      <c r="C8" t="n">
        <v>50.74</v>
      </c>
      <c r="D8" t="n">
        <v>3.841</v>
      </c>
      <c r="E8" t="n">
        <v>8.715735450880372</v>
      </c>
      <c r="F8" t="n">
        <v>5.470940781877165</v>
      </c>
      <c r="G8" t="n">
        <v>0.5304338263594875</v>
      </c>
      <c r="H8" t="n">
        <v>14.11885309758043</v>
      </c>
      <c r="I8" t="n">
        <v>0.6667156795797069</v>
      </c>
      <c r="K8" t="n">
        <v>5.062395893066819</v>
      </c>
      <c r="L8" t="n">
        <v>7.8841</v>
      </c>
      <c r="M8" t="n">
        <v>0.002947204401584258</v>
      </c>
    </row>
    <row r="9">
      <c r="A9" s="4" t="n">
        <v>44409</v>
      </c>
      <c r="B9" t="n">
        <v>52.62845161290323</v>
      </c>
      <c r="C9" t="n">
        <v>50.81700103122083</v>
      </c>
      <c r="D9" t="n">
        <v>3.922</v>
      </c>
      <c r="E9" t="n">
        <v>10.26974292165442</v>
      </c>
      <c r="F9" t="n">
        <v>5.443448617144114</v>
      </c>
      <c r="G9" t="n">
        <v>0.5067080881948645</v>
      </c>
      <c r="H9" t="n">
        <v>15.61840481254985</v>
      </c>
      <c r="I9" t="n">
        <v>0.2860784112011947</v>
      </c>
      <c r="K9" t="n">
        <v>4.473963026678682</v>
      </c>
      <c r="L9" t="n">
        <v>6.9968</v>
      </c>
      <c r="M9" t="n">
        <v>0.008600169919314931</v>
      </c>
    </row>
    <row r="10">
      <c r="A10" s="4" t="n">
        <v>44440</v>
      </c>
      <c r="B10" t="n">
        <v>40.71493333333333</v>
      </c>
      <c r="C10" t="n">
        <v>48.12</v>
      </c>
      <c r="D10" t="n">
        <v>4.182</v>
      </c>
      <c r="E10" t="n">
        <v>7.712145351074942</v>
      </c>
      <c r="F10" t="n">
        <v>5.415956452411063</v>
      </c>
      <c r="G10" t="n">
        <v>0.5014295925661186</v>
      </c>
      <c r="H10" t="n">
        <v>15.85751302844988</v>
      </c>
      <c r="I10" t="n">
        <v>0.2160928135481388</v>
      </c>
      <c r="K10" t="n">
        <v>5.133338794680648</v>
      </c>
      <c r="L10" t="n">
        <v>4.881</v>
      </c>
      <c r="M10" t="n">
        <v>0.00664760543245175</v>
      </c>
    </row>
    <row r="11">
      <c r="A11" s="4" t="n">
        <v>44470</v>
      </c>
      <c r="B11" t="n">
        <v>37.6676129032258</v>
      </c>
      <c r="C11" t="n">
        <v>54.127</v>
      </c>
      <c r="D11" t="n">
        <v>4.404</v>
      </c>
      <c r="E11" t="n">
        <v>7.499086772366652</v>
      </c>
      <c r="F11" t="n">
        <v>5.663385935008523</v>
      </c>
      <c r="G11" t="n">
        <v>0.5044812228514873</v>
      </c>
      <c r="H11" t="n">
        <v>13.21687370380218</v>
      </c>
      <c r="I11" t="n">
        <v>0.6630815701396071</v>
      </c>
      <c r="K11" t="n">
        <v>4.820840501351683</v>
      </c>
      <c r="L11" t="n">
        <v>4.8837</v>
      </c>
      <c r="M11" t="n">
        <v>0.01029758938057492</v>
      </c>
    </row>
    <row r="12">
      <c r="A12" s="4" t="n">
        <v>44501</v>
      </c>
      <c r="B12" t="n">
        <v>41.72213333333333</v>
      </c>
      <c r="C12" t="n">
        <v>51.098</v>
      </c>
      <c r="D12" t="n">
        <v>4.539</v>
      </c>
      <c r="E12" t="n">
        <v>6.703538928905261</v>
      </c>
      <c r="F12" t="n">
        <v>5.718370264474625</v>
      </c>
      <c r="G12" t="n">
        <v>0.4983229779512839</v>
      </c>
      <c r="H12" t="n">
        <v>12.62799468226535</v>
      </c>
      <c r="I12" t="n">
        <v>0.8904122908304467</v>
      </c>
      <c r="K12" t="n">
        <v>4.954861964446629</v>
      </c>
      <c r="L12" t="n">
        <v>2.2133</v>
      </c>
      <c r="M12" t="n">
        <v>0.0109281354813878</v>
      </c>
    </row>
    <row r="13">
      <c r="A13" s="4" t="n">
        <v>44531</v>
      </c>
      <c r="B13" t="n">
        <v>47.07567741935484</v>
      </c>
      <c r="C13" t="n">
        <v>41.65</v>
      </c>
      <c r="D13" t="n">
        <v>3.57</v>
      </c>
      <c r="E13" t="n">
        <v>7.281495822077805</v>
      </c>
      <c r="F13" t="n">
        <v>6.048276241271238</v>
      </c>
      <c r="G13" t="n">
        <v>0.4767416286358388</v>
      </c>
      <c r="H13" t="n">
        <v>10.31011180537091</v>
      </c>
      <c r="I13" t="n">
        <v>1.415581228704658</v>
      </c>
      <c r="K13" t="n">
        <v>4.619262171977827</v>
      </c>
      <c r="L13" t="n">
        <v>3.1641</v>
      </c>
      <c r="M13" t="n">
        <v>0.01011135213560909</v>
      </c>
    </row>
    <row r="14">
      <c r="A14" s="4" t="n">
        <v>44562</v>
      </c>
      <c r="B14" t="n">
        <v>48.94125806451613</v>
      </c>
      <c r="C14" t="n">
        <v>34.49</v>
      </c>
      <c r="D14" t="n">
        <v>3.619</v>
      </c>
      <c r="E14" t="n">
        <v>7.953905395026934</v>
      </c>
      <c r="F14" t="n">
        <v>5.443448617144114</v>
      </c>
      <c r="G14" t="n">
        <v>0.5280420080277121</v>
      </c>
      <c r="H14" t="n">
        <v>9.539862802446157</v>
      </c>
      <c r="I14" t="n">
        <v>1.370197074478935</v>
      </c>
      <c r="K14" t="n">
        <v>3.964637776139373</v>
      </c>
      <c r="L14" t="n">
        <v>2.72</v>
      </c>
      <c r="M14" t="n">
        <v>0.009399659806632528</v>
      </c>
    </row>
    <row r="15">
      <c r="A15" s="4" t="n">
        <v>44593</v>
      </c>
      <c r="B15" t="n">
        <v>41.81225</v>
      </c>
      <c r="C15" t="n">
        <v>23.71</v>
      </c>
      <c r="D15" t="n">
        <v>3.874000000000001</v>
      </c>
      <c r="E15" t="n">
        <v>9.016068188423439</v>
      </c>
      <c r="F15" t="n">
        <v>6.295705723868697</v>
      </c>
      <c r="H15" t="n">
        <v>8.806425817601701</v>
      </c>
      <c r="I15" t="n">
        <v>1.516791526914829</v>
      </c>
      <c r="K15" t="n">
        <v>4.101662980257229</v>
      </c>
      <c r="L15" t="n">
        <v>3.0307</v>
      </c>
      <c r="M15" t="n">
        <v>0.01046788718786575</v>
      </c>
    </row>
    <row r="16">
      <c r="A16" s="4" t="n">
        <v>44621</v>
      </c>
      <c r="B16" t="n">
        <v>37.2651935483871</v>
      </c>
      <c r="C16" t="n">
        <v>16.97</v>
      </c>
      <c r="D16" t="n">
        <v>3.545</v>
      </c>
      <c r="E16" t="n">
        <v>9.983224901870708</v>
      </c>
      <c r="F16" t="n">
        <v>6.323197888601748</v>
      </c>
      <c r="H16" t="n">
        <v>8.541549189045467</v>
      </c>
      <c r="I16" t="n">
        <v>1.444346812771263</v>
      </c>
      <c r="K16" t="n">
        <v>4.966658474645695</v>
      </c>
      <c r="L16" t="n">
        <v>4.214</v>
      </c>
      <c r="M16" t="n">
        <v>0.0103614421502775</v>
      </c>
    </row>
    <row r="17">
      <c r="A17" s="4" t="n">
        <v>44652</v>
      </c>
      <c r="B17" t="n">
        <v>33.224</v>
      </c>
      <c r="C17" t="n">
        <v>9.619999999999999</v>
      </c>
      <c r="D17" t="n">
        <v>3.401</v>
      </c>
      <c r="E17" t="n">
        <v>10.8145399186232</v>
      </c>
      <c r="F17" t="n">
        <v>5.773354593940727</v>
      </c>
      <c r="H17" t="n">
        <v>7.503875033235841</v>
      </c>
      <c r="I17" t="n">
        <v>1.475299806796442</v>
      </c>
      <c r="K17" t="n">
        <v>5.319652658310805</v>
      </c>
      <c r="L17" t="n">
        <v>3.2038</v>
      </c>
      <c r="M17" t="n">
        <v>0.01034323967669214</v>
      </c>
    </row>
    <row r="18">
      <c r="A18" s="4" t="n">
        <v>44682</v>
      </c>
      <c r="B18" t="n">
        <v>32.65948387096774</v>
      </c>
      <c r="C18" t="n">
        <v>8.73</v>
      </c>
      <c r="D18" t="n">
        <v>3.369</v>
      </c>
      <c r="E18" t="n">
        <v>10.47803265182326</v>
      </c>
      <c r="F18" t="n">
        <v>5.910815417605982</v>
      </c>
      <c r="H18" t="n">
        <v>10.50742422228131</v>
      </c>
      <c r="I18" t="n">
        <v>0.4633644733831504</v>
      </c>
      <c r="K18" t="n">
        <v>5.007263591928129</v>
      </c>
      <c r="L18" t="n">
        <v>3.8838</v>
      </c>
      <c r="M18" t="n">
        <v>0.004310061954923492</v>
      </c>
    </row>
    <row r="19">
      <c r="A19" s="4" t="n">
        <v>44713</v>
      </c>
      <c r="B19" t="n">
        <v>28.73956666666667</v>
      </c>
      <c r="C19" t="n">
        <v>14.67</v>
      </c>
      <c r="D19" t="n">
        <v>3.144</v>
      </c>
      <c r="E19" t="n">
        <v>11.0731250343652</v>
      </c>
      <c r="F19" t="n">
        <v>5.663385935008523</v>
      </c>
      <c r="H19" t="n">
        <v>13.18722587077905</v>
      </c>
      <c r="I19" t="n">
        <v>0.0379104121991899</v>
      </c>
      <c r="K19" t="n">
        <v>5.388656781628027</v>
      </c>
      <c r="L19" t="n">
        <v>4.588500000000001</v>
      </c>
      <c r="M19" t="n">
        <v>0.005526612415461594</v>
      </c>
    </row>
    <row r="20">
      <c r="A20" s="4" t="n">
        <v>44743</v>
      </c>
      <c r="B20" t="n">
        <v>42.86609677419354</v>
      </c>
      <c r="C20" t="n">
        <v>11.71</v>
      </c>
      <c r="D20" t="n">
        <v>2.658</v>
      </c>
      <c r="E20" t="n">
        <v>8.956143124209603</v>
      </c>
      <c r="F20" t="n">
        <v>6.433166547533953</v>
      </c>
      <c r="H20" t="n">
        <v>14.22685389524063</v>
      </c>
      <c r="I20" t="n">
        <v>0</v>
      </c>
      <c r="K20" t="n">
        <v>5.712323530214904</v>
      </c>
      <c r="L20" t="n">
        <v>4.5727</v>
      </c>
      <c r="M20" t="n">
        <v>0.001301000182689869</v>
      </c>
    </row>
    <row r="21">
      <c r="A21" s="4" t="n">
        <v>44774</v>
      </c>
      <c r="B21" t="n">
        <v>31.90880645161291</v>
      </c>
      <c r="C21" t="n">
        <v>11.93526658761126</v>
      </c>
      <c r="D21" t="n">
        <v>3.768</v>
      </c>
      <c r="E21" t="n">
        <v>8.466809418993007</v>
      </c>
      <c r="F21" t="n">
        <v>5.196019134546654</v>
      </c>
      <c r="H21" t="n">
        <v>14.94242289284765</v>
      </c>
      <c r="I21" t="n">
        <v>0.0339075944001121</v>
      </c>
      <c r="K21" t="n">
        <v>5.626198083067092</v>
      </c>
      <c r="L21" t="n">
        <v>4.982200000000001</v>
      </c>
      <c r="M21" t="n">
        <v>0.00124911980730653</v>
      </c>
    </row>
    <row r="22">
      <c r="A22" s="4" t="n">
        <v>44805</v>
      </c>
      <c r="B22" t="n">
        <v>32.0046</v>
      </c>
      <c r="C22" t="n">
        <v>13.45</v>
      </c>
      <c r="D22" t="n">
        <v>4</v>
      </c>
      <c r="E22" t="n">
        <v>8.473637763237479</v>
      </c>
      <c r="F22" t="n">
        <v>5.141034805080552</v>
      </c>
      <c r="H22" t="n">
        <v>15.52535535761765</v>
      </c>
      <c r="I22" t="n">
        <v>0.002081615073037518</v>
      </c>
      <c r="K22" t="n">
        <v>4.579066655743972</v>
      </c>
      <c r="L22" t="n">
        <v>4.3485</v>
      </c>
      <c r="M22" t="n">
        <v>0.00408533567933139</v>
      </c>
    </row>
    <row r="23">
      <c r="A23" s="4" t="n">
        <v>44835</v>
      </c>
      <c r="B23" t="n">
        <v>32.78758064516129</v>
      </c>
      <c r="C23" t="n">
        <v>12.96</v>
      </c>
      <c r="D23" t="n">
        <v>4.874</v>
      </c>
      <c r="E23" t="n">
        <v>6.754601390216692</v>
      </c>
      <c r="F23" t="n">
        <v>3.738934403694947</v>
      </c>
      <c r="H23" t="n">
        <v>15.68220287157671</v>
      </c>
      <c r="I23" t="n">
        <v>0.02603907080030579</v>
      </c>
      <c r="K23" t="n">
        <v>4.777477403675487</v>
      </c>
      <c r="L23" t="n">
        <v>3.581399999999999</v>
      </c>
      <c r="M23" t="n">
        <v>0.0005094918915850919</v>
      </c>
    </row>
    <row r="24">
      <c r="A24" s="4" t="n">
        <v>44866</v>
      </c>
      <c r="B24" t="n">
        <v>36.56336666666667</v>
      </c>
      <c r="C24" t="n">
        <v>11.69</v>
      </c>
      <c r="D24" t="n">
        <v>5.445</v>
      </c>
      <c r="E24" t="n">
        <v>7.062216143399131</v>
      </c>
      <c r="F24" t="n">
        <v>4.618683675152582</v>
      </c>
      <c r="H24" t="n">
        <v>16.8283025791013</v>
      </c>
      <c r="I24" t="n">
        <v>0.8986162277084363</v>
      </c>
      <c r="K24" t="n">
        <v>4.109855001228803</v>
      </c>
      <c r="L24" t="n">
        <v>4.0956</v>
      </c>
      <c r="M24" t="n">
        <v>0.002888051905207016</v>
      </c>
    </row>
    <row r="25">
      <c r="A25" s="4" t="n">
        <v>44896</v>
      </c>
      <c r="B25" t="n">
        <v>41.95783870967742</v>
      </c>
      <c r="C25" t="n">
        <v>13.85200721648593</v>
      </c>
      <c r="D25" t="n">
        <v>5.329</v>
      </c>
      <c r="E25" t="n">
        <v>8.753821632608901</v>
      </c>
      <c r="F25" t="n">
        <v>3.464012756364436</v>
      </c>
      <c r="H25" t="n">
        <v>15.3365663387397</v>
      </c>
      <c r="I25" t="n">
        <v>1.289732652000632</v>
      </c>
      <c r="K25" t="n">
        <v>4.046721826274542</v>
      </c>
      <c r="L25" t="n">
        <v>2.712</v>
      </c>
      <c r="M25" t="n">
        <v>0.002884681897917158</v>
      </c>
    </row>
    <row r="26">
      <c r="A26" s="4" t="n">
        <v>44927</v>
      </c>
      <c r="B26" t="n">
        <v>43.42574193548388</v>
      </c>
      <c r="C26" t="n">
        <v>11.72</v>
      </c>
      <c r="D26" t="n">
        <v>4.639</v>
      </c>
      <c r="E26" t="n">
        <v>10.09808605757037</v>
      </c>
      <c r="F26" t="n">
        <v>3.354044097432232</v>
      </c>
      <c r="H26" t="n">
        <v>11.35469529380484</v>
      </c>
      <c r="I26" t="n">
        <v>1.402645810460148</v>
      </c>
      <c r="J26" t="n">
        <v>1.086906475202954</v>
      </c>
      <c r="K26" t="n">
        <v>3.231533819393244</v>
      </c>
      <c r="L26" t="n">
        <v>3.923</v>
      </c>
      <c r="M26" t="n">
        <v>0</v>
      </c>
    </row>
    <row r="27">
      <c r="A27" s="4" t="n">
        <v>44958</v>
      </c>
      <c r="B27" t="n">
        <v>40.081</v>
      </c>
      <c r="C27" t="n">
        <v>9.69</v>
      </c>
      <c r="D27" t="n">
        <v>4.307</v>
      </c>
      <c r="E27" t="n">
        <v>10.9787951951551</v>
      </c>
      <c r="F27" t="n">
        <v>4.728652334084786</v>
      </c>
      <c r="H27" t="n">
        <v>10.22201781441106</v>
      </c>
      <c r="I27" t="n">
        <v>1.520588194864464</v>
      </c>
      <c r="J27" t="n">
        <v>1.202657863937349</v>
      </c>
      <c r="K27" t="n">
        <v>4.075776193987057</v>
      </c>
      <c r="L27" t="n">
        <v>5.305099999999999</v>
      </c>
      <c r="M27" t="n">
        <v>0</v>
      </c>
    </row>
    <row r="28">
      <c r="A28" s="4" t="n">
        <v>44986</v>
      </c>
      <c r="B28" t="n">
        <v>41.69680645161291</v>
      </c>
      <c r="C28" t="n">
        <v>9.369999999999999</v>
      </c>
      <c r="D28" t="n">
        <v>5.095</v>
      </c>
      <c r="E28" t="n">
        <v>13.14871398748131</v>
      </c>
      <c r="F28" t="n">
        <v>4.206301204156816</v>
      </c>
      <c r="H28" t="n">
        <v>13.00970699282106</v>
      </c>
      <c r="I28" t="n">
        <v>1.523243738437771</v>
      </c>
      <c r="J28" t="n">
        <v>1.665186991062386</v>
      </c>
      <c r="K28" t="n">
        <v>5.547663908686273</v>
      </c>
      <c r="L28" t="n">
        <v>4.4518</v>
      </c>
      <c r="M28" t="n">
        <v>0</v>
      </c>
    </row>
    <row r="29">
      <c r="A29" s="4" t="n">
        <v>45017</v>
      </c>
      <c r="B29" t="n">
        <v>31.52336666666667</v>
      </c>
      <c r="C29" t="n">
        <v>12.38</v>
      </c>
      <c r="D29" t="n">
        <v>4.843</v>
      </c>
      <c r="E29" t="n">
        <v>13.38609789959861</v>
      </c>
      <c r="F29" t="n">
        <v>4.013856051025458</v>
      </c>
      <c r="H29" t="n">
        <v>10.92750598245147</v>
      </c>
      <c r="I29" t="n">
        <v>1.411150272172431</v>
      </c>
      <c r="J29" t="n">
        <v>1.648146496581807</v>
      </c>
      <c r="K29" t="n">
        <v>5.389721744354333</v>
      </c>
      <c r="L29" t="n">
        <v>5.3324</v>
      </c>
      <c r="M29" t="n">
        <v>0</v>
      </c>
    </row>
    <row r="30">
      <c r="A30" s="4" t="n">
        <v>45047</v>
      </c>
      <c r="B30" t="n">
        <v>38.88712903225807</v>
      </c>
      <c r="C30" t="n">
        <v>8.838591386266664</v>
      </c>
      <c r="D30" t="n">
        <v>4.708</v>
      </c>
      <c r="E30" t="n">
        <v>13.12989471387751</v>
      </c>
      <c r="F30" t="n">
        <v>5.443448617144114</v>
      </c>
      <c r="H30" t="n">
        <v>13.55545931932997</v>
      </c>
      <c r="I30" t="n">
        <v>1.573128626083502</v>
      </c>
      <c r="J30" t="n">
        <v>1.886444181150307</v>
      </c>
      <c r="K30" t="n">
        <v>6.037901750361814</v>
      </c>
      <c r="L30" t="n">
        <v>4.4086</v>
      </c>
      <c r="M30" t="n">
        <v>0</v>
      </c>
    </row>
    <row r="31">
      <c r="A31" s="4" t="n">
        <v>45078</v>
      </c>
      <c r="B31" t="n">
        <v>47.43303333333333</v>
      </c>
      <c r="C31" t="n">
        <v>16.14588156964609</v>
      </c>
      <c r="D31" t="n">
        <v>4.865</v>
      </c>
      <c r="E31" t="n">
        <v>12.15766000439875</v>
      </c>
      <c r="F31" t="n">
        <v>5.58090944080937</v>
      </c>
      <c r="H31" t="n">
        <v>15.42463201276256</v>
      </c>
      <c r="I31" t="n">
        <v>1.480964883341581</v>
      </c>
      <c r="J31" t="n">
        <v>1.757784919631238</v>
      </c>
      <c r="K31" t="n">
        <v>6.019114715600338</v>
      </c>
      <c r="L31" t="n">
        <v>5.2861</v>
      </c>
      <c r="M31" t="n">
        <v>0</v>
      </c>
    </row>
    <row r="32">
      <c r="A32" s="4" t="n">
        <v>45108</v>
      </c>
      <c r="B32" t="n">
        <v>41.84712903225806</v>
      </c>
      <c r="C32" t="n">
        <v>11.24</v>
      </c>
      <c r="D32" t="n">
        <v>4.708</v>
      </c>
      <c r="E32" t="n">
        <v>8.154171625602833</v>
      </c>
      <c r="F32" t="n">
        <v>5.443448617144114</v>
      </c>
      <c r="H32" t="n">
        <v>15.55061406540814</v>
      </c>
      <c r="I32" t="n">
        <v>1.552461258218827</v>
      </c>
      <c r="J32" t="n">
        <v>1.83475321791354</v>
      </c>
      <c r="K32" t="n">
        <v>5.811419677234373</v>
      </c>
      <c r="L32" t="n">
        <v>5.4264</v>
      </c>
      <c r="M32" t="n">
        <v>0</v>
      </c>
    </row>
    <row r="33">
      <c r="A33" s="4" t="n">
        <v>45139</v>
      </c>
      <c r="B33" t="n">
        <v>42.09525806451613</v>
      </c>
      <c r="C33" t="n">
        <v>11.34</v>
      </c>
      <c r="D33" t="n">
        <v>4.821</v>
      </c>
      <c r="E33" t="n">
        <v>6.73526929905622</v>
      </c>
      <c r="F33" t="n">
        <v>6.378182218067851</v>
      </c>
      <c r="H33" t="n">
        <v>16.21968665248604</v>
      </c>
      <c r="I33" t="n">
        <v>1.52250189341199</v>
      </c>
      <c r="J33" t="n">
        <v>1.837075933358992</v>
      </c>
      <c r="K33" t="n">
        <v>5.900548865405096</v>
      </c>
      <c r="L33" t="n">
        <v>5.6275</v>
      </c>
      <c r="M33" t="n">
        <v>0</v>
      </c>
    </row>
    <row r="34">
      <c r="A34" s="4" t="n">
        <v>45170</v>
      </c>
      <c r="B34" t="n">
        <v>38.81713333333333</v>
      </c>
      <c r="C34" t="n">
        <v>10.93</v>
      </c>
      <c r="D34" t="n">
        <v>5.068</v>
      </c>
      <c r="E34" t="n">
        <v>5.488196239071865</v>
      </c>
      <c r="F34" t="n">
        <v>10.227085280695</v>
      </c>
      <c r="H34" t="n">
        <v>16.81102924754055</v>
      </c>
      <c r="I34" t="n">
        <v>1.416554773556203</v>
      </c>
      <c r="J34" t="n">
        <v>1.557084730851707</v>
      </c>
      <c r="K34" t="n">
        <v>5.705797220174217</v>
      </c>
      <c r="L34" t="n">
        <v>5.8205</v>
      </c>
      <c r="M34" t="n">
        <v>0</v>
      </c>
    </row>
    <row r="35">
      <c r="A35" s="4" t="n">
        <v>45200</v>
      </c>
      <c r="B35" t="n">
        <v>32.39345161290323</v>
      </c>
      <c r="C35" t="n">
        <v>11.59</v>
      </c>
      <c r="D35" t="n">
        <v>5.101</v>
      </c>
      <c r="E35" t="n">
        <v>4.30558095378301</v>
      </c>
      <c r="F35" t="n">
        <v>10.2820696101611</v>
      </c>
      <c r="H35" t="n">
        <v>15.39124634405743</v>
      </c>
      <c r="I35" t="n">
        <v>0.8345073670133044</v>
      </c>
      <c r="J35" t="n">
        <v>1.349986360338916</v>
      </c>
      <c r="K35" t="n">
        <v>6.434941700117419</v>
      </c>
      <c r="L35" t="n">
        <v>4.8042</v>
      </c>
      <c r="M35" t="n">
        <v>0</v>
      </c>
    </row>
    <row r="36">
      <c r="A36" s="4" t="n">
        <v>45231</v>
      </c>
      <c r="B36" t="n">
        <v>39.00773333333333</v>
      </c>
      <c r="C36" t="n">
        <v>19.59</v>
      </c>
      <c r="D36" t="n">
        <v>5.193</v>
      </c>
      <c r="E36" t="n">
        <v>3.29738412052565</v>
      </c>
      <c r="F36" t="n">
        <v>6.653103865398362</v>
      </c>
      <c r="H36" t="n">
        <v>13.68129978729061</v>
      </c>
      <c r="I36" t="n">
        <v>1.308743791352798</v>
      </c>
      <c r="J36" t="n">
        <v>1.355599274206851</v>
      </c>
      <c r="K36" t="n">
        <v>5.613964665082876</v>
      </c>
      <c r="L36" t="n">
        <v>5.129</v>
      </c>
      <c r="M36" t="n">
        <v>0</v>
      </c>
    </row>
    <row r="37">
      <c r="A37" s="4" t="n">
        <v>45261</v>
      </c>
      <c r="B37" t="n">
        <v>39.36541935483871</v>
      </c>
      <c r="C37" t="n">
        <v>20.55</v>
      </c>
      <c r="D37" t="n">
        <v>4.655</v>
      </c>
      <c r="E37" t="n">
        <v>3.623811629008313</v>
      </c>
      <c r="F37" t="n">
        <v>9.759718480233133</v>
      </c>
      <c r="H37" t="n">
        <v>9.326353097580432</v>
      </c>
      <c r="I37" t="n">
        <v>1.188715087167899</v>
      </c>
      <c r="J37" t="n">
        <v>1.177777444718578</v>
      </c>
      <c r="K37" t="n">
        <v>5.238087436170503</v>
      </c>
      <c r="L37" t="n">
        <v>4.752</v>
      </c>
      <c r="M37" t="n">
        <v>0</v>
      </c>
    </row>
    <row r="38">
      <c r="A38" s="4" t="n">
        <v>45292</v>
      </c>
      <c r="B38" t="n">
        <v>45.26554838709677</v>
      </c>
      <c r="C38" t="n">
        <v>17.64</v>
      </c>
      <c r="D38" t="n">
        <v>5.453</v>
      </c>
      <c r="E38" t="n">
        <v>5.652430085651395</v>
      </c>
      <c r="F38" t="n">
        <v>8.302633749381426</v>
      </c>
      <c r="G38" t="n">
        <v>0.4097432231813933</v>
      </c>
      <c r="H38" t="n">
        <v>9.123660462642913</v>
      </c>
      <c r="I38" t="n">
        <v>1.553954260132636</v>
      </c>
      <c r="J38" t="n">
        <v>1.443303671356889</v>
      </c>
      <c r="K38" t="n">
        <v>5.277272603151197</v>
      </c>
      <c r="L38" t="n">
        <v>4.1352</v>
      </c>
      <c r="M38" t="n">
        <v>0.0002913282617679768</v>
      </c>
    </row>
    <row r="39">
      <c r="A39" s="4" t="n">
        <v>45323</v>
      </c>
      <c r="B39" t="n">
        <v>47.47141379310345</v>
      </c>
      <c r="C39" t="n">
        <v>10.98476368816014</v>
      </c>
      <c r="D39" t="n">
        <v>5.15</v>
      </c>
      <c r="E39" t="n">
        <v>8.306380504831985</v>
      </c>
      <c r="F39" t="n">
        <v>9.099906526639908</v>
      </c>
      <c r="G39" t="n">
        <v>0.4291526914829273</v>
      </c>
      <c r="H39" t="n">
        <v>10.60831746875831</v>
      </c>
      <c r="I39" t="n">
        <v>1.38487646537978</v>
      </c>
      <c r="J39" t="n">
        <v>1.599877100543586</v>
      </c>
      <c r="K39" t="n">
        <v>5.964009721198219</v>
      </c>
      <c r="L39" t="n">
        <v>3.7773</v>
      </c>
      <c r="M39" t="n">
        <v>0.004088985501201123</v>
      </c>
    </row>
    <row r="40">
      <c r="A40" s="4" t="n">
        <v>45352</v>
      </c>
      <c r="B40" t="n">
        <v>43.5811935483871</v>
      </c>
      <c r="C40" t="n">
        <v>10.42900172574582</v>
      </c>
      <c r="D40" t="n">
        <v>4.33</v>
      </c>
      <c r="E40" t="n">
        <v>9.047047518876473</v>
      </c>
      <c r="F40" t="n">
        <v>12.67388794193655</v>
      </c>
      <c r="G40" t="n">
        <v>0.4006158244900204</v>
      </c>
      <c r="H40" t="n">
        <v>10.14896011699016</v>
      </c>
      <c r="I40" t="n">
        <v>1.185996023391398</v>
      </c>
      <c r="J40" t="n">
        <v>1.632036300299576</v>
      </c>
      <c r="K40" t="n">
        <v>5.984599000573441</v>
      </c>
      <c r="L40" t="n">
        <v>4.4331</v>
      </c>
      <c r="M40" t="n">
        <v>0.03429758405951078</v>
      </c>
    </row>
    <row r="41">
      <c r="A41" s="4" t="n">
        <v>45383</v>
      </c>
      <c r="B41" t="n">
        <v>34.63736666666667</v>
      </c>
      <c r="C41" t="n">
        <v>9.12529018172758</v>
      </c>
      <c r="D41" t="n">
        <v>4.672</v>
      </c>
      <c r="E41" t="n">
        <v>9.682104662671138</v>
      </c>
      <c r="F41" t="n">
        <v>14.1034805080552</v>
      </c>
      <c r="G41" t="n">
        <v>0.4211249793808765</v>
      </c>
      <c r="H41" t="n">
        <v>8.565023929805903</v>
      </c>
      <c r="I41" t="n">
        <v>1.494562416377999</v>
      </c>
      <c r="J41" t="n">
        <v>1.756058833232528</v>
      </c>
      <c r="K41" t="n">
        <v>5.934245378334835</v>
      </c>
      <c r="L41" t="n">
        <v>4.6401</v>
      </c>
      <c r="M41" t="n">
        <v>0.05220349700335405</v>
      </c>
    </row>
    <row r="42">
      <c r="A42" s="4" t="n">
        <v>45413</v>
      </c>
      <c r="B42" t="n">
        <v>26.4606129032258</v>
      </c>
      <c r="C42" t="n">
        <v>8.289139992168124</v>
      </c>
      <c r="D42" t="n">
        <v>4.652</v>
      </c>
      <c r="E42" t="n">
        <v>11.66863605162851</v>
      </c>
      <c r="F42" t="n">
        <v>4.811128828283939</v>
      </c>
      <c r="G42" t="n">
        <v>0.4023478308682026</v>
      </c>
      <c r="H42" t="n">
        <v>11.1010321722946</v>
      </c>
      <c r="I42" t="n">
        <v>1.495416790085794</v>
      </c>
      <c r="J42" t="n">
        <v>1.656856776463869</v>
      </c>
      <c r="K42" t="n">
        <v>5.859452226864367</v>
      </c>
      <c r="L42" t="n">
        <v>3.5752</v>
      </c>
      <c r="M42" t="n">
        <v>0.0595207583580615</v>
      </c>
    </row>
    <row r="43">
      <c r="A43" s="4" t="n">
        <v>45444</v>
      </c>
      <c r="B43" t="n">
        <v>33.62496666666667</v>
      </c>
      <c r="C43" t="n">
        <v>9.125729353657023</v>
      </c>
      <c r="D43" t="n">
        <v>4.387</v>
      </c>
      <c r="E43" t="n">
        <v>8.909947352504537</v>
      </c>
      <c r="F43" t="n">
        <v>4.508715016220378</v>
      </c>
      <c r="G43" t="n">
        <v>0.3986913729587068</v>
      </c>
      <c r="H43" t="n">
        <v>14.29546583355491</v>
      </c>
      <c r="I43" t="n">
        <v>1.321945573097874</v>
      </c>
      <c r="J43" t="n">
        <v>1.462648191931966</v>
      </c>
      <c r="K43" t="n">
        <v>6.606946833783894</v>
      </c>
      <c r="L43" t="n">
        <v>4.7295</v>
      </c>
      <c r="M43" t="n">
        <v>0.05510873151151922</v>
      </c>
    </row>
    <row r="44">
      <c r="A44" s="4" t="n">
        <v>45474</v>
      </c>
      <c r="B44" t="n">
        <v>28.02745161290322</v>
      </c>
      <c r="C44" t="n">
        <v>16.88847885514707</v>
      </c>
      <c r="D44" t="n">
        <v>4.261</v>
      </c>
      <c r="E44" t="n">
        <v>7.949538131632485</v>
      </c>
      <c r="F44" t="n">
        <v>5.278495628745808</v>
      </c>
      <c r="G44" t="n">
        <v>0.3914334414691813</v>
      </c>
      <c r="H44" t="n">
        <v>15.15918904546663</v>
      </c>
      <c r="I44" t="n">
        <v>1.085682435344637</v>
      </c>
      <c r="J44" t="n">
        <v>1.082775910478417</v>
      </c>
      <c r="K44" t="n">
        <v>6.439228857759209</v>
      </c>
      <c r="L44" t="n">
        <v>4.333</v>
      </c>
      <c r="M44" t="n">
        <v>0.04763483133113515</v>
      </c>
    </row>
    <row r="45">
      <c r="A45" s="4" t="n">
        <v>45505</v>
      </c>
      <c r="B45" t="n">
        <v>30.71709677419355</v>
      </c>
      <c r="C45" t="n">
        <v>21.81356450301903</v>
      </c>
      <c r="D45" t="n">
        <v>4.346</v>
      </c>
      <c r="E45" t="n">
        <v>7.499334866982265</v>
      </c>
      <c r="F45" t="n">
        <v>6.433166547533953</v>
      </c>
      <c r="G45" t="n">
        <v>0.3795843184692363</v>
      </c>
      <c r="H45" t="n">
        <v>15.06868811486307</v>
      </c>
      <c r="I45" t="n">
        <v>1.15159427950131</v>
      </c>
      <c r="J45" t="n">
        <v>0.8010830316585579</v>
      </c>
      <c r="K45" t="n">
        <v>6.725649217661998</v>
      </c>
      <c r="L45" t="n">
        <v>3.9189</v>
      </c>
      <c r="M45" t="n">
        <v>0.05253619653882514</v>
      </c>
    </row>
    <row r="46">
      <c r="A46" s="4" t="n">
        <v>45536</v>
      </c>
      <c r="B46" t="n">
        <v>35.0913</v>
      </c>
      <c r="C46" t="n">
        <v>33.08677916401097</v>
      </c>
      <c r="D46" t="n">
        <v>5.15</v>
      </c>
      <c r="E46" t="n">
        <v>4.588684224995876</v>
      </c>
      <c r="F46" t="n">
        <v>10.55699125749162</v>
      </c>
      <c r="G46" t="n">
        <v>0.4619233518447243</v>
      </c>
      <c r="H46" t="n">
        <v>15.41350345652752</v>
      </c>
      <c r="I46" t="n">
        <v>1.163881343817012</v>
      </c>
      <c r="J46" t="n">
        <v>0.6256578508458422</v>
      </c>
      <c r="K46" t="n">
        <v>6.049179432566014</v>
      </c>
      <c r="L46" t="n">
        <v>4.0267</v>
      </c>
      <c r="M46" t="n">
        <v>0.05398980040688404</v>
      </c>
    </row>
    <row r="47">
      <c r="A47" s="4" t="n">
        <v>45566</v>
      </c>
      <c r="B47" t="n">
        <v>38.76170967741935</v>
      </c>
      <c r="C47" t="n">
        <v>34.20600687574574</v>
      </c>
      <c r="D47" t="n">
        <v>4.593</v>
      </c>
      <c r="E47" t="n">
        <v>3.618175956949044</v>
      </c>
      <c r="F47" t="n">
        <v>12.7563644361357</v>
      </c>
      <c r="G47" t="n">
        <v>0.5201242645845934</v>
      </c>
      <c r="H47" t="n">
        <v>15.42791677745281</v>
      </c>
      <c r="I47" t="n">
        <v>1.277192056715449</v>
      </c>
      <c r="J47" t="n">
        <v>1.383223589341554</v>
      </c>
      <c r="K47" t="n">
        <v>6.63444471751181</v>
      </c>
      <c r="L47" t="n">
        <v>4.9462</v>
      </c>
      <c r="M47" t="n">
        <v>0.05894741369677384</v>
      </c>
    </row>
    <row r="48">
      <c r="A48" s="4" t="n">
        <v>45597</v>
      </c>
      <c r="B48" t="n">
        <v>40.7637</v>
      </c>
      <c r="C48" t="n">
        <v>25.59133363269286</v>
      </c>
      <c r="D48" t="n">
        <v>4.235</v>
      </c>
      <c r="E48" t="n">
        <v>2.051507945235608</v>
      </c>
      <c r="F48" t="n">
        <v>7.477868807389894</v>
      </c>
      <c r="G48" t="n">
        <v>0.5101446087864958</v>
      </c>
      <c r="H48" t="n">
        <v>13.41979287423558</v>
      </c>
      <c r="I48" t="n">
        <v>0.200092282032954</v>
      </c>
      <c r="J48" t="n">
        <v>1.273311467898316</v>
      </c>
      <c r="K48" t="n">
        <v>6.109500013653368</v>
      </c>
      <c r="L48" t="n">
        <v>5.8013</v>
      </c>
      <c r="M48" t="n">
        <v>0.03966363336449111</v>
      </c>
    </row>
    <row r="49">
      <c r="A49" s="4" t="n">
        <v>45627</v>
      </c>
      <c r="B49" t="n">
        <v>37.462</v>
      </c>
      <c r="C49" t="n">
        <v>21.07240745942666</v>
      </c>
      <c r="D49" t="n">
        <v>4.76</v>
      </c>
      <c r="E49" t="n">
        <v>4.412189138998611</v>
      </c>
      <c r="F49" t="n">
        <v>9.457304668169572</v>
      </c>
      <c r="G49" t="n">
        <v>0.4810578984989278</v>
      </c>
      <c r="H49" t="n">
        <v>8.477213108215901</v>
      </c>
      <c r="I49" t="n">
        <v>0.3419837281858541</v>
      </c>
      <c r="J49" t="n">
        <v>1.017125383781751</v>
      </c>
      <c r="K49" t="n">
        <v>5.730646350454657</v>
      </c>
      <c r="L49" t="n">
        <v>4.6449</v>
      </c>
      <c r="M49" t="n">
        <v>0.04201445733127349</v>
      </c>
    </row>
    <row r="50">
      <c r="A50" s="4" t="n">
        <v>45658</v>
      </c>
      <c r="B50" t="n">
        <v>49.60845161290323</v>
      </c>
      <c r="C50" t="n">
        <v>18.84</v>
      </c>
      <c r="D50" t="n">
        <v>4.932</v>
      </c>
      <c r="E50" t="n">
        <v>6.898999107834912</v>
      </c>
      <c r="F50" t="n">
        <v>5.08605047561445</v>
      </c>
      <c r="H50" t="n">
        <v>8.262400824248871</v>
      </c>
      <c r="I50" t="n">
        <v>0.7370748691461644</v>
      </c>
      <c r="J50" t="n">
        <v>1.068881068895365</v>
      </c>
      <c r="K50" t="n">
        <v>5.138554381365883</v>
      </c>
      <c r="L50" t="n">
        <v>4.7197</v>
      </c>
      <c r="M50" t="n">
        <v>0.04440228486494253</v>
      </c>
    </row>
    <row r="51">
      <c r="A51" s="4" t="n">
        <v>45689</v>
      </c>
      <c r="B51" t="n">
        <v>53.60714285714285</v>
      </c>
      <c r="C51" t="n">
        <v>13.00416329101943</v>
      </c>
      <c r="D51" t="n">
        <v>6.562</v>
      </c>
      <c r="E51" t="n">
        <v>8.273840861604443</v>
      </c>
      <c r="F51" t="n">
        <v>4.178809039423764</v>
      </c>
      <c r="H51" t="n">
        <v>10.71362815740495</v>
      </c>
      <c r="I51" t="n">
        <v>1.855855143784021</v>
      </c>
      <c r="J51" t="n">
        <v>1.373576809180812</v>
      </c>
      <c r="K51" t="n">
        <v>5.694819912072308</v>
      </c>
      <c r="L51" t="n">
        <v>4.0983</v>
      </c>
      <c r="M51" t="n">
        <v>0.05362739476392085</v>
      </c>
    </row>
    <row r="52">
      <c r="A52" s="4" t="n">
        <v>45717</v>
      </c>
      <c r="B52" t="n">
        <v>41.65922580645161</v>
      </c>
      <c r="C52" t="n">
        <v>12.66915639923995</v>
      </c>
      <c r="D52" t="n">
        <v>4.163</v>
      </c>
      <c r="E52" t="n">
        <v>8.891243435137115</v>
      </c>
      <c r="F52" t="n">
        <v>4.371254192555122</v>
      </c>
      <c r="H52" t="n">
        <v>10.92087981919702</v>
      </c>
      <c r="I52" t="n">
        <v>2.334450963733401</v>
      </c>
      <c r="J52" t="n">
        <v>1.669020126038272</v>
      </c>
      <c r="K52" t="n">
        <v>5.94131782310696</v>
      </c>
      <c r="L52" t="n">
        <v>3.6642</v>
      </c>
      <c r="M52" t="n">
        <v>0.05412386905215884</v>
      </c>
    </row>
    <row r="53">
      <c r="A53" s="4" t="n">
        <v>45748</v>
      </c>
      <c r="B53" t="n">
        <v>32.6062</v>
      </c>
      <c r="C53" t="n">
        <v>15.63101067233002</v>
      </c>
      <c r="D53" t="n">
        <v>3.889</v>
      </c>
      <c r="E53" t="n">
        <v>9.80988412052565</v>
      </c>
      <c r="F53" t="n">
        <v>4.811128828283939</v>
      </c>
      <c r="H53" t="n">
        <v>8.542766817335815</v>
      </c>
      <c r="I53" t="n">
        <v>2.497051556972929</v>
      </c>
      <c r="J53" t="n">
        <v>1.600691519583585</v>
      </c>
      <c r="K53" t="n">
        <v>6.245050653996341</v>
      </c>
      <c r="L53" t="n">
        <v>3.8274</v>
      </c>
      <c r="M53" t="n">
        <v>0.05535753560235334</v>
      </c>
    </row>
    <row r="54">
      <c r="A54" s="4" t="n">
        <v>45778</v>
      </c>
      <c r="B54" t="n">
        <v>32.03893548387097</v>
      </c>
      <c r="C54" t="n">
        <v>16.93393960380565</v>
      </c>
      <c r="D54" t="n">
        <v>4.18</v>
      </c>
      <c r="E54" t="n">
        <v>8.53254385000275</v>
      </c>
      <c r="F54" t="n">
        <v>4.233793368889867</v>
      </c>
      <c r="H54" t="n">
        <v>9.754137064610477</v>
      </c>
      <c r="I54" t="n">
        <v>1.719137384555079</v>
      </c>
      <c r="J54" t="n">
        <v>1.741532626104786</v>
      </c>
      <c r="K54" t="n">
        <v>5.995958602987357</v>
      </c>
      <c r="L54" t="n">
        <v>5.008900000000001</v>
      </c>
      <c r="M54" t="n">
        <v>0.05418639155582595</v>
      </c>
    </row>
    <row r="55">
      <c r="A55" s="4" t="n">
        <v>45809</v>
      </c>
      <c r="B55" t="n">
        <v>31.81966666666667</v>
      </c>
      <c r="C55" t="n">
        <v>19.01009639605966</v>
      </c>
      <c r="D55" t="n">
        <v>4.015</v>
      </c>
      <c r="E55" t="n">
        <v>9.618614257436628</v>
      </c>
      <c r="F55" t="n">
        <v>4.673668004618683</v>
      </c>
      <c r="H55" t="n">
        <v>11.82855091730923</v>
      </c>
      <c r="I55" t="n">
        <v>1.985403401697183</v>
      </c>
      <c r="J55" t="n">
        <v>1.39157055405876</v>
      </c>
      <c r="K55" t="n">
        <v>5.890773053712351</v>
      </c>
      <c r="L55" t="n">
        <v>4.5275</v>
      </c>
      <c r="M55" t="n">
        <v>0.05152856435915765</v>
      </c>
    </row>
    <row r="56">
      <c r="A56" s="4" t="n">
        <v>45839</v>
      </c>
      <c r="B56" t="n">
        <v>31.51703225806451</v>
      </c>
      <c r="C56" t="n">
        <v>31.73984191432241</v>
      </c>
      <c r="D56" t="n">
        <v>4.383</v>
      </c>
      <c r="E56" t="n">
        <v>10.22386537175615</v>
      </c>
      <c r="F56" t="n">
        <v>5.223511299279705</v>
      </c>
      <c r="H56" t="n">
        <v>14.48159306035629</v>
      </c>
      <c r="I56" t="n">
        <v>1.173333132315355</v>
      </c>
      <c r="J56" t="n">
        <v>1.580015909981784</v>
      </c>
      <c r="K56" t="n">
        <v>6.238360503536223</v>
      </c>
      <c r="L56" t="n">
        <v>5.0971</v>
      </c>
      <c r="M56" t="n">
        <v>0.05489342795367837</v>
      </c>
    </row>
    <row r="57">
      <c r="A57" s="4" t="n">
        <v>45870</v>
      </c>
      <c r="B57" t="n">
        <v>34.16245161290323</v>
      </c>
      <c r="C57" t="n">
        <v>33.46719822612053</v>
      </c>
      <c r="D57" t="n">
        <v>4.219</v>
      </c>
      <c r="E57" t="n">
        <v>8.183031082109341</v>
      </c>
      <c r="F57" t="n">
        <v>4.646175839885633</v>
      </c>
      <c r="H57" t="n">
        <v>14.70102100505185</v>
      </c>
      <c r="I57" t="n">
        <v>1.372351218612373</v>
      </c>
      <c r="J57" t="n">
        <v>1.376306347852152</v>
      </c>
      <c r="K57" t="n">
        <v>6.356735206575462</v>
      </c>
      <c r="L57" t="n">
        <v>6.7607</v>
      </c>
      <c r="M57" t="n">
        <v>0.05951477216090188</v>
      </c>
    </row>
    <row r="58">
      <c r="A58" s="4" t="n">
        <v>45901</v>
      </c>
      <c r="B58" t="n">
        <v>26.52736666666667</v>
      </c>
      <c r="C58" t="n">
        <v>26.75464498827466</v>
      </c>
      <c r="D58" t="n">
        <v>5.305</v>
      </c>
      <c r="E58" t="n">
        <v>4.624890031341067</v>
      </c>
      <c r="F58" t="n">
        <v>5.141034805080552</v>
      </c>
      <c r="H58" t="n">
        <v>15.01157285296464</v>
      </c>
      <c r="I58" t="n">
        <v>1.720009347336009</v>
      </c>
      <c r="J58" t="n">
        <v>1.059135481387804</v>
      </c>
      <c r="K58" t="n">
        <v>6.468037464842577</v>
      </c>
      <c r="L58" t="n">
        <v>7.0589</v>
      </c>
      <c r="M58" t="n">
        <v>0.05516921427393193</v>
      </c>
    </row>
    <row r="59">
      <c r="A59" s="4" t="n">
        <v>45931</v>
      </c>
      <c r="B59" t="n">
        <v>27.18245161290323</v>
      </c>
      <c r="C59" t="n">
        <v>37.67483014800393</v>
      </c>
      <c r="D59" t="n">
        <v>4.577</v>
      </c>
      <c r="E59" t="n">
        <v>3.886340961374396</v>
      </c>
      <c r="F59" t="n">
        <v>4.343762027822071</v>
      </c>
      <c r="H59" t="n">
        <v>11.12076907737304</v>
      </c>
      <c r="I59" t="n">
        <v>1.334260114899512</v>
      </c>
      <c r="J59" t="n">
        <v>0.879351415491746</v>
      </c>
      <c r="K59" t="n">
        <v>5.822751972911718</v>
      </c>
      <c r="L59" t="n">
        <v>5.7929</v>
      </c>
      <c r="M59" t="n">
        <v>0.048780190387675</v>
      </c>
    </row>
    <row r="60">
      <c r="A60" s="4" t="n">
        <v>45962</v>
      </c>
      <c r="B60" t="n">
        <v>32.6</v>
      </c>
      <c r="C60" t="n">
        <v>40.10651848220888</v>
      </c>
      <c r="D60" t="n">
        <v>5.316</v>
      </c>
      <c r="E60" t="n">
        <v>5.201172540825865</v>
      </c>
      <c r="F60" t="n">
        <v>4.618683675152582</v>
      </c>
      <c r="H60" t="n">
        <v>11.29061406540814</v>
      </c>
      <c r="I60" t="n">
        <v>1.243696046626711</v>
      </c>
      <c r="J60" t="n">
        <v>1.516842946426935</v>
      </c>
      <c r="K60" t="n">
        <v>6.569481991207231</v>
      </c>
      <c r="L60" t="n">
        <v>5.4532</v>
      </c>
      <c r="M60" t="n">
        <v>0.05817273327101775</v>
      </c>
    </row>
    <row r="61">
      <c r="A61" s="4" t="n">
        <v>45992</v>
      </c>
      <c r="B61" t="n">
        <v>46.22896774193548</v>
      </c>
      <c r="C61" t="n">
        <v>26.09951473419081</v>
      </c>
      <c r="D61" t="n">
        <v>5.037</v>
      </c>
      <c r="E61" t="n">
        <v>5.460107538706309</v>
      </c>
      <c r="F61" t="n">
        <v>3.683950074228845</v>
      </c>
      <c r="H61" t="n">
        <v>14.31477798457857</v>
      </c>
      <c r="I61" t="n">
        <v>1.299904309529849</v>
      </c>
      <c r="J61" t="n">
        <v>1.247769427648604</v>
      </c>
      <c r="K61" t="n">
        <v>6.116162857376914</v>
      </c>
      <c r="L61" t="n">
        <v>3.937699999999999</v>
      </c>
      <c r="M61" t="n">
        <v>0.05597160857542697</v>
      </c>
    </row>
    <row r="62">
      <c r="A62" s="4" t="n">
        <v>46023</v>
      </c>
      <c r="B62" t="n">
        <v>48.57045161290323</v>
      </c>
      <c r="C62" t="n">
        <v>28.71289877862269</v>
      </c>
      <c r="D62" t="n">
        <v>4.771449809249443</v>
      </c>
      <c r="E62" t="n">
        <v>7.986429734461162</v>
      </c>
      <c r="F62" t="n">
        <v>3.958871721559356</v>
      </c>
      <c r="G62" t="n">
        <v>0.4882608456589872</v>
      </c>
      <c r="H62" t="n">
        <v>11.49194748737038</v>
      </c>
      <c r="I62" t="n">
        <v>1.322654430584058</v>
      </c>
      <c r="K62" t="n">
        <v>4.735506949564457</v>
      </c>
      <c r="L62" t="n">
        <v>4.6998</v>
      </c>
      <c r="M62" t="n">
        <v>0.05724467317137197</v>
      </c>
    </row>
    <row r="63">
      <c r="A63" s="4" t="n">
        <v>46054</v>
      </c>
      <c r="B63" t="n">
        <v>49.45792857142857</v>
      </c>
      <c r="C63" t="n">
        <v>22.0084305947408</v>
      </c>
      <c r="D63" t="n">
        <v>5.267466877122609</v>
      </c>
      <c r="E63" t="n">
        <v>7.938671117124476</v>
      </c>
      <c r="F63" t="n">
        <v>4.481222851487326</v>
      </c>
      <c r="G63" t="n">
        <v>0.4790784626381481</v>
      </c>
      <c r="H63" t="n">
        <v>10.26075538420633</v>
      </c>
      <c r="I63" t="n">
        <v>0.5876017210095124</v>
      </c>
      <c r="K63" t="n">
        <v>5.578848201851397</v>
      </c>
      <c r="L63" t="n">
        <v>5.1285</v>
      </c>
      <c r="M63" t="n">
        <v>0.06196341185619241</v>
      </c>
    </row>
    <row r="64">
      <c r="A64" s="4" t="n">
        <v>46082</v>
      </c>
      <c r="B64" t="n">
        <v>45.52867741935484</v>
      </c>
      <c r="C64" t="n">
        <v>28.12284641502948</v>
      </c>
      <c r="D64" t="n">
        <v>5.734661323823531</v>
      </c>
      <c r="E64" t="n">
        <v>9.020320478824827</v>
      </c>
      <c r="F64" t="n">
        <v>4.013856051025458</v>
      </c>
      <c r="G64" t="n">
        <v>0.5294166162643646</v>
      </c>
      <c r="H64" t="n">
        <v>7.166393778250465</v>
      </c>
      <c r="I64" t="n">
        <v>1.266736076992251</v>
      </c>
      <c r="K64" t="n">
        <v>4.632232871849485</v>
      </c>
      <c r="L64" t="n">
        <v>5.6755</v>
      </c>
      <c r="M64" t="n">
        <v>0.08451579203152909</v>
      </c>
    </row>
    <row r="65">
      <c r="A65" s="4" t="n">
        <v>46113</v>
      </c>
      <c r="B65" t="n">
        <v>37.07236666666667</v>
      </c>
      <c r="C65" t="n">
        <v>19.19793595535081</v>
      </c>
      <c r="D65" t="n">
        <v>5.271792028375665</v>
      </c>
      <c r="E65" t="n">
        <v>8.442322812998297</v>
      </c>
      <c r="F65" t="n">
        <v>4.536207180953428</v>
      </c>
      <c r="H65" t="n">
        <v>10.40726721616591</v>
      </c>
      <c r="I65" t="n">
        <v>1.868801524898737</v>
      </c>
      <c r="K65" t="n">
        <v>5.985691270036318</v>
      </c>
      <c r="L65" t="n">
        <v>5.480300000000001</v>
      </c>
      <c r="M65" t="n">
        <v>0.0954039973607522</v>
      </c>
    </row>
    <row r="66">
      <c r="A66" s="4" t="n">
        <v>46143</v>
      </c>
      <c r="B66" t="n">
        <v>32.28264516129032</v>
      </c>
      <c r="C66" t="n">
        <v>16.94541918286872</v>
      </c>
      <c r="D66" t="n">
        <v>4.669503658081903</v>
      </c>
      <c r="E66" t="n">
        <v>9.034261001743534</v>
      </c>
      <c r="F66" t="n">
        <v>5.745862429207675</v>
      </c>
      <c r="H66" t="n">
        <v>11.9735902685456</v>
      </c>
      <c r="I66" t="n">
        <v>2.151856519279102</v>
      </c>
      <c r="K66" t="n">
        <v>6.758881516070015</v>
      </c>
      <c r="L66" t="n">
        <v>5.5063</v>
      </c>
      <c r="M66" t="n">
        <v>0.08948965673815219</v>
      </c>
    </row>
    <row r="67">
      <c r="A67" s="4" t="n">
        <v>46174</v>
      </c>
      <c r="B67" t="n">
        <v>35.97166666666667</v>
      </c>
      <c r="C67" t="n">
        <v>21.30266038753376</v>
      </c>
      <c r="D67" t="n">
        <v>4.803241787684375</v>
      </c>
      <c r="E67" t="n">
        <v>9.347834992027273</v>
      </c>
      <c r="F67" t="n">
        <v>6.020784076538186</v>
      </c>
      <c r="H67" t="n">
        <v>15.01565049189045</v>
      </c>
      <c r="I67" t="n">
        <v>2.163263136672714</v>
      </c>
      <c r="K67" t="n">
        <v>7.313195394456858</v>
      </c>
      <c r="L67" t="n">
        <v>6.6567</v>
      </c>
      <c r="M67" t="n">
        <v>0.09446239071864521</v>
      </c>
    </row>
    <row r="68">
      <c r="A68" s="4" t="n">
        <v>46204</v>
      </c>
      <c r="B68" t="n">
        <v>35.22276957074979</v>
      </c>
      <c r="C68" t="n">
        <v>25.20421003943697</v>
      </c>
      <c r="D68" t="n">
        <v>5.236595691631543</v>
      </c>
      <c r="E68" t="n">
        <v>7.436461173081802</v>
      </c>
      <c r="F68" t="n">
        <v>7.312915818991588</v>
      </c>
      <c r="H68" t="n">
        <v>16.13952140388195</v>
      </c>
      <c r="I68" t="n">
        <v>2.399752570517402</v>
      </c>
      <c r="K68" t="n">
        <v>6.89684426681834</v>
      </c>
      <c r="L68" t="n">
        <v>5.474200000000001</v>
      </c>
      <c r="M68" t="n">
        <v>0.09537076288096603</v>
      </c>
    </row>
    <row r="69">
      <c r="A69" s="4" t="n">
        <v>46235</v>
      </c>
      <c r="B69" t="n">
        <v>30.02735471706005</v>
      </c>
      <c r="C69" t="n">
        <v>22.74060825379097</v>
      </c>
      <c r="D69" t="n">
        <v>5.031720588969053</v>
      </c>
      <c r="E69" t="n">
        <v>3.943067495924951</v>
      </c>
      <c r="F69" t="n">
        <v>8.770000549843294</v>
      </c>
      <c r="H69" t="n">
        <v>15.17399880350971</v>
      </c>
      <c r="I69" t="n">
        <v>2.483393579604007</v>
      </c>
      <c r="K69" t="n">
        <v>6.90411494066667</v>
      </c>
      <c r="L69" t="n">
        <v>6.184200000000001</v>
      </c>
      <c r="M69" t="n">
        <v>0.07813982692352034</v>
      </c>
    </row>
    <row r="70">
      <c r="A70" s="4" t="n">
        <v>46266</v>
      </c>
      <c r="B70" t="n">
        <v>25.32226260700852</v>
      </c>
      <c r="C70" t="n">
        <v>22.22974832049204</v>
      </c>
      <c r="D70" t="n">
        <v>4.854579087641927</v>
      </c>
      <c r="E70" t="n">
        <v>1.934320531148622</v>
      </c>
      <c r="F70" t="n">
        <v>9.95216363336449</v>
      </c>
      <c r="H70" t="n">
        <v>17.21995413453869</v>
      </c>
      <c r="I70" t="n">
        <v>2.115305163028537</v>
      </c>
      <c r="K70" t="n">
        <v>7.07057219372745</v>
      </c>
      <c r="M70" t="n">
        <v>0.06596470006048277</v>
      </c>
    </row>
    <row r="71">
      <c r="A71" s="4" t="n">
        <v>46296</v>
      </c>
      <c r="B71" t="n">
        <v>23.36696269042877</v>
      </c>
      <c r="C71" t="n">
        <v>26.9010512507301</v>
      </c>
      <c r="D71" t="n">
        <v>5.044744901647578</v>
      </c>
      <c r="H71" t="n">
        <v>17.15560158033647</v>
      </c>
      <c r="I71" t="n">
        <v>0.7523324986994091</v>
      </c>
      <c r="K71" t="n">
        <v>6.612672506628186</v>
      </c>
      <c r="M71" t="n">
        <v>0.09949338049766929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Argentina</t>
        </is>
      </c>
      <c r="C1" t="inlineStr">
        <is>
          <t>Brazil</t>
        </is>
      </c>
      <c r="D1" t="inlineStr">
        <is>
          <t>Bolivia</t>
        </is>
      </c>
      <c r="E1" t="inlineStr">
        <is>
          <t>Chile</t>
        </is>
      </c>
      <c r="F1" t="inlineStr">
        <is>
          <t>Colombia</t>
        </is>
      </c>
      <c r="G1" t="inlineStr">
        <is>
          <t>Ecuador</t>
        </is>
      </c>
      <c r="H1" t="inlineStr">
        <is>
          <t>Peru</t>
        </is>
      </c>
      <c r="I1" t="inlineStr">
        <is>
          <t>Panama</t>
        </is>
      </c>
      <c r="J1" t="inlineStr">
        <is>
          <t>El Salvador</t>
        </is>
      </c>
      <c r="K1" t="inlineStr">
        <is>
          <t>Dominican Republic</t>
        </is>
      </c>
      <c r="L1" t="inlineStr">
        <is>
          <t>Puerto Rico</t>
        </is>
      </c>
      <c r="M1" t="inlineStr">
        <is>
          <t>Guatemala</t>
        </is>
      </c>
    </row>
    <row r="2">
      <c r="A2" s="4" t="n">
        <v>44197</v>
      </c>
      <c r="B2" t="inlineStr">
        <is>
          <t>published</t>
        </is>
      </c>
      <c r="C2" t="inlineStr">
        <is>
          <t>published</t>
        </is>
      </c>
      <c r="D2" t="inlineStr">
        <is>
          <t>published</t>
        </is>
      </c>
      <c r="E2" t="inlineStr">
        <is>
          <t>estimated</t>
        </is>
      </c>
      <c r="F2" t="inlineStr">
        <is>
          <t>published</t>
        </is>
      </c>
      <c r="G2" t="inlineStr">
        <is>
          <t>published</t>
        </is>
      </c>
      <c r="H2" t="inlineStr">
        <is>
          <t>published</t>
        </is>
      </c>
      <c r="I2" t="inlineStr">
        <is>
          <t>estimated</t>
        </is>
      </c>
      <c r="K2" t="inlineStr">
        <is>
          <t>published</t>
        </is>
      </c>
      <c r="L2" t="inlineStr">
        <is>
          <t>published</t>
        </is>
      </c>
      <c r="M2" t="inlineStr">
        <is>
          <t>estimated</t>
        </is>
      </c>
    </row>
    <row r="3">
      <c r="A3" s="4" t="n">
        <v>44228</v>
      </c>
      <c r="B3" t="inlineStr">
        <is>
          <t>published</t>
        </is>
      </c>
      <c r="C3" t="inlineStr">
        <is>
          <t>published</t>
        </is>
      </c>
      <c r="D3" t="inlineStr">
        <is>
          <t>published</t>
        </is>
      </c>
      <c r="E3" t="inlineStr">
        <is>
          <t>estimated</t>
        </is>
      </c>
      <c r="F3" t="inlineStr">
        <is>
          <t>published</t>
        </is>
      </c>
      <c r="G3" t="inlineStr">
        <is>
          <t>published</t>
        </is>
      </c>
      <c r="H3" t="inlineStr">
        <is>
          <t>published</t>
        </is>
      </c>
      <c r="I3" t="inlineStr">
        <is>
          <t>estimated</t>
        </is>
      </c>
      <c r="K3" t="inlineStr">
        <is>
          <t>published</t>
        </is>
      </c>
      <c r="L3" t="inlineStr">
        <is>
          <t>published</t>
        </is>
      </c>
      <c r="M3" t="inlineStr">
        <is>
          <t>estimated</t>
        </is>
      </c>
    </row>
    <row r="4">
      <c r="A4" s="4" t="n">
        <v>44256</v>
      </c>
      <c r="B4" t="inlineStr">
        <is>
          <t>published</t>
        </is>
      </c>
      <c r="C4" t="inlineStr">
        <is>
          <t>published</t>
        </is>
      </c>
      <c r="D4" t="inlineStr">
        <is>
          <t>published</t>
        </is>
      </c>
      <c r="E4" t="inlineStr">
        <is>
          <t>estimated</t>
        </is>
      </c>
      <c r="F4" t="inlineStr">
        <is>
          <t>published</t>
        </is>
      </c>
      <c r="G4" t="inlineStr">
        <is>
          <t>published</t>
        </is>
      </c>
      <c r="H4" t="inlineStr">
        <is>
          <t>published</t>
        </is>
      </c>
      <c r="I4" t="inlineStr">
        <is>
          <t>estimated</t>
        </is>
      </c>
      <c r="K4" t="inlineStr">
        <is>
          <t>published</t>
        </is>
      </c>
      <c r="L4" t="inlineStr">
        <is>
          <t>published</t>
        </is>
      </c>
      <c r="M4" t="inlineStr">
        <is>
          <t>estimated</t>
        </is>
      </c>
    </row>
    <row r="5">
      <c r="A5" s="4" t="n">
        <v>44287</v>
      </c>
      <c r="B5" t="inlineStr">
        <is>
          <t>published</t>
        </is>
      </c>
      <c r="C5" t="inlineStr">
        <is>
          <t>published</t>
        </is>
      </c>
      <c r="D5" t="inlineStr">
        <is>
          <t>published</t>
        </is>
      </c>
      <c r="E5" t="inlineStr">
        <is>
          <t>estimated</t>
        </is>
      </c>
      <c r="F5" t="inlineStr">
        <is>
          <t>published</t>
        </is>
      </c>
      <c r="G5" t="inlineStr">
        <is>
          <t>published</t>
        </is>
      </c>
      <c r="H5" t="inlineStr">
        <is>
          <t>published</t>
        </is>
      </c>
      <c r="I5" t="inlineStr">
        <is>
          <t>estimated</t>
        </is>
      </c>
      <c r="K5" t="inlineStr">
        <is>
          <t>published</t>
        </is>
      </c>
      <c r="L5" t="inlineStr">
        <is>
          <t>published</t>
        </is>
      </c>
      <c r="M5" t="inlineStr">
        <is>
          <t>estimated</t>
        </is>
      </c>
    </row>
    <row r="6">
      <c r="A6" s="4" t="n">
        <v>44317</v>
      </c>
      <c r="B6" t="inlineStr">
        <is>
          <t>published</t>
        </is>
      </c>
      <c r="C6" t="inlineStr">
        <is>
          <t>published</t>
        </is>
      </c>
      <c r="D6" t="inlineStr">
        <is>
          <t>published</t>
        </is>
      </c>
      <c r="E6" t="inlineStr">
        <is>
          <t>estimated</t>
        </is>
      </c>
      <c r="F6" t="inlineStr">
        <is>
          <t>published</t>
        </is>
      </c>
      <c r="G6" t="inlineStr">
        <is>
          <t>published</t>
        </is>
      </c>
      <c r="H6" t="inlineStr">
        <is>
          <t>published</t>
        </is>
      </c>
      <c r="I6" t="inlineStr">
        <is>
          <t>estimated</t>
        </is>
      </c>
      <c r="K6" t="inlineStr">
        <is>
          <t>published</t>
        </is>
      </c>
      <c r="L6" t="inlineStr">
        <is>
          <t>published</t>
        </is>
      </c>
      <c r="M6" t="inlineStr">
        <is>
          <t>estimated</t>
        </is>
      </c>
    </row>
    <row r="7">
      <c r="A7" s="4" t="n">
        <v>44348</v>
      </c>
      <c r="B7" t="inlineStr">
        <is>
          <t>published</t>
        </is>
      </c>
      <c r="C7" t="inlineStr">
        <is>
          <t>published</t>
        </is>
      </c>
      <c r="D7" t="inlineStr">
        <is>
          <t>published</t>
        </is>
      </c>
      <c r="E7" t="inlineStr">
        <is>
          <t>estimated</t>
        </is>
      </c>
      <c r="F7" t="inlineStr">
        <is>
          <t>published</t>
        </is>
      </c>
      <c r="G7" t="inlineStr">
        <is>
          <t>published</t>
        </is>
      </c>
      <c r="H7" t="inlineStr">
        <is>
          <t>published</t>
        </is>
      </c>
      <c r="I7" t="inlineStr">
        <is>
          <t>estimated</t>
        </is>
      </c>
      <c r="K7" t="inlineStr">
        <is>
          <t>published</t>
        </is>
      </c>
      <c r="L7" t="inlineStr">
        <is>
          <t>published</t>
        </is>
      </c>
      <c r="M7" t="inlineStr">
        <is>
          <t>estimated</t>
        </is>
      </c>
    </row>
    <row r="8">
      <c r="A8" s="4" t="n">
        <v>44378</v>
      </c>
      <c r="B8" t="inlineStr">
        <is>
          <t>published</t>
        </is>
      </c>
      <c r="C8" t="inlineStr">
        <is>
          <t>published</t>
        </is>
      </c>
      <c r="D8" t="inlineStr">
        <is>
          <t>published</t>
        </is>
      </c>
      <c r="E8" t="inlineStr">
        <is>
          <t>estimated</t>
        </is>
      </c>
      <c r="F8" t="inlineStr">
        <is>
          <t>published</t>
        </is>
      </c>
      <c r="G8" t="inlineStr">
        <is>
          <t>published</t>
        </is>
      </c>
      <c r="H8" t="inlineStr">
        <is>
          <t>published</t>
        </is>
      </c>
      <c r="I8" t="inlineStr">
        <is>
          <t>estimated</t>
        </is>
      </c>
      <c r="K8" t="inlineStr">
        <is>
          <t>published</t>
        </is>
      </c>
      <c r="L8" t="inlineStr">
        <is>
          <t>published</t>
        </is>
      </c>
      <c r="M8" t="inlineStr">
        <is>
          <t>estimated</t>
        </is>
      </c>
    </row>
    <row r="9">
      <c r="A9" s="4" t="n">
        <v>44409</v>
      </c>
      <c r="B9" t="inlineStr">
        <is>
          <t>published</t>
        </is>
      </c>
      <c r="C9" t="inlineStr">
        <is>
          <t>published</t>
        </is>
      </c>
      <c r="D9" t="inlineStr">
        <is>
          <t>published</t>
        </is>
      </c>
      <c r="E9" t="inlineStr">
        <is>
          <t>estimated</t>
        </is>
      </c>
      <c r="F9" t="inlineStr">
        <is>
          <t>published</t>
        </is>
      </c>
      <c r="G9" t="inlineStr">
        <is>
          <t>published</t>
        </is>
      </c>
      <c r="H9" t="inlineStr">
        <is>
          <t>published</t>
        </is>
      </c>
      <c r="I9" t="inlineStr">
        <is>
          <t>estimated</t>
        </is>
      </c>
      <c r="K9" t="inlineStr">
        <is>
          <t>published</t>
        </is>
      </c>
      <c r="L9" t="inlineStr">
        <is>
          <t>published</t>
        </is>
      </c>
      <c r="M9" t="inlineStr">
        <is>
          <t>estimated</t>
        </is>
      </c>
    </row>
    <row r="10">
      <c r="A10" s="4" t="n">
        <v>44440</v>
      </c>
      <c r="B10" t="inlineStr">
        <is>
          <t>published</t>
        </is>
      </c>
      <c r="C10" t="inlineStr">
        <is>
          <t>published</t>
        </is>
      </c>
      <c r="D10" t="inlineStr">
        <is>
          <t>published</t>
        </is>
      </c>
      <c r="E10" t="inlineStr">
        <is>
          <t>estimated</t>
        </is>
      </c>
      <c r="F10" t="inlineStr">
        <is>
          <t>published</t>
        </is>
      </c>
      <c r="G10" t="inlineStr">
        <is>
          <t>published</t>
        </is>
      </c>
      <c r="H10" t="inlineStr">
        <is>
          <t>published</t>
        </is>
      </c>
      <c r="I10" t="inlineStr">
        <is>
          <t>estimated</t>
        </is>
      </c>
      <c r="K10" t="inlineStr">
        <is>
          <t>published</t>
        </is>
      </c>
      <c r="L10" t="inlineStr">
        <is>
          <t>published</t>
        </is>
      </c>
      <c r="M10" t="inlineStr">
        <is>
          <t>estimated</t>
        </is>
      </c>
    </row>
    <row r="11">
      <c r="A11" s="4" t="n">
        <v>44470</v>
      </c>
      <c r="B11" t="inlineStr">
        <is>
          <t>published</t>
        </is>
      </c>
      <c r="C11" t="inlineStr">
        <is>
          <t>published</t>
        </is>
      </c>
      <c r="D11" t="inlineStr">
        <is>
          <t>published</t>
        </is>
      </c>
      <c r="E11" t="inlineStr">
        <is>
          <t>estimated</t>
        </is>
      </c>
      <c r="F11" t="inlineStr">
        <is>
          <t>published</t>
        </is>
      </c>
      <c r="G11" t="inlineStr">
        <is>
          <t>published</t>
        </is>
      </c>
      <c r="H11" t="inlineStr">
        <is>
          <t>published</t>
        </is>
      </c>
      <c r="I11" t="inlineStr">
        <is>
          <t>estimated</t>
        </is>
      </c>
      <c r="K11" t="inlineStr">
        <is>
          <t>published</t>
        </is>
      </c>
      <c r="L11" t="inlineStr">
        <is>
          <t>published</t>
        </is>
      </c>
      <c r="M11" t="inlineStr">
        <is>
          <t>estimated</t>
        </is>
      </c>
    </row>
    <row r="12">
      <c r="A12" s="4" t="n">
        <v>44501</v>
      </c>
      <c r="B12" t="inlineStr">
        <is>
          <t>published</t>
        </is>
      </c>
      <c r="C12" t="inlineStr">
        <is>
          <t>published</t>
        </is>
      </c>
      <c r="D12" t="inlineStr">
        <is>
          <t>published</t>
        </is>
      </c>
      <c r="E12" t="inlineStr">
        <is>
          <t>estimated</t>
        </is>
      </c>
      <c r="F12" t="inlineStr">
        <is>
          <t>published</t>
        </is>
      </c>
      <c r="G12" t="inlineStr">
        <is>
          <t>published</t>
        </is>
      </c>
      <c r="H12" t="inlineStr">
        <is>
          <t>published</t>
        </is>
      </c>
      <c r="I12" t="inlineStr">
        <is>
          <t>estimated</t>
        </is>
      </c>
      <c r="K12" t="inlineStr">
        <is>
          <t>published</t>
        </is>
      </c>
      <c r="L12" t="inlineStr">
        <is>
          <t>published</t>
        </is>
      </c>
      <c r="M12" t="inlineStr">
        <is>
          <t>estimated</t>
        </is>
      </c>
    </row>
    <row r="13">
      <c r="A13" s="4" t="n">
        <v>44531</v>
      </c>
      <c r="B13" t="inlineStr">
        <is>
          <t>published</t>
        </is>
      </c>
      <c r="C13" t="inlineStr">
        <is>
          <t>published</t>
        </is>
      </c>
      <c r="D13" t="inlineStr">
        <is>
          <t>published</t>
        </is>
      </c>
      <c r="E13" t="inlineStr">
        <is>
          <t>estimated</t>
        </is>
      </c>
      <c r="F13" t="inlineStr">
        <is>
          <t>published</t>
        </is>
      </c>
      <c r="G13" t="inlineStr">
        <is>
          <t>published</t>
        </is>
      </c>
      <c r="H13" t="inlineStr">
        <is>
          <t>published</t>
        </is>
      </c>
      <c r="I13" t="inlineStr">
        <is>
          <t>estimated</t>
        </is>
      </c>
      <c r="K13" t="inlineStr">
        <is>
          <t>published</t>
        </is>
      </c>
      <c r="L13" t="inlineStr">
        <is>
          <t>published</t>
        </is>
      </c>
      <c r="M13" t="inlineStr">
        <is>
          <t>estimated</t>
        </is>
      </c>
    </row>
    <row r="14">
      <c r="A14" s="4" t="n">
        <v>44562</v>
      </c>
      <c r="B14" t="inlineStr">
        <is>
          <t>published</t>
        </is>
      </c>
      <c r="C14" t="inlineStr">
        <is>
          <t>published</t>
        </is>
      </c>
      <c r="D14" t="inlineStr">
        <is>
          <t>published</t>
        </is>
      </c>
      <c r="E14" t="inlineStr">
        <is>
          <t>estimated</t>
        </is>
      </c>
      <c r="F14" t="inlineStr">
        <is>
          <t>published</t>
        </is>
      </c>
      <c r="G14" t="inlineStr">
        <is>
          <t>published</t>
        </is>
      </c>
      <c r="H14" t="inlineStr">
        <is>
          <t>published</t>
        </is>
      </c>
      <c r="I14" t="inlineStr">
        <is>
          <t>estimated</t>
        </is>
      </c>
      <c r="K14" t="inlineStr">
        <is>
          <t>published</t>
        </is>
      </c>
      <c r="L14" t="inlineStr">
        <is>
          <t>published</t>
        </is>
      </c>
      <c r="M14" t="inlineStr">
        <is>
          <t>estimated</t>
        </is>
      </c>
    </row>
    <row r="15">
      <c r="A15" s="4" t="n">
        <v>44593</v>
      </c>
      <c r="B15" t="inlineStr">
        <is>
          <t>published</t>
        </is>
      </c>
      <c r="C15" t="inlineStr">
        <is>
          <t>published</t>
        </is>
      </c>
      <c r="D15" t="inlineStr">
        <is>
          <t>published</t>
        </is>
      </c>
      <c r="E15" t="inlineStr">
        <is>
          <t>estimated</t>
        </is>
      </c>
      <c r="F15" t="inlineStr">
        <is>
          <t>published</t>
        </is>
      </c>
      <c r="H15" t="inlineStr">
        <is>
          <t>published</t>
        </is>
      </c>
      <c r="I15" t="inlineStr">
        <is>
          <t>estimated</t>
        </is>
      </c>
      <c r="K15" t="inlineStr">
        <is>
          <t>published</t>
        </is>
      </c>
      <c r="L15" t="inlineStr">
        <is>
          <t>published</t>
        </is>
      </c>
      <c r="M15" t="inlineStr">
        <is>
          <t>estimated</t>
        </is>
      </c>
    </row>
    <row r="16">
      <c r="A16" s="4" t="n">
        <v>44621</v>
      </c>
      <c r="B16" t="inlineStr">
        <is>
          <t>published</t>
        </is>
      </c>
      <c r="C16" t="inlineStr">
        <is>
          <t>published</t>
        </is>
      </c>
      <c r="D16" t="inlineStr">
        <is>
          <t>published</t>
        </is>
      </c>
      <c r="E16" t="inlineStr">
        <is>
          <t>estimated</t>
        </is>
      </c>
      <c r="F16" t="inlineStr">
        <is>
          <t>published</t>
        </is>
      </c>
      <c r="H16" t="inlineStr">
        <is>
          <t>published</t>
        </is>
      </c>
      <c r="I16" t="inlineStr">
        <is>
          <t>estimated</t>
        </is>
      </c>
      <c r="K16" t="inlineStr">
        <is>
          <t>published</t>
        </is>
      </c>
      <c r="L16" t="inlineStr">
        <is>
          <t>published</t>
        </is>
      </c>
      <c r="M16" t="inlineStr">
        <is>
          <t>estimated</t>
        </is>
      </c>
    </row>
    <row r="17">
      <c r="A17" s="4" t="n">
        <v>44652</v>
      </c>
      <c r="B17" t="inlineStr">
        <is>
          <t>published</t>
        </is>
      </c>
      <c r="C17" t="inlineStr">
        <is>
          <t>published</t>
        </is>
      </c>
      <c r="D17" t="inlineStr">
        <is>
          <t>published</t>
        </is>
      </c>
      <c r="E17" t="inlineStr">
        <is>
          <t>estimated</t>
        </is>
      </c>
      <c r="F17" t="inlineStr">
        <is>
          <t>published</t>
        </is>
      </c>
      <c r="H17" t="inlineStr">
        <is>
          <t>published</t>
        </is>
      </c>
      <c r="I17" t="inlineStr">
        <is>
          <t>estimated</t>
        </is>
      </c>
      <c r="K17" t="inlineStr">
        <is>
          <t>published</t>
        </is>
      </c>
      <c r="L17" t="inlineStr">
        <is>
          <t>published</t>
        </is>
      </c>
      <c r="M17" t="inlineStr">
        <is>
          <t>estimated</t>
        </is>
      </c>
    </row>
    <row r="18">
      <c r="A18" s="4" t="n">
        <v>44682</v>
      </c>
      <c r="B18" t="inlineStr">
        <is>
          <t>published</t>
        </is>
      </c>
      <c r="C18" t="inlineStr">
        <is>
          <t>published</t>
        </is>
      </c>
      <c r="D18" t="inlineStr">
        <is>
          <t>published</t>
        </is>
      </c>
      <c r="E18" t="inlineStr">
        <is>
          <t>estimated</t>
        </is>
      </c>
      <c r="F18" t="inlineStr">
        <is>
          <t>published</t>
        </is>
      </c>
      <c r="H18" t="inlineStr">
        <is>
          <t>published</t>
        </is>
      </c>
      <c r="I18" t="inlineStr">
        <is>
          <t>estimated</t>
        </is>
      </c>
      <c r="K18" t="inlineStr">
        <is>
          <t>published</t>
        </is>
      </c>
      <c r="L18" t="inlineStr">
        <is>
          <t>published</t>
        </is>
      </c>
      <c r="M18" t="inlineStr">
        <is>
          <t>estimated</t>
        </is>
      </c>
    </row>
    <row r="19">
      <c r="A19" s="4" t="n">
        <v>44713</v>
      </c>
      <c r="B19" t="inlineStr">
        <is>
          <t>published</t>
        </is>
      </c>
      <c r="C19" t="inlineStr">
        <is>
          <t>published</t>
        </is>
      </c>
      <c r="D19" t="inlineStr">
        <is>
          <t>published</t>
        </is>
      </c>
      <c r="E19" t="inlineStr">
        <is>
          <t>estimated</t>
        </is>
      </c>
      <c r="F19" t="inlineStr">
        <is>
          <t>published</t>
        </is>
      </c>
      <c r="H19" t="inlineStr">
        <is>
          <t>published</t>
        </is>
      </c>
      <c r="I19" t="inlineStr">
        <is>
          <t>estimated</t>
        </is>
      </c>
      <c r="K19" t="inlineStr">
        <is>
          <t>published</t>
        </is>
      </c>
      <c r="L19" t="inlineStr">
        <is>
          <t>published</t>
        </is>
      </c>
      <c r="M19" t="inlineStr">
        <is>
          <t>estimated</t>
        </is>
      </c>
    </row>
    <row r="20">
      <c r="A20" s="4" t="n">
        <v>44743</v>
      </c>
      <c r="B20" t="inlineStr">
        <is>
          <t>published</t>
        </is>
      </c>
      <c r="C20" t="inlineStr">
        <is>
          <t>published</t>
        </is>
      </c>
      <c r="D20" t="inlineStr">
        <is>
          <t>published</t>
        </is>
      </c>
      <c r="E20" t="inlineStr">
        <is>
          <t>estimated</t>
        </is>
      </c>
      <c r="F20" t="inlineStr">
        <is>
          <t>published</t>
        </is>
      </c>
      <c r="H20" t="inlineStr">
        <is>
          <t>published</t>
        </is>
      </c>
      <c r="I20" t="inlineStr">
        <is>
          <t>estimated</t>
        </is>
      </c>
      <c r="K20" t="inlineStr">
        <is>
          <t>published</t>
        </is>
      </c>
      <c r="L20" t="inlineStr">
        <is>
          <t>published</t>
        </is>
      </c>
      <c r="M20" t="inlineStr">
        <is>
          <t>estimated</t>
        </is>
      </c>
    </row>
    <row r="21">
      <c r="A21" s="4" t="n">
        <v>44774</v>
      </c>
      <c r="B21" t="inlineStr">
        <is>
          <t>published</t>
        </is>
      </c>
      <c r="C21" t="inlineStr">
        <is>
          <t>published</t>
        </is>
      </c>
      <c r="D21" t="inlineStr">
        <is>
          <t>published</t>
        </is>
      </c>
      <c r="E21" t="inlineStr">
        <is>
          <t>estimated</t>
        </is>
      </c>
      <c r="F21" t="inlineStr">
        <is>
          <t>published</t>
        </is>
      </c>
      <c r="H21" t="inlineStr">
        <is>
          <t>published</t>
        </is>
      </c>
      <c r="I21" t="inlineStr">
        <is>
          <t>estimated</t>
        </is>
      </c>
      <c r="K21" t="inlineStr">
        <is>
          <t>published</t>
        </is>
      </c>
      <c r="L21" t="inlineStr">
        <is>
          <t>published</t>
        </is>
      </c>
      <c r="M21" t="inlineStr">
        <is>
          <t>estimated</t>
        </is>
      </c>
    </row>
    <row r="22">
      <c r="A22" s="4" t="n">
        <v>44805</v>
      </c>
      <c r="B22" t="inlineStr">
        <is>
          <t>published</t>
        </is>
      </c>
      <c r="C22" t="inlineStr">
        <is>
          <t>published</t>
        </is>
      </c>
      <c r="D22" t="inlineStr">
        <is>
          <t>published</t>
        </is>
      </c>
      <c r="E22" t="inlineStr">
        <is>
          <t>estimated</t>
        </is>
      </c>
      <c r="F22" t="inlineStr">
        <is>
          <t>published</t>
        </is>
      </c>
      <c r="H22" t="inlineStr">
        <is>
          <t>published</t>
        </is>
      </c>
      <c r="I22" t="inlineStr">
        <is>
          <t>estimated</t>
        </is>
      </c>
      <c r="K22" t="inlineStr">
        <is>
          <t>published</t>
        </is>
      </c>
      <c r="L22" t="inlineStr">
        <is>
          <t>published</t>
        </is>
      </c>
      <c r="M22" t="inlineStr">
        <is>
          <t>estimated</t>
        </is>
      </c>
    </row>
    <row r="23">
      <c r="A23" s="4" t="n">
        <v>44835</v>
      </c>
      <c r="B23" t="inlineStr">
        <is>
          <t>published</t>
        </is>
      </c>
      <c r="C23" t="inlineStr">
        <is>
          <t>published</t>
        </is>
      </c>
      <c r="D23" t="inlineStr">
        <is>
          <t>published</t>
        </is>
      </c>
      <c r="E23" t="inlineStr">
        <is>
          <t>estimated</t>
        </is>
      </c>
      <c r="F23" t="inlineStr">
        <is>
          <t>published</t>
        </is>
      </c>
      <c r="H23" t="inlineStr">
        <is>
          <t>published</t>
        </is>
      </c>
      <c r="I23" t="inlineStr">
        <is>
          <t>estimated</t>
        </is>
      </c>
      <c r="K23" t="inlineStr">
        <is>
          <t>published</t>
        </is>
      </c>
      <c r="L23" t="inlineStr">
        <is>
          <t>published</t>
        </is>
      </c>
      <c r="M23" t="inlineStr">
        <is>
          <t>estimated</t>
        </is>
      </c>
    </row>
    <row r="24">
      <c r="A24" s="4" t="n">
        <v>44866</v>
      </c>
      <c r="B24" t="inlineStr">
        <is>
          <t>published</t>
        </is>
      </c>
      <c r="C24" t="inlineStr">
        <is>
          <t>published</t>
        </is>
      </c>
      <c r="D24" t="inlineStr">
        <is>
          <t>published</t>
        </is>
      </c>
      <c r="E24" t="inlineStr">
        <is>
          <t>estimated</t>
        </is>
      </c>
      <c r="F24" t="inlineStr">
        <is>
          <t>published</t>
        </is>
      </c>
      <c r="H24" t="inlineStr">
        <is>
          <t>published</t>
        </is>
      </c>
      <c r="I24" t="inlineStr">
        <is>
          <t>estimated</t>
        </is>
      </c>
      <c r="K24" t="inlineStr">
        <is>
          <t>published</t>
        </is>
      </c>
      <c r="L24" t="inlineStr">
        <is>
          <t>published</t>
        </is>
      </c>
      <c r="M24" t="inlineStr">
        <is>
          <t>estimated</t>
        </is>
      </c>
    </row>
    <row r="25">
      <c r="A25" s="4" t="n">
        <v>44896</v>
      </c>
      <c r="B25" t="inlineStr">
        <is>
          <t>published</t>
        </is>
      </c>
      <c r="C25" t="inlineStr">
        <is>
          <t>published</t>
        </is>
      </c>
      <c r="D25" t="inlineStr">
        <is>
          <t>published</t>
        </is>
      </c>
      <c r="E25" t="inlineStr">
        <is>
          <t>estimated</t>
        </is>
      </c>
      <c r="F25" t="inlineStr">
        <is>
          <t>published</t>
        </is>
      </c>
      <c r="H25" t="inlineStr">
        <is>
          <t>published</t>
        </is>
      </c>
      <c r="I25" t="inlineStr">
        <is>
          <t>estimated</t>
        </is>
      </c>
      <c r="K25" t="inlineStr">
        <is>
          <t>published</t>
        </is>
      </c>
      <c r="L25" t="inlineStr">
        <is>
          <t>published</t>
        </is>
      </c>
      <c r="M25" t="inlineStr">
        <is>
          <t>estimated</t>
        </is>
      </c>
    </row>
    <row r="26">
      <c r="A26" s="4" t="n">
        <v>44927</v>
      </c>
      <c r="B26" t="inlineStr">
        <is>
          <t>published</t>
        </is>
      </c>
      <c r="C26" t="inlineStr">
        <is>
          <t>published</t>
        </is>
      </c>
      <c r="D26" t="inlineStr">
        <is>
          <t>published</t>
        </is>
      </c>
      <c r="E26" t="inlineStr">
        <is>
          <t>estimated</t>
        </is>
      </c>
      <c r="F26" t="inlineStr">
        <is>
          <t>published</t>
        </is>
      </c>
      <c r="H26" t="inlineStr">
        <is>
          <t>published</t>
        </is>
      </c>
      <c r="I26" t="inlineStr">
        <is>
          <t>estimated</t>
        </is>
      </c>
      <c r="J26" t="inlineStr">
        <is>
          <t>estimated</t>
        </is>
      </c>
      <c r="K26" t="inlineStr">
        <is>
          <t>published</t>
        </is>
      </c>
      <c r="L26" t="inlineStr">
        <is>
          <t>published</t>
        </is>
      </c>
      <c r="M26" t="inlineStr">
        <is>
          <t>estimated</t>
        </is>
      </c>
    </row>
    <row r="27">
      <c r="A27" s="4" t="n">
        <v>44958</v>
      </c>
      <c r="B27" t="inlineStr">
        <is>
          <t>published</t>
        </is>
      </c>
      <c r="C27" t="inlineStr">
        <is>
          <t>published</t>
        </is>
      </c>
      <c r="D27" t="inlineStr">
        <is>
          <t>published</t>
        </is>
      </c>
      <c r="E27" t="inlineStr">
        <is>
          <t>estimated</t>
        </is>
      </c>
      <c r="F27" t="inlineStr">
        <is>
          <t>published</t>
        </is>
      </c>
      <c r="H27" t="inlineStr">
        <is>
          <t>published</t>
        </is>
      </c>
      <c r="I27" t="inlineStr">
        <is>
          <t>estimated</t>
        </is>
      </c>
      <c r="J27" t="inlineStr">
        <is>
          <t>estimated</t>
        </is>
      </c>
      <c r="K27" t="inlineStr">
        <is>
          <t>published</t>
        </is>
      </c>
      <c r="L27" t="inlineStr">
        <is>
          <t>published</t>
        </is>
      </c>
      <c r="M27" t="inlineStr">
        <is>
          <t>estimated</t>
        </is>
      </c>
    </row>
    <row r="28">
      <c r="A28" s="4" t="n">
        <v>44986</v>
      </c>
      <c r="B28" t="inlineStr">
        <is>
          <t>published</t>
        </is>
      </c>
      <c r="C28" t="inlineStr">
        <is>
          <t>published</t>
        </is>
      </c>
      <c r="D28" t="inlineStr">
        <is>
          <t>published</t>
        </is>
      </c>
      <c r="E28" t="inlineStr">
        <is>
          <t>estimated</t>
        </is>
      </c>
      <c r="F28" t="inlineStr">
        <is>
          <t>published</t>
        </is>
      </c>
      <c r="H28" t="inlineStr">
        <is>
          <t>published</t>
        </is>
      </c>
      <c r="I28" t="inlineStr">
        <is>
          <t>estimated</t>
        </is>
      </c>
      <c r="J28" t="inlineStr">
        <is>
          <t>estimated</t>
        </is>
      </c>
      <c r="K28" t="inlineStr">
        <is>
          <t>published</t>
        </is>
      </c>
      <c r="L28" t="inlineStr">
        <is>
          <t>published</t>
        </is>
      </c>
      <c r="M28" t="inlineStr">
        <is>
          <t>estimated</t>
        </is>
      </c>
    </row>
    <row r="29">
      <c r="A29" s="4" t="n">
        <v>45017</v>
      </c>
      <c r="B29" t="inlineStr">
        <is>
          <t>published</t>
        </is>
      </c>
      <c r="C29" t="inlineStr">
        <is>
          <t>published</t>
        </is>
      </c>
      <c r="D29" t="inlineStr">
        <is>
          <t>published</t>
        </is>
      </c>
      <c r="E29" t="inlineStr">
        <is>
          <t>estimated</t>
        </is>
      </c>
      <c r="F29" t="inlineStr">
        <is>
          <t>published</t>
        </is>
      </c>
      <c r="H29" t="inlineStr">
        <is>
          <t>published</t>
        </is>
      </c>
      <c r="I29" t="inlineStr">
        <is>
          <t>estimated</t>
        </is>
      </c>
      <c r="J29" t="inlineStr">
        <is>
          <t>estimated</t>
        </is>
      </c>
      <c r="K29" t="inlineStr">
        <is>
          <t>published</t>
        </is>
      </c>
      <c r="L29" t="inlineStr">
        <is>
          <t>published</t>
        </is>
      </c>
      <c r="M29" t="inlineStr">
        <is>
          <t>estimated</t>
        </is>
      </c>
    </row>
    <row r="30">
      <c r="A30" s="4" t="n">
        <v>45047</v>
      </c>
      <c r="B30" t="inlineStr">
        <is>
          <t>published</t>
        </is>
      </c>
      <c r="C30" t="inlineStr">
        <is>
          <t>published</t>
        </is>
      </c>
      <c r="D30" t="inlineStr">
        <is>
          <t>published</t>
        </is>
      </c>
      <c r="E30" t="inlineStr">
        <is>
          <t>estimated</t>
        </is>
      </c>
      <c r="F30" t="inlineStr">
        <is>
          <t>published</t>
        </is>
      </c>
      <c r="H30" t="inlineStr">
        <is>
          <t>published</t>
        </is>
      </c>
      <c r="I30" t="inlineStr">
        <is>
          <t>estimated</t>
        </is>
      </c>
      <c r="J30" t="inlineStr">
        <is>
          <t>estimated</t>
        </is>
      </c>
      <c r="K30" t="inlineStr">
        <is>
          <t>published</t>
        </is>
      </c>
      <c r="L30" t="inlineStr">
        <is>
          <t>published</t>
        </is>
      </c>
      <c r="M30" t="inlineStr">
        <is>
          <t>estimated</t>
        </is>
      </c>
    </row>
    <row r="31">
      <c r="A31" s="4" t="n">
        <v>45078</v>
      </c>
      <c r="B31" t="inlineStr">
        <is>
          <t>published</t>
        </is>
      </c>
      <c r="C31" t="inlineStr">
        <is>
          <t>published</t>
        </is>
      </c>
      <c r="D31" t="inlineStr">
        <is>
          <t>published</t>
        </is>
      </c>
      <c r="E31" t="inlineStr">
        <is>
          <t>estimated</t>
        </is>
      </c>
      <c r="F31" t="inlineStr">
        <is>
          <t>published</t>
        </is>
      </c>
      <c r="H31" t="inlineStr">
        <is>
          <t>published</t>
        </is>
      </c>
      <c r="I31" t="inlineStr">
        <is>
          <t>estimated</t>
        </is>
      </c>
      <c r="J31" t="inlineStr">
        <is>
          <t>estimated</t>
        </is>
      </c>
      <c r="K31" t="inlineStr">
        <is>
          <t>published</t>
        </is>
      </c>
      <c r="L31" t="inlineStr">
        <is>
          <t>published</t>
        </is>
      </c>
      <c r="M31" t="inlineStr">
        <is>
          <t>estimated</t>
        </is>
      </c>
    </row>
    <row r="32">
      <c r="A32" s="4" t="n">
        <v>45108</v>
      </c>
      <c r="B32" t="inlineStr">
        <is>
          <t>published</t>
        </is>
      </c>
      <c r="C32" t="inlineStr">
        <is>
          <t>published</t>
        </is>
      </c>
      <c r="D32" t="inlineStr">
        <is>
          <t>published</t>
        </is>
      </c>
      <c r="E32" t="inlineStr">
        <is>
          <t>estimated</t>
        </is>
      </c>
      <c r="F32" t="inlineStr">
        <is>
          <t>published</t>
        </is>
      </c>
      <c r="H32" t="inlineStr">
        <is>
          <t>published</t>
        </is>
      </c>
      <c r="I32" t="inlineStr">
        <is>
          <t>estimated</t>
        </is>
      </c>
      <c r="J32" t="inlineStr">
        <is>
          <t>estimated</t>
        </is>
      </c>
      <c r="K32" t="inlineStr">
        <is>
          <t>published</t>
        </is>
      </c>
      <c r="L32" t="inlineStr">
        <is>
          <t>published</t>
        </is>
      </c>
      <c r="M32" t="inlineStr">
        <is>
          <t>estimated</t>
        </is>
      </c>
    </row>
    <row r="33">
      <c r="A33" s="4" t="n">
        <v>45139</v>
      </c>
      <c r="B33" t="inlineStr">
        <is>
          <t>published</t>
        </is>
      </c>
      <c r="C33" t="inlineStr">
        <is>
          <t>published</t>
        </is>
      </c>
      <c r="D33" t="inlineStr">
        <is>
          <t>published</t>
        </is>
      </c>
      <c r="E33" t="inlineStr">
        <is>
          <t>estimated</t>
        </is>
      </c>
      <c r="F33" t="inlineStr">
        <is>
          <t>published</t>
        </is>
      </c>
      <c r="H33" t="inlineStr">
        <is>
          <t>published</t>
        </is>
      </c>
      <c r="I33" t="inlineStr">
        <is>
          <t>estimated</t>
        </is>
      </c>
      <c r="J33" t="inlineStr">
        <is>
          <t>estimated</t>
        </is>
      </c>
      <c r="K33" t="inlineStr">
        <is>
          <t>published</t>
        </is>
      </c>
      <c r="L33" t="inlineStr">
        <is>
          <t>published</t>
        </is>
      </c>
      <c r="M33" t="inlineStr">
        <is>
          <t>estimated</t>
        </is>
      </c>
    </row>
    <row r="34">
      <c r="A34" s="4" t="n">
        <v>45170</v>
      </c>
      <c r="B34" t="inlineStr">
        <is>
          <t>published</t>
        </is>
      </c>
      <c r="C34" t="inlineStr">
        <is>
          <t>published</t>
        </is>
      </c>
      <c r="D34" t="inlineStr">
        <is>
          <t>published</t>
        </is>
      </c>
      <c r="E34" t="inlineStr">
        <is>
          <t>estimated</t>
        </is>
      </c>
      <c r="F34" t="inlineStr">
        <is>
          <t>published</t>
        </is>
      </c>
      <c r="H34" t="inlineStr">
        <is>
          <t>published</t>
        </is>
      </c>
      <c r="I34" t="inlineStr">
        <is>
          <t>estimated</t>
        </is>
      </c>
      <c r="J34" t="inlineStr">
        <is>
          <t>estimated</t>
        </is>
      </c>
      <c r="K34" t="inlineStr">
        <is>
          <t>published</t>
        </is>
      </c>
      <c r="L34" t="inlineStr">
        <is>
          <t>published</t>
        </is>
      </c>
      <c r="M34" t="inlineStr">
        <is>
          <t>estimated</t>
        </is>
      </c>
    </row>
    <row r="35">
      <c r="A35" s="4" t="n">
        <v>45200</v>
      </c>
      <c r="B35" t="inlineStr">
        <is>
          <t>published</t>
        </is>
      </c>
      <c r="C35" t="inlineStr">
        <is>
          <t>published</t>
        </is>
      </c>
      <c r="D35" t="inlineStr">
        <is>
          <t>published</t>
        </is>
      </c>
      <c r="E35" t="inlineStr">
        <is>
          <t>estimated</t>
        </is>
      </c>
      <c r="F35" t="inlineStr">
        <is>
          <t>published</t>
        </is>
      </c>
      <c r="H35" t="inlineStr">
        <is>
          <t>published</t>
        </is>
      </c>
      <c r="I35" t="inlineStr">
        <is>
          <t>estimated</t>
        </is>
      </c>
      <c r="J35" t="inlineStr">
        <is>
          <t>estimated</t>
        </is>
      </c>
      <c r="K35" t="inlineStr">
        <is>
          <t>published</t>
        </is>
      </c>
      <c r="L35" t="inlineStr">
        <is>
          <t>published</t>
        </is>
      </c>
      <c r="M35" t="inlineStr">
        <is>
          <t>estimated</t>
        </is>
      </c>
    </row>
    <row r="36">
      <c r="A36" s="4" t="n">
        <v>45231</v>
      </c>
      <c r="B36" t="inlineStr">
        <is>
          <t>published</t>
        </is>
      </c>
      <c r="C36" t="inlineStr">
        <is>
          <t>published</t>
        </is>
      </c>
      <c r="D36" t="inlineStr">
        <is>
          <t>published</t>
        </is>
      </c>
      <c r="E36" t="inlineStr">
        <is>
          <t>estimated</t>
        </is>
      </c>
      <c r="F36" t="inlineStr">
        <is>
          <t>published</t>
        </is>
      </c>
      <c r="H36" t="inlineStr">
        <is>
          <t>published</t>
        </is>
      </c>
      <c r="I36" t="inlineStr">
        <is>
          <t>estimated</t>
        </is>
      </c>
      <c r="J36" t="inlineStr">
        <is>
          <t>estimated</t>
        </is>
      </c>
      <c r="K36" t="inlineStr">
        <is>
          <t>published</t>
        </is>
      </c>
      <c r="L36" t="inlineStr">
        <is>
          <t>published</t>
        </is>
      </c>
      <c r="M36" t="inlineStr">
        <is>
          <t>estimated</t>
        </is>
      </c>
    </row>
    <row r="37">
      <c r="A37" s="4" t="n">
        <v>45261</v>
      </c>
      <c r="B37" t="inlineStr">
        <is>
          <t>published</t>
        </is>
      </c>
      <c r="C37" t="inlineStr">
        <is>
          <t>published</t>
        </is>
      </c>
      <c r="D37" t="inlineStr">
        <is>
          <t>published</t>
        </is>
      </c>
      <c r="E37" t="inlineStr">
        <is>
          <t>estimated</t>
        </is>
      </c>
      <c r="F37" t="inlineStr">
        <is>
          <t>published</t>
        </is>
      </c>
      <c r="H37" t="inlineStr">
        <is>
          <t>published</t>
        </is>
      </c>
      <c r="I37" t="inlineStr">
        <is>
          <t>estimated</t>
        </is>
      </c>
      <c r="J37" t="inlineStr">
        <is>
          <t>estimated</t>
        </is>
      </c>
      <c r="K37" t="inlineStr">
        <is>
          <t>published</t>
        </is>
      </c>
      <c r="L37" t="inlineStr">
        <is>
          <t>published</t>
        </is>
      </c>
      <c r="M37" t="inlineStr">
        <is>
          <t>estimated</t>
        </is>
      </c>
    </row>
    <row r="38">
      <c r="A38" s="4" t="n">
        <v>45292</v>
      </c>
      <c r="B38" t="inlineStr">
        <is>
          <t>published</t>
        </is>
      </c>
      <c r="C38" t="inlineStr">
        <is>
          <t>published</t>
        </is>
      </c>
      <c r="D38" t="inlineStr">
        <is>
          <t>published</t>
        </is>
      </c>
      <c r="E38" t="inlineStr">
        <is>
          <t>estimated</t>
        </is>
      </c>
      <c r="F38" t="inlineStr">
        <is>
          <t>published</t>
        </is>
      </c>
      <c r="G38" t="inlineStr">
        <is>
          <t>published</t>
        </is>
      </c>
      <c r="H38" t="inlineStr">
        <is>
          <t>published</t>
        </is>
      </c>
      <c r="I38" t="inlineStr">
        <is>
          <t>estimated</t>
        </is>
      </c>
      <c r="J38" t="inlineStr">
        <is>
          <t>estimated</t>
        </is>
      </c>
      <c r="K38" t="inlineStr">
        <is>
          <t>published</t>
        </is>
      </c>
      <c r="L38" t="inlineStr">
        <is>
          <t>published</t>
        </is>
      </c>
      <c r="M38" t="inlineStr">
        <is>
          <t>estimated</t>
        </is>
      </c>
    </row>
    <row r="39">
      <c r="A39" s="4" t="n">
        <v>45323</v>
      </c>
      <c r="B39" t="inlineStr">
        <is>
          <t>published</t>
        </is>
      </c>
      <c r="C39" t="inlineStr">
        <is>
          <t>published</t>
        </is>
      </c>
      <c r="D39" t="inlineStr">
        <is>
          <t>published</t>
        </is>
      </c>
      <c r="E39" t="inlineStr">
        <is>
          <t>estimated</t>
        </is>
      </c>
      <c r="F39" t="inlineStr">
        <is>
          <t>published</t>
        </is>
      </c>
      <c r="G39" t="inlineStr">
        <is>
          <t>published</t>
        </is>
      </c>
      <c r="H39" t="inlineStr">
        <is>
          <t>published</t>
        </is>
      </c>
      <c r="I39" t="inlineStr">
        <is>
          <t>estimated</t>
        </is>
      </c>
      <c r="J39" t="inlineStr">
        <is>
          <t>estimated</t>
        </is>
      </c>
      <c r="K39" t="inlineStr">
        <is>
          <t>published</t>
        </is>
      </c>
      <c r="L39" t="inlineStr">
        <is>
          <t>published</t>
        </is>
      </c>
      <c r="M39" t="inlineStr">
        <is>
          <t>estimated</t>
        </is>
      </c>
    </row>
    <row r="40">
      <c r="A40" s="4" t="n">
        <v>45352</v>
      </c>
      <c r="B40" t="inlineStr">
        <is>
          <t>published</t>
        </is>
      </c>
      <c r="C40" t="inlineStr">
        <is>
          <t>published</t>
        </is>
      </c>
      <c r="D40" t="inlineStr">
        <is>
          <t>published</t>
        </is>
      </c>
      <c r="E40" t="inlineStr">
        <is>
          <t>estimated</t>
        </is>
      </c>
      <c r="F40" t="inlineStr">
        <is>
          <t>published</t>
        </is>
      </c>
      <c r="G40" t="inlineStr">
        <is>
          <t>published</t>
        </is>
      </c>
      <c r="H40" t="inlineStr">
        <is>
          <t>published</t>
        </is>
      </c>
      <c r="I40" t="inlineStr">
        <is>
          <t>estimated</t>
        </is>
      </c>
      <c r="J40" t="inlineStr">
        <is>
          <t>estimated</t>
        </is>
      </c>
      <c r="K40" t="inlineStr">
        <is>
          <t>published</t>
        </is>
      </c>
      <c r="L40" t="inlineStr">
        <is>
          <t>published</t>
        </is>
      </c>
      <c r="M40" t="inlineStr">
        <is>
          <t>estimated</t>
        </is>
      </c>
    </row>
    <row r="41">
      <c r="A41" s="4" t="n">
        <v>45383</v>
      </c>
      <c r="B41" t="inlineStr">
        <is>
          <t>published</t>
        </is>
      </c>
      <c r="C41" t="inlineStr">
        <is>
          <t>published</t>
        </is>
      </c>
      <c r="D41" t="inlineStr">
        <is>
          <t>published</t>
        </is>
      </c>
      <c r="E41" t="inlineStr">
        <is>
          <t>estimated</t>
        </is>
      </c>
      <c r="F41" t="inlineStr">
        <is>
          <t>published</t>
        </is>
      </c>
      <c r="G41" t="inlineStr">
        <is>
          <t>published</t>
        </is>
      </c>
      <c r="H41" t="inlineStr">
        <is>
          <t>published</t>
        </is>
      </c>
      <c r="I41" t="inlineStr">
        <is>
          <t>estimated</t>
        </is>
      </c>
      <c r="J41" t="inlineStr">
        <is>
          <t>estimated</t>
        </is>
      </c>
      <c r="K41" t="inlineStr">
        <is>
          <t>published</t>
        </is>
      </c>
      <c r="L41" t="inlineStr">
        <is>
          <t>published</t>
        </is>
      </c>
      <c r="M41" t="inlineStr">
        <is>
          <t>estimated</t>
        </is>
      </c>
    </row>
    <row r="42">
      <c r="A42" s="4" t="n">
        <v>45413</v>
      </c>
      <c r="B42" t="inlineStr">
        <is>
          <t>published</t>
        </is>
      </c>
      <c r="C42" t="inlineStr">
        <is>
          <t>published</t>
        </is>
      </c>
      <c r="D42" t="inlineStr">
        <is>
          <t>published</t>
        </is>
      </c>
      <c r="E42" t="inlineStr">
        <is>
          <t>estimated</t>
        </is>
      </c>
      <c r="F42" t="inlineStr">
        <is>
          <t>published</t>
        </is>
      </c>
      <c r="G42" t="inlineStr">
        <is>
          <t>published</t>
        </is>
      </c>
      <c r="H42" t="inlineStr">
        <is>
          <t>published</t>
        </is>
      </c>
      <c r="I42" t="inlineStr">
        <is>
          <t>estimated</t>
        </is>
      </c>
      <c r="J42" t="inlineStr">
        <is>
          <t>estimated</t>
        </is>
      </c>
      <c r="K42" t="inlineStr">
        <is>
          <t>published</t>
        </is>
      </c>
      <c r="L42" t="inlineStr">
        <is>
          <t>published</t>
        </is>
      </c>
      <c r="M42" t="inlineStr">
        <is>
          <t>estimated</t>
        </is>
      </c>
    </row>
    <row r="43">
      <c r="A43" s="4" t="n">
        <v>45444</v>
      </c>
      <c r="B43" t="inlineStr">
        <is>
          <t>published</t>
        </is>
      </c>
      <c r="C43" t="inlineStr">
        <is>
          <t>published</t>
        </is>
      </c>
      <c r="D43" t="inlineStr">
        <is>
          <t>published</t>
        </is>
      </c>
      <c r="E43" t="inlineStr">
        <is>
          <t>estimated</t>
        </is>
      </c>
      <c r="F43" t="inlineStr">
        <is>
          <t>published</t>
        </is>
      </c>
      <c r="G43" t="inlineStr">
        <is>
          <t>published</t>
        </is>
      </c>
      <c r="H43" t="inlineStr">
        <is>
          <t>published</t>
        </is>
      </c>
      <c r="I43" t="inlineStr">
        <is>
          <t>estimated</t>
        </is>
      </c>
      <c r="J43" t="inlineStr">
        <is>
          <t>estimated</t>
        </is>
      </c>
      <c r="K43" t="inlineStr">
        <is>
          <t>published</t>
        </is>
      </c>
      <c r="L43" t="inlineStr">
        <is>
          <t>published</t>
        </is>
      </c>
      <c r="M43" t="inlineStr">
        <is>
          <t>estimated</t>
        </is>
      </c>
    </row>
    <row r="44">
      <c r="A44" s="4" t="n">
        <v>45474</v>
      </c>
      <c r="B44" t="inlineStr">
        <is>
          <t>published</t>
        </is>
      </c>
      <c r="C44" t="inlineStr">
        <is>
          <t>published</t>
        </is>
      </c>
      <c r="D44" t="inlineStr">
        <is>
          <t>published</t>
        </is>
      </c>
      <c r="E44" t="inlineStr">
        <is>
          <t>estimated</t>
        </is>
      </c>
      <c r="F44" t="inlineStr">
        <is>
          <t>published</t>
        </is>
      </c>
      <c r="G44" t="inlineStr">
        <is>
          <t>published</t>
        </is>
      </c>
      <c r="H44" t="inlineStr">
        <is>
          <t>published</t>
        </is>
      </c>
      <c r="I44" t="inlineStr">
        <is>
          <t>estimated</t>
        </is>
      </c>
      <c r="J44" t="inlineStr">
        <is>
          <t>estimated</t>
        </is>
      </c>
      <c r="K44" t="inlineStr">
        <is>
          <t>published</t>
        </is>
      </c>
      <c r="L44" t="inlineStr">
        <is>
          <t>published</t>
        </is>
      </c>
      <c r="M44" t="inlineStr">
        <is>
          <t>estimated</t>
        </is>
      </c>
    </row>
    <row r="45">
      <c r="A45" s="4" t="n">
        <v>45505</v>
      </c>
      <c r="B45" t="inlineStr">
        <is>
          <t>published</t>
        </is>
      </c>
      <c r="C45" t="inlineStr">
        <is>
          <t>published</t>
        </is>
      </c>
      <c r="D45" t="inlineStr">
        <is>
          <t>published</t>
        </is>
      </c>
      <c r="E45" t="inlineStr">
        <is>
          <t>estimated</t>
        </is>
      </c>
      <c r="F45" t="inlineStr">
        <is>
          <t>published</t>
        </is>
      </c>
      <c r="G45" t="inlineStr">
        <is>
          <t>published</t>
        </is>
      </c>
      <c r="H45" t="inlineStr">
        <is>
          <t>published</t>
        </is>
      </c>
      <c r="I45" t="inlineStr">
        <is>
          <t>estimated</t>
        </is>
      </c>
      <c r="J45" t="inlineStr">
        <is>
          <t>estimated</t>
        </is>
      </c>
      <c r="K45" t="inlineStr">
        <is>
          <t>published</t>
        </is>
      </c>
      <c r="L45" t="inlineStr">
        <is>
          <t>published</t>
        </is>
      </c>
      <c r="M45" t="inlineStr">
        <is>
          <t>estimated</t>
        </is>
      </c>
    </row>
    <row r="46">
      <c r="A46" s="4" t="n">
        <v>45536</v>
      </c>
      <c r="B46" t="inlineStr">
        <is>
          <t>published</t>
        </is>
      </c>
      <c r="C46" t="inlineStr">
        <is>
          <t>published</t>
        </is>
      </c>
      <c r="D46" t="inlineStr">
        <is>
          <t>published</t>
        </is>
      </c>
      <c r="E46" t="inlineStr">
        <is>
          <t>estimated</t>
        </is>
      </c>
      <c r="F46" t="inlineStr">
        <is>
          <t>published</t>
        </is>
      </c>
      <c r="G46" t="inlineStr">
        <is>
          <t>published</t>
        </is>
      </c>
      <c r="H46" t="inlineStr">
        <is>
          <t>published</t>
        </is>
      </c>
      <c r="I46" t="inlineStr">
        <is>
          <t>estimated</t>
        </is>
      </c>
      <c r="J46" t="inlineStr">
        <is>
          <t>estimated</t>
        </is>
      </c>
      <c r="K46" t="inlineStr">
        <is>
          <t>published</t>
        </is>
      </c>
      <c r="L46" t="inlineStr">
        <is>
          <t>published</t>
        </is>
      </c>
      <c r="M46" t="inlineStr">
        <is>
          <t>estimated</t>
        </is>
      </c>
    </row>
    <row r="47">
      <c r="A47" s="4" t="n">
        <v>45566</v>
      </c>
      <c r="B47" t="inlineStr">
        <is>
          <t>published</t>
        </is>
      </c>
      <c r="C47" t="inlineStr">
        <is>
          <t>published</t>
        </is>
      </c>
      <c r="D47" t="inlineStr">
        <is>
          <t>published</t>
        </is>
      </c>
      <c r="E47" t="inlineStr">
        <is>
          <t>estimated</t>
        </is>
      </c>
      <c r="F47" t="inlineStr">
        <is>
          <t>published</t>
        </is>
      </c>
      <c r="G47" t="inlineStr">
        <is>
          <t>published</t>
        </is>
      </c>
      <c r="H47" t="inlineStr">
        <is>
          <t>published</t>
        </is>
      </c>
      <c r="I47" t="inlineStr">
        <is>
          <t>estimated</t>
        </is>
      </c>
      <c r="J47" t="inlineStr">
        <is>
          <t>estimated</t>
        </is>
      </c>
      <c r="K47" t="inlineStr">
        <is>
          <t>published</t>
        </is>
      </c>
      <c r="L47" t="inlineStr">
        <is>
          <t>published</t>
        </is>
      </c>
      <c r="M47" t="inlineStr">
        <is>
          <t>estimated</t>
        </is>
      </c>
    </row>
    <row r="48">
      <c r="A48" s="4" t="n">
        <v>45597</v>
      </c>
      <c r="B48" t="inlineStr">
        <is>
          <t>published</t>
        </is>
      </c>
      <c r="C48" t="inlineStr">
        <is>
          <t>published</t>
        </is>
      </c>
      <c r="D48" t="inlineStr">
        <is>
          <t>published</t>
        </is>
      </c>
      <c r="E48" t="inlineStr">
        <is>
          <t>estimated</t>
        </is>
      </c>
      <c r="F48" t="inlineStr">
        <is>
          <t>published</t>
        </is>
      </c>
      <c r="G48" t="inlineStr">
        <is>
          <t>published</t>
        </is>
      </c>
      <c r="H48" t="inlineStr">
        <is>
          <t>published</t>
        </is>
      </c>
      <c r="I48" t="inlineStr">
        <is>
          <t>estimated</t>
        </is>
      </c>
      <c r="J48" t="inlineStr">
        <is>
          <t>estimated</t>
        </is>
      </c>
      <c r="K48" t="inlineStr">
        <is>
          <t>published</t>
        </is>
      </c>
      <c r="L48" t="inlineStr">
        <is>
          <t>published</t>
        </is>
      </c>
      <c r="M48" t="inlineStr">
        <is>
          <t>estimated</t>
        </is>
      </c>
    </row>
    <row r="49">
      <c r="A49" s="4" t="n">
        <v>45627</v>
      </c>
      <c r="B49" t="inlineStr">
        <is>
          <t>published</t>
        </is>
      </c>
      <c r="C49" t="inlineStr">
        <is>
          <t>published</t>
        </is>
      </c>
      <c r="D49" t="inlineStr">
        <is>
          <t>published</t>
        </is>
      </c>
      <c r="E49" t="inlineStr">
        <is>
          <t>estimated</t>
        </is>
      </c>
      <c r="F49" t="inlineStr">
        <is>
          <t>published</t>
        </is>
      </c>
      <c r="G49" t="inlineStr">
        <is>
          <t>published</t>
        </is>
      </c>
      <c r="H49" t="inlineStr">
        <is>
          <t>published</t>
        </is>
      </c>
      <c r="I49" t="inlineStr">
        <is>
          <t>estimated</t>
        </is>
      </c>
      <c r="J49" t="inlineStr">
        <is>
          <t>estimated</t>
        </is>
      </c>
      <c r="K49" t="inlineStr">
        <is>
          <t>published</t>
        </is>
      </c>
      <c r="L49" t="inlineStr">
        <is>
          <t>published</t>
        </is>
      </c>
      <c r="M49" t="inlineStr">
        <is>
          <t>estimated</t>
        </is>
      </c>
    </row>
    <row r="50">
      <c r="A50" s="4" t="n">
        <v>45658</v>
      </c>
      <c r="B50" t="inlineStr">
        <is>
          <t>published</t>
        </is>
      </c>
      <c r="C50" t="inlineStr">
        <is>
          <t>published</t>
        </is>
      </c>
      <c r="D50" t="inlineStr">
        <is>
          <t>published</t>
        </is>
      </c>
      <c r="E50" t="inlineStr">
        <is>
          <t>estimated</t>
        </is>
      </c>
      <c r="F50" t="inlineStr">
        <is>
          <t>published</t>
        </is>
      </c>
      <c r="H50" t="inlineStr">
        <is>
          <t>published</t>
        </is>
      </c>
      <c r="I50" t="inlineStr">
        <is>
          <t>estimated</t>
        </is>
      </c>
      <c r="J50" t="inlineStr">
        <is>
          <t>estimated</t>
        </is>
      </c>
      <c r="K50" t="inlineStr">
        <is>
          <t>published</t>
        </is>
      </c>
      <c r="L50" t="inlineStr">
        <is>
          <t>published</t>
        </is>
      </c>
      <c r="M50" t="inlineStr">
        <is>
          <t>estimated</t>
        </is>
      </c>
    </row>
    <row r="51">
      <c r="A51" s="4" t="n">
        <v>45689</v>
      </c>
      <c r="B51" t="inlineStr">
        <is>
          <t>published</t>
        </is>
      </c>
      <c r="C51" t="inlineStr">
        <is>
          <t>published</t>
        </is>
      </c>
      <c r="D51" t="inlineStr">
        <is>
          <t>published</t>
        </is>
      </c>
      <c r="E51" t="inlineStr">
        <is>
          <t>estimated</t>
        </is>
      </c>
      <c r="F51" t="inlineStr">
        <is>
          <t>published</t>
        </is>
      </c>
      <c r="H51" t="inlineStr">
        <is>
          <t>published</t>
        </is>
      </c>
      <c r="I51" t="inlineStr">
        <is>
          <t>estimated</t>
        </is>
      </c>
      <c r="J51" t="inlineStr">
        <is>
          <t>estimated</t>
        </is>
      </c>
      <c r="K51" t="inlineStr">
        <is>
          <t>published</t>
        </is>
      </c>
      <c r="L51" t="inlineStr">
        <is>
          <t>published</t>
        </is>
      </c>
      <c r="M51" t="inlineStr">
        <is>
          <t>estimated</t>
        </is>
      </c>
    </row>
    <row r="52">
      <c r="A52" s="4" t="n">
        <v>45717</v>
      </c>
      <c r="B52" t="inlineStr">
        <is>
          <t>published</t>
        </is>
      </c>
      <c r="C52" t="inlineStr">
        <is>
          <t>published</t>
        </is>
      </c>
      <c r="D52" t="inlineStr">
        <is>
          <t>published</t>
        </is>
      </c>
      <c r="E52" t="inlineStr">
        <is>
          <t>estimated</t>
        </is>
      </c>
      <c r="F52" t="inlineStr">
        <is>
          <t>published</t>
        </is>
      </c>
      <c r="H52" t="inlineStr">
        <is>
          <t>published</t>
        </is>
      </c>
      <c r="I52" t="inlineStr">
        <is>
          <t>estimated</t>
        </is>
      </c>
      <c r="J52" t="inlineStr">
        <is>
          <t>estimated</t>
        </is>
      </c>
      <c r="K52" t="inlineStr">
        <is>
          <t>published</t>
        </is>
      </c>
      <c r="L52" t="inlineStr">
        <is>
          <t>published</t>
        </is>
      </c>
      <c r="M52" t="inlineStr">
        <is>
          <t>estimated</t>
        </is>
      </c>
    </row>
    <row r="53">
      <c r="A53" s="4" t="n">
        <v>45748</v>
      </c>
      <c r="B53" t="inlineStr">
        <is>
          <t>published</t>
        </is>
      </c>
      <c r="C53" t="inlineStr">
        <is>
          <t>published</t>
        </is>
      </c>
      <c r="D53" t="inlineStr">
        <is>
          <t>published</t>
        </is>
      </c>
      <c r="E53" t="inlineStr">
        <is>
          <t>estimated</t>
        </is>
      </c>
      <c r="F53" t="inlineStr">
        <is>
          <t>published</t>
        </is>
      </c>
      <c r="H53" t="inlineStr">
        <is>
          <t>published</t>
        </is>
      </c>
      <c r="I53" t="inlineStr">
        <is>
          <t>estimated</t>
        </is>
      </c>
      <c r="J53" t="inlineStr">
        <is>
          <t>estimated</t>
        </is>
      </c>
      <c r="K53" t="inlineStr">
        <is>
          <t>published</t>
        </is>
      </c>
      <c r="L53" t="inlineStr">
        <is>
          <t>published</t>
        </is>
      </c>
      <c r="M53" t="inlineStr">
        <is>
          <t>estimated</t>
        </is>
      </c>
    </row>
    <row r="54">
      <c r="A54" s="4" t="n">
        <v>45778</v>
      </c>
      <c r="B54" t="inlineStr">
        <is>
          <t>published</t>
        </is>
      </c>
      <c r="C54" t="inlineStr">
        <is>
          <t>published</t>
        </is>
      </c>
      <c r="D54" t="inlineStr">
        <is>
          <t>published</t>
        </is>
      </c>
      <c r="E54" t="inlineStr">
        <is>
          <t>estimated</t>
        </is>
      </c>
      <c r="F54" t="inlineStr">
        <is>
          <t>published</t>
        </is>
      </c>
      <c r="H54" t="inlineStr">
        <is>
          <t>published</t>
        </is>
      </c>
      <c r="I54" t="inlineStr">
        <is>
          <t>estimated</t>
        </is>
      </c>
      <c r="J54" t="inlineStr">
        <is>
          <t>estimated</t>
        </is>
      </c>
      <c r="K54" t="inlineStr">
        <is>
          <t>published</t>
        </is>
      </c>
      <c r="L54" t="inlineStr">
        <is>
          <t>published</t>
        </is>
      </c>
      <c r="M54" t="inlineStr">
        <is>
          <t>estimated</t>
        </is>
      </c>
    </row>
    <row r="55">
      <c r="A55" s="4" t="n">
        <v>45809</v>
      </c>
      <c r="B55" t="inlineStr">
        <is>
          <t>published</t>
        </is>
      </c>
      <c r="C55" t="inlineStr">
        <is>
          <t>published</t>
        </is>
      </c>
      <c r="D55" t="inlineStr">
        <is>
          <t>published</t>
        </is>
      </c>
      <c r="E55" t="inlineStr">
        <is>
          <t>estimated</t>
        </is>
      </c>
      <c r="F55" t="inlineStr">
        <is>
          <t>published</t>
        </is>
      </c>
      <c r="H55" t="inlineStr">
        <is>
          <t>published</t>
        </is>
      </c>
      <c r="I55" t="inlineStr">
        <is>
          <t>estimated</t>
        </is>
      </c>
      <c r="J55" t="inlineStr">
        <is>
          <t>estimated</t>
        </is>
      </c>
      <c r="K55" t="inlineStr">
        <is>
          <t>published</t>
        </is>
      </c>
      <c r="L55" t="inlineStr">
        <is>
          <t>published</t>
        </is>
      </c>
      <c r="M55" t="inlineStr">
        <is>
          <t>estimated</t>
        </is>
      </c>
    </row>
    <row r="56">
      <c r="A56" s="4" t="n">
        <v>45839</v>
      </c>
      <c r="B56" t="inlineStr">
        <is>
          <t>published</t>
        </is>
      </c>
      <c r="C56" t="inlineStr">
        <is>
          <t>estimated</t>
        </is>
      </c>
      <c r="D56" t="inlineStr">
        <is>
          <t>published</t>
        </is>
      </c>
      <c r="E56" t="inlineStr">
        <is>
          <t>estimated</t>
        </is>
      </c>
      <c r="F56" t="inlineStr">
        <is>
          <t>published</t>
        </is>
      </c>
      <c r="H56" t="inlineStr">
        <is>
          <t>published</t>
        </is>
      </c>
      <c r="I56" t="inlineStr">
        <is>
          <t>estimated</t>
        </is>
      </c>
      <c r="J56" t="inlineStr">
        <is>
          <t>estimated</t>
        </is>
      </c>
      <c r="K56" t="inlineStr">
        <is>
          <t>published</t>
        </is>
      </c>
      <c r="L56" t="inlineStr">
        <is>
          <t>published</t>
        </is>
      </c>
      <c r="M56" t="inlineStr">
        <is>
          <t>estimated</t>
        </is>
      </c>
    </row>
    <row r="57">
      <c r="A57" s="4" t="n">
        <v>45870</v>
      </c>
      <c r="B57" t="inlineStr">
        <is>
          <t>published</t>
        </is>
      </c>
      <c r="C57" t="inlineStr">
        <is>
          <t>estimated</t>
        </is>
      </c>
      <c r="D57" t="inlineStr">
        <is>
          <t>published</t>
        </is>
      </c>
      <c r="E57" t="inlineStr">
        <is>
          <t>estimated</t>
        </is>
      </c>
      <c r="F57" t="inlineStr">
        <is>
          <t>published</t>
        </is>
      </c>
      <c r="H57" t="inlineStr">
        <is>
          <t>published</t>
        </is>
      </c>
      <c r="I57" t="inlineStr">
        <is>
          <t>estimated</t>
        </is>
      </c>
      <c r="J57" t="inlineStr">
        <is>
          <t>estimated</t>
        </is>
      </c>
      <c r="K57" t="inlineStr">
        <is>
          <t>published</t>
        </is>
      </c>
      <c r="L57" t="inlineStr">
        <is>
          <t>published</t>
        </is>
      </c>
      <c r="M57" t="inlineStr">
        <is>
          <t>estimated</t>
        </is>
      </c>
    </row>
    <row r="58">
      <c r="A58" s="4" t="n">
        <v>45901</v>
      </c>
      <c r="B58" t="inlineStr">
        <is>
          <t>published</t>
        </is>
      </c>
      <c r="C58" t="inlineStr">
        <is>
          <t>estimated</t>
        </is>
      </c>
      <c r="D58" t="inlineStr">
        <is>
          <t>published</t>
        </is>
      </c>
      <c r="E58" t="inlineStr">
        <is>
          <t>estimated</t>
        </is>
      </c>
      <c r="F58" t="inlineStr">
        <is>
          <t>published</t>
        </is>
      </c>
      <c r="H58" t="inlineStr">
        <is>
          <t>published</t>
        </is>
      </c>
      <c r="I58" t="inlineStr">
        <is>
          <t>estimated</t>
        </is>
      </c>
      <c r="J58" t="inlineStr">
        <is>
          <t>estimated</t>
        </is>
      </c>
      <c r="K58" t="inlineStr">
        <is>
          <t>published</t>
        </is>
      </c>
      <c r="L58" t="inlineStr">
        <is>
          <t>published</t>
        </is>
      </c>
      <c r="M58" t="inlineStr">
        <is>
          <t>estimated</t>
        </is>
      </c>
    </row>
    <row r="59">
      <c r="A59" s="4" t="n">
        <v>45931</v>
      </c>
      <c r="B59" t="inlineStr">
        <is>
          <t>published</t>
        </is>
      </c>
      <c r="C59" t="inlineStr">
        <is>
          <t>estimated</t>
        </is>
      </c>
      <c r="D59" t="inlineStr">
        <is>
          <t>published</t>
        </is>
      </c>
      <c r="E59" t="inlineStr">
        <is>
          <t>estimated</t>
        </is>
      </c>
      <c r="F59" t="inlineStr">
        <is>
          <t>published</t>
        </is>
      </c>
      <c r="H59" t="inlineStr">
        <is>
          <t>published</t>
        </is>
      </c>
      <c r="I59" t="inlineStr">
        <is>
          <t>estimated</t>
        </is>
      </c>
      <c r="J59" t="inlineStr">
        <is>
          <t>estimated</t>
        </is>
      </c>
      <c r="K59" t="inlineStr">
        <is>
          <t>published</t>
        </is>
      </c>
      <c r="L59" t="inlineStr">
        <is>
          <t>published</t>
        </is>
      </c>
      <c r="M59" t="inlineStr">
        <is>
          <t>estimated</t>
        </is>
      </c>
    </row>
    <row r="60">
      <c r="A60" s="4" t="n">
        <v>45962</v>
      </c>
      <c r="B60" t="inlineStr">
        <is>
          <t>published</t>
        </is>
      </c>
      <c r="C60" t="inlineStr">
        <is>
          <t>estimated</t>
        </is>
      </c>
      <c r="D60" t="inlineStr">
        <is>
          <t>published</t>
        </is>
      </c>
      <c r="E60" t="inlineStr">
        <is>
          <t>estimated</t>
        </is>
      </c>
      <c r="F60" t="inlineStr">
        <is>
          <t>published</t>
        </is>
      </c>
      <c r="H60" t="inlineStr">
        <is>
          <t>published</t>
        </is>
      </c>
      <c r="I60" t="inlineStr">
        <is>
          <t>estimated</t>
        </is>
      </c>
      <c r="J60" t="inlineStr">
        <is>
          <t>estimated</t>
        </is>
      </c>
      <c r="K60" t="inlineStr">
        <is>
          <t>published</t>
        </is>
      </c>
      <c r="L60" t="inlineStr">
        <is>
          <t>published</t>
        </is>
      </c>
      <c r="M60" t="inlineStr">
        <is>
          <t>estimated</t>
        </is>
      </c>
    </row>
    <row r="61">
      <c r="A61" s="4" t="n">
        <v>45992</v>
      </c>
      <c r="B61" t="inlineStr">
        <is>
          <t>published</t>
        </is>
      </c>
      <c r="C61" t="inlineStr">
        <is>
          <t>estimated</t>
        </is>
      </c>
      <c r="D61" t="inlineStr">
        <is>
          <t>published</t>
        </is>
      </c>
      <c r="E61" t="inlineStr">
        <is>
          <t>estimated</t>
        </is>
      </c>
      <c r="F61" t="inlineStr">
        <is>
          <t>published</t>
        </is>
      </c>
      <c r="H61" t="inlineStr">
        <is>
          <t>published</t>
        </is>
      </c>
      <c r="I61" t="inlineStr">
        <is>
          <t>estimated</t>
        </is>
      </c>
      <c r="J61" t="inlineStr">
        <is>
          <t>estimated</t>
        </is>
      </c>
      <c r="K61" t="inlineStr">
        <is>
          <t>published</t>
        </is>
      </c>
      <c r="L61" t="inlineStr">
        <is>
          <t>published</t>
        </is>
      </c>
      <c r="M61" t="inlineStr">
        <is>
          <t>estimated</t>
        </is>
      </c>
    </row>
    <row r="62">
      <c r="A62" s="4" t="n">
        <v>46023</v>
      </c>
      <c r="B62" t="inlineStr">
        <is>
          <t>published</t>
        </is>
      </c>
      <c r="C62" t="inlineStr">
        <is>
          <t>estimated</t>
        </is>
      </c>
      <c r="D62" t="inlineStr">
        <is>
          <t>estimated</t>
        </is>
      </c>
      <c r="E62" t="inlineStr">
        <is>
          <t>estimated</t>
        </is>
      </c>
      <c r="F62" t="inlineStr">
        <is>
          <t>published</t>
        </is>
      </c>
      <c r="G62" t="inlineStr">
        <is>
          <t>published</t>
        </is>
      </c>
      <c r="H62" t="inlineStr">
        <is>
          <t>published</t>
        </is>
      </c>
      <c r="I62" t="inlineStr">
        <is>
          <t>estimated</t>
        </is>
      </c>
      <c r="K62" t="inlineStr">
        <is>
          <t>published</t>
        </is>
      </c>
      <c r="L62" t="inlineStr">
        <is>
          <t>published</t>
        </is>
      </c>
      <c r="M62" t="inlineStr">
        <is>
          <t>estimated</t>
        </is>
      </c>
    </row>
    <row r="63">
      <c r="A63" s="4" t="n">
        <v>46054</v>
      </c>
      <c r="B63" t="inlineStr">
        <is>
          <t>published</t>
        </is>
      </c>
      <c r="C63" t="inlineStr">
        <is>
          <t>estimated</t>
        </is>
      </c>
      <c r="D63" t="inlineStr">
        <is>
          <t>estimated</t>
        </is>
      </c>
      <c r="E63" t="inlineStr">
        <is>
          <t>estimated</t>
        </is>
      </c>
      <c r="F63" t="inlineStr">
        <is>
          <t>published</t>
        </is>
      </c>
      <c r="G63" t="inlineStr">
        <is>
          <t>published</t>
        </is>
      </c>
      <c r="H63" t="inlineStr">
        <is>
          <t>published</t>
        </is>
      </c>
      <c r="I63" t="inlineStr">
        <is>
          <t>estimated</t>
        </is>
      </c>
      <c r="K63" t="inlineStr">
        <is>
          <t>published</t>
        </is>
      </c>
      <c r="L63" t="inlineStr">
        <is>
          <t>published</t>
        </is>
      </c>
      <c r="M63" t="inlineStr">
        <is>
          <t>estimated</t>
        </is>
      </c>
    </row>
    <row r="64">
      <c r="A64" s="4" t="n">
        <v>46082</v>
      </c>
      <c r="B64" t="inlineStr">
        <is>
          <t>published</t>
        </is>
      </c>
      <c r="C64" t="inlineStr">
        <is>
          <t>estimated</t>
        </is>
      </c>
      <c r="D64" t="inlineStr">
        <is>
          <t>estimated</t>
        </is>
      </c>
      <c r="E64" t="inlineStr">
        <is>
          <t>estimated</t>
        </is>
      </c>
      <c r="F64" t="inlineStr">
        <is>
          <t>published</t>
        </is>
      </c>
      <c r="G64" t="inlineStr">
        <is>
          <t>published</t>
        </is>
      </c>
      <c r="H64" t="inlineStr">
        <is>
          <t>published</t>
        </is>
      </c>
      <c r="I64" t="inlineStr">
        <is>
          <t>estimated</t>
        </is>
      </c>
      <c r="K64" t="inlineStr">
        <is>
          <t>published</t>
        </is>
      </c>
      <c r="L64" t="inlineStr">
        <is>
          <t>published</t>
        </is>
      </c>
      <c r="M64" t="inlineStr">
        <is>
          <t>estimated</t>
        </is>
      </c>
    </row>
    <row r="65">
      <c r="A65" s="4" t="n">
        <v>46113</v>
      </c>
      <c r="B65" t="inlineStr">
        <is>
          <t>published</t>
        </is>
      </c>
      <c r="C65" t="inlineStr">
        <is>
          <t>estimated</t>
        </is>
      </c>
      <c r="D65" t="inlineStr">
        <is>
          <t>estimated</t>
        </is>
      </c>
      <c r="E65" t="inlineStr">
        <is>
          <t>estimated</t>
        </is>
      </c>
      <c r="F65" t="inlineStr">
        <is>
          <t>published</t>
        </is>
      </c>
      <c r="H65" t="inlineStr">
        <is>
          <t>published</t>
        </is>
      </c>
      <c r="I65" t="inlineStr">
        <is>
          <t>estimated</t>
        </is>
      </c>
      <c r="K65" t="inlineStr">
        <is>
          <t>published</t>
        </is>
      </c>
      <c r="L65" t="inlineStr">
        <is>
          <t>published</t>
        </is>
      </c>
      <c r="M65" t="inlineStr">
        <is>
          <t>estimated</t>
        </is>
      </c>
    </row>
    <row r="66">
      <c r="A66" s="4" t="n">
        <v>46143</v>
      </c>
      <c r="B66" t="inlineStr">
        <is>
          <t>published</t>
        </is>
      </c>
      <c r="C66" t="inlineStr">
        <is>
          <t>estimated</t>
        </is>
      </c>
      <c r="D66" t="inlineStr">
        <is>
          <t>estimated</t>
        </is>
      </c>
      <c r="E66" t="inlineStr">
        <is>
          <t>estimated</t>
        </is>
      </c>
      <c r="F66" t="inlineStr">
        <is>
          <t>published</t>
        </is>
      </c>
      <c r="H66" t="inlineStr">
        <is>
          <t>published</t>
        </is>
      </c>
      <c r="I66" t="inlineStr">
        <is>
          <t>estimated</t>
        </is>
      </c>
      <c r="K66" t="inlineStr">
        <is>
          <t>published</t>
        </is>
      </c>
      <c r="L66" t="inlineStr">
        <is>
          <t>published</t>
        </is>
      </c>
      <c r="M66" t="inlineStr">
        <is>
          <t>estimated</t>
        </is>
      </c>
    </row>
    <row r="67">
      <c r="A67" s="4" t="n">
        <v>46174</v>
      </c>
      <c r="B67" t="inlineStr">
        <is>
          <t>published</t>
        </is>
      </c>
      <c r="C67" t="inlineStr">
        <is>
          <t>estimated</t>
        </is>
      </c>
      <c r="D67" t="inlineStr">
        <is>
          <t>estimated</t>
        </is>
      </c>
      <c r="E67" t="inlineStr">
        <is>
          <t>estimated</t>
        </is>
      </c>
      <c r="F67" t="inlineStr">
        <is>
          <t>published</t>
        </is>
      </c>
      <c r="H67" t="inlineStr">
        <is>
          <t>published</t>
        </is>
      </c>
      <c r="I67" t="inlineStr">
        <is>
          <t>estimated</t>
        </is>
      </c>
      <c r="K67" t="inlineStr">
        <is>
          <t>estimated</t>
        </is>
      </c>
      <c r="L67" t="inlineStr">
        <is>
          <t>published</t>
        </is>
      </c>
      <c r="M67" t="inlineStr">
        <is>
          <t>estimated</t>
        </is>
      </c>
    </row>
    <row r="68">
      <c r="A68" s="4" t="n">
        <v>46204</v>
      </c>
      <c r="B68" t="inlineStr">
        <is>
          <t>estimated</t>
        </is>
      </c>
      <c r="C68" t="inlineStr">
        <is>
          <t>estimated</t>
        </is>
      </c>
      <c r="D68" t="inlineStr">
        <is>
          <t>estimated</t>
        </is>
      </c>
      <c r="E68" t="inlineStr">
        <is>
          <t>estimated</t>
        </is>
      </c>
      <c r="F68" t="inlineStr">
        <is>
          <t>published</t>
        </is>
      </c>
      <c r="H68" t="inlineStr">
        <is>
          <t>published</t>
        </is>
      </c>
      <c r="I68" t="inlineStr">
        <is>
          <t>estimated</t>
        </is>
      </c>
      <c r="K68" t="inlineStr">
        <is>
          <t>estimated</t>
        </is>
      </c>
      <c r="L68" t="inlineStr">
        <is>
          <t>published</t>
        </is>
      </c>
      <c r="M68" t="inlineStr">
        <is>
          <t>estimated</t>
        </is>
      </c>
    </row>
    <row r="69">
      <c r="A69" s="4" t="n">
        <v>46235</v>
      </c>
      <c r="B69" t="inlineStr">
        <is>
          <t>estimated</t>
        </is>
      </c>
      <c r="C69" t="inlineStr">
        <is>
          <t>estimated</t>
        </is>
      </c>
      <c r="D69" t="inlineStr">
        <is>
          <t>estimated</t>
        </is>
      </c>
      <c r="E69" t="inlineStr">
        <is>
          <t>estimated</t>
        </is>
      </c>
      <c r="F69" t="inlineStr">
        <is>
          <t>published</t>
        </is>
      </c>
      <c r="H69" t="inlineStr">
        <is>
          <t>published</t>
        </is>
      </c>
      <c r="I69" t="inlineStr">
        <is>
          <t>estimated</t>
        </is>
      </c>
      <c r="K69" t="inlineStr">
        <is>
          <t>estimated</t>
        </is>
      </c>
      <c r="L69" t="inlineStr">
        <is>
          <t>published</t>
        </is>
      </c>
      <c r="M69" t="inlineStr">
        <is>
          <t>estimated</t>
        </is>
      </c>
    </row>
    <row r="70">
      <c r="A70" s="4" t="n">
        <v>46266</v>
      </c>
      <c r="B70" t="inlineStr">
        <is>
          <t>estimated</t>
        </is>
      </c>
      <c r="C70" t="inlineStr">
        <is>
          <t>estimated</t>
        </is>
      </c>
      <c r="D70" t="inlineStr">
        <is>
          <t>estimated</t>
        </is>
      </c>
      <c r="E70" t="inlineStr">
        <is>
          <t>estimated</t>
        </is>
      </c>
      <c r="F70" t="inlineStr">
        <is>
          <t>published</t>
        </is>
      </c>
      <c r="H70" t="inlineStr">
        <is>
          <t>published</t>
        </is>
      </c>
      <c r="I70" t="inlineStr">
        <is>
          <t>estimated</t>
        </is>
      </c>
      <c r="K70" t="inlineStr">
        <is>
          <t>estimated</t>
        </is>
      </c>
      <c r="M70" t="inlineStr">
        <is>
          <t>estimated</t>
        </is>
      </c>
    </row>
    <row r="71">
      <c r="A71" s="4" t="n">
        <v>46296</v>
      </c>
      <c r="B71" t="inlineStr">
        <is>
          <t>estimated</t>
        </is>
      </c>
      <c r="C71" t="inlineStr">
        <is>
          <t>estimated</t>
        </is>
      </c>
      <c r="D71" t="inlineStr">
        <is>
          <t>estimated</t>
        </is>
      </c>
      <c r="H71" t="inlineStr">
        <is>
          <t>estimated</t>
        </is>
      </c>
      <c r="I71" t="inlineStr">
        <is>
          <t>estimated</t>
        </is>
      </c>
      <c r="K71" t="inlineStr">
        <is>
          <t>estimated</t>
        </is>
      </c>
      <c r="M71" t="inlineStr">
        <is>
          <t>estimated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Argentina</t>
        </is>
      </c>
      <c r="C1" t="inlineStr">
        <is>
          <t>Brazil</t>
        </is>
      </c>
      <c r="D1" t="inlineStr">
        <is>
          <t>Bolivia</t>
        </is>
      </c>
      <c r="E1" t="inlineStr">
        <is>
          <t>Colombia</t>
        </is>
      </c>
      <c r="F1" t="inlineStr">
        <is>
          <t>Peru</t>
        </is>
      </c>
      <c r="G1" t="inlineStr">
        <is>
          <t>Dominican Republic</t>
        </is>
      </c>
      <c r="H1" t="inlineStr">
        <is>
          <t>Puerto Rico</t>
        </is>
      </c>
    </row>
    <row r="2">
      <c r="A2" s="4" t="n">
        <v>44197</v>
      </c>
      <c r="B2" t="n">
        <v>7.210749183147446</v>
      </c>
      <c r="C2" t="n">
        <v>8.481986254026722</v>
      </c>
      <c r="D2" t="n">
        <v>8.76886538103348</v>
      </c>
      <c r="E2" t="n">
        <v>8.699252402027994</v>
      </c>
      <c r="F2" t="n">
        <v>9.057601515684896</v>
      </c>
      <c r="G2" t="n">
        <v>6.399069675954027</v>
      </c>
      <c r="H2" t="n">
        <v>9.635838955391279</v>
      </c>
    </row>
    <row r="3">
      <c r="A3" s="4" t="n">
        <v>44228</v>
      </c>
      <c r="B3" t="n">
        <v>7.447032799210023</v>
      </c>
      <c r="C3" t="n">
        <v>8.337628465752465</v>
      </c>
      <c r="D3" t="n">
        <v>9.178558220448563</v>
      </c>
      <c r="E3" t="n">
        <v>8.905995363522321</v>
      </c>
      <c r="F3" t="n">
        <v>8.174123263641768</v>
      </c>
      <c r="G3" t="n">
        <v>7.808792781200951</v>
      </c>
      <c r="H3" t="n">
        <v>9.342129579584759</v>
      </c>
    </row>
    <row r="4">
      <c r="A4" s="4" t="n">
        <v>44256</v>
      </c>
      <c r="B4" t="n">
        <v>7.322648276858696</v>
      </c>
      <c r="C4" t="n">
        <v>8.447687979649134</v>
      </c>
      <c r="D4" t="n">
        <v>8.905005906286348</v>
      </c>
      <c r="E4" t="n">
        <v>8.42490681208905</v>
      </c>
      <c r="F4" t="n">
        <v>8.678499328032656</v>
      </c>
      <c r="G4" t="n">
        <v>7.814094924354307</v>
      </c>
      <c r="H4" t="n">
        <v>9.731929617249239</v>
      </c>
    </row>
    <row r="5">
      <c r="A5" s="4" t="n">
        <v>44287</v>
      </c>
      <c r="B5" t="n">
        <v>7.640114239938096</v>
      </c>
      <c r="C5" t="n">
        <v>8.453416616206891</v>
      </c>
      <c r="D5" t="n">
        <v>8.858105944460773</v>
      </c>
      <c r="E5" t="n">
        <v>8.367355315796619</v>
      </c>
      <c r="F5" t="n">
        <v>9.555251957865426</v>
      </c>
      <c r="G5" t="n">
        <v>7.913212233094167</v>
      </c>
      <c r="H5" t="n">
        <v>9.061967452886023</v>
      </c>
    </row>
    <row r="6">
      <c r="A6" s="4" t="n">
        <v>44317</v>
      </c>
      <c r="B6" t="n">
        <v>7.643733910045569</v>
      </c>
      <c r="C6" t="n">
        <v>8.385948161307313</v>
      </c>
      <c r="D6" t="n">
        <v>8.338850824937712</v>
      </c>
      <c r="E6" t="n">
        <v>8.78941919228888</v>
      </c>
      <c r="F6" t="n">
        <v>7.90939343424819</v>
      </c>
      <c r="G6" t="n">
        <v>7.977547694002744</v>
      </c>
      <c r="H6" t="n">
        <v>9.396355411990193</v>
      </c>
    </row>
    <row r="7">
      <c r="A7" s="4" t="n">
        <v>44348</v>
      </c>
      <c r="B7" t="n">
        <v>7.365528481063214</v>
      </c>
      <c r="C7" t="n">
        <v>8.552204480941823</v>
      </c>
      <c r="D7" t="n">
        <v>8.374064559891913</v>
      </c>
      <c r="E7" t="n">
        <v>8.472789166880055</v>
      </c>
      <c r="F7" t="n">
        <v>7.873472610532676</v>
      </c>
      <c r="G7" t="n">
        <v>7.877126929347534</v>
      </c>
      <c r="H7" t="n">
        <v>9.599830963292453</v>
      </c>
    </row>
    <row r="8">
      <c r="A8" s="4" t="n">
        <v>44378</v>
      </c>
      <c r="B8" t="n">
        <v>7.635552849677048</v>
      </c>
      <c r="C8" t="n">
        <v>8.428188118934106</v>
      </c>
      <c r="D8" t="n">
        <v>8.458762479642063</v>
      </c>
      <c r="E8" t="n">
        <v>9.283312895197282</v>
      </c>
      <c r="F8" t="n">
        <v>7.491638461864385</v>
      </c>
      <c r="G8" t="n">
        <v>7.870522281158536</v>
      </c>
      <c r="H8" t="n">
        <v>9.494228593113464</v>
      </c>
    </row>
    <row r="9">
      <c r="A9" s="4" t="n">
        <v>44409</v>
      </c>
      <c r="B9" t="n">
        <v>7.524077292481791</v>
      </c>
      <c r="C9" t="n">
        <v>8.337776018146199</v>
      </c>
      <c r="D9" t="n">
        <v>8.463102185709214</v>
      </c>
      <c r="E9" t="n">
        <v>9.488000415505788</v>
      </c>
      <c r="F9" t="n">
        <v>7.70741665853655</v>
      </c>
      <c r="G9" t="n">
        <v>7.825256258538292</v>
      </c>
      <c r="H9" t="n">
        <v>9.138302703068366</v>
      </c>
    </row>
    <row r="10">
      <c r="A10" s="4" t="n">
        <v>44440</v>
      </c>
      <c r="B10" t="n">
        <v>7.411481752019355</v>
      </c>
      <c r="C10" t="n">
        <v>8.025916234355716</v>
      </c>
      <c r="D10" t="n">
        <v>8.200271121239425</v>
      </c>
      <c r="E10" t="n">
        <v>9.388746530850216</v>
      </c>
      <c r="F10" t="n">
        <v>7.551146645816782</v>
      </c>
      <c r="G10" t="n">
        <v>7.669878247870384</v>
      </c>
      <c r="H10" t="n">
        <v>8.428409741937948</v>
      </c>
    </row>
    <row r="11">
      <c r="A11" s="4" t="n">
        <v>44470</v>
      </c>
      <c r="B11" t="n">
        <v>7.647117048490861</v>
      </c>
      <c r="C11" t="n">
        <v>7.985315402808858</v>
      </c>
      <c r="D11" t="n">
        <v>8.232909655281833</v>
      </c>
      <c r="E11" t="n">
        <v>9.746921920226036</v>
      </c>
      <c r="F11" t="n">
        <v>7.463752940759354</v>
      </c>
      <c r="G11" t="n">
        <v>7.769868742317603</v>
      </c>
      <c r="H11" t="n">
        <v>9.052765992080133</v>
      </c>
    </row>
    <row r="12">
      <c r="A12" s="4" t="n">
        <v>44501</v>
      </c>
      <c r="B12" t="n">
        <v>7.479292211166456</v>
      </c>
      <c r="C12" t="n">
        <v>8.047921818745744</v>
      </c>
      <c r="D12" t="n">
        <v>8.073048208983829</v>
      </c>
      <c r="E12" t="n">
        <v>9.798799552835549</v>
      </c>
      <c r="F12" t="n">
        <v>7.638289405551494</v>
      </c>
      <c r="G12" t="n">
        <v>7.511818201513773</v>
      </c>
      <c r="H12" t="n">
        <v>8.637456597771083</v>
      </c>
    </row>
    <row r="13">
      <c r="A13" s="4" t="n">
        <v>44531</v>
      </c>
      <c r="B13" t="n">
        <v>7.170784749906846</v>
      </c>
      <c r="C13" t="n">
        <v>8.015786054728004</v>
      </c>
      <c r="D13" t="n">
        <v>7.881113803728182</v>
      </c>
      <c r="E13" t="n">
        <v>10.00495846915334</v>
      </c>
      <c r="F13" t="n">
        <v>8.002466417955906</v>
      </c>
      <c r="G13" t="n">
        <v>7.463565457215475</v>
      </c>
      <c r="H13" t="n">
        <v>9.441980794813919</v>
      </c>
    </row>
    <row r="14">
      <c r="A14" s="4" t="n">
        <v>44562</v>
      </c>
      <c r="B14" t="n">
        <v>7.219179741610275</v>
      </c>
      <c r="C14" t="n">
        <v>8.054302406203847</v>
      </c>
      <c r="D14" t="n">
        <v>8.024713634193365</v>
      </c>
      <c r="E14" t="n">
        <v>10.10105498261937</v>
      </c>
      <c r="F14" t="n">
        <v>7.184695554393413</v>
      </c>
      <c r="G14" t="n">
        <v>7.505646086944487</v>
      </c>
      <c r="H14" t="n">
        <v>8.690535174926181</v>
      </c>
    </row>
    <row r="15">
      <c r="A15" s="4" t="n">
        <v>44593</v>
      </c>
      <c r="B15" t="n">
        <v>7.132312165545994</v>
      </c>
      <c r="C15" t="n">
        <v>8.310971941591021</v>
      </c>
      <c r="D15" t="n">
        <v>7.919526814779251</v>
      </c>
      <c r="E15" t="n">
        <v>9.69306161518878</v>
      </c>
      <c r="F15" t="n">
        <v>7.482465420346294</v>
      </c>
      <c r="G15" t="n">
        <v>7.823843006584921</v>
      </c>
      <c r="H15" t="n">
        <v>8.231675167526395</v>
      </c>
    </row>
    <row r="16">
      <c r="A16" s="4" t="n">
        <v>44621</v>
      </c>
      <c r="B16" t="n">
        <v>7.152059025824689</v>
      </c>
      <c r="C16" t="n">
        <v>8.519207717300393</v>
      </c>
      <c r="D16" t="n">
        <v>8.009418837755661</v>
      </c>
      <c r="E16" t="n">
        <v>10.10177574482886</v>
      </c>
      <c r="F16" t="n">
        <v>7.625513098251552</v>
      </c>
      <c r="G16" t="n">
        <v>7.76814078091913</v>
      </c>
      <c r="H16" t="n">
        <v>8.760024907015277</v>
      </c>
    </row>
    <row r="17">
      <c r="A17" s="4" t="n">
        <v>44652</v>
      </c>
      <c r="B17" t="n">
        <v>7.06431510036405</v>
      </c>
      <c r="C17" t="n">
        <v>9.016368033167405</v>
      </c>
      <c r="D17" t="n">
        <v>7.799572154527074</v>
      </c>
      <c r="E17" t="n">
        <v>10.04068709537425</v>
      </c>
      <c r="F17" t="n">
        <v>7.739218473160568</v>
      </c>
      <c r="G17" t="n">
        <v>7.821140457021084</v>
      </c>
      <c r="H17" t="n">
        <v>8.178554958624975</v>
      </c>
    </row>
    <row r="18">
      <c r="A18" s="4" t="n">
        <v>44682</v>
      </c>
      <c r="B18" t="n">
        <v>7.007189470876284</v>
      </c>
      <c r="C18" t="n">
        <v>8.643824232064382</v>
      </c>
      <c r="D18" t="n">
        <v>7.554292699834494</v>
      </c>
      <c r="E18" t="n">
        <v>9.753353565871427</v>
      </c>
      <c r="F18" t="n">
        <v>7.022176221516911</v>
      </c>
      <c r="G18" t="n">
        <v>7.948951366465681</v>
      </c>
      <c r="H18" t="n">
        <v>9.145189348317123</v>
      </c>
    </row>
    <row r="19">
      <c r="A19" s="4" t="n">
        <v>44713</v>
      </c>
      <c r="B19" t="n">
        <v>6.690210104986999</v>
      </c>
      <c r="C19" t="n">
        <v>9.086218740753473</v>
      </c>
      <c r="D19" t="n">
        <v>7.467108117802333</v>
      </c>
      <c r="E19" t="n">
        <v>9.675973867981513</v>
      </c>
      <c r="F19" t="n">
        <v>7.02889051436052</v>
      </c>
      <c r="G19" t="n">
        <v>6.932700411490537</v>
      </c>
      <c r="H19" t="n">
        <v>8.994498375265497</v>
      </c>
    </row>
    <row r="20">
      <c r="A20" s="4" t="n">
        <v>44743</v>
      </c>
      <c r="B20" t="n">
        <v>7.461312270286572</v>
      </c>
      <c r="C20" t="n">
        <v>8.689622613757523</v>
      </c>
      <c r="D20" t="n">
        <v>5.81022300136147</v>
      </c>
      <c r="E20" t="n">
        <v>9.66803868228391</v>
      </c>
      <c r="F20" t="n">
        <v>6.79851897269404</v>
      </c>
      <c r="G20" t="n">
        <v>7.745512445046204</v>
      </c>
      <c r="H20" t="n">
        <v>8.605262137665303</v>
      </c>
    </row>
    <row r="21">
      <c r="A21" s="4" t="n">
        <v>44774</v>
      </c>
      <c r="B21" t="n">
        <v>7.223439143087989</v>
      </c>
      <c r="C21" t="n">
        <v>8.174064274049448</v>
      </c>
      <c r="D21" t="n">
        <v>8.028858926830889</v>
      </c>
      <c r="E21" t="n">
        <v>9.39622630616206</v>
      </c>
      <c r="F21" t="n">
        <v>7.013536826913205</v>
      </c>
      <c r="G21" t="n">
        <v>7.757453913318914</v>
      </c>
      <c r="H21" t="n">
        <v>8.722647930917702</v>
      </c>
    </row>
    <row r="22">
      <c r="A22" s="4" t="n">
        <v>44805</v>
      </c>
      <c r="B22" t="n">
        <v>7.244147245332824</v>
      </c>
      <c r="C22" t="n">
        <v>8.806963214604108</v>
      </c>
      <c r="D22" t="n">
        <v>7.893728861315035</v>
      </c>
      <c r="E22" t="n">
        <v>9.708349751866001</v>
      </c>
      <c r="F22" t="n">
        <v>6.978132817518683</v>
      </c>
      <c r="G22" t="n">
        <v>7.704418167645025</v>
      </c>
      <c r="H22" t="n">
        <v>10.47735383351477</v>
      </c>
    </row>
    <row r="23">
      <c r="A23" s="4" t="n">
        <v>44835</v>
      </c>
      <c r="B23" t="n">
        <v>7.490273848068838</v>
      </c>
      <c r="C23" t="n">
        <v>8.214434285900584</v>
      </c>
      <c r="D23" t="n">
        <v>8.060886626764306</v>
      </c>
      <c r="E23" t="n">
        <v>8.914655494872276</v>
      </c>
      <c r="F23" t="n">
        <v>7.102065355182562</v>
      </c>
      <c r="G23" t="n">
        <v>7.582657421653547</v>
      </c>
      <c r="H23" t="n">
        <v>9.077117396959519</v>
      </c>
    </row>
    <row r="24">
      <c r="A24" s="4" t="n">
        <v>44866</v>
      </c>
      <c r="B24" t="n">
        <v>7.311608769964576</v>
      </c>
      <c r="C24" t="n">
        <v>7.426424852458135</v>
      </c>
      <c r="D24" t="n">
        <v>8.324170341894233</v>
      </c>
      <c r="E24" t="n">
        <v>9.681564878970836</v>
      </c>
      <c r="F24" t="n">
        <v>7.193675373291248</v>
      </c>
      <c r="G24" t="n">
        <v>7.910426946969493</v>
      </c>
      <c r="H24" t="n">
        <v>8.891024101634986</v>
      </c>
    </row>
    <row r="25">
      <c r="A25" s="4" t="n">
        <v>44896</v>
      </c>
      <c r="B25" t="n">
        <v>7.042206485673939</v>
      </c>
      <c r="C25" t="n">
        <v>7.89558060391034</v>
      </c>
      <c r="D25" t="n">
        <v>8.205161698648276</v>
      </c>
      <c r="E25" t="n">
        <v>8.006137628908347</v>
      </c>
      <c r="F25" t="n">
        <v>7.073198918054353</v>
      </c>
      <c r="G25" t="n">
        <v>7.717793270331623</v>
      </c>
      <c r="H25" t="n">
        <v>8.350365706769008</v>
      </c>
    </row>
    <row r="26">
      <c r="A26" s="4" t="n">
        <v>44927</v>
      </c>
      <c r="B26" t="n">
        <v>6.942479793783013</v>
      </c>
      <c r="C26" t="n">
        <v>7.665848138682495</v>
      </c>
      <c r="D26" t="n">
        <v>7.977518843042817</v>
      </c>
      <c r="E26" t="n">
        <v>7.912026300897582</v>
      </c>
      <c r="F26" t="n">
        <v>7.089311956328491</v>
      </c>
      <c r="G26" t="n">
        <v>7.791580951393867</v>
      </c>
      <c r="H26" t="n">
        <v>8.912371693748778</v>
      </c>
    </row>
    <row r="27">
      <c r="A27" s="4" t="n">
        <v>44958</v>
      </c>
      <c r="B27" t="n">
        <v>6.931102018983221</v>
      </c>
      <c r="C27" t="n">
        <v>8.454035791715519</v>
      </c>
      <c r="D27" t="n">
        <v>8.051227075693735</v>
      </c>
      <c r="E27" t="n">
        <v>8.333709699998563</v>
      </c>
      <c r="F27" t="n">
        <v>7.503315116995395</v>
      </c>
      <c r="G27" t="n">
        <v>7.703318291356251</v>
      </c>
      <c r="H27" t="n">
        <v>8.987348452388721</v>
      </c>
    </row>
    <row r="28">
      <c r="A28" s="4" t="n">
        <v>44986</v>
      </c>
      <c r="B28" t="n">
        <v>7.161245125074964</v>
      </c>
      <c r="C28" t="n">
        <v>8.709799695037027</v>
      </c>
      <c r="D28" t="n">
        <v>8.378080999368848</v>
      </c>
      <c r="E28" t="n">
        <v>9.052202177681579</v>
      </c>
      <c r="F28" t="n">
        <v>7.275537824802264</v>
      </c>
      <c r="G28" t="n">
        <v>7.71931155605144</v>
      </c>
      <c r="H28" t="n">
        <v>8.894367572327855</v>
      </c>
    </row>
    <row r="29">
      <c r="A29" s="4" t="n">
        <v>45017</v>
      </c>
      <c r="B29" t="n">
        <v>7.418380376716913</v>
      </c>
      <c r="C29" t="n">
        <v>8.575986330531615</v>
      </c>
      <c r="D29" t="n">
        <v>8.507830526570658</v>
      </c>
      <c r="E29" t="n">
        <v>10.69574607224366</v>
      </c>
      <c r="F29" t="n">
        <v>7.422738561073561</v>
      </c>
      <c r="G29" t="n">
        <v>7.708324763190685</v>
      </c>
      <c r="H29" t="n">
        <v>9.588280072426825</v>
      </c>
    </row>
    <row r="30">
      <c r="A30" s="4" t="n">
        <v>45047</v>
      </c>
      <c r="B30" t="n">
        <v>7.075234613870497</v>
      </c>
      <c r="C30" t="n">
        <v>8.35370988075625</v>
      </c>
      <c r="D30" t="n">
        <v>8.086588228555899</v>
      </c>
      <c r="E30" t="n">
        <v>8.794492567235315</v>
      </c>
      <c r="F30" t="n">
        <v>7.342858852943418</v>
      </c>
      <c r="G30" t="n">
        <v>7.800961467003672</v>
      </c>
      <c r="H30" t="n">
        <v>8.217690254989936</v>
      </c>
    </row>
    <row r="31">
      <c r="A31" s="4" t="n">
        <v>45078</v>
      </c>
      <c r="B31" t="n">
        <v>8.759509978185243</v>
      </c>
      <c r="C31" t="n">
        <v>8.021058088975899</v>
      </c>
      <c r="D31" t="n">
        <v>8.379767181743018</v>
      </c>
      <c r="E31" t="n">
        <v>9.078763415773672</v>
      </c>
      <c r="F31" t="n">
        <v>6.576182180476922</v>
      </c>
      <c r="G31" t="n">
        <v>7.926372540875875</v>
      </c>
      <c r="H31" t="n">
        <v>8.452250876994077</v>
      </c>
    </row>
    <row r="32">
      <c r="A32" s="4" t="n">
        <v>45108</v>
      </c>
      <c r="B32" t="n">
        <v>8.839459714220309</v>
      </c>
      <c r="C32" t="n">
        <v>7.97999080744622</v>
      </c>
      <c r="D32" t="n">
        <v>8.480161516767557</v>
      </c>
      <c r="E32" t="n">
        <v>8.851423279445116</v>
      </c>
      <c r="F32" t="n">
        <v>7.022088906692896</v>
      </c>
      <c r="G32" t="n">
        <v>7.733214179634047</v>
      </c>
      <c r="H32" t="n">
        <v>8.731905326208704</v>
      </c>
    </row>
    <row r="33">
      <c r="A33" s="4" t="n">
        <v>45139</v>
      </c>
      <c r="B33" t="n">
        <v>9.160534834940082</v>
      </c>
      <c r="C33" t="n">
        <v>8.543686413444846</v>
      </c>
      <c r="D33" t="n">
        <v>8.10390318781641</v>
      </c>
      <c r="E33" t="n">
        <v>9.400983992315037</v>
      </c>
      <c r="F33" t="n">
        <v>6.905154439004018</v>
      </c>
      <c r="G33" t="n">
        <v>7.764992108196533</v>
      </c>
      <c r="H33" t="n">
        <v>8.617162935715616</v>
      </c>
    </row>
    <row r="34">
      <c r="A34" s="4" t="n">
        <v>45170</v>
      </c>
      <c r="B34" t="n">
        <v>9.387911602655519</v>
      </c>
      <c r="C34" t="n">
        <v>8.548933705135969</v>
      </c>
      <c r="D34" t="n">
        <v>8.043349328977071</v>
      </c>
      <c r="E34" t="n">
        <v>7.77818078109105</v>
      </c>
      <c r="F34" t="n">
        <v>6.843266556960151</v>
      </c>
      <c r="G34" t="n">
        <v>7.894300378497132</v>
      </c>
      <c r="H34" t="n">
        <v>8.628857101912415</v>
      </c>
    </row>
    <row r="35">
      <c r="A35" s="4" t="n">
        <v>45200</v>
      </c>
      <c r="B35" t="n">
        <v>9.168728882605732</v>
      </c>
      <c r="C35" t="n">
        <v>9.068814998058043</v>
      </c>
      <c r="D35" t="n">
        <v>8.032881156908889</v>
      </c>
      <c r="E35" t="n">
        <v>6.948415298044404</v>
      </c>
      <c r="F35" t="n">
        <v>6.93675740483098</v>
      </c>
      <c r="G35" t="n">
        <v>8.018462517206668</v>
      </c>
      <c r="H35" t="n">
        <v>8.997959617866929</v>
      </c>
    </row>
    <row r="36">
      <c r="A36" s="4" t="n">
        <v>45231</v>
      </c>
      <c r="B36" t="n">
        <v>9.011981971700681</v>
      </c>
      <c r="C36" t="n">
        <v>8.327207081908524</v>
      </c>
      <c r="D36" t="n">
        <v>8.193751979139044</v>
      </c>
      <c r="E36" t="n">
        <v>7.728500132321291</v>
      </c>
      <c r="F36" t="n">
        <v>6.901788805299591</v>
      </c>
      <c r="G36" t="n">
        <v>7.920229976335634</v>
      </c>
      <c r="H36" t="n">
        <v>9.126119606520163</v>
      </c>
    </row>
    <row r="37">
      <c r="A37" s="4" t="n">
        <v>45261</v>
      </c>
      <c r="B37" t="n">
        <v>8.926399035138267</v>
      </c>
      <c r="C37" t="n">
        <v>8.106160036868738</v>
      </c>
      <c r="D37" t="n">
        <v>8.364957982778128</v>
      </c>
      <c r="E37" t="n">
        <v>7.325173957072949</v>
      </c>
      <c r="F37" t="n">
        <v>7.1583500458453</v>
      </c>
      <c r="G37" t="n">
        <v>7.986269064029353</v>
      </c>
      <c r="H37" t="n">
        <v>8.541995687447965</v>
      </c>
    </row>
    <row r="38">
      <c r="A38" s="4" t="n">
        <v>45292</v>
      </c>
      <c r="B38" t="n">
        <v>7.470835816818267</v>
      </c>
      <c r="C38" t="n">
        <v>7.591810424337782</v>
      </c>
      <c r="D38" t="n">
        <v>8.281142829668207</v>
      </c>
      <c r="E38" t="n">
        <v>8.362317549942786</v>
      </c>
      <c r="F38" t="n">
        <v>7.382698451498238</v>
      </c>
      <c r="G38" t="n">
        <v>7.832532608593335</v>
      </c>
      <c r="H38" t="n">
        <v>8.074683084048781</v>
      </c>
    </row>
    <row r="39">
      <c r="A39" s="4" t="n">
        <v>45323</v>
      </c>
      <c r="B39" t="n">
        <v>7.071820403001554</v>
      </c>
      <c r="C39" t="n">
        <v>7.50599637605155</v>
      </c>
      <c r="D39" t="n">
        <v>8.640997544076198</v>
      </c>
      <c r="E39" t="n">
        <v>8.506432152984271</v>
      </c>
      <c r="F39" t="n">
        <v>7.449849939141198</v>
      </c>
      <c r="G39" t="n">
        <v>7.695326016383436</v>
      </c>
      <c r="H39" t="n">
        <v>8.321869902745858</v>
      </c>
    </row>
    <row r="40">
      <c r="A40" s="4" t="n">
        <v>45352</v>
      </c>
      <c r="B40" t="n">
        <v>7.353270518106421</v>
      </c>
      <c r="C40" t="n">
        <v>7.67916550530751</v>
      </c>
      <c r="D40" t="n">
        <v>8.480832067789935</v>
      </c>
      <c r="E40" t="n">
        <v>8.294342302068559</v>
      </c>
      <c r="F40" t="n">
        <v>7.48894774636153</v>
      </c>
      <c r="G40" t="n">
        <v>7.824742460388665</v>
      </c>
      <c r="H40" t="n">
        <v>8.506761990975466</v>
      </c>
    </row>
    <row r="41">
      <c r="A41" s="4" t="n">
        <v>45383</v>
      </c>
      <c r="B41" t="n">
        <v>7.347350085360385</v>
      </c>
      <c r="C41" t="n">
        <v>7.091248966407322</v>
      </c>
      <c r="D41" t="n">
        <v>8.429110654380461</v>
      </c>
      <c r="E41" t="n">
        <v>7.214804948521732</v>
      </c>
      <c r="F41" t="n">
        <v>7.430745606103105</v>
      </c>
      <c r="G41" t="n">
        <v>7.874332249972613</v>
      </c>
      <c r="H41" t="n">
        <v>8.633278179627967</v>
      </c>
    </row>
    <row r="42">
      <c r="A42" s="4" t="n">
        <v>45413</v>
      </c>
      <c r="B42" t="n">
        <v>5.992727003879444</v>
      </c>
      <c r="C42" t="n">
        <v>7.837348109898489</v>
      </c>
      <c r="D42" t="n">
        <v>8.939634235522384</v>
      </c>
      <c r="E42" t="n">
        <v>9.862976440849048</v>
      </c>
      <c r="F42" t="n">
        <v>7.170207793468305</v>
      </c>
      <c r="G42" t="n">
        <v>7.824094608755218</v>
      </c>
      <c r="H42" t="n">
        <v>8.325004482119517</v>
      </c>
    </row>
    <row r="43">
      <c r="A43" s="4" t="n">
        <v>45444</v>
      </c>
      <c r="B43" t="n">
        <v>6.696279199430553</v>
      </c>
      <c r="C43" t="n">
        <v>7.04057924398176</v>
      </c>
      <c r="D43" t="n">
        <v>8.444419839098204</v>
      </c>
      <c r="E43" t="n">
        <v>10.25605107013138</v>
      </c>
      <c r="F43" t="n">
        <v>6.978749212436226</v>
      </c>
      <c r="G43" t="n">
        <v>7.921481775088364</v>
      </c>
      <c r="H43" t="n">
        <v>8.924849430960332</v>
      </c>
    </row>
    <row r="44">
      <c r="A44" s="4" t="n">
        <v>45474</v>
      </c>
      <c r="B44" t="n">
        <v>6.167734688709974</v>
      </c>
      <c r="C44" t="n">
        <v>7.604680219782431</v>
      </c>
      <c r="D44" t="n">
        <v>8.400697337823333</v>
      </c>
      <c r="E44" t="n">
        <v>9.749382555484832</v>
      </c>
      <c r="F44" t="n">
        <v>7.06369194617826</v>
      </c>
      <c r="G44" t="n">
        <v>7.896009081855516</v>
      </c>
      <c r="H44" t="n">
        <v>9.094093721043912</v>
      </c>
    </row>
    <row r="45">
      <c r="A45" s="4" t="n">
        <v>45505</v>
      </c>
      <c r="B45" t="n">
        <v>6.177679963180783</v>
      </c>
      <c r="C45" t="n">
        <v>7.616071182931384</v>
      </c>
      <c r="D45" t="n">
        <v>7.869573543585872</v>
      </c>
      <c r="E45" t="n">
        <v>9.047459876373832</v>
      </c>
      <c r="F45" t="n">
        <v>7.089288153115446</v>
      </c>
      <c r="G45" t="n">
        <v>7.954867718925298</v>
      </c>
      <c r="H45" t="n">
        <v>10.17588863380814</v>
      </c>
    </row>
    <row r="46">
      <c r="A46" s="4" t="n">
        <v>45536</v>
      </c>
      <c r="B46" t="n">
        <v>6.512146000321824</v>
      </c>
      <c r="C46" t="n">
        <v>7.53011819710999</v>
      </c>
      <c r="D46" t="n">
        <v>8.522892356717749</v>
      </c>
      <c r="E46" t="n">
        <v>7.981635033779567</v>
      </c>
      <c r="F46" t="n">
        <v>7.105472454585346</v>
      </c>
      <c r="G46" t="n">
        <v>7.974473754879796</v>
      </c>
      <c r="H46" t="n">
        <v>8.856324045296073</v>
      </c>
    </row>
    <row r="47">
      <c r="A47" s="4" t="n">
        <v>45566</v>
      </c>
      <c r="B47" t="n">
        <v>7.659799931930589</v>
      </c>
      <c r="C47" t="n">
        <v>7.446918280836985</v>
      </c>
      <c r="D47" t="n">
        <v>6.734821366036133</v>
      </c>
      <c r="E47" t="n">
        <v>7.396954824270897</v>
      </c>
      <c r="F47" t="n">
        <v>7.135199188880909</v>
      </c>
      <c r="G47" t="n">
        <v>7.852479609957453</v>
      </c>
      <c r="H47" t="n">
        <v>9.266767813206384</v>
      </c>
    </row>
    <row r="48">
      <c r="A48" s="4" t="n">
        <v>45597</v>
      </c>
      <c r="B48" t="n">
        <v>7.566408567781078</v>
      </c>
      <c r="C48" t="n">
        <v>8.416472539120999</v>
      </c>
      <c r="D48" t="n">
        <v>6.420770331265981</v>
      </c>
      <c r="E48" t="n">
        <v>7.599655370530232</v>
      </c>
      <c r="F48" t="n">
        <v>7.185466297970764</v>
      </c>
      <c r="G48" t="n">
        <v>7.867782506231615</v>
      </c>
      <c r="H48" t="n">
        <v>9.635572542222929</v>
      </c>
    </row>
    <row r="49">
      <c r="A49" s="4" t="n">
        <v>45627</v>
      </c>
      <c r="B49" t="n">
        <v>7.375360080775761</v>
      </c>
      <c r="C49" t="n">
        <v>8.262199319083873</v>
      </c>
      <c r="D49" t="n">
        <v>7.983076794250294</v>
      </c>
      <c r="E49" t="n">
        <v>7.897028787350655</v>
      </c>
      <c r="F49" t="n">
        <v>7.3367314749093</v>
      </c>
      <c r="G49" t="n">
        <v>7.870116003886111</v>
      </c>
      <c r="H49" t="n">
        <v>9.152772573762396</v>
      </c>
    </row>
    <row r="50">
      <c r="A50" s="4" t="n">
        <v>45658</v>
      </c>
      <c r="B50" t="n">
        <v>6.839025067372864</v>
      </c>
      <c r="C50" t="n">
        <v>9.399820205886694</v>
      </c>
      <c r="D50" t="n">
        <v>8.541743756915517</v>
      </c>
      <c r="E50" t="n">
        <v>8.360022967832935</v>
      </c>
      <c r="F50" t="n">
        <v>7.58207313541887</v>
      </c>
      <c r="G50" t="n">
        <v>7.903278556154196</v>
      </c>
      <c r="H50" t="n">
        <v>9.647974535715308</v>
      </c>
    </row>
    <row r="51">
      <c r="A51" s="4" t="n">
        <v>45689</v>
      </c>
      <c r="B51" t="n">
        <v>7.020852529879438</v>
      </c>
      <c r="C51" t="n">
        <v>8.706131762240968</v>
      </c>
      <c r="D51" t="n">
        <v>10.45660119204266</v>
      </c>
      <c r="E51" t="n">
        <v>8.383895749723377</v>
      </c>
      <c r="F51" t="n">
        <v>7.549889705823307</v>
      </c>
      <c r="G51" t="n">
        <v>7.881373146455413</v>
      </c>
      <c r="H51" t="n">
        <v>9.446764043761739</v>
      </c>
    </row>
    <row r="52">
      <c r="A52" s="4" t="n">
        <v>45717</v>
      </c>
      <c r="B52" t="n">
        <v>6.893249424113156</v>
      </c>
      <c r="C52" t="n">
        <v>9.086249935263606</v>
      </c>
      <c r="D52" t="n">
        <v>8.448954065778089</v>
      </c>
      <c r="E52" t="n">
        <v>9.519685605091999</v>
      </c>
      <c r="F52" t="n">
        <v>7.512516564661003</v>
      </c>
      <c r="G52" t="n">
        <v>7.930232303851619</v>
      </c>
      <c r="H52" t="n">
        <v>9.18960680428072</v>
      </c>
    </row>
    <row r="53">
      <c r="A53" s="4" t="n">
        <v>45748</v>
      </c>
      <c r="B53" t="n">
        <v>6.677935001930036</v>
      </c>
      <c r="C53" t="n">
        <v>9.32378845366614</v>
      </c>
      <c r="D53" t="n">
        <v>8.068040442155706</v>
      </c>
      <c r="E53" t="n">
        <v>9.246899074411823</v>
      </c>
      <c r="F53" t="n">
        <v>7.694518906757362</v>
      </c>
      <c r="G53" t="n">
        <v>7.948623692505852</v>
      </c>
      <c r="H53" t="n">
        <v>9.168279157753449</v>
      </c>
    </row>
    <row r="54">
      <c r="A54" s="4" t="n">
        <v>45778</v>
      </c>
      <c r="B54" t="n">
        <v>6.359925620511833</v>
      </c>
      <c r="C54" t="n">
        <v>9.834888788596357</v>
      </c>
      <c r="D54" t="n">
        <v>8.051128066653638</v>
      </c>
      <c r="E54" t="n">
        <v>9.800361262583788</v>
      </c>
      <c r="F54" t="n">
        <v>7.615521732515489</v>
      </c>
      <c r="G54" t="n">
        <v>7.915603555471004</v>
      </c>
      <c r="H54" t="n">
        <v>9.423167721140883</v>
      </c>
    </row>
    <row r="55">
      <c r="A55" s="4" t="n">
        <v>45809</v>
      </c>
      <c r="B55" t="n">
        <v>6.299352382944844</v>
      </c>
      <c r="C55" t="n">
        <v>8.545915231996576</v>
      </c>
      <c r="D55" t="n">
        <v>8.165884046172184</v>
      </c>
      <c r="E55" t="n">
        <v>9.660366150607379</v>
      </c>
      <c r="F55" t="n">
        <v>7.336159035714635</v>
      </c>
      <c r="G55" t="n">
        <v>7.864163107704055</v>
      </c>
      <c r="H55" t="n">
        <v>9.306869925848863</v>
      </c>
    </row>
    <row r="56">
      <c r="A56" s="4" t="n">
        <v>45839</v>
      </c>
      <c r="B56" t="n">
        <v>6.166539676201593</v>
      </c>
      <c r="D56" t="n">
        <v>8.156198663419971</v>
      </c>
      <c r="E56" t="n">
        <v>9.487672147287332</v>
      </c>
      <c r="F56" t="n">
        <v>7.112702487414559</v>
      </c>
      <c r="G56" t="n">
        <v>7.934040888720396</v>
      </c>
      <c r="H56" t="n">
        <v>9.41647492281615</v>
      </c>
    </row>
    <row r="57">
      <c r="A57" s="4" t="n">
        <v>45870</v>
      </c>
      <c r="B57" t="n">
        <v>6.406091051613899</v>
      </c>
      <c r="D57" t="n">
        <v>7.936587442915291</v>
      </c>
      <c r="E57" t="n">
        <v>9.683829169785861</v>
      </c>
      <c r="F57" t="n">
        <v>7.201331073003773</v>
      </c>
      <c r="G57" t="n">
        <v>7.913370703633577</v>
      </c>
      <c r="H57" t="n">
        <v>9.766448425559108</v>
      </c>
    </row>
    <row r="58">
      <c r="A58" s="4" t="n">
        <v>45901</v>
      </c>
      <c r="B58" t="n">
        <v>6.29630097403475</v>
      </c>
      <c r="D58" t="n">
        <v>8.297507560881218</v>
      </c>
      <c r="E58" t="n">
        <v>9.340076169070365</v>
      </c>
      <c r="F58" t="n">
        <v>7.232249025587195</v>
      </c>
      <c r="G58" t="n">
        <v>8.090181297533935</v>
      </c>
      <c r="H58" t="n">
        <v>9.91411391045756</v>
      </c>
    </row>
    <row r="59">
      <c r="A59" s="4" t="n">
        <v>45931</v>
      </c>
      <c r="B59" t="n">
        <v>7.123686808307106</v>
      </c>
      <c r="D59" t="n">
        <v>7.944456415609316</v>
      </c>
      <c r="E59" t="n">
        <v>9.55169067655144</v>
      </c>
      <c r="F59" t="n">
        <v>7.384259443825126</v>
      </c>
      <c r="G59" t="n">
        <v>7.994492141245098</v>
      </c>
      <c r="H59" t="n">
        <v>9.676598735761315</v>
      </c>
    </row>
    <row r="60">
      <c r="A60" s="4" t="n">
        <v>45962</v>
      </c>
      <c r="B60" t="n">
        <v>7.141730981263437</v>
      </c>
      <c r="D60" t="n">
        <v>7.826891282396136</v>
      </c>
      <c r="E60" t="n">
        <v>8.891339887873853</v>
      </c>
      <c r="F60" t="n">
        <v>7.444041193727562</v>
      </c>
      <c r="G60" t="n">
        <v>7.915141837866055</v>
      </c>
      <c r="H60" t="n">
        <v>9.939585065958086</v>
      </c>
    </row>
    <row r="61">
      <c r="A61" s="4" t="n">
        <v>45992</v>
      </c>
      <c r="B61" t="n">
        <v>7.047216398193413</v>
      </c>
      <c r="D61" t="n">
        <v>7.856988089375336</v>
      </c>
      <c r="E61" t="n">
        <v>8.951187583836578</v>
      </c>
      <c r="F61" t="n">
        <v>7.734205954281099</v>
      </c>
      <c r="G61" t="n">
        <v>7.652255065470426</v>
      </c>
      <c r="H61" t="n">
        <v>9.197245324046955</v>
      </c>
    </row>
    <row r="62">
      <c r="A62" s="4" t="n">
        <v>46023</v>
      </c>
      <c r="B62" t="n">
        <v>7.17857806214802</v>
      </c>
      <c r="E62" t="n">
        <v>10.37016662887813</v>
      </c>
      <c r="F62" t="n">
        <v>8.224501487012807</v>
      </c>
      <c r="G62" t="n">
        <v>7.876276857558355</v>
      </c>
      <c r="H62" t="n">
        <v>9.394664547015735</v>
      </c>
    </row>
    <row r="63">
      <c r="A63" s="4" t="n">
        <v>46054</v>
      </c>
      <c r="B63" t="n">
        <v>6.861246720250516</v>
      </c>
      <c r="E63" t="n">
        <v>11.14303516355163</v>
      </c>
      <c r="F63" t="n">
        <v>8.098378749794081</v>
      </c>
      <c r="G63" t="n">
        <v>7.842228803166018</v>
      </c>
      <c r="H63" t="n">
        <v>9.456568727466548</v>
      </c>
    </row>
    <row r="64">
      <c r="A64" s="4" t="n">
        <v>46082</v>
      </c>
      <c r="B64" t="n">
        <v>7.001885477653054</v>
      </c>
      <c r="E64" t="n">
        <v>9.128415794297222</v>
      </c>
      <c r="F64" t="n">
        <v>6.614045972667746</v>
      </c>
      <c r="G64" t="n">
        <v>7.279015066860396</v>
      </c>
      <c r="H64" t="n">
        <v>9.828833809384193</v>
      </c>
    </row>
    <row r="65">
      <c r="A65" s="4" t="n">
        <v>46113</v>
      </c>
      <c r="B65" t="n">
        <v>6.782718613922113</v>
      </c>
      <c r="E65" t="n">
        <v>9.855109974068121</v>
      </c>
      <c r="F65" t="n">
        <v>7.47058078427957</v>
      </c>
      <c r="G65" t="n">
        <v>7.399311046712788</v>
      </c>
      <c r="H65" t="n">
        <v>9.778644616397328</v>
      </c>
    </row>
    <row r="66">
      <c r="A66" s="4" t="n">
        <v>46143</v>
      </c>
      <c r="B66" t="n">
        <v>6.789825294710132</v>
      </c>
      <c r="E66" t="n">
        <v>9.142128562399929</v>
      </c>
      <c r="F66" t="n">
        <v>7.332381583916389</v>
      </c>
      <c r="G66" t="n">
        <v>7.690901423999517</v>
      </c>
      <c r="H66" t="n">
        <v>9.707770728374076</v>
      </c>
    </row>
    <row r="67">
      <c r="A67" s="4" t="n">
        <v>46174</v>
      </c>
      <c r="B67" t="n">
        <v>6.426924683410945</v>
      </c>
      <c r="E67" t="n">
        <v>9.232009244936869</v>
      </c>
      <c r="F67" t="n">
        <v>7.246765078087846</v>
      </c>
      <c r="H67" t="n">
        <v>9.894604115733005</v>
      </c>
    </row>
    <row r="68">
      <c r="A68" s="4" t="n">
        <v>46204</v>
      </c>
      <c r="E68" t="n">
        <v>8.733663304675847</v>
      </c>
      <c r="F68" t="n">
        <v>6.953773692735492</v>
      </c>
      <c r="H68" t="n">
        <v>9.581005796157665</v>
      </c>
    </row>
    <row r="69">
      <c r="A69" s="4" t="n">
        <v>46235</v>
      </c>
      <c r="E69" t="n">
        <v>7.897028939508631</v>
      </c>
      <c r="F69" t="n">
        <v>6.713697076866343</v>
      </c>
      <c r="H69" t="n">
        <v>9.794120132005283</v>
      </c>
    </row>
    <row r="70">
      <c r="A70" s="4" t="n">
        <v>46266</v>
      </c>
      <c r="E70" t="n">
        <v>7.292830724333213</v>
      </c>
      <c r="F70" t="n">
        <v>7.374619479333178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Code</t>
        </is>
      </c>
      <c r="C1" t="inlineStr">
        <is>
          <t>Month</t>
        </is>
      </c>
      <c r="D1" t="inlineStr">
        <is>
          <t>Gas_generation_MWh_per_day</t>
        </is>
      </c>
      <c r="E1" t="inlineStr">
        <is>
          <t>Published_MMBtu_per_day</t>
        </is>
      </c>
      <c r="F1" t="inlineStr">
        <is>
          <t>Effective_heat_rate</t>
        </is>
      </c>
      <c r="G1" t="inlineStr">
        <is>
          <t>Calibration_month</t>
        </is>
      </c>
      <c r="H1" t="inlineStr">
        <is>
          <t>Heat_rate_flag</t>
        </is>
      </c>
      <c r="I1" t="inlineStr">
        <is>
          <t>Estimation_heat_rate</t>
        </is>
      </c>
      <c r="J1" t="inlineStr">
        <is>
          <t>Estimation_basis</t>
        </is>
      </c>
      <c r="K1" t="inlineStr">
        <is>
          <t>Estimate_MMBtu_per_day</t>
        </is>
      </c>
      <c r="L1" t="inlineStr">
        <is>
          <t>Burn_MMBtu_per_day</t>
        </is>
      </c>
      <c r="M1" t="inlineStr">
        <is>
          <t>Status</t>
        </is>
      </c>
      <c r="N1" t="inlineStr">
        <is>
          <t>Heat_content_MMBtu_per_mcm</t>
        </is>
      </c>
      <c r="O1" t="inlineStr">
        <is>
          <t>Burn_mcm_per_day</t>
        </is>
      </c>
      <c r="P1" t="inlineStr">
        <is>
          <t>Burn_Bcf_per_day</t>
        </is>
      </c>
    </row>
    <row r="2">
      <c r="A2" t="inlineStr">
        <is>
          <t>Argentina</t>
        </is>
      </c>
      <c r="B2" t="inlineStr">
        <is>
          <t>AR</t>
        </is>
      </c>
      <c r="C2" s="4" t="n">
        <v>44197</v>
      </c>
      <c r="D2" t="n">
        <v>256610.4516129032</v>
      </c>
      <c r="E2" t="n">
        <v>1850353.604354839</v>
      </c>
      <c r="F2" t="n">
        <v>7.210749183147446</v>
      </c>
      <c r="G2" t="b">
        <v>1</v>
      </c>
      <c r="I2" t="n">
        <v>7.446972081769729</v>
      </c>
      <c r="J2" t="inlineStr">
        <is>
          <t>first 12 calibrated months (Jan/21-Dec/21)</t>
        </is>
      </c>
      <c r="K2" t="n">
        <v>1910970.869051612</v>
      </c>
      <c r="L2" t="n">
        <v>1850353.604354839</v>
      </c>
      <c r="M2" t="inlineStr">
        <is>
          <t>published</t>
        </is>
      </c>
      <c r="N2" t="n">
        <v>36905</v>
      </c>
      <c r="O2" t="n">
        <v>50.13829032258064</v>
      </c>
      <c r="P2" t="n">
        <v>1.770618681254839</v>
      </c>
    </row>
    <row r="3">
      <c r="A3" t="inlineStr">
        <is>
          <t>Argentina</t>
        </is>
      </c>
      <c r="B3" t="inlineStr">
        <is>
          <t>AR</t>
        </is>
      </c>
      <c r="C3" s="4" t="n">
        <v>44228</v>
      </c>
      <c r="D3" t="n">
        <v>230961.2464285714</v>
      </c>
      <c r="E3" t="n">
        <v>1719975.9775</v>
      </c>
      <c r="F3" t="n">
        <v>7.447032799210023</v>
      </c>
      <c r="G3" t="b">
        <v>1</v>
      </c>
      <c r="I3" t="n">
        <v>7.446972081769729</v>
      </c>
      <c r="J3" t="inlineStr">
        <is>
          <t>first 12 calibrated months (Jan/21-Dec/21)</t>
        </is>
      </c>
      <c r="K3" t="n">
        <v>1719961.95412431</v>
      </c>
      <c r="L3" t="n">
        <v>1719975.9775</v>
      </c>
      <c r="M3" t="inlineStr">
        <is>
          <t>published</t>
        </is>
      </c>
      <c r="N3" t="n">
        <v>36905</v>
      </c>
      <c r="O3" t="n">
        <v>46.6055</v>
      </c>
      <c r="P3" t="n">
        <v>1.64585925085</v>
      </c>
    </row>
    <row r="4">
      <c r="A4" t="inlineStr">
        <is>
          <t>Argentina</t>
        </is>
      </c>
      <c r="B4" t="inlineStr">
        <is>
          <t>AR</t>
        </is>
      </c>
      <c r="C4" s="4" t="n">
        <v>44256</v>
      </c>
      <c r="D4" t="n">
        <v>230186.8774193548</v>
      </c>
      <c r="E4" t="n">
        <v>1685577.541290323</v>
      </c>
      <c r="F4" t="n">
        <v>7.322648276858696</v>
      </c>
      <c r="G4" t="b">
        <v>1</v>
      </c>
      <c r="I4" t="n">
        <v>7.446972081769729</v>
      </c>
      <c r="J4" t="inlineStr">
        <is>
          <t>first 12 calibrated months (Jan/21-Dec/21)</t>
        </is>
      </c>
      <c r="K4" t="n">
        <v>1714195.249731686</v>
      </c>
      <c r="L4" t="n">
        <v>1685577.541290323</v>
      </c>
      <c r="M4" t="inlineStr">
        <is>
          <t>published</t>
        </is>
      </c>
      <c r="N4" t="n">
        <v>36905</v>
      </c>
      <c r="O4" t="n">
        <v>45.67341935483871</v>
      </c>
      <c r="P4" t="n">
        <v>1.612943102490322</v>
      </c>
    </row>
    <row r="5">
      <c r="A5" t="inlineStr">
        <is>
          <t>Argentina</t>
        </is>
      </c>
      <c r="B5" t="inlineStr">
        <is>
          <t>AR</t>
        </is>
      </c>
      <c r="C5" s="4" t="n">
        <v>44287</v>
      </c>
      <c r="D5" t="n">
        <v>200149.7933333333</v>
      </c>
      <c r="E5" t="n">
        <v>1529167.286166667</v>
      </c>
      <c r="F5" t="n">
        <v>7.640114239938096</v>
      </c>
      <c r="G5" t="b">
        <v>1</v>
      </c>
      <c r="I5" t="n">
        <v>7.446972081769729</v>
      </c>
      <c r="J5" t="inlineStr">
        <is>
          <t>first 12 calibrated months (Jan/21-Dec/21)</t>
        </is>
      </c>
      <c r="K5" t="n">
        <v>1490509.923125314</v>
      </c>
      <c r="L5" t="n">
        <v>1529167.286166667</v>
      </c>
      <c r="M5" t="inlineStr">
        <is>
          <t>published</t>
        </is>
      </c>
      <c r="N5" t="n">
        <v>36905</v>
      </c>
      <c r="O5" t="n">
        <v>41.43523333333334</v>
      </c>
      <c r="P5" t="n">
        <v>1.463272834596667</v>
      </c>
    </row>
    <row r="6">
      <c r="A6" t="inlineStr">
        <is>
          <t>Argentina</t>
        </is>
      </c>
      <c r="B6" t="inlineStr">
        <is>
          <t>AR</t>
        </is>
      </c>
      <c r="C6" s="4" t="n">
        <v>44317</v>
      </c>
      <c r="D6" t="n">
        <v>183916.8483870968</v>
      </c>
      <c r="E6" t="n">
        <v>1405811.450645161</v>
      </c>
      <c r="F6" t="n">
        <v>7.643733910045569</v>
      </c>
      <c r="G6" t="b">
        <v>1</v>
      </c>
      <c r="I6" t="n">
        <v>7.446972081769729</v>
      </c>
      <c r="J6" t="inlineStr">
        <is>
          <t>first 12 calibrated months (Jan/21-Dec/21)</t>
        </is>
      </c>
      <c r="K6" t="n">
        <v>1369623.635305786</v>
      </c>
      <c r="L6" t="n">
        <v>1405811.450645161</v>
      </c>
      <c r="M6" t="inlineStr">
        <is>
          <t>published</t>
        </is>
      </c>
      <c r="N6" t="n">
        <v>36905</v>
      </c>
      <c r="O6" t="n">
        <v>38.09270967741936</v>
      </c>
      <c r="P6" t="n">
        <v>1.345232614445161</v>
      </c>
    </row>
    <row r="7">
      <c r="A7" t="inlineStr">
        <is>
          <t>Argentina</t>
        </is>
      </c>
      <c r="B7" t="inlineStr">
        <is>
          <t>AR</t>
        </is>
      </c>
      <c r="C7" s="4" t="n">
        <v>44348</v>
      </c>
      <c r="D7" t="n">
        <v>211157.6133333333</v>
      </c>
      <c r="E7" t="n">
        <v>1555287.415</v>
      </c>
      <c r="F7" t="n">
        <v>7.365528481063214</v>
      </c>
      <c r="G7" t="b">
        <v>1</v>
      </c>
      <c r="I7" t="n">
        <v>7.446972081769729</v>
      </c>
      <c r="J7" t="inlineStr">
        <is>
          <t>first 12 calibrated months (Jan/21-Dec/21)</t>
        </is>
      </c>
      <c r="K7" t="n">
        <v>1572484.851346461</v>
      </c>
      <c r="L7" t="n">
        <v>1555287.415</v>
      </c>
      <c r="M7" t="inlineStr">
        <is>
          <t>published</t>
        </is>
      </c>
      <c r="N7" t="n">
        <v>36905</v>
      </c>
      <c r="O7" t="n">
        <v>42.143</v>
      </c>
      <c r="P7" t="n">
        <v>1.4882674021</v>
      </c>
    </row>
    <row r="8">
      <c r="A8" t="inlineStr">
        <is>
          <t>Argentina</t>
        </is>
      </c>
      <c r="B8" t="inlineStr">
        <is>
          <t>AR</t>
        </is>
      </c>
      <c r="C8" s="4" t="n">
        <v>44378</v>
      </c>
      <c r="D8" t="n">
        <v>226651.0935483871</v>
      </c>
      <c r="E8" t="n">
        <v>1730606.403225807</v>
      </c>
      <c r="F8" t="n">
        <v>7.635552849677048</v>
      </c>
      <c r="G8" t="b">
        <v>1</v>
      </c>
      <c r="I8" t="n">
        <v>7.422925150618463</v>
      </c>
      <c r="J8" t="inlineStr">
        <is>
          <t>trailing 6 calibrated months (Jan/21-Jun/21)</t>
        </is>
      </c>
      <c r="K8" t="n">
        <v>1682414.102715501</v>
      </c>
      <c r="L8" t="n">
        <v>1730606.403225807</v>
      </c>
      <c r="M8" t="inlineStr">
        <is>
          <t>published</t>
        </is>
      </c>
      <c r="N8" t="n">
        <v>36905</v>
      </c>
      <c r="O8" t="n">
        <v>46.89354838709678</v>
      </c>
      <c r="P8" t="n">
        <v>1.656031593225807</v>
      </c>
    </row>
    <row r="9">
      <c r="A9" t="inlineStr">
        <is>
          <t>Argentina</t>
        </is>
      </c>
      <c r="B9" t="inlineStr">
        <is>
          <t>AR</t>
        </is>
      </c>
      <c r="C9" s="4" t="n">
        <v>44409</v>
      </c>
      <c r="D9" t="n">
        <v>258138.364516129</v>
      </c>
      <c r="E9" t="n">
        <v>1942253.006774194</v>
      </c>
      <c r="F9" t="n">
        <v>7.524077292481791</v>
      </c>
      <c r="G9" t="b">
        <v>1</v>
      </c>
      <c r="I9" t="n">
        <v>7.454226292894628</v>
      </c>
      <c r="J9" t="inlineStr">
        <is>
          <t>trailing 7 calibrated months (Jan/21-Jul/21)</t>
        </is>
      </c>
      <c r="K9" t="n">
        <v>1924221.783980947</v>
      </c>
      <c r="L9" t="n">
        <v>1942253.006774194</v>
      </c>
      <c r="M9" t="inlineStr">
        <is>
          <t>published</t>
        </is>
      </c>
      <c r="N9" t="n">
        <v>36905</v>
      </c>
      <c r="O9" t="n">
        <v>52.62845161290323</v>
      </c>
      <c r="P9" t="n">
        <v>1.858557980174193</v>
      </c>
    </row>
    <row r="10">
      <c r="A10" t="inlineStr">
        <is>
          <t>Argentina</t>
        </is>
      </c>
      <c r="B10" t="inlineStr">
        <is>
          <t>AR</t>
        </is>
      </c>
      <c r="C10" s="4" t="n">
        <v>44440</v>
      </c>
      <c r="D10" t="n">
        <v>202737.4100000001</v>
      </c>
      <c r="E10" t="n">
        <v>1502584.614666667</v>
      </c>
      <c r="F10" t="n">
        <v>7.411481752019355</v>
      </c>
      <c r="G10" t="b">
        <v>1</v>
      </c>
      <c r="I10" t="n">
        <v>7.464256051895696</v>
      </c>
      <c r="J10" t="inlineStr">
        <is>
          <t>trailing 8 calibrated months (Jan/21-Aug/21)</t>
        </is>
      </c>
      <c r="K10" t="n">
        <v>1513283.939538159</v>
      </c>
      <c r="L10" t="n">
        <v>1502584.614666667</v>
      </c>
      <c r="M10" t="inlineStr">
        <is>
          <t>published</t>
        </is>
      </c>
      <c r="N10" t="n">
        <v>36905</v>
      </c>
      <c r="O10" t="n">
        <v>40.71493333333333</v>
      </c>
      <c r="P10" t="n">
        <v>1.437835656186667</v>
      </c>
    </row>
    <row r="11">
      <c r="A11" t="inlineStr">
        <is>
          <t>Argentina</t>
        </is>
      </c>
      <c r="B11" t="inlineStr">
        <is>
          <t>AR</t>
        </is>
      </c>
      <c r="C11" s="4" t="n">
        <v>44470</v>
      </c>
      <c r="D11" t="n">
        <v>181783.9645161291</v>
      </c>
      <c r="E11" t="n">
        <v>1390123.254193548</v>
      </c>
      <c r="F11" t="n">
        <v>7.647117048490861</v>
      </c>
      <c r="G11" t="b">
        <v>1</v>
      </c>
      <c r="I11" t="n">
        <v>7.458907752470258</v>
      </c>
      <c r="J11" t="inlineStr">
        <is>
          <t>trailing 9 calibrated months (Jan/21-Sep/21)</t>
        </is>
      </c>
      <c r="K11" t="n">
        <v>1355909.822204133</v>
      </c>
      <c r="L11" t="n">
        <v>1390123.254193548</v>
      </c>
      <c r="M11" t="inlineStr">
        <is>
          <t>published</t>
        </is>
      </c>
      <c r="N11" t="n">
        <v>36905</v>
      </c>
      <c r="O11" t="n">
        <v>37.6676129032258</v>
      </c>
      <c r="P11" t="n">
        <v>1.330220449393548</v>
      </c>
    </row>
    <row r="12">
      <c r="A12" t="inlineStr">
        <is>
          <t>Argentina</t>
        </is>
      </c>
      <c r="B12" t="inlineStr">
        <is>
          <t>AR</t>
        </is>
      </c>
      <c r="C12" s="4" t="n">
        <v>44501</v>
      </c>
      <c r="D12" t="n">
        <v>205869.1233333334</v>
      </c>
      <c r="E12" t="n">
        <v>1539755.330666667</v>
      </c>
      <c r="F12" t="n">
        <v>7.479292211166456</v>
      </c>
      <c r="G12" t="b">
        <v>1</v>
      </c>
      <c r="I12" t="n">
        <v>7.474585492165882</v>
      </c>
      <c r="J12" t="inlineStr">
        <is>
          <t>trailing 10 calibrated months (Jan/21-Oct/21)</t>
        </is>
      </c>
      <c r="K12" t="n">
        <v>1538786.362552242</v>
      </c>
      <c r="L12" t="n">
        <v>1539755.330666667</v>
      </c>
      <c r="M12" t="inlineStr">
        <is>
          <t>published</t>
        </is>
      </c>
      <c r="N12" t="n">
        <v>36905</v>
      </c>
      <c r="O12" t="n">
        <v>41.72213333333333</v>
      </c>
      <c r="P12" t="n">
        <v>1.473404622026667</v>
      </c>
    </row>
    <row r="13">
      <c r="A13" t="inlineStr">
        <is>
          <t>Argentina</t>
        </is>
      </c>
      <c r="B13" t="inlineStr">
        <is>
          <t>AR</t>
        </is>
      </c>
      <c r="C13" s="4" t="n">
        <v>44531</v>
      </c>
      <c r="D13" t="n">
        <v>242278.6258064516</v>
      </c>
      <c r="E13" t="n">
        <v>1737327.87516129</v>
      </c>
      <c r="F13" t="n">
        <v>7.170784749906846</v>
      </c>
      <c r="G13" t="b">
        <v>1</v>
      </c>
      <c r="I13" t="n">
        <v>7.474991230049382</v>
      </c>
      <c r="J13" t="inlineStr">
        <is>
          <t>trailing 11 calibrated months (Jan/21-Nov/21)</t>
        </is>
      </c>
      <c r="K13" t="n">
        <v>1811030.603131642</v>
      </c>
      <c r="L13" t="n">
        <v>1737327.87516129</v>
      </c>
      <c r="M13" t="inlineStr">
        <is>
          <t>published</t>
        </is>
      </c>
      <c r="N13" t="n">
        <v>36905</v>
      </c>
      <c r="O13" t="n">
        <v>47.07567741935484</v>
      </c>
      <c r="P13" t="n">
        <v>1.66246342536129</v>
      </c>
    </row>
    <row r="14">
      <c r="A14" t="inlineStr">
        <is>
          <t>Argentina</t>
        </is>
      </c>
      <c r="B14" t="inlineStr">
        <is>
          <t>AR</t>
        </is>
      </c>
      <c r="C14" s="4" t="n">
        <v>44562</v>
      </c>
      <c r="D14" t="n">
        <v>250191.4612903226</v>
      </c>
      <c r="E14" t="n">
        <v>1806177.128870968</v>
      </c>
      <c r="F14" t="n">
        <v>7.219179741610275</v>
      </c>
      <c r="G14" t="b">
        <v>1</v>
      </c>
      <c r="I14" t="n">
        <v>7.446972081769729</v>
      </c>
      <c r="J14" t="inlineStr">
        <is>
          <t>trailing 12 calibrated months (Jan/21-Dec/21)</t>
        </is>
      </c>
      <c r="K14" t="n">
        <v>1863168.827326204</v>
      </c>
      <c r="L14" t="n">
        <v>1806177.128870968</v>
      </c>
      <c r="M14" t="inlineStr">
        <is>
          <t>published</t>
        </is>
      </c>
      <c r="N14" t="n">
        <v>36905</v>
      </c>
      <c r="O14" t="n">
        <v>48.94125806451613</v>
      </c>
      <c r="P14" t="n">
        <v>1.728345846170968</v>
      </c>
    </row>
    <row r="15">
      <c r="A15" t="inlineStr">
        <is>
          <t>Argentina</t>
        </is>
      </c>
      <c r="B15" t="inlineStr">
        <is>
          <t>AR</t>
        </is>
      </c>
      <c r="C15" s="4" t="n">
        <v>44593</v>
      </c>
      <c r="D15" t="n">
        <v>216350.75</v>
      </c>
      <c r="E15" t="n">
        <v>1543081.08625</v>
      </c>
      <c r="F15" t="n">
        <v>7.132312165545994</v>
      </c>
      <c r="G15" t="b">
        <v>1</v>
      </c>
      <c r="I15" t="n">
        <v>7.448353764415145</v>
      </c>
      <c r="J15" t="inlineStr">
        <is>
          <t>trailing 12 calibrated months (Feb/21-Jan/22)</t>
        </is>
      </c>
      <c r="K15" t="n">
        <v>1611456.92319654</v>
      </c>
      <c r="L15" t="n">
        <v>1543081.08625</v>
      </c>
      <c r="M15" t="inlineStr">
        <is>
          <t>published</t>
        </is>
      </c>
      <c r="N15" t="n">
        <v>36905</v>
      </c>
      <c r="O15" t="n">
        <v>41.81225</v>
      </c>
      <c r="P15" t="n">
        <v>1.476587065075</v>
      </c>
    </row>
    <row r="16">
      <c r="A16" t="inlineStr">
        <is>
          <t>Argentina</t>
        </is>
      </c>
      <c r="B16" t="inlineStr">
        <is>
          <t>AR</t>
        </is>
      </c>
      <c r="C16" s="4" t="n">
        <v>44621</v>
      </c>
      <c r="D16" t="n">
        <v>192290.3548387097</v>
      </c>
      <c r="E16" t="n">
        <v>1375271.967903226</v>
      </c>
      <c r="F16" t="n">
        <v>7.152059025824689</v>
      </c>
      <c r="G16" t="b">
        <v>1</v>
      </c>
      <c r="I16" t="n">
        <v>7.422267141405768</v>
      </c>
      <c r="J16" t="inlineStr">
        <is>
          <t>trailing 12 calibrated months (Mar/21-Feb/22)</t>
        </is>
      </c>
      <c r="K16" t="n">
        <v>1427230.382328611</v>
      </c>
      <c r="L16" t="n">
        <v>1375271.967903226</v>
      </c>
      <c r="M16" t="inlineStr">
        <is>
          <t>published</t>
        </is>
      </c>
      <c r="N16" t="n">
        <v>36905</v>
      </c>
      <c r="O16" t="n">
        <v>37.2651935483871</v>
      </c>
      <c r="P16" t="n">
        <v>1.316009130603226</v>
      </c>
    </row>
    <row r="17">
      <c r="A17" t="inlineStr">
        <is>
          <t>Argentina</t>
        </is>
      </c>
      <c r="B17" t="inlineStr">
        <is>
          <t>AR</t>
        </is>
      </c>
      <c r="C17" s="4" t="n">
        <v>44652</v>
      </c>
      <c r="D17" t="n">
        <v>173566.9633333333</v>
      </c>
      <c r="E17" t="n">
        <v>1226131.72</v>
      </c>
      <c r="F17" t="n">
        <v>7.06431510036405</v>
      </c>
      <c r="G17" t="b">
        <v>1</v>
      </c>
      <c r="I17" t="n">
        <v>7.410979066276814</v>
      </c>
      <c r="J17" t="inlineStr">
        <is>
          <t>trailing 12 calibrated months (Apr/21-Mar/22)</t>
        </is>
      </c>
      <c r="K17" t="n">
        <v>1286301.131860569</v>
      </c>
      <c r="L17" t="n">
        <v>1226131.72</v>
      </c>
      <c r="M17" t="inlineStr">
        <is>
          <t>published</t>
        </is>
      </c>
      <c r="N17" t="n">
        <v>36905</v>
      </c>
      <c r="O17" t="n">
        <v>33.224</v>
      </c>
      <c r="P17" t="n">
        <v>1.1732955928</v>
      </c>
    </row>
    <row r="18">
      <c r="A18" t="inlineStr">
        <is>
          <t>Argentina</t>
        </is>
      </c>
      <c r="B18" t="inlineStr">
        <is>
          <t>AR</t>
        </is>
      </c>
      <c r="C18" s="4" t="n">
        <v>44682</v>
      </c>
      <c r="D18" t="n">
        <v>172008.8</v>
      </c>
      <c r="E18" t="n">
        <v>1205298.252258064</v>
      </c>
      <c r="F18" t="n">
        <v>7.007189470876284</v>
      </c>
      <c r="G18" t="b">
        <v>1</v>
      </c>
      <c r="I18" t="n">
        <v>7.369315577568617</v>
      </c>
      <c r="J18" t="inlineStr">
        <is>
          <t>trailing 12 calibrated months (May/21-Apr/22)</t>
        </is>
      </c>
      <c r="K18" t="n">
        <v>1267587.129318885</v>
      </c>
      <c r="L18" t="n">
        <v>1205298.252258064</v>
      </c>
      <c r="M18" t="inlineStr">
        <is>
          <t>published</t>
        </is>
      </c>
      <c r="N18" t="n">
        <v>36905</v>
      </c>
      <c r="O18" t="n">
        <v>32.65948387096774</v>
      </c>
      <c r="P18" t="n">
        <v>1.153359875058064</v>
      </c>
    </row>
    <row r="19">
      <c r="A19" t="inlineStr">
        <is>
          <t>Argentina</t>
        </is>
      </c>
      <c r="B19" t="inlineStr">
        <is>
          <t>AR</t>
        </is>
      </c>
      <c r="C19" s="4" t="n">
        <v>44713</v>
      </c>
      <c r="D19" t="n">
        <v>158535.1866666666</v>
      </c>
      <c r="E19" t="n">
        <v>1060633.707833333</v>
      </c>
      <c r="F19" t="n">
        <v>6.690210104986999</v>
      </c>
      <c r="G19" t="b">
        <v>1</v>
      </c>
      <c r="I19" t="n">
        <v>7.324800007025076</v>
      </c>
      <c r="J19" t="inlineStr">
        <is>
          <t>trailing 12 calibrated months (Jun/21-May/22)</t>
        </is>
      </c>
      <c r="K19" t="n">
        <v>1161238.536409722</v>
      </c>
      <c r="L19" t="n">
        <v>1060633.707833333</v>
      </c>
      <c r="M19" t="inlineStr">
        <is>
          <t>published</t>
        </is>
      </c>
      <c r="N19" t="n">
        <v>36905</v>
      </c>
      <c r="O19" t="n">
        <v>28.73956666666667</v>
      </c>
      <c r="P19" t="n">
        <v>1.014929174963333</v>
      </c>
    </row>
    <row r="20">
      <c r="A20" t="inlineStr">
        <is>
          <t>Argentina</t>
        </is>
      </c>
      <c r="B20" t="inlineStr">
        <is>
          <t>AR</t>
        </is>
      </c>
      <c r="C20" s="4" t="n">
        <v>44743</v>
      </c>
      <c r="D20" t="n">
        <v>212023.4677419355</v>
      </c>
      <c r="E20" t="n">
        <v>1581973.301451613</v>
      </c>
      <c r="F20" t="n">
        <v>7.461312270286572</v>
      </c>
      <c r="G20" t="b">
        <v>1</v>
      </c>
      <c r="I20" t="n">
        <v>7.280772888984952</v>
      </c>
      <c r="J20" t="inlineStr">
        <is>
          <t>trailing 12 calibrated months (Jul/21-Jun/22)</t>
        </is>
      </c>
      <c r="K20" t="n">
        <v>1543694.71576406</v>
      </c>
      <c r="L20" t="n">
        <v>1581973.301451613</v>
      </c>
      <c r="M20" t="inlineStr">
        <is>
          <t>published</t>
        </is>
      </c>
      <c r="N20" t="n">
        <v>36905</v>
      </c>
      <c r="O20" t="n">
        <v>42.86609677419354</v>
      </c>
      <c r="P20" t="n">
        <v>1.513803347751613</v>
      </c>
    </row>
    <row r="21">
      <c r="A21" t="inlineStr">
        <is>
          <t>Argentina</t>
        </is>
      </c>
      <c r="B21" t="inlineStr">
        <is>
          <t>AR</t>
        </is>
      </c>
      <c r="C21" s="4" t="n">
        <v>44774</v>
      </c>
      <c r="D21" t="n">
        <v>163024.0774193548</v>
      </c>
      <c r="E21" t="n">
        <v>1177594.502096774</v>
      </c>
      <c r="F21" t="n">
        <v>7.223439143087989</v>
      </c>
      <c r="G21" t="b">
        <v>1</v>
      </c>
      <c r="I21" t="n">
        <v>7.263685892242116</v>
      </c>
      <c r="J21" t="inlineStr">
        <is>
          <t>trailing 12 calibrated months (Aug/21-Jul/22)</t>
        </is>
      </c>
      <c r="K21" t="n">
        <v>1184155.691246754</v>
      </c>
      <c r="L21" t="n">
        <v>1177594.502096774</v>
      </c>
      <c r="M21" t="inlineStr">
        <is>
          <t>published</t>
        </is>
      </c>
      <c r="N21" t="n">
        <v>36905</v>
      </c>
      <c r="O21" t="n">
        <v>31.90880645161291</v>
      </c>
      <c r="P21" t="n">
        <v>1.126849927196774</v>
      </c>
    </row>
    <row r="22">
      <c r="A22" t="inlineStr">
        <is>
          <t>Argentina</t>
        </is>
      </c>
      <c r="B22" t="inlineStr">
        <is>
          <t>AR</t>
        </is>
      </c>
      <c r="C22" s="4" t="n">
        <v>44805</v>
      </c>
      <c r="D22" t="n">
        <v>163046.0733333333</v>
      </c>
      <c r="E22" t="n">
        <v>1181129.763</v>
      </c>
      <c r="F22" t="n">
        <v>7.244147245332824</v>
      </c>
      <c r="G22" t="b">
        <v>1</v>
      </c>
      <c r="I22" t="n">
        <v>7.232564519465702</v>
      </c>
      <c r="J22" t="inlineStr">
        <is>
          <t>trailing 12 calibrated months (Sep/21-Aug/22)</t>
        </is>
      </c>
      <c r="K22" t="n">
        <v>1179241.245028869</v>
      </c>
      <c r="L22" t="n">
        <v>1181129.763</v>
      </c>
      <c r="M22" t="inlineStr">
        <is>
          <t>published</t>
        </is>
      </c>
      <c r="N22" t="n">
        <v>36905</v>
      </c>
      <c r="O22" t="n">
        <v>32.0046</v>
      </c>
      <c r="P22" t="n">
        <v>1.13023284762</v>
      </c>
    </row>
    <row r="23">
      <c r="A23" t="inlineStr">
        <is>
          <t>Argentina</t>
        </is>
      </c>
      <c r="B23" t="inlineStr">
        <is>
          <t>AR</t>
        </is>
      </c>
      <c r="C23" s="4" t="n">
        <v>44835</v>
      </c>
      <c r="D23" t="n">
        <v>161546.2516129033</v>
      </c>
      <c r="E23" t="n">
        <v>1210025.663709678</v>
      </c>
      <c r="F23" t="n">
        <v>7.490273848068838</v>
      </c>
      <c r="G23" t="b">
        <v>1</v>
      </c>
      <c r="I23" t="n">
        <v>7.217813271980545</v>
      </c>
      <c r="J23" t="inlineStr">
        <is>
          <t>trailing 12 calibrated months (Oct/21-Sep/22)</t>
        </is>
      </c>
      <c r="K23" t="n">
        <v>1166010.678930322</v>
      </c>
      <c r="L23" t="n">
        <v>1210025.663709678</v>
      </c>
      <c r="M23" t="inlineStr">
        <is>
          <t>published</t>
        </is>
      </c>
      <c r="N23" t="n">
        <v>36905</v>
      </c>
      <c r="O23" t="n">
        <v>32.78758064516129</v>
      </c>
      <c r="P23" t="n">
        <v>1.157883574209677</v>
      </c>
    </row>
    <row r="24">
      <c r="A24" t="inlineStr">
        <is>
          <t>Argentina</t>
        </is>
      </c>
      <c r="B24" t="inlineStr">
        <is>
          <t>AR</t>
        </is>
      </c>
      <c r="C24" s="4" t="n">
        <v>44866</v>
      </c>
      <c r="D24" t="n">
        <v>184551.8666666667</v>
      </c>
      <c r="E24" t="n">
        <v>1349371.046833333</v>
      </c>
      <c r="F24" t="n">
        <v>7.311608769964576</v>
      </c>
      <c r="G24" t="b">
        <v>1</v>
      </c>
      <c r="I24" t="n">
        <v>7.203088253922183</v>
      </c>
      <c r="J24" t="inlineStr">
        <is>
          <t>trailing 12 calibrated months (Nov/21-Oct/22)</t>
        </is>
      </c>
      <c r="K24" t="n">
        <v>1329343.38302608</v>
      </c>
      <c r="L24" t="n">
        <v>1349371.046833333</v>
      </c>
      <c r="M24" t="inlineStr">
        <is>
          <t>published</t>
        </is>
      </c>
      <c r="N24" t="n">
        <v>36905</v>
      </c>
      <c r="O24" t="n">
        <v>36.56336666666667</v>
      </c>
      <c r="P24" t="n">
        <v>1.291224324823333</v>
      </c>
    </row>
    <row r="25">
      <c r="A25" t="inlineStr">
        <is>
          <t>Argentina</t>
        </is>
      </c>
      <c r="B25" t="inlineStr">
        <is>
          <t>AR</t>
        </is>
      </c>
      <c r="C25" s="4" t="n">
        <v>44896</v>
      </c>
      <c r="D25" t="n">
        <v>219881.9419354839</v>
      </c>
      <c r="E25" t="n">
        <v>1548454.037580645</v>
      </c>
      <c r="F25" t="n">
        <v>7.042206485673939</v>
      </c>
      <c r="G25" t="b">
        <v>1</v>
      </c>
      <c r="I25" t="n">
        <v>7.186999331305631</v>
      </c>
      <c r="J25" t="inlineStr">
        <is>
          <t>trailing 12 calibrated months (Dec/21-Nov/22)</t>
        </is>
      </c>
      <c r="K25" t="n">
        <v>1580291.369656506</v>
      </c>
      <c r="L25" t="n">
        <v>1548454.037580645</v>
      </c>
      <c r="M25" t="inlineStr">
        <is>
          <t>published</t>
        </is>
      </c>
      <c r="N25" t="n">
        <v>36905</v>
      </c>
      <c r="O25" t="n">
        <v>41.95783870967742</v>
      </c>
      <c r="P25" t="n">
        <v>1.481728486680645</v>
      </c>
    </row>
    <row r="26">
      <c r="A26" t="inlineStr">
        <is>
          <t>Argentina</t>
        </is>
      </c>
      <c r="B26" t="inlineStr">
        <is>
          <t>AR</t>
        </is>
      </c>
      <c r="C26" s="4" t="n">
        <v>44927</v>
      </c>
      <c r="D26" t="n">
        <v>230843.5967741936</v>
      </c>
      <c r="E26" t="n">
        <v>1602627.006129032</v>
      </c>
      <c r="F26" t="n">
        <v>6.942479793783013</v>
      </c>
      <c r="G26" t="b">
        <v>1</v>
      </c>
      <c r="I26" t="n">
        <v>7.174688491476061</v>
      </c>
      <c r="J26" t="inlineStr">
        <is>
          <t>trailing 12 calibrated months (Jan/22-Dec/22)</t>
        </is>
      </c>
      <c r="K26" t="n">
        <v>1656230.897106747</v>
      </c>
      <c r="L26" t="n">
        <v>1602627.006129032</v>
      </c>
      <c r="M26" t="inlineStr">
        <is>
          <t>published</t>
        </is>
      </c>
      <c r="N26" t="n">
        <v>36905</v>
      </c>
      <c r="O26" t="n">
        <v>43.42574193548388</v>
      </c>
      <c r="P26" t="n">
        <v>1.533567048729032</v>
      </c>
    </row>
    <row r="27">
      <c r="A27" t="inlineStr">
        <is>
          <t>Argentina</t>
        </is>
      </c>
      <c r="B27" t="inlineStr">
        <is>
          <t>AR</t>
        </is>
      </c>
      <c r="C27" s="4" t="n">
        <v>44958</v>
      </c>
      <c r="D27" t="n">
        <v>213413.2928571428</v>
      </c>
      <c r="E27" t="n">
        <v>1479189.305</v>
      </c>
      <c r="F27" t="n">
        <v>6.931102018983221</v>
      </c>
      <c r="G27" t="b">
        <v>1</v>
      </c>
      <c r="I27" t="n">
        <v>7.145887448106333</v>
      </c>
      <c r="J27" t="inlineStr">
        <is>
          <t>trailing 12 calibrated months (Feb/22-Jan/23)</t>
        </is>
      </c>
      <c r="K27" t="n">
        <v>1525027.370686898</v>
      </c>
      <c r="L27" t="n">
        <v>1479189.305</v>
      </c>
      <c r="M27" t="inlineStr">
        <is>
          <t>published</t>
        </is>
      </c>
      <c r="N27" t="n">
        <v>36905</v>
      </c>
      <c r="O27" t="n">
        <v>40.081</v>
      </c>
      <c r="P27" t="n">
        <v>1.4154484907</v>
      </c>
    </row>
    <row r="28">
      <c r="A28" t="inlineStr">
        <is>
          <t>Argentina</t>
        </is>
      </c>
      <c r="B28" t="inlineStr">
        <is>
          <t>AR</t>
        </is>
      </c>
      <c r="C28" s="4" t="n">
        <v>44986</v>
      </c>
      <c r="D28" t="n">
        <v>214881.7161290323</v>
      </c>
      <c r="E28" t="n">
        <v>1538820.642096774</v>
      </c>
      <c r="F28" t="n">
        <v>7.161245125074964</v>
      </c>
      <c r="G28" t="b">
        <v>1</v>
      </c>
      <c r="I28" t="n">
        <v>7.126775569473481</v>
      </c>
      <c r="J28" t="inlineStr">
        <is>
          <t>trailing 12 calibrated months (Mar/22-Feb/23)</t>
        </is>
      </c>
      <c r="K28" t="n">
        <v>1531413.764834923</v>
      </c>
      <c r="L28" t="n">
        <v>1538820.642096774</v>
      </c>
      <c r="M28" t="inlineStr">
        <is>
          <t>published</t>
        </is>
      </c>
      <c r="N28" t="n">
        <v>36905</v>
      </c>
      <c r="O28" t="n">
        <v>41.69680645161291</v>
      </c>
      <c r="P28" t="n">
        <v>1.472510210796774</v>
      </c>
    </row>
    <row r="29">
      <c r="A29" t="inlineStr">
        <is>
          <t>Argentina</t>
        </is>
      </c>
      <c r="B29" t="inlineStr">
        <is>
          <t>AR</t>
        </is>
      </c>
      <c r="C29" s="4" t="n">
        <v>45017</v>
      </c>
      <c r="D29" t="n">
        <v>156822.62</v>
      </c>
      <c r="E29" t="n">
        <v>1163369.846833333</v>
      </c>
      <c r="F29" t="n">
        <v>7.418380376716913</v>
      </c>
      <c r="G29" t="b">
        <v>1</v>
      </c>
      <c r="I29" t="n">
        <v>7.127898088058319</v>
      </c>
      <c r="J29" t="inlineStr">
        <is>
          <t>trailing 12 calibrated months (Apr/22-Mar/23)</t>
        </is>
      </c>
      <c r="K29" t="n">
        <v>1117815.653262296</v>
      </c>
      <c r="L29" t="n">
        <v>1163369.846833333</v>
      </c>
      <c r="M29" t="inlineStr">
        <is>
          <t>published</t>
        </is>
      </c>
      <c r="N29" t="n">
        <v>36905</v>
      </c>
      <c r="O29" t="n">
        <v>31.52336666666667</v>
      </c>
      <c r="P29" t="n">
        <v>1.113238236823333</v>
      </c>
    </row>
    <row r="30">
      <c r="A30" t="inlineStr">
        <is>
          <t>Argentina</t>
        </is>
      </c>
      <c r="B30" t="inlineStr">
        <is>
          <t>AR</t>
        </is>
      </c>
      <c r="C30" s="4" t="n">
        <v>45047</v>
      </c>
      <c r="D30" t="n">
        <v>202838.4322580645</v>
      </c>
      <c r="E30" t="n">
        <v>1435129.496935484</v>
      </c>
      <c r="F30" t="n">
        <v>7.075234613870497</v>
      </c>
      <c r="G30" t="b">
        <v>1</v>
      </c>
      <c r="I30" t="n">
        <v>7.153042774115607</v>
      </c>
      <c r="J30" t="inlineStr">
        <is>
          <t>trailing 12 calibrated months (May/22-Apr/23)</t>
        </is>
      </c>
      <c r="K30" t="n">
        <v>1450911.982176486</v>
      </c>
      <c r="L30" t="n">
        <v>1435129.496935484</v>
      </c>
      <c r="M30" t="inlineStr">
        <is>
          <t>published</t>
        </is>
      </c>
      <c r="N30" t="n">
        <v>36905</v>
      </c>
      <c r="O30" t="n">
        <v>38.88712903225807</v>
      </c>
      <c r="P30" t="n">
        <v>1.373287295635484</v>
      </c>
    </row>
    <row r="31">
      <c r="A31" t="inlineStr">
        <is>
          <t>Argentina</t>
        </is>
      </c>
      <c r="B31" t="inlineStr">
        <is>
          <t>AR</t>
        </is>
      </c>
      <c r="C31" s="4" t="n">
        <v>45078</v>
      </c>
      <c r="D31" t="n">
        <v>199841.7833333333</v>
      </c>
      <c r="E31" t="n">
        <v>1750516.095166667</v>
      </c>
      <c r="F31" t="n">
        <v>8.759509978185243</v>
      </c>
      <c r="G31" t="b">
        <v>1</v>
      </c>
      <c r="I31" t="n">
        <v>7.157121643081778</v>
      </c>
      <c r="J31" t="inlineStr">
        <is>
          <t>trailing 12 calibrated months (Jun/22-May/23)</t>
        </is>
      </c>
      <c r="K31" t="n">
        <v>1430291.952687059</v>
      </c>
      <c r="L31" t="n">
        <v>1750516.095166667</v>
      </c>
      <c r="M31" t="inlineStr">
        <is>
          <t>published</t>
        </is>
      </c>
      <c r="N31" t="n">
        <v>36905</v>
      </c>
      <c r="O31" t="n">
        <v>47.43303333333333</v>
      </c>
      <c r="P31" t="n">
        <v>1.675083342256667</v>
      </c>
    </row>
    <row r="32">
      <c r="A32" t="inlineStr">
        <is>
          <t>Argentina</t>
        </is>
      </c>
      <c r="B32" t="inlineStr">
        <is>
          <t>AR</t>
        </is>
      </c>
      <c r="C32" s="4" t="n">
        <v>45108</v>
      </c>
      <c r="D32" t="n">
        <v>174712.9741935484</v>
      </c>
      <c r="E32" t="n">
        <v>1544368.296935484</v>
      </c>
      <c r="F32" t="n">
        <v>8.839459714220309</v>
      </c>
      <c r="G32" t="b">
        <v>1</v>
      </c>
      <c r="I32" t="n">
        <v>7.326856642834074</v>
      </c>
      <c r="J32" t="inlineStr">
        <is>
          <t>trailing 12 calibrated months (Jul/22-Jun/23)</t>
        </is>
      </c>
      <c r="K32" t="n">
        <v>1280096.915559299</v>
      </c>
      <c r="L32" t="n">
        <v>1544368.296935484</v>
      </c>
      <c r="M32" t="inlineStr">
        <is>
          <t>published</t>
        </is>
      </c>
      <c r="N32" t="n">
        <v>36905</v>
      </c>
      <c r="O32" t="n">
        <v>41.84712903225806</v>
      </c>
      <c r="P32" t="n">
        <v>1.477818807635484</v>
      </c>
    </row>
    <row r="33">
      <c r="A33" t="inlineStr">
        <is>
          <t>Argentina</t>
        </is>
      </c>
      <c r="B33" t="inlineStr">
        <is>
          <t>AR</t>
        </is>
      </c>
      <c r="C33" s="4" t="n">
        <v>45139</v>
      </c>
      <c r="D33" t="n">
        <v>169588.9516129032</v>
      </c>
      <c r="E33" t="n">
        <v>1553525.498870968</v>
      </c>
      <c r="F33" t="n">
        <v>9.160534834940082</v>
      </c>
      <c r="G33" t="b">
        <v>1</v>
      </c>
      <c r="I33" t="n">
        <v>7.430017208036044</v>
      </c>
      <c r="J33" t="inlineStr">
        <is>
          <t>trailing 12 calibrated months (Aug/22-Jul/23)</t>
        </is>
      </c>
      <c r="K33" t="n">
        <v>1260048.828776663</v>
      </c>
      <c r="L33" t="n">
        <v>1553525.498870968</v>
      </c>
      <c r="M33" t="inlineStr">
        <is>
          <t>published</t>
        </is>
      </c>
      <c r="N33" t="n">
        <v>36905</v>
      </c>
      <c r="O33" t="n">
        <v>42.09525806451613</v>
      </c>
      <c r="P33" t="n">
        <v>1.486581409970968</v>
      </c>
    </row>
    <row r="34">
      <c r="A34" t="inlineStr">
        <is>
          <t>Argentina</t>
        </is>
      </c>
      <c r="B34" t="inlineStr">
        <is>
          <t>AR</t>
        </is>
      </c>
      <c r="C34" s="4" t="n">
        <v>45170</v>
      </c>
      <c r="D34" t="n">
        <v>152594.78</v>
      </c>
      <c r="E34" t="n">
        <v>1432546.305666666</v>
      </c>
      <c r="F34" t="n">
        <v>9.387911602655519</v>
      </c>
      <c r="G34" t="b">
        <v>1</v>
      </c>
      <c r="I34" t="n">
        <v>7.57275639738681</v>
      </c>
      <c r="J34" t="inlineStr">
        <is>
          <t>trailing 12 calibrated months (Sep/22-Aug/23)</t>
        </is>
      </c>
      <c r="K34" t="n">
        <v>1155563.096452833</v>
      </c>
      <c r="L34" t="n">
        <v>1432546.305666666</v>
      </c>
      <c r="M34" t="inlineStr">
        <is>
          <t>published</t>
        </is>
      </c>
      <c r="N34" t="n">
        <v>36905</v>
      </c>
      <c r="O34" t="n">
        <v>38.81713333333333</v>
      </c>
      <c r="P34" t="n">
        <v>1.370815418526667</v>
      </c>
    </row>
    <row r="35">
      <c r="A35" t="inlineStr">
        <is>
          <t>Argentina</t>
        </is>
      </c>
      <c r="B35" t="inlineStr">
        <is>
          <t>AR</t>
        </is>
      </c>
      <c r="C35" s="4" t="n">
        <v>45200</v>
      </c>
      <c r="D35" t="n">
        <v>130386.7032258065</v>
      </c>
      <c r="E35" t="n">
        <v>1195480.331774194</v>
      </c>
      <c r="F35" t="n">
        <v>9.168728882605732</v>
      </c>
      <c r="G35" t="b">
        <v>1</v>
      </c>
      <c r="I35" t="n">
        <v>7.71764309609881</v>
      </c>
      <c r="J35" t="inlineStr">
        <is>
          <t>trailing 12 calibrated months (Oct/22-Sep/23)</t>
        </is>
      </c>
      <c r="K35" t="n">
        <v>1006278.03997373</v>
      </c>
      <c r="L35" t="n">
        <v>1195480.331774194</v>
      </c>
      <c r="M35" t="inlineStr">
        <is>
          <t>published</t>
        </is>
      </c>
      <c r="N35" t="n">
        <v>36905</v>
      </c>
      <c r="O35" t="n">
        <v>32.39345161290323</v>
      </c>
      <c r="P35" t="n">
        <v>1.143965025674194</v>
      </c>
    </row>
    <row r="36">
      <c r="A36" t="inlineStr">
        <is>
          <t>Argentina</t>
        </is>
      </c>
      <c r="B36" t="inlineStr">
        <is>
          <t>AR</t>
        </is>
      </c>
      <c r="C36" s="4" t="n">
        <v>45231</v>
      </c>
      <c r="D36" t="n">
        <v>159740.71</v>
      </c>
      <c r="E36" t="n">
        <v>1439580.398666667</v>
      </c>
      <c r="F36" t="n">
        <v>9.011981971700681</v>
      </c>
      <c r="G36" t="b">
        <v>1</v>
      </c>
      <c r="I36" t="n">
        <v>7.818041732844804</v>
      </c>
      <c r="J36" t="inlineStr">
        <is>
          <t>trailing 12 calibrated months (Nov/22-Oct/23)</t>
        </is>
      </c>
      <c r="K36" t="n">
        <v>1248859.537214259</v>
      </c>
      <c r="L36" t="n">
        <v>1439580.398666667</v>
      </c>
      <c r="M36" t="inlineStr">
        <is>
          <t>published</t>
        </is>
      </c>
      <c r="N36" t="n">
        <v>36905</v>
      </c>
      <c r="O36" t="n">
        <v>39.00773333333333</v>
      </c>
      <c r="P36" t="n">
        <v>1.377546400346667</v>
      </c>
    </row>
    <row r="37">
      <c r="A37" t="inlineStr">
        <is>
          <t>Argentina</t>
        </is>
      </c>
      <c r="B37" t="inlineStr">
        <is>
          <t>AR</t>
        </is>
      </c>
      <c r="C37" s="4" t="n">
        <v>45261</v>
      </c>
      <c r="D37" t="n">
        <v>162751.0483870968</v>
      </c>
      <c r="E37" t="n">
        <v>1452780.801290323</v>
      </c>
      <c r="F37" t="n">
        <v>8.926399035138267</v>
      </c>
      <c r="G37" t="b">
        <v>1</v>
      </c>
      <c r="I37" t="n">
        <v>7.94573346254156</v>
      </c>
      <c r="J37" t="inlineStr">
        <is>
          <t>trailing 12 calibrated months (Dec/22-Nov/23)</t>
        </is>
      </c>
      <c r="K37" t="n">
        <v>1293176.451233076</v>
      </c>
      <c r="L37" t="n">
        <v>1452780.801290323</v>
      </c>
      <c r="M37" t="inlineStr">
        <is>
          <t>published</t>
        </is>
      </c>
      <c r="N37" t="n">
        <v>36905</v>
      </c>
      <c r="O37" t="n">
        <v>39.36541935483871</v>
      </c>
      <c r="P37" t="n">
        <v>1.390177974890322</v>
      </c>
    </row>
    <row r="38">
      <c r="A38" t="inlineStr">
        <is>
          <t>Argentina</t>
        </is>
      </c>
      <c r="B38" t="inlineStr">
        <is>
          <t>AR</t>
        </is>
      </c>
      <c r="C38" s="4" t="n">
        <v>45292</v>
      </c>
      <c r="D38" t="n">
        <v>223606.1806451613</v>
      </c>
      <c r="E38" t="n">
        <v>1670525.063225806</v>
      </c>
      <c r="F38" t="n">
        <v>7.470835816818267</v>
      </c>
      <c r="G38" t="b">
        <v>1</v>
      </c>
      <c r="I38" t="n">
        <v>8.110957070806137</v>
      </c>
      <c r="J38" t="inlineStr">
        <is>
          <t>trailing 12 calibrated months (Jan/23-Dec/23)</t>
        </is>
      </c>
      <c r="K38" t="n">
        <v>1813660.131979825</v>
      </c>
      <c r="L38" t="n">
        <v>1670525.063225806</v>
      </c>
      <c r="M38" t="inlineStr">
        <is>
          <t>published</t>
        </is>
      </c>
      <c r="N38" t="n">
        <v>36905</v>
      </c>
      <c r="O38" t="n">
        <v>45.26554838709677</v>
      </c>
      <c r="P38" t="n">
        <v>1.598539261625806</v>
      </c>
    </row>
    <row r="39">
      <c r="A39" t="inlineStr">
        <is>
          <t>Argentina</t>
        </is>
      </c>
      <c r="B39" t="inlineStr">
        <is>
          <t>AR</t>
        </is>
      </c>
      <c r="C39" s="4" t="n">
        <v>45323</v>
      </c>
      <c r="D39" t="n">
        <v>247734.3068965517</v>
      </c>
      <c r="E39" t="n">
        <v>1751932.526034483</v>
      </c>
      <c r="F39" t="n">
        <v>7.071820403001554</v>
      </c>
      <c r="G39" t="b">
        <v>1</v>
      </c>
      <c r="I39" t="n">
        <v>8.169536400578485</v>
      </c>
      <c r="J39" t="inlineStr">
        <is>
          <t>trailing 12 calibrated months (Feb/23-Jan/24)</t>
        </is>
      </c>
      <c r="K39" t="n">
        <v>2023874.437863461</v>
      </c>
      <c r="L39" t="n">
        <v>1751932.526034483</v>
      </c>
      <c r="M39" t="inlineStr">
        <is>
          <t>published</t>
        </is>
      </c>
      <c r="N39" t="n">
        <v>36905</v>
      </c>
      <c r="O39" t="n">
        <v>47.47141379310345</v>
      </c>
      <c r="P39" t="n">
        <v>1.67643873667931</v>
      </c>
    </row>
    <row r="40">
      <c r="A40" t="inlineStr">
        <is>
          <t>Argentina</t>
        </is>
      </c>
      <c r="B40" t="inlineStr">
        <is>
          <t>AR</t>
        </is>
      </c>
      <c r="C40" s="4" t="n">
        <v>45352</v>
      </c>
      <c r="D40" t="n">
        <v>218727.7</v>
      </c>
      <c r="E40" t="n">
        <v>1608363.947903226</v>
      </c>
      <c r="F40" t="n">
        <v>7.353270518106421</v>
      </c>
      <c r="G40" t="b">
        <v>1</v>
      </c>
      <c r="I40" t="n">
        <v>8.166054937701837</v>
      </c>
      <c r="J40" t="inlineStr">
        <is>
          <t>trailing 12 calibrated months (Mar/23-Feb/24)</t>
        </is>
      </c>
      <c r="K40" t="n">
        <v>1786142.414597166</v>
      </c>
      <c r="L40" t="n">
        <v>1608363.947903226</v>
      </c>
      <c r="M40" t="inlineStr">
        <is>
          <t>published</t>
        </is>
      </c>
      <c r="N40" t="n">
        <v>36905</v>
      </c>
      <c r="O40" t="n">
        <v>43.5811935483871</v>
      </c>
      <c r="P40" t="n">
        <v>1.539056775803226</v>
      </c>
    </row>
    <row r="41">
      <c r="A41" t="inlineStr">
        <is>
          <t>Argentina</t>
        </is>
      </c>
      <c r="B41" t="inlineStr">
        <is>
          <t>AR</t>
        </is>
      </c>
      <c r="C41" s="4" t="n">
        <v>45383</v>
      </c>
      <c r="D41" t="n">
        <v>173980.0066666667</v>
      </c>
      <c r="E41" t="n">
        <v>1278292.016833334</v>
      </c>
      <c r="F41" t="n">
        <v>7.347350085360385</v>
      </c>
      <c r="G41" t="b">
        <v>1</v>
      </c>
      <c r="I41" t="n">
        <v>8.183394995574687</v>
      </c>
      <c r="J41" t="inlineStr">
        <is>
          <t>trailing 12 calibrated months (Apr/23-Mar/24)</t>
        </is>
      </c>
      <c r="K41" t="n">
        <v>1423747.115886051</v>
      </c>
      <c r="L41" t="n">
        <v>1278292.016833334</v>
      </c>
      <c r="M41" t="inlineStr">
        <is>
          <t>published</t>
        </is>
      </c>
      <c r="N41" t="n">
        <v>36905</v>
      </c>
      <c r="O41" t="n">
        <v>34.63736666666667</v>
      </c>
      <c r="P41" t="n">
        <v>1.223208212623333</v>
      </c>
    </row>
    <row r="42">
      <c r="A42" t="inlineStr">
        <is>
          <t>Argentina</t>
        </is>
      </c>
      <c r="B42" t="inlineStr">
        <is>
          <t>AR</t>
        </is>
      </c>
      <c r="C42" s="4" t="n">
        <v>45413</v>
      </c>
      <c r="D42" t="n">
        <v>162952.3451612903</v>
      </c>
      <c r="E42" t="n">
        <v>976528.9191935483</v>
      </c>
      <c r="F42" t="n">
        <v>5.992727003879444</v>
      </c>
      <c r="G42" t="b">
        <v>1</v>
      </c>
      <c r="I42" t="n">
        <v>8.171897832905042</v>
      </c>
      <c r="J42" t="inlineStr">
        <is>
          <t>trailing 12 calibrated months (May/23-Apr/24)</t>
        </is>
      </c>
      <c r="K42" t="n">
        <v>1331629.916290343</v>
      </c>
      <c r="L42" t="n">
        <v>976528.9191935483</v>
      </c>
      <c r="M42" t="inlineStr">
        <is>
          <t>published</t>
        </is>
      </c>
      <c r="N42" t="n">
        <v>36905</v>
      </c>
      <c r="O42" t="n">
        <v>26.4606129032258</v>
      </c>
      <c r="P42" t="n">
        <v>0.9344486064935482</v>
      </c>
    </row>
    <row r="43">
      <c r="A43" t="inlineStr">
        <is>
          <t>Argentina</t>
        </is>
      </c>
      <c r="B43" t="inlineStr">
        <is>
          <t>AR</t>
        </is>
      </c>
      <c r="C43" s="4" t="n">
        <v>45444</v>
      </c>
      <c r="D43" t="n">
        <v>185316.2566666667</v>
      </c>
      <c r="E43" t="n">
        <v>1240929.394833333</v>
      </c>
      <c r="F43" t="n">
        <v>6.696279199430553</v>
      </c>
      <c r="G43" t="b">
        <v>1</v>
      </c>
      <c r="I43" t="n">
        <v>8.110952099612563</v>
      </c>
      <c r="J43" t="inlineStr">
        <is>
          <t>trailing 12 calibrated months (Jun/23-May/24)</t>
        </is>
      </c>
      <c r="K43" t="n">
        <v>1503091.281102841</v>
      </c>
      <c r="L43" t="n">
        <v>1240929.394833333</v>
      </c>
      <c r="M43" t="inlineStr">
        <is>
          <t>published</t>
        </is>
      </c>
      <c r="N43" t="n">
        <v>36905</v>
      </c>
      <c r="O43" t="n">
        <v>33.62496666666667</v>
      </c>
      <c r="P43" t="n">
        <v>1.187455610343333</v>
      </c>
    </row>
    <row r="44">
      <c r="A44" t="inlineStr">
        <is>
          <t>Argentina</t>
        </is>
      </c>
      <c r="B44" t="inlineStr">
        <is>
          <t>AR</t>
        </is>
      </c>
      <c r="C44" s="4" t="n">
        <v>45474</v>
      </c>
      <c r="D44" t="n">
        <v>167703.8903225806</v>
      </c>
      <c r="E44" t="n">
        <v>1034353.101774193</v>
      </c>
      <c r="F44" t="n">
        <v>6.167734688709974</v>
      </c>
      <c r="G44" t="b">
        <v>1</v>
      </c>
      <c r="I44" t="n">
        <v>7.929752198803446</v>
      </c>
      <c r="J44" t="inlineStr">
        <is>
          <t>trailing 12 calibrated months (Jul/23-Jun/24)</t>
        </is>
      </c>
      <c r="K44" t="n">
        <v>1329850.293033376</v>
      </c>
      <c r="L44" t="n">
        <v>1034353.101774193</v>
      </c>
      <c r="M44" t="inlineStr">
        <is>
          <t>published</t>
        </is>
      </c>
      <c r="N44" t="n">
        <v>36905</v>
      </c>
      <c r="O44" t="n">
        <v>28.02745161290322</v>
      </c>
      <c r="P44" t="n">
        <v>0.9897810454741934</v>
      </c>
    </row>
    <row r="45">
      <c r="A45" t="inlineStr">
        <is>
          <t>Argentina</t>
        </is>
      </c>
      <c r="B45" t="inlineStr">
        <is>
          <t>AR</t>
        </is>
      </c>
      <c r="C45" s="4" t="n">
        <v>45505</v>
      </c>
      <c r="D45" t="n">
        <v>183501.6483870968</v>
      </c>
      <c r="E45" t="n">
        <v>1133614.456451613</v>
      </c>
      <c r="F45" t="n">
        <v>6.177679963180783</v>
      </c>
      <c r="G45" t="b">
        <v>1</v>
      </c>
      <c r="I45" t="n">
        <v>7.718885646417557</v>
      </c>
      <c r="J45" t="inlineStr">
        <is>
          <t>trailing 12 calibrated months (Aug/23-Jul/24)</t>
        </is>
      </c>
      <c r="K45" t="n">
        <v>1416428.239829123</v>
      </c>
      <c r="L45" t="n">
        <v>1133614.456451613</v>
      </c>
      <c r="M45" t="inlineStr">
        <is>
          <t>published</t>
        </is>
      </c>
      <c r="N45" t="n">
        <v>36905</v>
      </c>
      <c r="O45" t="n">
        <v>30.71709677419355</v>
      </c>
      <c r="P45" t="n">
        <v>1.084765057451613</v>
      </c>
    </row>
    <row r="46">
      <c r="A46" t="inlineStr">
        <is>
          <t>Argentina</t>
        </is>
      </c>
      <c r="B46" t="inlineStr">
        <is>
          <t>AR</t>
        </is>
      </c>
      <c r="C46" s="4" t="n">
        <v>45536</v>
      </c>
      <c r="D46" t="n">
        <v>198866</v>
      </c>
      <c r="E46" t="n">
        <v>1295044.4265</v>
      </c>
      <c r="F46" t="n">
        <v>6.512146000321824</v>
      </c>
      <c r="G46" t="b">
        <v>1</v>
      </c>
      <c r="I46" t="n">
        <v>7.475777009590453</v>
      </c>
      <c r="J46" t="inlineStr">
        <is>
          <t>trailing 12 calibrated months (Sep/23-Aug/24)</t>
        </is>
      </c>
      <c r="K46" t="n">
        <v>1486677.870789215</v>
      </c>
      <c r="L46" t="n">
        <v>1295044.4265</v>
      </c>
      <c r="M46" t="inlineStr">
        <is>
          <t>published</t>
        </is>
      </c>
      <c r="N46" t="n">
        <v>36905</v>
      </c>
      <c r="O46" t="n">
        <v>35.0913</v>
      </c>
      <c r="P46" t="n">
        <v>1.23923873211</v>
      </c>
    </row>
    <row r="47">
      <c r="A47" t="inlineStr">
        <is>
          <t>Argentina</t>
        </is>
      </c>
      <c r="B47" t="inlineStr">
        <is>
          <t>AR</t>
        </is>
      </c>
      <c r="C47" s="4" t="n">
        <v>45566</v>
      </c>
      <c r="D47" t="n">
        <v>186754.3419354839</v>
      </c>
      <c r="E47" t="n">
        <v>1430500.895645161</v>
      </c>
      <c r="F47" t="n">
        <v>7.659799931930589</v>
      </c>
      <c r="G47" t="b">
        <v>1</v>
      </c>
      <c r="I47" t="n">
        <v>7.257557153344277</v>
      </c>
      <c r="J47" t="inlineStr">
        <is>
          <t>trailing 12 calibrated months (Oct/23-Sep/24)</t>
        </is>
      </c>
      <c r="K47" t="n">
        <v>1355380.310231974</v>
      </c>
      <c r="L47" t="n">
        <v>1430500.895645161</v>
      </c>
      <c r="M47" t="inlineStr">
        <is>
          <t>published</t>
        </is>
      </c>
      <c r="N47" t="n">
        <v>36905</v>
      </c>
      <c r="O47" t="n">
        <v>38.76170967741935</v>
      </c>
      <c r="P47" t="n">
        <v>1.368858148745161</v>
      </c>
    </row>
    <row r="48">
      <c r="A48" t="inlineStr">
        <is>
          <t>Argentina</t>
        </is>
      </c>
      <c r="B48" t="inlineStr">
        <is>
          <t>AR</t>
        </is>
      </c>
      <c r="C48" s="4" t="n">
        <v>45597</v>
      </c>
      <c r="D48" t="n">
        <v>198824.0966666667</v>
      </c>
      <c r="E48" t="n">
        <v>1504384.3485</v>
      </c>
      <c r="F48" t="n">
        <v>7.566408567781078</v>
      </c>
      <c r="G48" t="b">
        <v>1</v>
      </c>
      <c r="I48" t="n">
        <v>7.180929156789752</v>
      </c>
      <c r="J48" t="inlineStr">
        <is>
          <t>trailing 12 calibrated months (Nov/23-Oct/24)</t>
        </is>
      </c>
      <c r="K48" t="n">
        <v>1427741.752826051</v>
      </c>
      <c r="L48" t="n">
        <v>1504384.3485</v>
      </c>
      <c r="M48" t="inlineStr">
        <is>
          <t>published</t>
        </is>
      </c>
      <c r="N48" t="n">
        <v>36905</v>
      </c>
      <c r="O48" t="n">
        <v>40.7637</v>
      </c>
      <c r="P48" t="n">
        <v>1.43955783639</v>
      </c>
    </row>
    <row r="49">
      <c r="A49" t="inlineStr">
        <is>
          <t>Argentina</t>
        </is>
      </c>
      <c r="B49" t="inlineStr">
        <is>
          <t>AR</t>
        </is>
      </c>
      <c r="C49" s="4" t="n">
        <v>45627</v>
      </c>
      <c r="D49" t="n">
        <v>187453.2354838709</v>
      </c>
      <c r="E49" t="n">
        <v>1382535.11</v>
      </c>
      <c r="F49" t="n">
        <v>7.375360080775761</v>
      </c>
      <c r="G49" t="b">
        <v>1</v>
      </c>
      <c r="I49" t="n">
        <v>7.08751615802501</v>
      </c>
      <c r="J49" t="inlineStr">
        <is>
          <t>trailing 12 calibrated months (Dec/23-Nov/24)</t>
        </is>
      </c>
      <c r="K49" t="n">
        <v>1328577.835366002</v>
      </c>
      <c r="L49" t="n">
        <v>1382535.11</v>
      </c>
      <c r="M49" t="inlineStr">
        <is>
          <t>published</t>
        </is>
      </c>
      <c r="N49" t="n">
        <v>36905</v>
      </c>
      <c r="O49" t="n">
        <v>37.462</v>
      </c>
      <c r="P49" t="n">
        <v>1.3229592914</v>
      </c>
    </row>
    <row r="50">
      <c r="A50" t="inlineStr">
        <is>
          <t>Argentina</t>
        </is>
      </c>
      <c r="B50" t="inlineStr">
        <is>
          <t>AR</t>
        </is>
      </c>
      <c r="C50" s="4" t="n">
        <v>45658</v>
      </c>
      <c r="D50" t="n">
        <v>267698.9612903225</v>
      </c>
      <c r="E50" t="n">
        <v>1830799.906774194</v>
      </c>
      <c r="F50" t="n">
        <v>6.839025067372864</v>
      </c>
      <c r="G50" t="b">
        <v>1</v>
      </c>
      <c r="I50" t="n">
        <v>6.982471737514135</v>
      </c>
      <c r="J50" t="inlineStr">
        <is>
          <t>trailing 12 calibrated months (Jan/24-Dec/24)</t>
        </is>
      </c>
      <c r="K50" t="n">
        <v>1869200.431371568</v>
      </c>
      <c r="L50" t="n">
        <v>1830799.906774194</v>
      </c>
      <c r="M50" t="inlineStr">
        <is>
          <t>published</t>
        </is>
      </c>
      <c r="N50" t="n">
        <v>36905</v>
      </c>
      <c r="O50" t="n">
        <v>49.60845161290323</v>
      </c>
      <c r="P50" t="n">
        <v>1.751907586174194</v>
      </c>
    </row>
    <row r="51">
      <c r="A51" t="inlineStr">
        <is>
          <t>Argentina</t>
        </is>
      </c>
      <c r="B51" t="inlineStr">
        <is>
          <t>AR</t>
        </is>
      </c>
      <c r="C51" s="4" t="n">
        <v>45689</v>
      </c>
      <c r="D51" t="n">
        <v>281785.0964285714</v>
      </c>
      <c r="E51" t="n">
        <v>1978371.607142857</v>
      </c>
      <c r="F51" t="n">
        <v>7.020852529879438</v>
      </c>
      <c r="G51" t="b">
        <v>1</v>
      </c>
      <c r="I51" t="n">
        <v>6.920441496791077</v>
      </c>
      <c r="J51" t="inlineStr">
        <is>
          <t>trailing 12 calibrated months (Feb/24-Jan/25)</t>
        </is>
      </c>
      <c r="K51" t="n">
        <v>1950077.274501561</v>
      </c>
      <c r="L51" t="n">
        <v>1978371.607142857</v>
      </c>
      <c r="M51" t="inlineStr">
        <is>
          <t>published</t>
        </is>
      </c>
      <c r="N51" t="n">
        <v>36905</v>
      </c>
      <c r="O51" t="n">
        <v>53.60714285714285</v>
      </c>
      <c r="P51" t="n">
        <v>1.893120167857143</v>
      </c>
    </row>
    <row r="52">
      <c r="A52" t="inlineStr">
        <is>
          <t>Argentina</t>
        </is>
      </c>
      <c r="B52" t="inlineStr">
        <is>
          <t>AR</t>
        </is>
      </c>
      <c r="C52" s="4" t="n">
        <v>45717</v>
      </c>
      <c r="D52" t="n">
        <v>223034.6870967742</v>
      </c>
      <c r="E52" t="n">
        <v>1537433.728387097</v>
      </c>
      <c r="F52" t="n">
        <v>6.893249424113156</v>
      </c>
      <c r="G52" t="b">
        <v>1</v>
      </c>
      <c r="I52" t="n">
        <v>6.916626633222705</v>
      </c>
      <c r="J52" t="inlineStr">
        <is>
          <t>trailing 12 calibrated months (Mar/24-Feb/25)</t>
        </is>
      </c>
      <c r="K52" t="n">
        <v>1542647.656906041</v>
      </c>
      <c r="L52" t="n">
        <v>1537433.728387097</v>
      </c>
      <c r="M52" t="inlineStr">
        <is>
          <t>published</t>
        </is>
      </c>
      <c r="N52" t="n">
        <v>36905</v>
      </c>
      <c r="O52" t="n">
        <v>41.65922580645161</v>
      </c>
      <c r="P52" t="n">
        <v>1.471183061587096</v>
      </c>
    </row>
    <row r="53">
      <c r="A53" t="inlineStr">
        <is>
          <t>Argentina</t>
        </is>
      </c>
      <c r="B53" t="inlineStr">
        <is>
          <t>AR</t>
        </is>
      </c>
      <c r="C53" s="4" t="n">
        <v>45748</v>
      </c>
      <c r="D53" t="n">
        <v>180195.1966666667</v>
      </c>
      <c r="E53" t="n">
        <v>1203331.811</v>
      </c>
      <c r="F53" t="n">
        <v>6.677935001930036</v>
      </c>
      <c r="G53" t="b">
        <v>1</v>
      </c>
      <c r="I53" t="n">
        <v>6.874970126629452</v>
      </c>
      <c r="J53" t="inlineStr">
        <is>
          <t>trailing 12 calibrated months (Apr/24-Mar/25)</t>
        </is>
      </c>
      <c r="K53" t="n">
        <v>1238836.594045453</v>
      </c>
      <c r="L53" t="n">
        <v>1203331.811</v>
      </c>
      <c r="M53" t="inlineStr">
        <is>
          <t>published</t>
        </is>
      </c>
      <c r="N53" t="n">
        <v>36905</v>
      </c>
      <c r="O53" t="n">
        <v>32.6062</v>
      </c>
      <c r="P53" t="n">
        <v>1.15147817114</v>
      </c>
    </row>
    <row r="54">
      <c r="A54" t="inlineStr">
        <is>
          <t>Argentina</t>
        </is>
      </c>
      <c r="B54" t="inlineStr">
        <is>
          <t>AR</t>
        </is>
      </c>
      <c r="C54" s="4" t="n">
        <v>45778</v>
      </c>
      <c r="D54" t="n">
        <v>185913.6387096774</v>
      </c>
      <c r="E54" t="n">
        <v>1182396.914032258</v>
      </c>
      <c r="F54" t="n">
        <v>6.359925620511833</v>
      </c>
      <c r="G54" t="b">
        <v>1</v>
      </c>
      <c r="I54" t="n">
        <v>6.826420090345376</v>
      </c>
      <c r="J54" t="inlineStr">
        <is>
          <t>trailing 12 calibrated months (May/24-Apr/25)</t>
        </is>
      </c>
      <c r="K54" t="n">
        <v>1269124.598356954</v>
      </c>
      <c r="L54" t="n">
        <v>1182396.914032258</v>
      </c>
      <c r="M54" t="inlineStr">
        <is>
          <t>published</t>
        </is>
      </c>
      <c r="N54" t="n">
        <v>36905</v>
      </c>
      <c r="O54" t="n">
        <v>32.03893548387097</v>
      </c>
      <c r="P54" t="n">
        <v>1.131445394932258</v>
      </c>
    </row>
    <row r="55">
      <c r="A55" t="inlineStr">
        <is>
          <t>Argentina</t>
        </is>
      </c>
      <c r="B55" t="inlineStr">
        <is>
          <t>AR</t>
        </is>
      </c>
      <c r="C55" s="4" t="n">
        <v>45809</v>
      </c>
      <c r="D55" t="n">
        <v>186416.75</v>
      </c>
      <c r="E55" t="n">
        <v>1174304.798333333</v>
      </c>
      <c r="F55" t="n">
        <v>6.299352382944844</v>
      </c>
      <c r="G55" t="b">
        <v>1</v>
      </c>
      <c r="I55" t="n">
        <v>6.846495127017279</v>
      </c>
      <c r="J55" t="inlineStr">
        <is>
          <t>trailing 12 calibrated months (Jun/24-May/25)</t>
        </is>
      </c>
      <c r="K55" t="n">
        <v>1276301.370469399</v>
      </c>
      <c r="L55" t="n">
        <v>1174304.798333333</v>
      </c>
      <c r="M55" t="inlineStr">
        <is>
          <t>published</t>
        </is>
      </c>
      <c r="N55" t="n">
        <v>36905</v>
      </c>
      <c r="O55" t="n">
        <v>31.81966666666667</v>
      </c>
      <c r="P55" t="n">
        <v>1.123701982433333</v>
      </c>
    </row>
    <row r="56">
      <c r="A56" t="inlineStr">
        <is>
          <t>Argentina</t>
        </is>
      </c>
      <c r="B56" t="inlineStr">
        <is>
          <t>AR</t>
        </is>
      </c>
      <c r="C56" s="4" t="n">
        <v>45839</v>
      </c>
      <c r="D56" t="n">
        <v>188620.5451612903</v>
      </c>
      <c r="E56" t="n">
        <v>1163136.075483871</v>
      </c>
      <c r="F56" t="n">
        <v>6.166539676201593</v>
      </c>
      <c r="G56" t="b">
        <v>1</v>
      </c>
      <c r="I56" t="n">
        <v>6.816203195080252</v>
      </c>
      <c r="J56" t="inlineStr">
        <is>
          <t>trailing 12 calibrated months (Jul/24-Jun/25)</t>
        </is>
      </c>
      <c r="K56" t="n">
        <v>1285675.962586166</v>
      </c>
      <c r="L56" t="n">
        <v>1163136.075483871</v>
      </c>
      <c r="M56" t="inlineStr">
        <is>
          <t>published</t>
        </is>
      </c>
      <c r="N56" t="n">
        <v>36905</v>
      </c>
      <c r="O56" t="n">
        <v>31.51703225806451</v>
      </c>
      <c r="P56" t="n">
        <v>1.113014539083871</v>
      </c>
    </row>
    <row r="57">
      <c r="A57" t="inlineStr">
        <is>
          <t>Argentina</t>
        </is>
      </c>
      <c r="B57" t="inlineStr">
        <is>
          <t>AR</t>
        </is>
      </c>
      <c r="C57" s="4" t="n">
        <v>45870</v>
      </c>
      <c r="D57" t="n">
        <v>196807.2677419355</v>
      </c>
      <c r="E57" t="n">
        <v>1260765.276774194</v>
      </c>
      <c r="F57" t="n">
        <v>6.406091051613899</v>
      </c>
      <c r="G57" t="b">
        <v>1</v>
      </c>
      <c r="I57" t="n">
        <v>6.810618408810027</v>
      </c>
      <c r="J57" t="inlineStr">
        <is>
          <t>trailing 12 calibrated months (Aug/24-Jul/25)</t>
        </is>
      </c>
      <c r="K57" t="n">
        <v>1340379.20067083</v>
      </c>
      <c r="L57" t="n">
        <v>1260765.276774194</v>
      </c>
      <c r="M57" t="inlineStr">
        <is>
          <t>published</t>
        </is>
      </c>
      <c r="N57" t="n">
        <v>36905</v>
      </c>
      <c r="O57" t="n">
        <v>34.16245161290323</v>
      </c>
      <c r="P57" t="n">
        <v>1.206436729974193</v>
      </c>
    </row>
    <row r="58">
      <c r="A58" t="inlineStr">
        <is>
          <t>Argentina</t>
        </is>
      </c>
      <c r="B58" t="inlineStr">
        <is>
          <t>AR</t>
        </is>
      </c>
      <c r="C58" s="4" t="n">
        <v>45901</v>
      </c>
      <c r="D58" t="n">
        <v>155486.9233333334</v>
      </c>
      <c r="E58" t="n">
        <v>978992.4668333335</v>
      </c>
      <c r="F58" t="n">
        <v>6.29630097403475</v>
      </c>
      <c r="G58" t="b">
        <v>1</v>
      </c>
      <c r="I58" t="n">
        <v>6.825334718987123</v>
      </c>
      <c r="J58" t="inlineStr">
        <is>
          <t>trailing 12 calibrated months (Sep/24-Aug/25)</t>
        </is>
      </c>
      <c r="K58" t="n">
        <v>1061250.296175489</v>
      </c>
      <c r="L58" t="n">
        <v>978992.4668333335</v>
      </c>
      <c r="M58" t="inlineStr">
        <is>
          <t>published</t>
        </is>
      </c>
      <c r="N58" t="n">
        <v>36905</v>
      </c>
      <c r="O58" t="n">
        <v>26.52736666666667</v>
      </c>
      <c r="P58" t="n">
        <v>0.9368059956233333</v>
      </c>
    </row>
    <row r="59">
      <c r="A59" t="inlineStr">
        <is>
          <t>Argentina</t>
        </is>
      </c>
      <c r="B59" t="inlineStr">
        <is>
          <t>AR</t>
        </is>
      </c>
      <c r="C59" s="4" t="n">
        <v>45931</v>
      </c>
      <c r="D59" t="n">
        <v>140821.5161290323</v>
      </c>
      <c r="E59" t="n">
        <v>1003168.376774193</v>
      </c>
      <c r="F59" t="n">
        <v>7.123686808307106</v>
      </c>
      <c r="G59" t="b">
        <v>1</v>
      </c>
      <c r="I59" t="n">
        <v>6.817144756932635</v>
      </c>
      <c r="J59" t="inlineStr">
        <is>
          <t>trailing 12 calibrated months (Oct/24-Sep/25)</t>
        </is>
      </c>
      <c r="K59" t="n">
        <v>960000.6603423367</v>
      </c>
      <c r="L59" t="n">
        <v>1003168.376774193</v>
      </c>
      <c r="M59" t="inlineStr">
        <is>
          <t>published</t>
        </is>
      </c>
      <c r="N59" t="n">
        <v>36905</v>
      </c>
      <c r="O59" t="n">
        <v>27.18245161290323</v>
      </c>
      <c r="P59" t="n">
        <v>0.9599401239741935</v>
      </c>
    </row>
    <row r="60">
      <c r="A60" t="inlineStr">
        <is>
          <t>Argentina</t>
        </is>
      </c>
      <c r="B60" t="inlineStr">
        <is>
          <t>AR</t>
        </is>
      </c>
      <c r="C60" s="4" t="n">
        <v>45962</v>
      </c>
      <c r="D60" t="n">
        <v>168460.98</v>
      </c>
      <c r="E60" t="n">
        <v>1203103</v>
      </c>
      <c r="F60" t="n">
        <v>7.141730981263437</v>
      </c>
      <c r="G60" t="b">
        <v>1</v>
      </c>
      <c r="I60" t="n">
        <v>6.769422637233185</v>
      </c>
      <c r="J60" t="inlineStr">
        <is>
          <t>trailing 12 calibrated months (Nov/24-Oct/25)</t>
        </is>
      </c>
      <c r="K60" t="n">
        <v>1140383.571502487</v>
      </c>
      <c r="L60" t="n">
        <v>1203103</v>
      </c>
      <c r="M60" t="inlineStr">
        <is>
          <t>published</t>
        </is>
      </c>
      <c r="N60" t="n">
        <v>36905</v>
      </c>
      <c r="O60" t="n">
        <v>32.6</v>
      </c>
      <c r="P60" t="n">
        <v>1.15125922</v>
      </c>
    </row>
    <row r="61">
      <c r="A61" t="inlineStr">
        <is>
          <t>Argentina</t>
        </is>
      </c>
      <c r="B61" t="inlineStr">
        <is>
          <t>AR</t>
        </is>
      </c>
      <c r="C61" s="4" t="n">
        <v>45992</v>
      </c>
      <c r="D61" t="n">
        <v>242092.7580645162</v>
      </c>
      <c r="E61" t="n">
        <v>1706080.054516129</v>
      </c>
      <c r="F61" t="n">
        <v>7.047216398193413</v>
      </c>
      <c r="G61" t="b">
        <v>1</v>
      </c>
      <c r="I61" t="n">
        <v>6.72890086553458</v>
      </c>
      <c r="J61" t="inlineStr">
        <is>
          <t>trailing 12 calibrated months (Dec/24-Nov/25)</t>
        </is>
      </c>
      <c r="K61" t="n">
        <v>1629018.169279977</v>
      </c>
      <c r="L61" t="n">
        <v>1706080.054516129</v>
      </c>
      <c r="M61" t="inlineStr">
        <is>
          <t>published</t>
        </is>
      </c>
      <c r="N61" t="n">
        <v>36905</v>
      </c>
      <c r="O61" t="n">
        <v>46.22896774193548</v>
      </c>
      <c r="P61" t="n">
        <v>1.632562127116129</v>
      </c>
    </row>
    <row r="62">
      <c r="A62" t="inlineStr">
        <is>
          <t>Argentina</t>
        </is>
      </c>
      <c r="B62" t="inlineStr">
        <is>
          <t>AR</t>
        </is>
      </c>
      <c r="C62" s="4" t="n">
        <v>46023</v>
      </c>
      <c r="D62" t="n">
        <v>249700.2193548387</v>
      </c>
      <c r="E62" t="n">
        <v>1792492.516774194</v>
      </c>
      <c r="F62" t="n">
        <v>7.17857806214802</v>
      </c>
      <c r="G62" t="b">
        <v>1</v>
      </c>
      <c r="I62" t="n">
        <v>6.710649775524897</v>
      </c>
      <c r="J62" t="inlineStr">
        <is>
          <t>trailing 12 calibrated months (Jan/25-Dec/25)</t>
        </is>
      </c>
      <c r="K62" t="n">
        <v>1675650.720962066</v>
      </c>
      <c r="L62" t="n">
        <v>1792492.516774194</v>
      </c>
      <c r="M62" t="inlineStr">
        <is>
          <t>published</t>
        </is>
      </c>
      <c r="N62" t="n">
        <v>36905</v>
      </c>
      <c r="O62" t="n">
        <v>48.57045161290323</v>
      </c>
      <c r="P62" t="n">
        <v>1.715250927574193</v>
      </c>
    </row>
    <row r="63">
      <c r="A63" t="inlineStr">
        <is>
          <t>Argentina</t>
        </is>
      </c>
      <c r="B63" t="inlineStr">
        <is>
          <t>AR</t>
        </is>
      </c>
      <c r="C63" s="4" t="n">
        <v>46054</v>
      </c>
      <c r="D63" t="n">
        <v>266022.3321428571</v>
      </c>
      <c r="E63" t="n">
        <v>1825244.853928571</v>
      </c>
      <c r="F63" t="n">
        <v>6.861246720250516</v>
      </c>
      <c r="G63" t="b">
        <v>1</v>
      </c>
      <c r="I63" t="n">
        <v>6.74502423496347</v>
      </c>
      <c r="J63" t="inlineStr">
        <is>
          <t>trailing 12 calibrated months (Feb/25-Jan/26)</t>
        </is>
      </c>
      <c r="K63" t="n">
        <v>1794327.077345073</v>
      </c>
      <c r="L63" t="n">
        <v>1825244.853928571</v>
      </c>
      <c r="M63" t="inlineStr">
        <is>
          <t>published</t>
        </is>
      </c>
      <c r="N63" t="n">
        <v>36905</v>
      </c>
      <c r="O63" t="n">
        <v>49.45792857142857</v>
      </c>
      <c r="P63" t="n">
        <v>1.746591910121428</v>
      </c>
    </row>
    <row r="64">
      <c r="A64" t="inlineStr">
        <is>
          <t>Argentina</t>
        </is>
      </c>
      <c r="B64" t="inlineStr">
        <is>
          <t>AR</t>
        </is>
      </c>
      <c r="C64" s="4" t="n">
        <v>46082</v>
      </c>
      <c r="D64" t="n">
        <v>239969.0548387096</v>
      </c>
      <c r="E64" t="n">
        <v>1680235.84016129</v>
      </c>
      <c r="F64" t="n">
        <v>7.001885477653054</v>
      </c>
      <c r="G64" t="b">
        <v>1</v>
      </c>
      <c r="I64" t="n">
        <v>6.725387106273994</v>
      </c>
      <c r="J64" t="inlineStr">
        <is>
          <t>trailing 12 calibrated months (Mar/25-Feb/26)</t>
        </is>
      </c>
      <c r="K64" t="n">
        <v>1613884.787317015</v>
      </c>
      <c r="L64" t="n">
        <v>1680235.84016129</v>
      </c>
      <c r="M64" t="inlineStr">
        <is>
          <t>published</t>
        </is>
      </c>
      <c r="N64" t="n">
        <v>36905</v>
      </c>
      <c r="O64" t="n">
        <v>45.52867741935484</v>
      </c>
      <c r="P64" t="n">
        <v>1.60783158446129</v>
      </c>
    </row>
    <row r="65">
      <c r="A65" t="inlineStr">
        <is>
          <t>Argentina</t>
        </is>
      </c>
      <c r="B65" t="inlineStr">
        <is>
          <t>AR</t>
        </is>
      </c>
      <c r="C65" s="4" t="n">
        <v>46113</v>
      </c>
      <c r="D65" t="n">
        <v>201711.9933333333</v>
      </c>
      <c r="E65" t="n">
        <v>1368155.691833333</v>
      </c>
      <c r="F65" t="n">
        <v>6.782718613922113</v>
      </c>
      <c r="G65" t="b">
        <v>1</v>
      </c>
      <c r="I65" t="n">
        <v>6.737431199924183</v>
      </c>
      <c r="J65" t="inlineStr">
        <is>
          <t>trailing 12 calibrated months (Apr/25-Mar/26)</t>
        </is>
      </c>
      <c r="K65" t="n">
        <v>1359020.677282899</v>
      </c>
      <c r="L65" t="n">
        <v>1368155.691833333</v>
      </c>
      <c r="M65" t="inlineStr">
        <is>
          <t>published</t>
        </is>
      </c>
      <c r="N65" t="n">
        <v>36905</v>
      </c>
      <c r="O65" t="n">
        <v>37.07236666666667</v>
      </c>
      <c r="P65" t="n">
        <v>1.309199507123333</v>
      </c>
    </row>
    <row r="66">
      <c r="A66" t="inlineStr">
        <is>
          <t>Argentina</t>
        </is>
      </c>
      <c r="B66" t="inlineStr">
        <is>
          <t>AR</t>
        </is>
      </c>
      <c r="C66" s="4" t="n">
        <v>46143</v>
      </c>
      <c r="D66" t="n">
        <v>175467.1096774194</v>
      </c>
      <c r="E66" t="n">
        <v>1191391.019677419</v>
      </c>
      <c r="F66" t="n">
        <v>6.789825294710132</v>
      </c>
      <c r="G66" t="b">
        <v>1</v>
      </c>
      <c r="I66" t="n">
        <v>6.745629278813009</v>
      </c>
      <c r="J66" t="inlineStr">
        <is>
          <t>trailing 12 calibrated months (May/25-Apr/26)</t>
        </is>
      </c>
      <c r="K66" t="n">
        <v>1183636.072508694</v>
      </c>
      <c r="L66" t="n">
        <v>1191391.019677419</v>
      </c>
      <c r="M66" t="inlineStr">
        <is>
          <t>published</t>
        </is>
      </c>
      <c r="N66" t="n">
        <v>36905</v>
      </c>
      <c r="O66" t="n">
        <v>32.28264516129032</v>
      </c>
      <c r="P66" t="n">
        <v>1.140051929077419</v>
      </c>
    </row>
    <row r="67">
      <c r="A67" t="inlineStr">
        <is>
          <t>Argentina</t>
        </is>
      </c>
      <c r="B67" t="inlineStr">
        <is>
          <t>AR</t>
        </is>
      </c>
      <c r="C67" s="4" t="n">
        <v>46174</v>
      </c>
      <c r="D67" t="n">
        <v>206558.2566666667</v>
      </c>
      <c r="E67" t="n">
        <v>1327534.358333333</v>
      </c>
      <c r="F67" t="n">
        <v>6.426924683410945</v>
      </c>
      <c r="G67" t="b">
        <v>1</v>
      </c>
      <c r="I67" t="n">
        <v>6.778579710388187</v>
      </c>
      <c r="J67" t="inlineStr">
        <is>
          <t>trailing 12 calibrated months (Jun/25-May/26)</t>
        </is>
      </c>
      <c r="K67" t="n">
        <v>1400171.607653822</v>
      </c>
      <c r="L67" t="n">
        <v>1327534.358333333</v>
      </c>
      <c r="M67" t="inlineStr">
        <is>
          <t>published</t>
        </is>
      </c>
      <c r="N67" t="n">
        <v>36905</v>
      </c>
      <c r="O67" t="n">
        <v>35.97166666666667</v>
      </c>
      <c r="P67" t="n">
        <v>1.270328616833333</v>
      </c>
    </row>
    <row r="68">
      <c r="A68" t="inlineStr">
        <is>
          <t>Argentina</t>
        </is>
      </c>
      <c r="B68" t="inlineStr">
        <is>
          <t>AR</t>
        </is>
      </c>
      <c r="C68" s="4" t="n">
        <v>46204</v>
      </c>
      <c r="D68" t="n">
        <v>191571.2193548387</v>
      </c>
      <c r="G68" t="b">
        <v>0</v>
      </c>
      <c r="I68" t="n">
        <v>6.785446766932051</v>
      </c>
      <c r="J68" t="inlineStr">
        <is>
          <t>trailing 12 calibrated months (Jul/25-Jun/26)</t>
        </is>
      </c>
      <c r="K68" t="n">
        <v>1299896.311008521</v>
      </c>
      <c r="L68" t="n">
        <v>1299896.311008521</v>
      </c>
      <c r="M68" t="inlineStr">
        <is>
          <t>estimated</t>
        </is>
      </c>
      <c r="N68" t="n">
        <v>36905</v>
      </c>
      <c r="O68" t="n">
        <v>35.22276957074979</v>
      </c>
      <c r="P68" t="n">
        <v>1.243881540560158</v>
      </c>
    </row>
    <row r="69">
      <c r="A69" t="inlineStr">
        <is>
          <t>Argentina</t>
        </is>
      </c>
      <c r="B69" t="inlineStr">
        <is>
          <t>AR</t>
        </is>
      </c>
      <c r="C69" s="4" t="n">
        <v>46235</v>
      </c>
      <c r="D69" t="n">
        <v>163314.1580645161</v>
      </c>
      <c r="G69" t="b">
        <v>0</v>
      </c>
      <c r="I69" t="n">
        <v>6.785446766932051</v>
      </c>
      <c r="J69" t="inlineStr">
        <is>
          <t>trailing 12 calibrated months (Jul/25-Jun/26)</t>
        </is>
      </c>
      <c r="K69" t="n">
        <v>1108159.525833101</v>
      </c>
      <c r="L69" t="n">
        <v>1108159.525833101</v>
      </c>
      <c r="M69" t="inlineStr">
        <is>
          <t>estimated</t>
        </is>
      </c>
      <c r="N69" t="n">
        <v>36905</v>
      </c>
      <c r="O69" t="n">
        <v>30.02735471706005</v>
      </c>
      <c r="P69" t="n">
        <v>1.06040702362656</v>
      </c>
    </row>
    <row r="70">
      <c r="A70" t="inlineStr">
        <is>
          <t>Argentina</t>
        </is>
      </c>
      <c r="B70" t="inlineStr">
        <is>
          <t>AR</t>
        </is>
      </c>
      <c r="C70" s="4" t="n">
        <v>46266</v>
      </c>
      <c r="D70" t="n">
        <v>137723.8866666667</v>
      </c>
      <c r="G70" t="b">
        <v>0</v>
      </c>
      <c r="I70" t="n">
        <v>6.785446766932051</v>
      </c>
      <c r="J70" t="inlineStr">
        <is>
          <t>trailing 12 calibrated months (Jul/25-Jun/26)</t>
        </is>
      </c>
      <c r="K70" t="n">
        <v>934518.1015116494</v>
      </c>
      <c r="L70" t="n">
        <v>934518.1015116494</v>
      </c>
      <c r="M70" t="inlineStr">
        <is>
          <t>estimated</t>
        </is>
      </c>
      <c r="N70" t="n">
        <v>36905</v>
      </c>
      <c r="O70" t="n">
        <v>25.32226260700852</v>
      </c>
      <c r="P70" t="n">
        <v>0.8942481072877237</v>
      </c>
    </row>
    <row r="71">
      <c r="A71" t="inlineStr">
        <is>
          <t>Argentina</t>
        </is>
      </c>
      <c r="B71" t="inlineStr">
        <is>
          <t>AR</t>
        </is>
      </c>
      <c r="C71" s="4" t="n">
        <v>46296</v>
      </c>
      <c r="D71" t="n">
        <v>127089.3115384615</v>
      </c>
      <c r="G71" t="b">
        <v>0</v>
      </c>
      <c r="I71" t="n">
        <v>6.785446766932051</v>
      </c>
      <c r="J71" t="inlineStr">
        <is>
          <t>trailing 12 calibrated months (Jul/25-Jun/26)</t>
        </is>
      </c>
      <c r="K71" t="n">
        <v>862357.7580902739</v>
      </c>
      <c r="L71" t="n">
        <v>862357.7580902739</v>
      </c>
      <c r="M71" t="inlineStr">
        <is>
          <t>estimated</t>
        </is>
      </c>
      <c r="N71" t="n">
        <v>36905</v>
      </c>
      <c r="O71" t="n">
        <v>23.36696269042877</v>
      </c>
      <c r="P71" t="n">
        <v>0.825197277323685</v>
      </c>
    </row>
    <row r="72">
      <c r="A72" t="inlineStr">
        <is>
          <t>Brazil</t>
        </is>
      </c>
      <c r="B72" t="inlineStr">
        <is>
          <t>BR</t>
        </is>
      </c>
      <c r="C72" s="4" t="n">
        <v>44197</v>
      </c>
      <c r="D72" t="n">
        <v>189346.7903225806</v>
      </c>
      <c r="E72" t="n">
        <v>1606036.872760209</v>
      </c>
      <c r="F72" t="n">
        <v>8.481986254026722</v>
      </c>
      <c r="G72" t="b">
        <v>1</v>
      </c>
      <c r="I72" t="n">
        <v>8.268530986021826</v>
      </c>
      <c r="J72" t="inlineStr">
        <is>
          <t>first 12 calibrated months (Jan/21-Dec/21)</t>
        </is>
      </c>
      <c r="K72" t="n">
        <v>1565619.802886036</v>
      </c>
      <c r="L72" t="n">
        <v>1606036.872760209</v>
      </c>
      <c r="M72" t="inlineStr">
        <is>
          <t>published</t>
        </is>
      </c>
      <c r="N72" t="n">
        <v>36374</v>
      </c>
      <c r="O72" t="n">
        <v>44.15343027327786</v>
      </c>
      <c r="P72" t="n">
        <v>1.559265144071726</v>
      </c>
    </row>
    <row r="73">
      <c r="A73" t="inlineStr">
        <is>
          <t>Brazil</t>
        </is>
      </c>
      <c r="B73" t="inlineStr">
        <is>
          <t>BR</t>
        </is>
      </c>
      <c r="C73" s="4" t="n">
        <v>44228</v>
      </c>
      <c r="D73" t="n">
        <v>137047.6535714286</v>
      </c>
      <c r="E73" t="n">
        <v>1142652.417581725</v>
      </c>
      <c r="F73" t="n">
        <v>8.337628465752465</v>
      </c>
      <c r="G73" t="b">
        <v>1</v>
      </c>
      <c r="I73" t="n">
        <v>8.268530986021826</v>
      </c>
      <c r="J73" t="inlineStr">
        <is>
          <t>first 12 calibrated months (Jan/21-Dec/21)</t>
        </is>
      </c>
      <c r="K73" t="n">
        <v>1133182.770116942</v>
      </c>
      <c r="L73" t="n">
        <v>1142652.417581725</v>
      </c>
      <c r="M73" t="inlineStr">
        <is>
          <t>published</t>
        </is>
      </c>
      <c r="N73" t="n">
        <v>36374</v>
      </c>
      <c r="O73" t="n">
        <v>31.41398849677586</v>
      </c>
      <c r="P73" t="n">
        <v>1.10937557956709</v>
      </c>
    </row>
    <row r="74">
      <c r="A74" t="inlineStr">
        <is>
          <t>Brazil</t>
        </is>
      </c>
      <c r="B74" t="inlineStr">
        <is>
          <t>BR</t>
        </is>
      </c>
      <c r="C74" s="4" t="n">
        <v>44256</v>
      </c>
      <c r="D74" t="n">
        <v>139097.8677419355</v>
      </c>
      <c r="E74" t="n">
        <v>1175055.385318373</v>
      </c>
      <c r="F74" t="n">
        <v>8.447687979649134</v>
      </c>
      <c r="G74" t="b">
        <v>1</v>
      </c>
      <c r="I74" t="n">
        <v>8.268530986021826</v>
      </c>
      <c r="J74" t="inlineStr">
        <is>
          <t>first 12 calibrated months (Jan/21-Dec/21)</t>
        </is>
      </c>
      <c r="K74" t="n">
        <v>1150135.029513759</v>
      </c>
      <c r="L74" t="n">
        <v>1175055.385318373</v>
      </c>
      <c r="M74" t="inlineStr">
        <is>
          <t>published</t>
        </is>
      </c>
      <c r="N74" t="n">
        <v>36374</v>
      </c>
      <c r="O74" t="n">
        <v>32.30481622363153</v>
      </c>
      <c r="P74" t="n">
        <v>1.14083489349268</v>
      </c>
    </row>
    <row r="75">
      <c r="A75" t="inlineStr">
        <is>
          <t>Brazil</t>
        </is>
      </c>
      <c r="B75" t="inlineStr">
        <is>
          <t>BR</t>
        </is>
      </c>
      <c r="C75" s="4" t="n">
        <v>44287</v>
      </c>
      <c r="D75" t="n">
        <v>139789.98</v>
      </c>
      <c r="E75" t="n">
        <v>1181702.939711229</v>
      </c>
      <c r="F75" t="n">
        <v>8.453416616206891</v>
      </c>
      <c r="G75" t="b">
        <v>1</v>
      </c>
      <c r="I75" t="n">
        <v>8.268530986021826</v>
      </c>
      <c r="J75" t="inlineStr">
        <is>
          <t>first 12 calibrated months (Jan/21-Dec/21)</t>
        </is>
      </c>
      <c r="K75" t="n">
        <v>1155857.781165371</v>
      </c>
      <c r="L75" t="n">
        <v>1181702.939711229</v>
      </c>
      <c r="M75" t="inlineStr">
        <is>
          <t>published</t>
        </is>
      </c>
      <c r="N75" t="n">
        <v>36374</v>
      </c>
      <c r="O75" t="n">
        <v>32.48757188407183</v>
      </c>
      <c r="P75" t="n">
        <v>1.147288854814432</v>
      </c>
    </row>
    <row r="76">
      <c r="A76" t="inlineStr">
        <is>
          <t>Brazil</t>
        </is>
      </c>
      <c r="B76" t="inlineStr">
        <is>
          <t>BR</t>
        </is>
      </c>
      <c r="C76" s="4" t="n">
        <v>44317</v>
      </c>
      <c r="D76" t="n">
        <v>139797.4322580645</v>
      </c>
      <c r="E76" t="n">
        <v>1172334.02</v>
      </c>
      <c r="F76" t="n">
        <v>8.385948161307313</v>
      </c>
      <c r="G76" t="b">
        <v>1</v>
      </c>
      <c r="I76" t="n">
        <v>8.268530986021826</v>
      </c>
      <c r="J76" t="inlineStr">
        <is>
          <t>first 12 calibrated months (Jan/21-Dec/21)</t>
        </is>
      </c>
      <c r="K76" t="n">
        <v>1155919.400392094</v>
      </c>
      <c r="L76" t="n">
        <v>1172334.02</v>
      </c>
      <c r="M76" t="inlineStr">
        <is>
          <t>published</t>
        </is>
      </c>
      <c r="N76" t="n">
        <v>36374</v>
      </c>
      <c r="O76" t="n">
        <v>32.23</v>
      </c>
      <c r="P76" t="n">
        <v>1.138192781</v>
      </c>
    </row>
    <row r="77">
      <c r="A77" t="inlineStr">
        <is>
          <t>Brazil</t>
        </is>
      </c>
      <c r="B77" t="inlineStr">
        <is>
          <t>BR</t>
        </is>
      </c>
      <c r="C77" s="4" t="n">
        <v>44348</v>
      </c>
      <c r="D77" t="n">
        <v>190627.1866666666</v>
      </c>
      <c r="E77" t="n">
        <v>1630282.68</v>
      </c>
      <c r="F77" t="n">
        <v>8.552204480941823</v>
      </c>
      <c r="G77" t="b">
        <v>1</v>
      </c>
      <c r="I77" t="n">
        <v>8.268530986021826</v>
      </c>
      <c r="J77" t="inlineStr">
        <is>
          <t>first 12 calibrated months (Jan/21-Dec/21)</t>
        </is>
      </c>
      <c r="K77" t="n">
        <v>1576206.7997315</v>
      </c>
      <c r="L77" t="n">
        <v>1630282.68</v>
      </c>
      <c r="M77" t="inlineStr">
        <is>
          <t>published</t>
        </is>
      </c>
      <c r="N77" t="n">
        <v>36374</v>
      </c>
      <c r="O77" t="n">
        <v>44.82</v>
      </c>
      <c r="P77" t="n">
        <v>1.582804854</v>
      </c>
    </row>
    <row r="78">
      <c r="A78" t="inlineStr">
        <is>
          <t>Brazil</t>
        </is>
      </c>
      <c r="B78" t="inlineStr">
        <is>
          <t>BR</t>
        </is>
      </c>
      <c r="C78" s="4" t="n">
        <v>44378</v>
      </c>
      <c r="D78" t="n">
        <v>218981.4387096774</v>
      </c>
      <c r="E78" t="n">
        <v>1845616.76</v>
      </c>
      <c r="F78" t="n">
        <v>8.428188118934106</v>
      </c>
      <c r="G78" t="b">
        <v>1</v>
      </c>
      <c r="I78" t="n">
        <v>8.45143305678166</v>
      </c>
      <c r="J78" t="inlineStr">
        <is>
          <t>trailing 6 calibrated months (Jan/21-Jun/21)</t>
        </is>
      </c>
      <c r="K78" t="n">
        <v>1850706.969932575</v>
      </c>
      <c r="L78" t="n">
        <v>1845616.76</v>
      </c>
      <c r="M78" t="inlineStr">
        <is>
          <t>published</t>
        </is>
      </c>
      <c r="N78" t="n">
        <v>36374</v>
      </c>
      <c r="O78" t="n">
        <v>50.74</v>
      </c>
      <c r="P78" t="n">
        <v>1.791867878</v>
      </c>
    </row>
    <row r="79">
      <c r="A79" t="inlineStr">
        <is>
          <t>Brazil</t>
        </is>
      </c>
      <c r="B79" t="inlineStr">
        <is>
          <t>BR</t>
        </is>
      </c>
      <c r="C79" s="4" t="n">
        <v>44409</v>
      </c>
      <c r="D79" t="n">
        <v>221691.9225806451</v>
      </c>
      <c r="E79" t="n">
        <v>1848417.595509627</v>
      </c>
      <c r="F79" t="n">
        <v>8.337776018146199</v>
      </c>
      <c r="G79" t="b">
        <v>1</v>
      </c>
      <c r="I79" t="n">
        <v>8.44702475913512</v>
      </c>
      <c r="J79" t="inlineStr">
        <is>
          <t>trailing 7 calibrated months (Jan/21-Jul/21)</t>
        </is>
      </c>
      <c r="K79" t="n">
        <v>1872637.158938976</v>
      </c>
      <c r="L79" t="n">
        <v>1848417.595509627</v>
      </c>
      <c r="M79" t="inlineStr">
        <is>
          <t>published</t>
        </is>
      </c>
      <c r="N79" t="n">
        <v>36374</v>
      </c>
      <c r="O79" t="n">
        <v>50.81700103122083</v>
      </c>
      <c r="P79" t="n">
        <v>1.794587146317254</v>
      </c>
    </row>
    <row r="80">
      <c r="A80" t="inlineStr">
        <is>
          <t>Brazil</t>
        </is>
      </c>
      <c r="B80" t="inlineStr">
        <is>
          <t>BR</t>
        </is>
      </c>
      <c r="C80" s="4" t="n">
        <v>44440</v>
      </c>
      <c r="D80" t="n">
        <v>218083.1233333333</v>
      </c>
      <c r="E80" t="n">
        <v>1750316.88</v>
      </c>
      <c r="F80" t="n">
        <v>8.025916234355716</v>
      </c>
      <c r="G80" t="b">
        <v>1</v>
      </c>
      <c r="I80" t="n">
        <v>8.429428195216939</v>
      </c>
      <c r="J80" t="inlineStr">
        <is>
          <t>trailing 8 calibrated months (Jan/21-Aug/21)</t>
        </is>
      </c>
      <c r="K80" t="n">
        <v>1838316.028726973</v>
      </c>
      <c r="L80" t="n">
        <v>1750316.88</v>
      </c>
      <c r="M80" t="inlineStr">
        <is>
          <t>published</t>
        </is>
      </c>
      <c r="N80" t="n">
        <v>36374</v>
      </c>
      <c r="O80" t="n">
        <v>48.12</v>
      </c>
      <c r="P80" t="n">
        <v>1.699343364</v>
      </c>
    </row>
    <row r="81">
      <c r="A81" t="inlineStr">
        <is>
          <t>Brazil</t>
        </is>
      </c>
      <c r="B81" t="inlineStr">
        <is>
          <t>BR</t>
        </is>
      </c>
      <c r="C81" s="4" t="n">
        <v>44470</v>
      </c>
      <c r="D81" t="n">
        <v>246554.5064516129</v>
      </c>
      <c r="E81" t="n">
        <v>1968815.498</v>
      </c>
      <c r="F81" t="n">
        <v>7.985315402808858</v>
      </c>
      <c r="G81" t="b">
        <v>1</v>
      </c>
      <c r="I81" t="n">
        <v>8.374237747450781</v>
      </c>
      <c r="J81" t="inlineStr">
        <is>
          <t>trailing 9 calibrated months (Jan/21-Sep/21)</t>
        </is>
      </c>
      <c r="K81" t="n">
        <v>2064706.054731194</v>
      </c>
      <c r="L81" t="n">
        <v>1968815.498</v>
      </c>
      <c r="M81" t="inlineStr">
        <is>
          <t>published</t>
        </is>
      </c>
      <c r="N81" t="n">
        <v>36374</v>
      </c>
      <c r="O81" t="n">
        <v>54.127</v>
      </c>
      <c r="P81" t="n">
        <v>1.9114787669</v>
      </c>
    </row>
    <row r="82">
      <c r="A82" t="inlineStr">
        <is>
          <t>Brazil</t>
        </is>
      </c>
      <c r="B82" t="inlineStr">
        <is>
          <t>BR</t>
        </is>
      </c>
      <c r="C82" s="4" t="n">
        <v>44501</v>
      </c>
      <c r="D82" t="n">
        <v>230946.41</v>
      </c>
      <c r="E82" t="n">
        <v>1858638.652</v>
      </c>
      <c r="F82" t="n">
        <v>8.047921818745744</v>
      </c>
      <c r="G82" t="b">
        <v>1</v>
      </c>
      <c r="I82" t="n">
        <v>8.322152128595047</v>
      </c>
      <c r="J82" t="inlineStr">
        <is>
          <t>trailing 10 calibrated months (Jan/21-Oct/21)</t>
        </is>
      </c>
      <c r="K82" t="n">
        <v>1921971.157572884</v>
      </c>
      <c r="L82" t="n">
        <v>1858638.652</v>
      </c>
      <c r="M82" t="inlineStr">
        <is>
          <t>published</t>
        </is>
      </c>
      <c r="N82" t="n">
        <v>36374</v>
      </c>
      <c r="O82" t="n">
        <v>51.098</v>
      </c>
      <c r="P82" t="n">
        <v>1.8045105406</v>
      </c>
    </row>
    <row r="83">
      <c r="A83" t="inlineStr">
        <is>
          <t>Brazil</t>
        </is>
      </c>
      <c r="B83" t="inlineStr">
        <is>
          <t>BR</t>
        </is>
      </c>
      <c r="C83" s="4" t="n">
        <v>44531</v>
      </c>
      <c r="D83" t="n">
        <v>188999.1935483871</v>
      </c>
      <c r="E83" t="n">
        <v>1514977.1</v>
      </c>
      <c r="F83" t="n">
        <v>8.015786054728004</v>
      </c>
      <c r="G83" t="b">
        <v>1</v>
      </c>
      <c r="I83" t="n">
        <v>8.291585721047765</v>
      </c>
      <c r="J83" t="inlineStr">
        <is>
          <t>trailing 11 calibrated months (Jan/21-Nov/21)</t>
        </is>
      </c>
      <c r="K83" t="n">
        <v>1567103.014515349</v>
      </c>
      <c r="L83" t="n">
        <v>1514977.1</v>
      </c>
      <c r="M83" t="inlineStr">
        <is>
          <t>published</t>
        </is>
      </c>
      <c r="N83" t="n">
        <v>36374</v>
      </c>
      <c r="O83" t="n">
        <v>41.65</v>
      </c>
      <c r="P83" t="n">
        <v>1.470857255</v>
      </c>
    </row>
    <row r="84">
      <c r="A84" t="inlineStr">
        <is>
          <t>Brazil</t>
        </is>
      </c>
      <c r="B84" t="inlineStr">
        <is>
          <t>BR</t>
        </is>
      </c>
      <c r="C84" s="4" t="n">
        <v>44562</v>
      </c>
      <c r="D84" t="n">
        <v>155760.1387096774</v>
      </c>
      <c r="E84" t="n">
        <v>1254539.26</v>
      </c>
      <c r="F84" t="n">
        <v>8.054302406203847</v>
      </c>
      <c r="G84" t="b">
        <v>1</v>
      </c>
      <c r="I84" t="n">
        <v>8.268530986021826</v>
      </c>
      <c r="J84" t="inlineStr">
        <is>
          <t>trailing 12 calibrated months (Jan/21-Dec/21)</t>
        </is>
      </c>
      <c r="K84" t="n">
        <v>1287907.533308026</v>
      </c>
      <c r="L84" t="n">
        <v>1254539.26</v>
      </c>
      <c r="M84" t="inlineStr">
        <is>
          <t>published</t>
        </is>
      </c>
      <c r="N84" t="n">
        <v>36374</v>
      </c>
      <c r="O84" t="n">
        <v>34.49</v>
      </c>
      <c r="P84" t="n">
        <v>1.218004003</v>
      </c>
    </row>
    <row r="85">
      <c r="A85" t="inlineStr">
        <is>
          <t>Brazil</t>
        </is>
      </c>
      <c r="B85" t="inlineStr">
        <is>
          <t>BR</t>
        </is>
      </c>
      <c r="C85" s="4" t="n">
        <v>44593</v>
      </c>
      <c r="D85" t="n">
        <v>103769.7571428571</v>
      </c>
      <c r="E85" t="n">
        <v>862427.54</v>
      </c>
      <c r="F85" t="n">
        <v>8.310971941591021</v>
      </c>
      <c r="G85" t="b">
        <v>1</v>
      </c>
      <c r="I85" t="n">
        <v>8.235404421442558</v>
      </c>
      <c r="J85" t="inlineStr">
        <is>
          <t>trailing 12 calibrated months (Feb/21-Jan/22)</t>
        </is>
      </c>
      <c r="K85" t="n">
        <v>854585.9167863062</v>
      </c>
      <c r="L85" t="n">
        <v>862427.54</v>
      </c>
      <c r="M85" t="inlineStr">
        <is>
          <t>published</t>
        </is>
      </c>
      <c r="N85" t="n">
        <v>36374</v>
      </c>
      <c r="O85" t="n">
        <v>23.71</v>
      </c>
      <c r="P85" t="n">
        <v>0.8373115369999999</v>
      </c>
    </row>
    <row r="86">
      <c r="A86" t="inlineStr">
        <is>
          <t>Brazil</t>
        </is>
      </c>
      <c r="B86" t="inlineStr">
        <is>
          <t>BR</t>
        </is>
      </c>
      <c r="C86" s="4" t="n">
        <v>44621</v>
      </c>
      <c r="D86" t="n">
        <v>72455.89032258064</v>
      </c>
      <c r="E86" t="n">
        <v>617266.7799999999</v>
      </c>
      <c r="F86" t="n">
        <v>8.519207717300393</v>
      </c>
      <c r="G86" t="b">
        <v>1</v>
      </c>
      <c r="I86" t="n">
        <v>8.2325932710259</v>
      </c>
      <c r="J86" t="inlineStr">
        <is>
          <t>trailing 12 calibrated months (Mar/21-Feb/22)</t>
        </is>
      </c>
      <c r="K86" t="n">
        <v>596499.8751158681</v>
      </c>
      <c r="L86" t="n">
        <v>617266.7799999999</v>
      </c>
      <c r="M86" t="inlineStr">
        <is>
          <t>published</t>
        </is>
      </c>
      <c r="N86" t="n">
        <v>36374</v>
      </c>
      <c r="O86" t="n">
        <v>16.97</v>
      </c>
      <c r="P86" t="n">
        <v>0.5992904589999999</v>
      </c>
    </row>
    <row r="87">
      <c r="A87" t="inlineStr">
        <is>
          <t>Brazil</t>
        </is>
      </c>
      <c r="B87" t="inlineStr">
        <is>
          <t>BR</t>
        </is>
      </c>
      <c r="C87" s="4" t="n">
        <v>44652</v>
      </c>
      <c r="D87" t="n">
        <v>38809.18333333334</v>
      </c>
      <c r="E87" t="n">
        <v>349917.8799999999</v>
      </c>
      <c r="F87" t="n">
        <v>9.016368033167405</v>
      </c>
      <c r="G87" t="b">
        <v>1</v>
      </c>
      <c r="I87" t="n">
        <v>8.228291275481377</v>
      </c>
      <c r="J87" t="inlineStr">
        <is>
          <t>trailing 12 calibrated months (Apr/21-Mar/22)</t>
        </is>
      </c>
      <c r="K87" t="n">
        <v>319333.264630224</v>
      </c>
      <c r="L87" t="n">
        <v>349917.8799999999</v>
      </c>
      <c r="M87" t="inlineStr">
        <is>
          <t>published</t>
        </is>
      </c>
      <c r="N87" t="n">
        <v>36374</v>
      </c>
      <c r="O87" t="n">
        <v>9.619999999999999</v>
      </c>
      <c r="P87" t="n">
        <v>0.3397274139999999</v>
      </c>
    </row>
    <row r="88">
      <c r="A88" t="inlineStr">
        <is>
          <t>Brazil</t>
        </is>
      </c>
      <c r="B88" t="inlineStr">
        <is>
          <t>BR</t>
        </is>
      </c>
      <c r="C88" s="4" t="n">
        <v>44682</v>
      </c>
      <c r="D88" t="n">
        <v>36736.63548387096</v>
      </c>
      <c r="E88" t="n">
        <v>317545.02</v>
      </c>
      <c r="F88" t="n">
        <v>8.643824232064382</v>
      </c>
      <c r="G88" t="b">
        <v>1</v>
      </c>
      <c r="I88" t="n">
        <v>8.227854235305362</v>
      </c>
      <c r="J88" t="inlineStr">
        <is>
          <t>trailing 12 calibrated months (May/21-Apr/22)</t>
        </is>
      </c>
      <c r="K88" t="n">
        <v>302263.6818568369</v>
      </c>
      <c r="L88" t="n">
        <v>317545.02</v>
      </c>
      <c r="M88" t="inlineStr">
        <is>
          <t>published</t>
        </is>
      </c>
      <c r="N88" t="n">
        <v>36374</v>
      </c>
      <c r="O88" t="n">
        <v>8.73</v>
      </c>
      <c r="P88" t="n">
        <v>0.308297331</v>
      </c>
    </row>
    <row r="89">
      <c r="A89" t="inlineStr">
        <is>
          <t>Brazil</t>
        </is>
      </c>
      <c r="B89" t="inlineStr">
        <is>
          <t>BR</t>
        </is>
      </c>
      <c r="C89" s="4" t="n">
        <v>44713</v>
      </c>
      <c r="D89" t="n">
        <v>58727.02333333335</v>
      </c>
      <c r="E89" t="n">
        <v>533606.58</v>
      </c>
      <c r="F89" t="n">
        <v>9.086218740753473</v>
      </c>
      <c r="G89" t="b">
        <v>1</v>
      </c>
      <c r="I89" t="n">
        <v>8.224308570226386</v>
      </c>
      <c r="J89" t="inlineStr">
        <is>
          <t>trailing 12 calibrated months (Jun/21-May/22)</t>
        </is>
      </c>
      <c r="K89" t="n">
        <v>482989.1613042183</v>
      </c>
      <c r="L89" t="n">
        <v>533606.58</v>
      </c>
      <c r="M89" t="inlineStr">
        <is>
          <t>published</t>
        </is>
      </c>
      <c r="N89" t="n">
        <v>36374</v>
      </c>
      <c r="O89" t="n">
        <v>14.67</v>
      </c>
      <c r="P89" t="n">
        <v>0.5180666489999999</v>
      </c>
    </row>
    <row r="90">
      <c r="A90" t="inlineStr">
        <is>
          <t>Brazil</t>
        </is>
      </c>
      <c r="B90" t="inlineStr">
        <is>
          <t>BR</t>
        </is>
      </c>
      <c r="C90" s="4" t="n">
        <v>44743</v>
      </c>
      <c r="D90" t="n">
        <v>49017.03548387096</v>
      </c>
      <c r="E90" t="n">
        <v>425939.54</v>
      </c>
      <c r="F90" t="n">
        <v>8.689622613757523</v>
      </c>
      <c r="G90" t="b">
        <v>1</v>
      </c>
      <c r="I90" t="n">
        <v>8.217672591848352</v>
      </c>
      <c r="J90" t="inlineStr">
        <is>
          <t>trailing 12 calibrated months (Jul/21-Jun/22)</t>
        </is>
      </c>
      <c r="K90" t="n">
        <v>402805.9490294645</v>
      </c>
      <c r="L90" t="n">
        <v>425939.54</v>
      </c>
      <c r="M90" t="inlineStr">
        <is>
          <t>published</t>
        </is>
      </c>
      <c r="N90" t="n">
        <v>36374</v>
      </c>
      <c r="O90" t="n">
        <v>11.71</v>
      </c>
      <c r="P90" t="n">
        <v>0.413535137</v>
      </c>
    </row>
    <row r="91">
      <c r="A91" t="inlineStr">
        <is>
          <t>Brazil</t>
        </is>
      </c>
      <c r="B91" t="inlineStr">
        <is>
          <t>BR</t>
        </is>
      </c>
      <c r="C91" s="4" t="n">
        <v>44774</v>
      </c>
      <c r="D91" t="n">
        <v>53111.08064516128</v>
      </c>
      <c r="E91" t="n">
        <v>434133.386857772</v>
      </c>
      <c r="F91" t="n">
        <v>8.174064274049448</v>
      </c>
      <c r="G91" t="b">
        <v>1</v>
      </c>
      <c r="I91" t="n">
        <v>8.203509975578735</v>
      </c>
      <c r="J91" t="inlineStr">
        <is>
          <t>trailing 12 calibrated months (Aug/21-Jul/22)</t>
        </is>
      </c>
      <c r="K91" t="n">
        <v>435697.2798863472</v>
      </c>
      <c r="L91" t="n">
        <v>434133.386857772</v>
      </c>
      <c r="M91" t="inlineStr">
        <is>
          <t>published</t>
        </is>
      </c>
      <c r="N91" t="n">
        <v>36374</v>
      </c>
      <c r="O91" t="n">
        <v>11.93526658761126</v>
      </c>
      <c r="P91" t="n">
        <v>0.4214903589615153</v>
      </c>
    </row>
    <row r="92">
      <c r="A92" t="inlineStr">
        <is>
          <t>Brazil</t>
        </is>
      </c>
      <c r="B92" t="inlineStr">
        <is>
          <t>BR</t>
        </is>
      </c>
      <c r="C92" s="4" t="n">
        <v>44805</v>
      </c>
      <c r="D92" t="n">
        <v>55550.39666666666</v>
      </c>
      <c r="E92" t="n">
        <v>489230.3</v>
      </c>
      <c r="F92" t="n">
        <v>8.806963214604108</v>
      </c>
      <c r="G92" t="b">
        <v>1</v>
      </c>
      <c r="I92" t="n">
        <v>8.181947527199489</v>
      </c>
      <c r="J92" t="inlineStr">
        <is>
          <t>trailing 12 calibrated months (Sep/21-Aug/22)</t>
        </is>
      </c>
      <c r="K92" t="n">
        <v>454510.430641784</v>
      </c>
      <c r="L92" t="n">
        <v>489230.3</v>
      </c>
      <c r="M92" t="inlineStr">
        <is>
          <t>published</t>
        </is>
      </c>
      <c r="N92" t="n">
        <v>36374</v>
      </c>
      <c r="O92" t="n">
        <v>13.45</v>
      </c>
      <c r="P92" t="n">
        <v>0.4749827149999999</v>
      </c>
    </row>
    <row r="93">
      <c r="A93" t="inlineStr">
        <is>
          <t>Brazil</t>
        </is>
      </c>
      <c r="B93" t="inlineStr">
        <is>
          <t>BR</t>
        </is>
      </c>
      <c r="C93" s="4" t="n">
        <v>44835</v>
      </c>
      <c r="D93" t="n">
        <v>57387.64516129033</v>
      </c>
      <c r="E93" t="n">
        <v>471407.04</v>
      </c>
      <c r="F93" t="n">
        <v>8.214434285900584</v>
      </c>
      <c r="G93" t="b">
        <v>1</v>
      </c>
      <c r="I93" t="n">
        <v>8.235222230002423</v>
      </c>
      <c r="J93" t="inlineStr">
        <is>
          <t>trailing 12 calibrated months (Oct/21-Sep/22)</t>
        </is>
      </c>
      <c r="K93" t="n">
        <v>472600.0111597491</v>
      </c>
      <c r="L93" t="n">
        <v>471407.04</v>
      </c>
      <c r="M93" t="inlineStr">
        <is>
          <t>published</t>
        </is>
      </c>
      <c r="N93" t="n">
        <v>36374</v>
      </c>
      <c r="O93" t="n">
        <v>12.96</v>
      </c>
      <c r="P93" t="n">
        <v>0.457678512</v>
      </c>
    </row>
    <row r="94">
      <c r="A94" t="inlineStr">
        <is>
          <t>Brazil</t>
        </is>
      </c>
      <c r="B94" t="inlineStr">
        <is>
          <t>BR</t>
        </is>
      </c>
      <c r="C94" s="4" t="n">
        <v>44866</v>
      </c>
      <c r="D94" t="n">
        <v>57256.63</v>
      </c>
      <c r="E94" t="n">
        <v>425212.06</v>
      </c>
      <c r="F94" t="n">
        <v>7.426424852458135</v>
      </c>
      <c r="G94" t="b">
        <v>1</v>
      </c>
      <c r="I94" t="n">
        <v>8.290088576937546</v>
      </c>
      <c r="J94" t="inlineStr">
        <is>
          <t>trailing 12 calibrated months (Nov/21-Oct/22)</t>
        </is>
      </c>
      <c r="K94" t="n">
        <v>474662.5343169395</v>
      </c>
      <c r="L94" t="n">
        <v>425212.06</v>
      </c>
      <c r="M94" t="inlineStr">
        <is>
          <t>published</t>
        </is>
      </c>
      <c r="N94" t="n">
        <v>36374</v>
      </c>
      <c r="O94" t="n">
        <v>11.69</v>
      </c>
      <c r="P94" t="n">
        <v>0.4128288429999999</v>
      </c>
    </row>
    <row r="95">
      <c r="A95" t="inlineStr">
        <is>
          <t>Brazil</t>
        </is>
      </c>
      <c r="B95" t="inlineStr">
        <is>
          <t>BR</t>
        </is>
      </c>
      <c r="C95" s="4" t="n">
        <v>44896</v>
      </c>
      <c r="D95" t="n">
        <v>63814.54838709678</v>
      </c>
      <c r="E95" t="n">
        <v>503852.9104924592</v>
      </c>
      <c r="F95" t="n">
        <v>7.89558060391034</v>
      </c>
      <c r="G95" t="b">
        <v>1</v>
      </c>
      <c r="I95" t="n">
        <v>8.297071332980682</v>
      </c>
      <c r="J95" t="inlineStr">
        <is>
          <t>trailing 12 calibrated months (Dec/21-Nov/22)</t>
        </is>
      </c>
      <c r="K95" t="n">
        <v>529473.8600496893</v>
      </c>
      <c r="L95" t="n">
        <v>503852.9104924592</v>
      </c>
      <c r="M95" t="inlineStr">
        <is>
          <t>published</t>
        </is>
      </c>
      <c r="N95" t="n">
        <v>36374</v>
      </c>
      <c r="O95" t="n">
        <v>13.85200721648593</v>
      </c>
      <c r="P95" t="n">
        <v>0.4891794792480356</v>
      </c>
    </row>
    <row r="96">
      <c r="A96" t="inlineStr">
        <is>
          <t>Brazil</t>
        </is>
      </c>
      <c r="B96" t="inlineStr">
        <is>
          <t>BR</t>
        </is>
      </c>
      <c r="C96" s="4" t="n">
        <v>44927</v>
      </c>
      <c r="D96" t="n">
        <v>55610.71290322579</v>
      </c>
      <c r="E96" t="n">
        <v>426303.28</v>
      </c>
      <c r="F96" t="n">
        <v>7.665848138682495</v>
      </c>
      <c r="G96" t="b">
        <v>1</v>
      </c>
      <c r="I96" t="n">
        <v>8.331395709475892</v>
      </c>
      <c r="J96" t="inlineStr">
        <is>
          <t>trailing 12 calibrated months (Jan/22-Dec/22)</t>
        </is>
      </c>
      <c r="K96" t="n">
        <v>463314.8548828309</v>
      </c>
      <c r="L96" t="n">
        <v>426303.28</v>
      </c>
      <c r="M96" t="inlineStr">
        <is>
          <t>published</t>
        </is>
      </c>
      <c r="N96" t="n">
        <v>36374</v>
      </c>
      <c r="O96" t="n">
        <v>11.72</v>
      </c>
      <c r="P96" t="n">
        <v>0.413888284</v>
      </c>
    </row>
    <row r="97">
      <c r="A97" t="inlineStr">
        <is>
          <t>Brazil</t>
        </is>
      </c>
      <c r="B97" t="inlineStr">
        <is>
          <t>BR</t>
        </is>
      </c>
      <c r="C97" s="4" t="n">
        <v>44958</v>
      </c>
      <c r="D97" t="n">
        <v>41691.81071428571</v>
      </c>
      <c r="E97" t="n">
        <v>352464.06</v>
      </c>
      <c r="F97" t="n">
        <v>8.454035791715519</v>
      </c>
      <c r="G97" t="b">
        <v>1</v>
      </c>
      <c r="I97" t="n">
        <v>8.340151205060531</v>
      </c>
      <c r="J97" t="inlineStr">
        <is>
          <t>trailing 12 calibrated months (Feb/22-Jan/23)</t>
        </is>
      </c>
      <c r="K97" t="n">
        <v>347716.0053699056</v>
      </c>
      <c r="L97" t="n">
        <v>352464.06</v>
      </c>
      <c r="M97" t="inlineStr">
        <is>
          <t>published</t>
        </is>
      </c>
      <c r="N97" t="n">
        <v>36374</v>
      </c>
      <c r="O97" t="n">
        <v>9.69</v>
      </c>
      <c r="P97" t="n">
        <v>0.3421994429999999</v>
      </c>
    </row>
    <row r="98">
      <c r="A98" t="inlineStr">
        <is>
          <t>Brazil</t>
        </is>
      </c>
      <c r="B98" t="inlineStr">
        <is>
          <t>BR</t>
        </is>
      </c>
      <c r="C98" s="4" t="n">
        <v>44986</v>
      </c>
      <c r="D98" t="n">
        <v>39131.13870967741</v>
      </c>
      <c r="E98" t="n">
        <v>340824.3799999999</v>
      </c>
      <c r="F98" t="n">
        <v>8.709799695037027</v>
      </c>
      <c r="G98" t="b">
        <v>1</v>
      </c>
      <c r="I98" t="n">
        <v>8.352297973592798</v>
      </c>
      <c r="J98" t="inlineStr">
        <is>
          <t>trailing 12 calibrated months (Mar/22-Feb/23)</t>
        </is>
      </c>
      <c r="K98" t="n">
        <v>326834.9305492173</v>
      </c>
      <c r="L98" t="n">
        <v>340824.3799999999</v>
      </c>
      <c r="M98" t="inlineStr">
        <is>
          <t>published</t>
        </is>
      </c>
      <c r="N98" t="n">
        <v>36374</v>
      </c>
      <c r="O98" t="n">
        <v>9.369999999999999</v>
      </c>
      <c r="P98" t="n">
        <v>0.3308987389999999</v>
      </c>
    </row>
    <row r="99">
      <c r="A99" t="inlineStr">
        <is>
          <t>Brazil</t>
        </is>
      </c>
      <c r="B99" t="inlineStr">
        <is>
          <t>BR</t>
        </is>
      </c>
      <c r="C99" s="4" t="n">
        <v>45017</v>
      </c>
      <c r="D99" t="n">
        <v>52508.26000000001</v>
      </c>
      <c r="E99" t="n">
        <v>450310.1200000001</v>
      </c>
      <c r="F99" t="n">
        <v>8.575986330531615</v>
      </c>
      <c r="G99" t="b">
        <v>1</v>
      </c>
      <c r="I99" t="n">
        <v>8.355422097526178</v>
      </c>
      <c r="J99" t="inlineStr">
        <is>
          <t>trailing 12 calibrated months (Apr/22-Mar/23)</t>
        </is>
      </c>
      <c r="K99" t="n">
        <v>438728.67590665</v>
      </c>
      <c r="L99" t="n">
        <v>450310.1200000001</v>
      </c>
      <c r="M99" t="inlineStr">
        <is>
          <t>published</t>
        </is>
      </c>
      <c r="N99" t="n">
        <v>36374</v>
      </c>
      <c r="O99" t="n">
        <v>12.38</v>
      </c>
      <c r="P99" t="n">
        <v>0.437195986</v>
      </c>
    </row>
    <row r="100">
      <c r="A100" t="inlineStr">
        <is>
          <t>Brazil</t>
        </is>
      </c>
      <c r="B100" t="inlineStr">
        <is>
          <t>BR</t>
        </is>
      </c>
      <c r="C100" s="4" t="n">
        <v>45047</v>
      </c>
      <c r="D100" t="n">
        <v>38485.2870967742</v>
      </c>
      <c r="E100" t="n">
        <v>321494.9230840636</v>
      </c>
      <c r="F100" t="n">
        <v>8.35370988075625</v>
      </c>
      <c r="G100" t="b">
        <v>1</v>
      </c>
      <c r="I100" t="n">
        <v>8.332749486978441</v>
      </c>
      <c r="J100" t="inlineStr">
        <is>
          <t>trailing 12 calibrated months (May/22-Apr/23)</t>
        </is>
      </c>
      <c r="K100" t="n">
        <v>320688.2563118633</v>
      </c>
      <c r="L100" t="n">
        <v>321494.9230840636</v>
      </c>
      <c r="M100" t="inlineStr">
        <is>
          <t>published</t>
        </is>
      </c>
      <c r="N100" t="n">
        <v>36374</v>
      </c>
      <c r="O100" t="n">
        <v>8.838591386266664</v>
      </c>
      <c r="P100" t="n">
        <v>0.3121322032285914</v>
      </c>
    </row>
    <row r="101">
      <c r="A101" t="inlineStr">
        <is>
          <t>Brazil</t>
        </is>
      </c>
      <c r="B101" t="inlineStr">
        <is>
          <t>BR</t>
        </is>
      </c>
      <c r="C101" s="4" t="n">
        <v>45078</v>
      </c>
      <c r="D101" t="n">
        <v>73218.55666666666</v>
      </c>
      <c r="E101" t="n">
        <v>587290.2962143068</v>
      </c>
      <c r="F101" t="n">
        <v>8.021058088975899</v>
      </c>
      <c r="G101" t="b">
        <v>1</v>
      </c>
      <c r="I101" t="n">
        <v>8.315681647281373</v>
      </c>
      <c r="J101" t="inlineStr">
        <is>
          <t>trailing 12 calibrated months (Jun/22-May/23)</t>
        </is>
      </c>
      <c r="K101" t="n">
        <v>608862.2079134311</v>
      </c>
      <c r="L101" t="n">
        <v>587290.2962143068</v>
      </c>
      <c r="M101" t="inlineStr">
        <is>
          <t>published</t>
        </is>
      </c>
      <c r="N101" t="n">
        <v>36374</v>
      </c>
      <c r="O101" t="n">
        <v>16.14588156964609</v>
      </c>
      <c r="P101" t="n">
        <v>0.5701869638675807</v>
      </c>
    </row>
    <row r="102">
      <c r="A102" t="inlineStr">
        <is>
          <t>Brazil</t>
        </is>
      </c>
      <c r="B102" t="inlineStr">
        <is>
          <t>BR</t>
        </is>
      </c>
      <c r="C102" s="4" t="n">
        <v>45108</v>
      </c>
      <c r="D102" t="n">
        <v>51233.61290322581</v>
      </c>
      <c r="E102" t="n">
        <v>408843.76</v>
      </c>
      <c r="F102" t="n">
        <v>7.97999080744622</v>
      </c>
      <c r="G102" t="b">
        <v>1</v>
      </c>
      <c r="I102" t="n">
        <v>8.210742836387736</v>
      </c>
      <c r="J102" t="inlineStr">
        <is>
          <t>trailing 12 calibrated months (Jul/22-Jun/23)</t>
        </is>
      </c>
      <c r="K102" t="n">
        <v>420666.0201274236</v>
      </c>
      <c r="L102" t="n">
        <v>408843.76</v>
      </c>
      <c r="M102" t="inlineStr">
        <is>
          <t>published</t>
        </is>
      </c>
      <c r="N102" t="n">
        <v>36374</v>
      </c>
      <c r="O102" t="n">
        <v>11.24</v>
      </c>
      <c r="P102" t="n">
        <v>0.396937228</v>
      </c>
    </row>
    <row r="103">
      <c r="A103" t="inlineStr">
        <is>
          <t>Brazil</t>
        </is>
      </c>
      <c r="B103" t="inlineStr">
        <is>
          <t>BR</t>
        </is>
      </c>
      <c r="C103" s="4" t="n">
        <v>45139</v>
      </c>
      <c r="D103" t="n">
        <v>48279.06129032258</v>
      </c>
      <c r="E103" t="n">
        <v>412481.16</v>
      </c>
      <c r="F103" t="n">
        <v>8.543686413444846</v>
      </c>
      <c r="G103" t="b">
        <v>1</v>
      </c>
      <c r="I103" t="n">
        <v>8.155507241942171</v>
      </c>
      <c r="J103" t="inlineStr">
        <is>
          <t>trailing 12 calibrated months (Aug/22-Jul/23)</t>
        </is>
      </c>
      <c r="K103" t="n">
        <v>393740.2339873957</v>
      </c>
      <c r="L103" t="n">
        <v>412481.16</v>
      </c>
      <c r="M103" t="inlineStr">
        <is>
          <t>published</t>
        </is>
      </c>
      <c r="N103" t="n">
        <v>36374</v>
      </c>
      <c r="O103" t="n">
        <v>11.34</v>
      </c>
      <c r="P103" t="n">
        <v>0.400468698</v>
      </c>
    </row>
    <row r="104">
      <c r="A104" t="inlineStr">
        <is>
          <t>Brazil</t>
        </is>
      </c>
      <c r="B104" t="inlineStr">
        <is>
          <t>BR</t>
        </is>
      </c>
      <c r="C104" s="4" t="n">
        <v>45170</v>
      </c>
      <c r="D104" t="n">
        <v>46504.96</v>
      </c>
      <c r="E104" t="n">
        <v>397567.82</v>
      </c>
      <c r="F104" t="n">
        <v>8.548933705135969</v>
      </c>
      <c r="G104" t="b">
        <v>1</v>
      </c>
      <c r="I104" t="n">
        <v>8.18350510920939</v>
      </c>
      <c r="J104" t="inlineStr">
        <is>
          <t>trailing 12 calibrated months (Sep/22-Aug/23)</t>
        </is>
      </c>
      <c r="K104" t="n">
        <v>380573.5777635783</v>
      </c>
      <c r="L104" t="n">
        <v>397567.82</v>
      </c>
      <c r="M104" t="inlineStr">
        <is>
          <t>published</t>
        </is>
      </c>
      <c r="N104" t="n">
        <v>36374</v>
      </c>
      <c r="O104" t="n">
        <v>10.93</v>
      </c>
      <c r="P104" t="n">
        <v>0.385989671</v>
      </c>
    </row>
    <row r="105">
      <c r="A105" t="inlineStr">
        <is>
          <t>Brazil</t>
        </is>
      </c>
      <c r="B105" t="inlineStr">
        <is>
          <t>BR</t>
        </is>
      </c>
      <c r="C105" s="4" t="n">
        <v>45200</v>
      </c>
      <c r="D105" t="n">
        <v>46486.19032258065</v>
      </c>
      <c r="E105" t="n">
        <v>421574.66</v>
      </c>
      <c r="F105" t="n">
        <v>9.068814998058043</v>
      </c>
      <c r="G105" t="b">
        <v>1</v>
      </c>
      <c r="I105" t="n">
        <v>8.155288062765001</v>
      </c>
      <c r="J105" t="inlineStr">
        <is>
          <t>trailing 12 calibrated months (Oct/22-Sep/23)</t>
        </is>
      </c>
      <c r="K105" t="n">
        <v>379108.2730211638</v>
      </c>
      <c r="L105" t="n">
        <v>421574.66</v>
      </c>
      <c r="M105" t="inlineStr">
        <is>
          <t>published</t>
        </is>
      </c>
      <c r="N105" t="n">
        <v>36374</v>
      </c>
      <c r="O105" t="n">
        <v>11.59</v>
      </c>
      <c r="P105" t="n">
        <v>0.409297373</v>
      </c>
    </row>
    <row r="106">
      <c r="A106" t="inlineStr">
        <is>
          <t>Brazil</t>
        </is>
      </c>
      <c r="B106" t="inlineStr">
        <is>
          <t>BR</t>
        </is>
      </c>
      <c r="C106" s="4" t="n">
        <v>45231</v>
      </c>
      <c r="D106" t="n">
        <v>85570.90666666666</v>
      </c>
      <c r="E106" t="n">
        <v>712566.66</v>
      </c>
      <c r="F106" t="n">
        <v>8.327207081908524</v>
      </c>
      <c r="G106" t="b">
        <v>1</v>
      </c>
      <c r="I106" t="n">
        <v>8.218900572281578</v>
      </c>
      <c r="J106" t="inlineStr">
        <is>
          <t>trailing 12 calibrated months (Nov/22-Oct/23)</t>
        </is>
      </c>
      <c r="K106" t="n">
        <v>703298.7737733201</v>
      </c>
      <c r="L106" t="n">
        <v>712566.66</v>
      </c>
      <c r="M106" t="inlineStr">
        <is>
          <t>published</t>
        </is>
      </c>
      <c r="N106" t="n">
        <v>36374</v>
      </c>
      <c r="O106" t="n">
        <v>19.59</v>
      </c>
      <c r="P106" t="n">
        <v>0.6918149729999999</v>
      </c>
    </row>
    <row r="107">
      <c r="A107" t="inlineStr">
        <is>
          <t>Brazil</t>
        </is>
      </c>
      <c r="B107" t="inlineStr">
        <is>
          <t>BR</t>
        </is>
      </c>
      <c r="C107" s="4" t="n">
        <v>45261</v>
      </c>
      <c r="D107" t="n">
        <v>92212.05806451611</v>
      </c>
      <c r="E107" t="n">
        <v>747485.7000000001</v>
      </c>
      <c r="F107" t="n">
        <v>8.106160036868738</v>
      </c>
      <c r="G107" t="b">
        <v>1</v>
      </c>
      <c r="I107" t="n">
        <v>8.303942432129739</v>
      </c>
      <c r="J107" t="inlineStr">
        <is>
          <t>trailing 12 calibrated months (Dec/22-Nov/23)</t>
        </is>
      </c>
      <c r="K107" t="n">
        <v>765723.6217159466</v>
      </c>
      <c r="L107" t="n">
        <v>747485.7000000001</v>
      </c>
      <c r="M107" t="inlineStr">
        <is>
          <t>published</t>
        </is>
      </c>
      <c r="N107" t="n">
        <v>36374</v>
      </c>
      <c r="O107" t="n">
        <v>20.55</v>
      </c>
      <c r="P107" t="n">
        <v>0.725717085</v>
      </c>
    </row>
    <row r="108">
      <c r="A108" t="inlineStr">
        <is>
          <t>Brazil</t>
        </is>
      </c>
      <c r="B108" t="inlineStr">
        <is>
          <t>BR</t>
        </is>
      </c>
      <c r="C108" s="4" t="n">
        <v>45292</v>
      </c>
      <c r="D108" t="n">
        <v>84517.04193548388</v>
      </c>
      <c r="E108" t="n">
        <v>641637.36</v>
      </c>
      <c r="F108" t="n">
        <v>7.591810424337782</v>
      </c>
      <c r="G108" t="b">
        <v>1</v>
      </c>
      <c r="I108" t="n">
        <v>8.315600092602727</v>
      </c>
      <c r="J108" t="inlineStr">
        <is>
          <t>trailing 12 calibrated months (Jan/23-Dec/23)</t>
        </is>
      </c>
      <c r="K108" t="n">
        <v>702809.9217452183</v>
      </c>
      <c r="L108" t="n">
        <v>641637.36</v>
      </c>
      <c r="M108" t="inlineStr">
        <is>
          <t>published</t>
        </is>
      </c>
      <c r="N108" t="n">
        <v>36374</v>
      </c>
      <c r="O108" t="n">
        <v>17.64</v>
      </c>
      <c r="P108" t="n">
        <v>0.622951308</v>
      </c>
    </row>
    <row r="109">
      <c r="A109" t="inlineStr">
        <is>
          <t>Brazil</t>
        </is>
      </c>
      <c r="B109" t="inlineStr">
        <is>
          <t>BR</t>
        </is>
      </c>
      <c r="C109" s="4" t="n">
        <v>45323</v>
      </c>
      <c r="D109" t="n">
        <v>53232.07931034482</v>
      </c>
      <c r="E109" t="n">
        <v>399559.7943931369</v>
      </c>
      <c r="F109" t="n">
        <v>7.50599637605155</v>
      </c>
      <c r="G109" t="b">
        <v>1</v>
      </c>
      <c r="I109" t="n">
        <v>8.279821297030393</v>
      </c>
      <c r="J109" t="inlineStr">
        <is>
          <t>trailing 12 calibrated months (Feb/23-Jan/24)</t>
        </is>
      </c>
      <c r="K109" t="n">
        <v>440752.103959004</v>
      </c>
      <c r="L109" t="n">
        <v>399559.7943931369</v>
      </c>
      <c r="M109" t="inlineStr">
        <is>
          <t>published</t>
        </is>
      </c>
      <c r="N109" t="n">
        <v>36374</v>
      </c>
      <c r="O109" t="n">
        <v>10.98476368816014</v>
      </c>
      <c r="P109" t="n">
        <v>0.3879236342182689</v>
      </c>
    </row>
    <row r="110">
      <c r="A110" t="inlineStr">
        <is>
          <t>Brazil</t>
        </is>
      </c>
      <c r="B110" t="inlineStr">
        <is>
          <t>BR</t>
        </is>
      </c>
      <c r="C110" s="4" t="n">
        <v>45352</v>
      </c>
      <c r="D110" t="n">
        <v>49399.18387096773</v>
      </c>
      <c r="E110" t="n">
        <v>379344.5087722785</v>
      </c>
      <c r="F110" t="n">
        <v>7.67916550530751</v>
      </c>
      <c r="G110" t="b">
        <v>1</v>
      </c>
      <c r="I110" t="n">
        <v>8.211706246006033</v>
      </c>
      <c r="J110" t="inlineStr">
        <is>
          <t>trailing 12 calibrated months (Mar/23-Feb/24)</t>
        </is>
      </c>
      <c r="K110" t="n">
        <v>405651.5867408262</v>
      </c>
      <c r="L110" t="n">
        <v>379344.5087722785</v>
      </c>
      <c r="M110" t="inlineStr">
        <is>
          <t>published</t>
        </is>
      </c>
      <c r="N110" t="n">
        <v>36374</v>
      </c>
      <c r="O110" t="n">
        <v>10.42900172574582</v>
      </c>
      <c r="P110" t="n">
        <v>0.3682970672441959</v>
      </c>
    </row>
    <row r="111">
      <c r="A111" t="inlineStr">
        <is>
          <t>Brazil</t>
        </is>
      </c>
      <c r="B111" t="inlineStr">
        <is>
          <t>BR</t>
        </is>
      </c>
      <c r="C111" s="4" t="n">
        <v>45383</v>
      </c>
      <c r="D111" t="n">
        <v>46807.45333333334</v>
      </c>
      <c r="E111" t="n">
        <v>331923.305070159</v>
      </c>
      <c r="F111" t="n">
        <v>7.091248966407322</v>
      </c>
      <c r="G111" t="b">
        <v>1</v>
      </c>
      <c r="I111" t="n">
        <v>8.14824304413704</v>
      </c>
      <c r="J111" t="inlineStr">
        <is>
          <t>trailing 12 calibrated months (Apr/23-Mar/24)</t>
        </is>
      </c>
      <c r="K111" t="n">
        <v>381398.5060371025</v>
      </c>
      <c r="L111" t="n">
        <v>331923.305070159</v>
      </c>
      <c r="M111" t="inlineStr">
        <is>
          <t>published</t>
        </is>
      </c>
      <c r="N111" t="n">
        <v>36374</v>
      </c>
      <c r="O111" t="n">
        <v>9.12529018172758</v>
      </c>
      <c r="P111" t="n">
        <v>0.3222568851806549</v>
      </c>
    </row>
    <row r="112">
      <c r="A112" t="inlineStr">
        <is>
          <t>Brazil</t>
        </is>
      </c>
      <c r="B112" t="inlineStr">
        <is>
          <t>BR</t>
        </is>
      </c>
      <c r="C112" s="4" t="n">
        <v>45413</v>
      </c>
      <c r="D112" t="n">
        <v>38470.81612903227</v>
      </c>
      <c r="E112" t="n">
        <v>301509.1780751233</v>
      </c>
      <c r="F112" t="n">
        <v>7.837348109898489</v>
      </c>
      <c r="G112" t="b">
        <v>1</v>
      </c>
      <c r="I112" t="n">
        <v>8.047767285728058</v>
      </c>
      <c r="J112" t="inlineStr">
        <is>
          <t>trailing 12 calibrated months (May/23-Apr/24)</t>
        </is>
      </c>
      <c r="K112" t="n">
        <v>309604.1754984852</v>
      </c>
      <c r="L112" t="n">
        <v>301509.1780751233</v>
      </c>
      <c r="M112" t="inlineStr">
        <is>
          <t>published</t>
        </is>
      </c>
      <c r="N112" t="n">
        <v>36374</v>
      </c>
      <c r="O112" t="n">
        <v>8.289139992168124</v>
      </c>
      <c r="P112" t="n">
        <v>0.2927284920814197</v>
      </c>
    </row>
    <row r="113">
      <c r="A113" t="inlineStr">
        <is>
          <t>Brazil</t>
        </is>
      </c>
      <c r="B113" t="inlineStr">
        <is>
          <t>BR</t>
        </is>
      </c>
      <c r="C113" s="4" t="n">
        <v>45444</v>
      </c>
      <c r="D113" t="n">
        <v>47146.58666666667</v>
      </c>
      <c r="E113" t="n">
        <v>331939.2795099206</v>
      </c>
      <c r="F113" t="n">
        <v>7.04057924398176</v>
      </c>
      <c r="G113" t="b">
        <v>1</v>
      </c>
      <c r="I113" t="n">
        <v>8.020014247402198</v>
      </c>
      <c r="J113" t="inlineStr">
        <is>
          <t>trailing 12 calibrated months (Jun/23-May/24)</t>
        </is>
      </c>
      <c r="K113" t="n">
        <v>378116.2967830492</v>
      </c>
      <c r="L113" t="n">
        <v>331939.2795099206</v>
      </c>
      <c r="M113" t="inlineStr">
        <is>
          <t>published</t>
        </is>
      </c>
      <c r="N113" t="n">
        <v>36374</v>
      </c>
      <c r="O113" t="n">
        <v>9.125729353657023</v>
      </c>
      <c r="P113" t="n">
        <v>0.3222723944055917</v>
      </c>
    </row>
    <row r="114">
      <c r="A114" t="inlineStr">
        <is>
          <t>Brazil</t>
        </is>
      </c>
      <c r="B114" t="inlineStr">
        <is>
          <t>BR</t>
        </is>
      </c>
      <c r="C114" s="4" t="n">
        <v>45474</v>
      </c>
      <c r="D114" t="n">
        <v>80779.40322580647</v>
      </c>
      <c r="E114" t="n">
        <v>614301.5298771196</v>
      </c>
      <c r="F114" t="n">
        <v>7.604680219782431</v>
      </c>
      <c r="G114" t="b">
        <v>1</v>
      </c>
      <c r="I114" t="n">
        <v>7.952966659245384</v>
      </c>
      <c r="J114" t="inlineStr">
        <is>
          <t>trailing 12 calibrated months (Jul/23-Jun/24)</t>
        </is>
      </c>
      <c r="K114" t="n">
        <v>642435.9006085779</v>
      </c>
      <c r="L114" t="n">
        <v>614301.5298771196</v>
      </c>
      <c r="M114" t="inlineStr">
        <is>
          <t>published</t>
        </is>
      </c>
      <c r="N114" t="n">
        <v>36374</v>
      </c>
      <c r="O114" t="n">
        <v>16.88847885514707</v>
      </c>
      <c r="P114" t="n">
        <v>0.5964115642258622</v>
      </c>
    </row>
    <row r="115">
      <c r="A115" t="inlineStr">
        <is>
          <t>Brazil</t>
        </is>
      </c>
      <c r="B115" t="inlineStr">
        <is>
          <t>BR</t>
        </is>
      </c>
      <c r="C115" s="4" t="n">
        <v>45505</v>
      </c>
      <c r="D115" t="n">
        <v>104180.564516129</v>
      </c>
      <c r="E115" t="n">
        <v>793446.5952328142</v>
      </c>
      <c r="F115" t="n">
        <v>7.616071182931384</v>
      </c>
      <c r="G115" t="b">
        <v>1</v>
      </c>
      <c r="I115" t="n">
        <v>7.911934299056059</v>
      </c>
      <c r="J115" t="inlineStr">
        <is>
          <t>trailing 12 calibrated months (Aug/23-Jul/24)</t>
        </is>
      </c>
      <c r="K115" t="n">
        <v>824269.7816901839</v>
      </c>
      <c r="L115" t="n">
        <v>793446.5952328142</v>
      </c>
      <c r="M115" t="inlineStr">
        <is>
          <t>published</t>
        </is>
      </c>
      <c r="N115" t="n">
        <v>36374</v>
      </c>
      <c r="O115" t="n">
        <v>21.81356450301903</v>
      </c>
      <c r="P115" t="n">
        <v>0.7703394863547661</v>
      </c>
    </row>
    <row r="116">
      <c r="A116" t="inlineStr">
        <is>
          <t>Brazil</t>
        </is>
      </c>
      <c r="B116" t="inlineStr">
        <is>
          <t>BR</t>
        </is>
      </c>
      <c r="C116" s="4" t="n">
        <v>45536</v>
      </c>
      <c r="D116" t="n">
        <v>159824.65</v>
      </c>
      <c r="E116" t="n">
        <v>1203498.505311735</v>
      </c>
      <c r="F116" t="n">
        <v>7.53011819710999</v>
      </c>
      <c r="G116" t="b">
        <v>1</v>
      </c>
      <c r="I116" t="n">
        <v>7.832838449017863</v>
      </c>
      <c r="J116" t="inlineStr">
        <is>
          <t>trailing 12 calibrated months (Sep/23-Aug/24)</t>
        </is>
      </c>
      <c r="K116" t="n">
        <v>1251880.663620822</v>
      </c>
      <c r="L116" t="n">
        <v>1203498.505311735</v>
      </c>
      <c r="M116" t="inlineStr">
        <is>
          <t>published</t>
        </is>
      </c>
      <c r="N116" t="n">
        <v>36374</v>
      </c>
      <c r="O116" t="n">
        <v>33.08677916401097</v>
      </c>
      <c r="P116" t="n">
        <v>1.168449680143298</v>
      </c>
    </row>
    <row r="117">
      <c r="A117" t="inlineStr">
        <is>
          <t>Brazil</t>
        </is>
      </c>
      <c r="B117" t="inlineStr">
        <is>
          <t>BR</t>
        </is>
      </c>
      <c r="C117" s="4" t="n">
        <v>45566</v>
      </c>
      <c r="D117" t="n">
        <v>167077.0709677419</v>
      </c>
      <c r="E117" t="n">
        <v>1244209.294098376</v>
      </c>
      <c r="F117" t="n">
        <v>7.446918280836985</v>
      </c>
      <c r="G117" t="b">
        <v>1</v>
      </c>
      <c r="I117" t="n">
        <v>7.740916702757545</v>
      </c>
      <c r="J117" t="inlineStr">
        <is>
          <t>trailing 12 calibrated months (Oct/23-Sep/24)</t>
        </is>
      </c>
      <c r="K117" t="n">
        <v>1293329.689302001</v>
      </c>
      <c r="L117" t="n">
        <v>1244209.294098376</v>
      </c>
      <c r="M117" t="inlineStr">
        <is>
          <t>published</t>
        </is>
      </c>
      <c r="N117" t="n">
        <v>36374</v>
      </c>
      <c r="O117" t="n">
        <v>34.20600687574574</v>
      </c>
      <c r="P117" t="n">
        <v>1.207974871014898</v>
      </c>
    </row>
    <row r="118">
      <c r="A118" t="inlineStr">
        <is>
          <t>Brazil</t>
        </is>
      </c>
      <c r="B118" t="inlineStr">
        <is>
          <t>BR</t>
        </is>
      </c>
      <c r="C118" s="4" t="n">
        <v>45597</v>
      </c>
      <c r="D118" t="n">
        <v>110599.68</v>
      </c>
      <c r="E118" t="n">
        <v>930859.16955557</v>
      </c>
      <c r="F118" t="n">
        <v>8.416472539120999</v>
      </c>
      <c r="G118" t="b">
        <v>1</v>
      </c>
      <c r="I118" t="n">
        <v>7.631079830602838</v>
      </c>
      <c r="J118" t="inlineStr">
        <is>
          <t>trailing 12 calibrated months (Nov/23-Oct/24)</t>
        </is>
      </c>
      <c r="K118" t="n">
        <v>843994.9873191281</v>
      </c>
      <c r="L118" t="n">
        <v>930859.16955557</v>
      </c>
      <c r="M118" t="inlineStr">
        <is>
          <t>published</t>
        </is>
      </c>
      <c r="N118" t="n">
        <v>36374</v>
      </c>
      <c r="O118" t="n">
        <v>25.59133363269286</v>
      </c>
      <c r="P118" t="n">
        <v>0.9037502698384584</v>
      </c>
    </row>
    <row r="119">
      <c r="A119" t="inlineStr">
        <is>
          <t>Brazil</t>
        </is>
      </c>
      <c r="B119" t="inlineStr">
        <is>
          <t>BR</t>
        </is>
      </c>
      <c r="C119" s="4" t="n">
        <v>45627</v>
      </c>
      <c r="D119" t="n">
        <v>92770.4258064516</v>
      </c>
      <c r="E119" t="n">
        <v>766487.7489291853</v>
      </c>
      <c r="F119" t="n">
        <v>8.262199319083873</v>
      </c>
      <c r="G119" t="b">
        <v>1</v>
      </c>
      <c r="I119" t="n">
        <v>7.657471933320908</v>
      </c>
      <c r="J119" t="inlineStr">
        <is>
          <t>trailing 12 calibrated months (Dec/23-Nov/24)</t>
        </is>
      </c>
      <c r="K119" t="n">
        <v>710386.9318551328</v>
      </c>
      <c r="L119" t="n">
        <v>766487.7489291853</v>
      </c>
      <c r="M119" t="inlineStr">
        <is>
          <t>published</t>
        </is>
      </c>
      <c r="N119" t="n">
        <v>36374</v>
      </c>
      <c r="O119" t="n">
        <v>21.07240745942666</v>
      </c>
      <c r="P119" t="n">
        <v>0.7441657477074146</v>
      </c>
    </row>
    <row r="120">
      <c r="A120" t="inlineStr">
        <is>
          <t>Brazil</t>
        </is>
      </c>
      <c r="B120" t="inlineStr">
        <is>
          <t>BR</t>
        </is>
      </c>
      <c r="C120" s="4" t="n">
        <v>45658</v>
      </c>
      <c r="D120" t="n">
        <v>72904.17741935483</v>
      </c>
      <c r="E120" t="n">
        <v>685286.16</v>
      </c>
      <c r="F120" t="n">
        <v>9.399820205886694</v>
      </c>
      <c r="G120" t="b">
        <v>1</v>
      </c>
      <c r="I120" t="n">
        <v>7.671702985786248</v>
      </c>
      <c r="J120" t="inlineStr">
        <is>
          <t>trailing 12 calibrated months (Jan/24-Dec/24)</t>
        </is>
      </c>
      <c r="K120" t="n">
        <v>559299.1955843548</v>
      </c>
      <c r="L120" t="n">
        <v>685286.16</v>
      </c>
      <c r="M120" t="inlineStr">
        <is>
          <t>published</t>
        </is>
      </c>
      <c r="N120" t="n">
        <v>36374</v>
      </c>
      <c r="O120" t="n">
        <v>18.84</v>
      </c>
      <c r="P120" t="n">
        <v>0.665328948</v>
      </c>
    </row>
    <row r="121">
      <c r="A121" t="inlineStr">
        <is>
          <t>Brazil</t>
        </is>
      </c>
      <c r="B121" t="inlineStr">
        <is>
          <t>BR</t>
        </is>
      </c>
      <c r="C121" s="4" t="n">
        <v>45689</v>
      </c>
      <c r="D121" t="n">
        <v>54331.06785714285</v>
      </c>
      <c r="E121" t="n">
        <v>473013.4355475407</v>
      </c>
      <c r="F121" t="n">
        <v>8.706131762240968</v>
      </c>
      <c r="G121" t="b">
        <v>1</v>
      </c>
      <c r="I121" t="n">
        <v>7.801433510990266</v>
      </c>
      <c r="J121" t="inlineStr">
        <is>
          <t>trailing 12 calibrated months (Feb/24-Jan/25)</t>
        </is>
      </c>
      <c r="K121" t="n">
        <v>423860.2134686004</v>
      </c>
      <c r="L121" t="n">
        <v>473013.4355475407</v>
      </c>
      <c r="M121" t="inlineStr">
        <is>
          <t>published</t>
        </is>
      </c>
      <c r="N121" t="n">
        <v>36374</v>
      </c>
      <c r="O121" t="n">
        <v>13.00416329101943</v>
      </c>
      <c r="P121" t="n">
        <v>0.4592381253733638</v>
      </c>
    </row>
    <row r="122">
      <c r="A122" t="inlineStr">
        <is>
          <t>Brazil</t>
        </is>
      </c>
      <c r="B122" t="inlineStr">
        <is>
          <t>BR</t>
        </is>
      </c>
      <c r="C122" s="4" t="n">
        <v>45717</v>
      </c>
      <c r="D122" t="n">
        <v>50717.06129032259</v>
      </c>
      <c r="E122" t="n">
        <v>460827.8948659539</v>
      </c>
      <c r="F122" t="n">
        <v>9.086249935263606</v>
      </c>
      <c r="G122" t="b">
        <v>1</v>
      </c>
      <c r="I122" t="n">
        <v>7.864774836866456</v>
      </c>
      <c r="J122" t="inlineStr">
        <is>
          <t>trailing 12 calibrated months (Mar/24-Feb/25)</t>
        </is>
      </c>
      <c r="K122" t="n">
        <v>398878.2674359429</v>
      </c>
      <c r="L122" t="n">
        <v>460827.8948659539</v>
      </c>
      <c r="M122" t="inlineStr">
        <is>
          <t>published</t>
        </is>
      </c>
      <c r="N122" t="n">
        <v>36374</v>
      </c>
      <c r="O122" t="n">
        <v>12.66915639923995</v>
      </c>
      <c r="P122" t="n">
        <v>0.447407457492239</v>
      </c>
    </row>
    <row r="123">
      <c r="A123" t="inlineStr">
        <is>
          <t>Brazil</t>
        </is>
      </c>
      <c r="B123" t="inlineStr">
        <is>
          <t>BR</t>
        </is>
      </c>
      <c r="C123" s="4" t="n">
        <v>45748</v>
      </c>
      <c r="D123" t="n">
        <v>60979.75999999999</v>
      </c>
      <c r="E123" t="n">
        <v>568562.3821953322</v>
      </c>
      <c r="F123" t="n">
        <v>9.32378845366614</v>
      </c>
      <c r="G123" t="b">
        <v>1</v>
      </c>
      <c r="I123" t="n">
        <v>7.934117617492308</v>
      </c>
      <c r="J123" t="inlineStr">
        <is>
          <t>trailing 12 calibrated months (Apr/24-Mar/25)</t>
        </is>
      </c>
      <c r="K123" t="n">
        <v>483820.5881264527</v>
      </c>
      <c r="L123" t="n">
        <v>568562.3821953322</v>
      </c>
      <c r="M123" t="inlineStr">
        <is>
          <t>published</t>
        </is>
      </c>
      <c r="N123" t="n">
        <v>36374</v>
      </c>
      <c r="O123" t="n">
        <v>15.63101067233002</v>
      </c>
      <c r="P123" t="n">
        <v>0.552004452590133</v>
      </c>
    </row>
    <row r="124">
      <c r="A124" t="inlineStr">
        <is>
          <t>Brazil</t>
        </is>
      </c>
      <c r="B124" t="inlineStr">
        <is>
          <t>BR</t>
        </is>
      </c>
      <c r="C124" s="4" t="n">
        <v>45778</v>
      </c>
      <c r="D124" t="n">
        <v>62629.59677419356</v>
      </c>
      <c r="E124" t="n">
        <v>615955.1191488268</v>
      </c>
      <c r="F124" t="n">
        <v>9.834888788596357</v>
      </c>
      <c r="G124" t="b">
        <v>1</v>
      </c>
      <c r="I124" t="n">
        <v>8.053560363226534</v>
      </c>
      <c r="J124" t="inlineStr">
        <is>
          <t>trailing 12 calibrated months (May/24-Apr/25)</t>
        </is>
      </c>
      <c r="K124" t="n">
        <v>504391.2381455057</v>
      </c>
      <c r="L124" t="n">
        <v>615955.1191488268</v>
      </c>
      <c r="M124" t="inlineStr">
        <is>
          <t>published</t>
        </is>
      </c>
      <c r="N124" t="n">
        <v>36374</v>
      </c>
      <c r="O124" t="n">
        <v>16.93393960380565</v>
      </c>
      <c r="P124" t="n">
        <v>0.5980169969265154</v>
      </c>
    </row>
    <row r="125">
      <c r="A125" t="inlineStr">
        <is>
          <t>Brazil</t>
        </is>
      </c>
      <c r="B125" t="inlineStr">
        <is>
          <t>BR</t>
        </is>
      </c>
      <c r="C125" s="4" t="n">
        <v>45809</v>
      </c>
      <c r="D125" t="n">
        <v>80912.72</v>
      </c>
      <c r="E125" t="n">
        <v>691473.246310274</v>
      </c>
      <c r="F125" t="n">
        <v>8.545915231996576</v>
      </c>
      <c r="G125" t="b">
        <v>1</v>
      </c>
      <c r="I125" t="n">
        <v>8.166237523432118</v>
      </c>
      <c r="J125" t="inlineStr">
        <is>
          <t>trailing 12 calibrated months (Jun/24-May/25)</t>
        </is>
      </c>
      <c r="K125" t="n">
        <v>660752.4901869564</v>
      </c>
      <c r="L125" t="n">
        <v>691473.246310274</v>
      </c>
      <c r="M125" t="inlineStr">
        <is>
          <t>published</t>
        </is>
      </c>
      <c r="N125" t="n">
        <v>36374</v>
      </c>
      <c r="O125" t="n">
        <v>19.01009639605966</v>
      </c>
      <c r="P125" t="n">
        <v>0.6713358511979279</v>
      </c>
    </row>
    <row r="126">
      <c r="A126" t="inlineStr">
        <is>
          <t>Brazil</t>
        </is>
      </c>
      <c r="B126" t="inlineStr">
        <is>
          <t>BR</t>
        </is>
      </c>
      <c r="C126" s="4" t="n">
        <v>45839</v>
      </c>
      <c r="D126" t="n">
        <v>140066.129032258</v>
      </c>
      <c r="G126" t="b">
        <v>0</v>
      </c>
      <c r="I126" t="n">
        <v>8.242570975354607</v>
      </c>
      <c r="J126" t="inlineStr">
        <is>
          <t>trailing 12 calibrated months (Jul/24-Jun/25)</t>
        </is>
      </c>
      <c r="K126" t="n">
        <v>1154505.009791563</v>
      </c>
      <c r="L126" t="n">
        <v>1154505.009791563</v>
      </c>
      <c r="M126" t="inlineStr">
        <is>
          <t>estimated</t>
        </is>
      </c>
      <c r="N126" t="n">
        <v>36374</v>
      </c>
      <c r="O126" t="n">
        <v>31.73984191432241</v>
      </c>
      <c r="P126" t="n">
        <v>1.120882995251721</v>
      </c>
    </row>
    <row r="127">
      <c r="A127" t="inlineStr">
        <is>
          <t>Brazil</t>
        </is>
      </c>
      <c r="B127" t="inlineStr">
        <is>
          <t>BR</t>
        </is>
      </c>
      <c r="C127" s="4" t="n">
        <v>45870</v>
      </c>
      <c r="D127" t="n">
        <v>147688.8548387097</v>
      </c>
      <c r="G127" t="b">
        <v>0</v>
      </c>
      <c r="I127" t="n">
        <v>8.242570975354607</v>
      </c>
      <c r="J127" t="inlineStr">
        <is>
          <t>trailing 12 calibrated months (Jul/24-Jun/25)</t>
        </is>
      </c>
      <c r="K127" t="n">
        <v>1217335.868276908</v>
      </c>
      <c r="L127" t="n">
        <v>1217335.868276908</v>
      </c>
      <c r="M127" t="inlineStr">
        <is>
          <t>estimated</t>
        </is>
      </c>
      <c r="N127" t="n">
        <v>36374</v>
      </c>
      <c r="O127" t="n">
        <v>33.46719822612053</v>
      </c>
      <c r="P127" t="n">
        <v>1.181884065195979</v>
      </c>
    </row>
    <row r="128">
      <c r="A128" t="inlineStr">
        <is>
          <t>Brazil</t>
        </is>
      </c>
      <c r="B128" t="inlineStr">
        <is>
          <t>BR</t>
        </is>
      </c>
      <c r="C128" s="4" t="n">
        <v>45901</v>
      </c>
      <c r="D128" t="n">
        <v>118066.7366666667</v>
      </c>
      <c r="G128" t="b">
        <v>0</v>
      </c>
      <c r="I128" t="n">
        <v>8.242570975354607</v>
      </c>
      <c r="J128" t="inlineStr">
        <is>
          <t>trailing 12 calibrated months (Jul/24-Jun/25)</t>
        </is>
      </c>
      <c r="K128" t="n">
        <v>973173.4568035023</v>
      </c>
      <c r="L128" t="n">
        <v>973173.4568035023</v>
      </c>
      <c r="M128" t="inlineStr">
        <is>
          <t>estimated</t>
        </is>
      </c>
      <c r="N128" t="n">
        <v>36374</v>
      </c>
      <c r="O128" t="n">
        <v>26.75464498827466</v>
      </c>
      <c r="P128" t="n">
        <v>0.9448322613674229</v>
      </c>
    </row>
    <row r="129">
      <c r="A129" t="inlineStr">
        <is>
          <t>Brazil</t>
        </is>
      </c>
      <c r="B129" t="inlineStr">
        <is>
          <t>BR</t>
        </is>
      </c>
      <c r="C129" s="4" t="n">
        <v>45931</v>
      </c>
      <c r="D129" t="n">
        <v>166256.8967741936</v>
      </c>
      <c r="G129" t="b">
        <v>0</v>
      </c>
      <c r="I129" t="n">
        <v>8.242570975354607</v>
      </c>
      <c r="J129" t="inlineStr">
        <is>
          <t>trailing 12 calibrated months (Jul/24-Jun/25)</t>
        </is>
      </c>
      <c r="K129" t="n">
        <v>1370384.271803495</v>
      </c>
      <c r="L129" t="n">
        <v>1370384.271803495</v>
      </c>
      <c r="M129" t="inlineStr">
        <is>
          <t>estimated</t>
        </is>
      </c>
      <c r="N129" t="n">
        <v>36374</v>
      </c>
      <c r="O129" t="n">
        <v>37.67483014800393</v>
      </c>
      <c r="P129" t="n">
        <v>1.330475324227714</v>
      </c>
    </row>
    <row r="130">
      <c r="A130" t="inlineStr">
        <is>
          <t>Brazil</t>
        </is>
      </c>
      <c r="B130" t="inlineStr">
        <is>
          <t>BR</t>
        </is>
      </c>
      <c r="C130" s="4" t="n">
        <v>45962</v>
      </c>
      <c r="D130" t="n">
        <v>176987.8</v>
      </c>
      <c r="G130" t="b">
        <v>0</v>
      </c>
      <c r="I130" t="n">
        <v>8.242570975354607</v>
      </c>
      <c r="J130" t="inlineStr">
        <is>
          <t>trailing 12 calibrated months (Jul/24-Jun/25)</t>
        </is>
      </c>
      <c r="K130" t="n">
        <v>1458834.503271866</v>
      </c>
      <c r="L130" t="n">
        <v>1458834.503271866</v>
      </c>
      <c r="M130" t="inlineStr">
        <is>
          <t>estimated</t>
        </is>
      </c>
      <c r="N130" t="n">
        <v>36374</v>
      </c>
      <c r="O130" t="n">
        <v>40.10651848220888</v>
      </c>
      <c r="P130" t="n">
        <v>1.416349668243662</v>
      </c>
    </row>
    <row r="131">
      <c r="A131" t="inlineStr">
        <is>
          <t>Brazil</t>
        </is>
      </c>
      <c r="B131" t="inlineStr">
        <is>
          <t>BR</t>
        </is>
      </c>
      <c r="C131" s="4" t="n">
        <v>45992</v>
      </c>
      <c r="D131" t="n">
        <v>115175.6838709678</v>
      </c>
      <c r="G131" t="b">
        <v>0</v>
      </c>
      <c r="I131" t="n">
        <v>8.242570975354607</v>
      </c>
      <c r="J131" t="inlineStr">
        <is>
          <t>trailing 12 calibrated months (Jul/24-Jun/25)</t>
        </is>
      </c>
      <c r="K131" t="n">
        <v>949343.7489414565</v>
      </c>
      <c r="L131" t="n">
        <v>949343.7489414565</v>
      </c>
      <c r="M131" t="inlineStr">
        <is>
          <t>estimated</t>
        </is>
      </c>
      <c r="N131" t="n">
        <v>36374</v>
      </c>
      <c r="O131" t="n">
        <v>26.09951473419081</v>
      </c>
      <c r="P131" t="n">
        <v>0.9216965329835282</v>
      </c>
    </row>
    <row r="132">
      <c r="A132" t="inlineStr">
        <is>
          <t>Brazil</t>
        </is>
      </c>
      <c r="B132" t="inlineStr">
        <is>
          <t>BR</t>
        </is>
      </c>
      <c r="C132" s="4" t="n">
        <v>46023</v>
      </c>
      <c r="D132" t="n">
        <v>126708.4</v>
      </c>
      <c r="G132" t="b">
        <v>0</v>
      </c>
      <c r="I132" t="n">
        <v>8.242570975354607</v>
      </c>
      <c r="J132" t="inlineStr">
        <is>
          <t>trailing 12 calibrated months (Jul/24-Jun/25)</t>
        </is>
      </c>
      <c r="K132" t="n">
        <v>1044402.980173622</v>
      </c>
      <c r="L132" t="n">
        <v>1044402.980173622</v>
      </c>
      <c r="M132" t="inlineStr">
        <is>
          <t>estimated</t>
        </is>
      </c>
      <c r="N132" t="n">
        <v>36374</v>
      </c>
      <c r="O132" t="n">
        <v>28.71289877862269</v>
      </c>
      <c r="P132" t="n">
        <v>1.013987406497427</v>
      </c>
    </row>
    <row r="133">
      <c r="A133" t="inlineStr">
        <is>
          <t>Brazil</t>
        </is>
      </c>
      <c r="B133" t="inlineStr">
        <is>
          <t>BR</t>
        </is>
      </c>
      <c r="C133" s="4" t="n">
        <v>46054</v>
      </c>
      <c r="D133" t="n">
        <v>97121.96071428571</v>
      </c>
      <c r="G133" t="b">
        <v>0</v>
      </c>
      <c r="I133" t="n">
        <v>8.242570975354607</v>
      </c>
      <c r="J133" t="inlineStr">
        <is>
          <t>trailing 12 calibrated months (Jul/24-Jun/25)</t>
        </is>
      </c>
      <c r="K133" t="n">
        <v>800534.6544531018</v>
      </c>
      <c r="L133" t="n">
        <v>800534.6544531018</v>
      </c>
      <c r="M133" t="inlineStr">
        <is>
          <t>estimated</t>
        </is>
      </c>
      <c r="N133" t="n">
        <v>36374</v>
      </c>
      <c r="O133" t="n">
        <v>22.0084305947408</v>
      </c>
      <c r="P133" t="n">
        <v>0.7772211239240928</v>
      </c>
    </row>
    <row r="134">
      <c r="A134" t="inlineStr">
        <is>
          <t>Brazil</t>
        </is>
      </c>
      <c r="B134" t="inlineStr">
        <is>
          <t>BR</t>
        </is>
      </c>
      <c r="C134" s="4" t="n">
        <v>46082</v>
      </c>
      <c r="D134" t="n">
        <v>124104.5322580645</v>
      </c>
      <c r="G134" t="b">
        <v>0</v>
      </c>
      <c r="I134" t="n">
        <v>8.242570975354607</v>
      </c>
      <c r="J134" t="inlineStr">
        <is>
          <t>trailing 12 calibrated months (Jul/24-Jun/25)</t>
        </is>
      </c>
      <c r="K134" t="n">
        <v>1022940.415500282</v>
      </c>
      <c r="L134" t="n">
        <v>1022940.415500282</v>
      </c>
      <c r="M134" t="inlineStr">
        <is>
          <t>estimated</t>
        </is>
      </c>
      <c r="N134" t="n">
        <v>36374</v>
      </c>
      <c r="O134" t="n">
        <v>28.12284641502948</v>
      </c>
      <c r="P134" t="n">
        <v>0.9931498842928415</v>
      </c>
    </row>
    <row r="135">
      <c r="A135" t="inlineStr">
        <is>
          <t>Brazil</t>
        </is>
      </c>
      <c r="B135" t="inlineStr">
        <is>
          <t>BR</t>
        </is>
      </c>
      <c r="C135" s="4" t="n">
        <v>46113</v>
      </c>
      <c r="D135" t="n">
        <v>84719.40666666668</v>
      </c>
      <c r="G135" t="b">
        <v>0</v>
      </c>
      <c r="I135" t="n">
        <v>8.242570975354607</v>
      </c>
      <c r="J135" t="inlineStr">
        <is>
          <t>trailing 12 calibrated months (Jul/24-Jun/25)</t>
        </is>
      </c>
      <c r="K135" t="n">
        <v>698305.7224399303</v>
      </c>
      <c r="L135" t="n">
        <v>698305.7224399303</v>
      </c>
      <c r="M135" t="inlineStr">
        <is>
          <t>estimated</t>
        </is>
      </c>
      <c r="N135" t="n">
        <v>36374</v>
      </c>
      <c r="O135" t="n">
        <v>19.19793595535081</v>
      </c>
      <c r="P135" t="n">
        <v>0.6779693488824271</v>
      </c>
    </row>
    <row r="136">
      <c r="A136" t="inlineStr">
        <is>
          <t>Brazil</t>
        </is>
      </c>
      <c r="B136" t="inlineStr">
        <is>
          <t>BR</t>
        </is>
      </c>
      <c r="C136" s="4" t="n">
        <v>46143</v>
      </c>
      <c r="D136" t="n">
        <v>74779.17741935483</v>
      </c>
      <c r="G136" t="b">
        <v>0</v>
      </c>
      <c r="I136" t="n">
        <v>8.242570975354607</v>
      </c>
      <c r="J136" t="inlineStr">
        <is>
          <t>trailing 12 calibrated months (Jul/24-Jun/25)</t>
        </is>
      </c>
      <c r="K136" t="n">
        <v>616372.6773576668</v>
      </c>
      <c r="L136" t="n">
        <v>616372.6773576668</v>
      </c>
      <c r="M136" t="inlineStr">
        <is>
          <t>estimated</t>
        </is>
      </c>
      <c r="N136" t="n">
        <v>36374</v>
      </c>
      <c r="O136" t="n">
        <v>16.94541918286872</v>
      </c>
      <c r="P136" t="n">
        <v>0.5984223948172539</v>
      </c>
    </row>
    <row r="137">
      <c r="A137" t="inlineStr">
        <is>
          <t>Brazil</t>
        </is>
      </c>
      <c r="B137" t="inlineStr">
        <is>
          <t>BR</t>
        </is>
      </c>
      <c r="C137" s="4" t="n">
        <v>46174</v>
      </c>
      <c r="D137" t="n">
        <v>94007.43666666666</v>
      </c>
      <c r="G137" t="b">
        <v>0</v>
      </c>
      <c r="I137" t="n">
        <v>8.242570975354607</v>
      </c>
      <c r="J137" t="inlineStr">
        <is>
          <t>trailing 12 calibrated months (Jul/24-Jun/25)</t>
        </is>
      </c>
      <c r="K137" t="n">
        <v>774862.968936153</v>
      </c>
      <c r="L137" t="n">
        <v>774862.968936153</v>
      </c>
      <c r="M137" t="inlineStr">
        <is>
          <t>estimated</t>
        </is>
      </c>
      <c r="N137" t="n">
        <v>36374</v>
      </c>
      <c r="O137" t="n">
        <v>21.30266038753376</v>
      </c>
      <c r="P137" t="n">
        <v>0.7522970607876384</v>
      </c>
    </row>
    <row r="138">
      <c r="A138" t="inlineStr">
        <is>
          <t>Brazil</t>
        </is>
      </c>
      <c r="B138" t="inlineStr">
        <is>
          <t>BR</t>
        </is>
      </c>
      <c r="C138" s="4" t="n">
        <v>46204</v>
      </c>
      <c r="D138" t="n">
        <v>111224.7548387097</v>
      </c>
      <c r="G138" t="b">
        <v>0</v>
      </c>
      <c r="I138" t="n">
        <v>8.242570975354607</v>
      </c>
      <c r="J138" t="inlineStr">
        <is>
          <t>trailing 12 calibrated months (Jul/24-Jun/25)</t>
        </is>
      </c>
      <c r="K138" t="n">
        <v>916777.9359744802</v>
      </c>
      <c r="L138" t="n">
        <v>916777.9359744802</v>
      </c>
      <c r="M138" t="inlineStr">
        <is>
          <t>estimated</t>
        </is>
      </c>
      <c r="N138" t="n">
        <v>36374</v>
      </c>
      <c r="O138" t="n">
        <v>25.20421003943697</v>
      </c>
      <c r="P138" t="n">
        <v>0.8900791162797046</v>
      </c>
    </row>
    <row r="139">
      <c r="A139" t="inlineStr">
        <is>
          <t>Brazil</t>
        </is>
      </c>
      <c r="B139" t="inlineStr">
        <is>
          <t>BR</t>
        </is>
      </c>
      <c r="C139" s="4" t="n">
        <v>46235</v>
      </c>
      <c r="D139" t="n">
        <v>100353.0193548387</v>
      </c>
      <c r="G139" t="b">
        <v>0</v>
      </c>
      <c r="I139" t="n">
        <v>8.242570975354607</v>
      </c>
      <c r="J139" t="inlineStr">
        <is>
          <t>trailing 12 calibrated months (Jul/24-Jun/25)</t>
        </is>
      </c>
      <c r="K139" t="n">
        <v>827166.8846233928</v>
      </c>
      <c r="L139" t="n">
        <v>827166.8846233928</v>
      </c>
      <c r="M139" t="inlineStr">
        <is>
          <t>estimated</t>
        </is>
      </c>
      <c r="N139" t="n">
        <v>36374</v>
      </c>
      <c r="O139" t="n">
        <v>22.74060825379097</v>
      </c>
      <c r="P139" t="n">
        <v>0.803077758300152</v>
      </c>
    </row>
    <row r="140">
      <c r="A140" t="inlineStr">
        <is>
          <t>Brazil</t>
        </is>
      </c>
      <c r="B140" t="inlineStr">
        <is>
          <t>BR</t>
        </is>
      </c>
      <c r="C140" s="4" t="n">
        <v>46266</v>
      </c>
      <c r="D140" t="n">
        <v>98098.62333333332</v>
      </c>
      <c r="G140" t="b">
        <v>0</v>
      </c>
      <c r="I140" t="n">
        <v>8.242570975354607</v>
      </c>
      <c r="J140" t="inlineStr">
        <is>
          <t>trailing 12 calibrated months (Jul/24-Jun/25)</t>
        </is>
      </c>
      <c r="K140" t="n">
        <v>808584.8654095774</v>
      </c>
      <c r="L140" t="n">
        <v>808584.8654095774</v>
      </c>
      <c r="M140" t="inlineStr">
        <is>
          <t>estimated</t>
        </is>
      </c>
      <c r="N140" t="n">
        <v>36374</v>
      </c>
      <c r="O140" t="n">
        <v>22.22974832049204</v>
      </c>
      <c r="P140" t="n">
        <v>0.7850368930136802</v>
      </c>
    </row>
    <row r="141">
      <c r="A141" t="inlineStr">
        <is>
          <t>Brazil</t>
        </is>
      </c>
      <c r="B141" t="inlineStr">
        <is>
          <t>BR</t>
        </is>
      </c>
      <c r="C141" s="4" t="n">
        <v>46296</v>
      </c>
      <c r="D141" t="n">
        <v>118712.8192307692</v>
      </c>
      <c r="G141" t="b">
        <v>0</v>
      </c>
      <c r="I141" t="n">
        <v>8.242570975354607</v>
      </c>
      <c r="J141" t="inlineStr">
        <is>
          <t>trailing 12 calibrated months (Jul/24-Jun/25)</t>
        </is>
      </c>
      <c r="K141" t="n">
        <v>978498.8381940566</v>
      </c>
      <c r="L141" t="n">
        <v>978498.8381940566</v>
      </c>
      <c r="M141" t="inlineStr">
        <is>
          <t>estimated</t>
        </is>
      </c>
      <c r="N141" t="n">
        <v>36374</v>
      </c>
      <c r="O141" t="n">
        <v>26.9010512507301</v>
      </c>
      <c r="P141" t="n">
        <v>0.9500025546041582</v>
      </c>
    </row>
    <row r="142">
      <c r="A142" t="inlineStr">
        <is>
          <t>Bolivia</t>
        </is>
      </c>
      <c r="B142" t="inlineStr">
        <is>
          <t>BO</t>
        </is>
      </c>
      <c r="C142" s="4" t="n">
        <v>44197</v>
      </c>
      <c r="D142" t="n">
        <v>13248.98387096774</v>
      </c>
      <c r="E142" t="n">
        <v>116178.556</v>
      </c>
      <c r="F142" t="n">
        <v>8.76886538103348</v>
      </c>
      <c r="G142" t="b">
        <v>1</v>
      </c>
      <c r="I142" t="n">
        <v>8.44058036119119</v>
      </c>
      <c r="J142" t="inlineStr">
        <is>
          <t>first 12 calibrated months (Jan/21-Dec/21)</t>
        </is>
      </c>
      <c r="K142" t="n">
        <v>111829.1130670291</v>
      </c>
      <c r="L142" t="n">
        <v>116178.556</v>
      </c>
      <c r="M142" t="inlineStr">
        <is>
          <t>published</t>
        </is>
      </c>
      <c r="N142" t="n">
        <v>36374</v>
      </c>
      <c r="O142" t="n">
        <v>3.194</v>
      </c>
      <c r="P142" t="n">
        <v>0.1127951518</v>
      </c>
    </row>
    <row r="143">
      <c r="A143" t="inlineStr">
        <is>
          <t>Bolivia</t>
        </is>
      </c>
      <c r="B143" t="inlineStr">
        <is>
          <t>BO</t>
        </is>
      </c>
      <c r="C143" s="4" t="n">
        <v>44228</v>
      </c>
      <c r="D143" t="n">
        <v>13882.15</v>
      </c>
      <c r="E143" t="n">
        <v>127418.122</v>
      </c>
      <c r="F143" t="n">
        <v>9.178558220448563</v>
      </c>
      <c r="G143" t="b">
        <v>1</v>
      </c>
      <c r="I143" t="n">
        <v>8.44058036119119</v>
      </c>
      <c r="J143" t="inlineStr">
        <is>
          <t>first 12 calibrated months (Jan/21-Dec/21)</t>
        </is>
      </c>
      <c r="K143" t="n">
        <v>117173.4026611103</v>
      </c>
      <c r="L143" t="n">
        <v>127418.122</v>
      </c>
      <c r="M143" t="inlineStr">
        <is>
          <t>published</t>
        </is>
      </c>
      <c r="N143" t="n">
        <v>36374</v>
      </c>
      <c r="O143" t="n">
        <v>3.503</v>
      </c>
      <c r="P143" t="n">
        <v>0.1237073941</v>
      </c>
    </row>
    <row r="144">
      <c r="A144" t="inlineStr">
        <is>
          <t>Bolivia</t>
        </is>
      </c>
      <c r="B144" t="inlineStr">
        <is>
          <t>BO</t>
        </is>
      </c>
      <c r="C144" s="4" t="n">
        <v>44256</v>
      </c>
      <c r="D144" t="n">
        <v>14945.80322580645</v>
      </c>
      <c r="E144" t="n">
        <v>133092.466</v>
      </c>
      <c r="F144" t="n">
        <v>8.905005906286348</v>
      </c>
      <c r="G144" t="b">
        <v>1</v>
      </c>
      <c r="I144" t="n">
        <v>8.44058036119119</v>
      </c>
      <c r="J144" t="inlineStr">
        <is>
          <t>first 12 calibrated months (Jan/21-Dec/21)</t>
        </is>
      </c>
      <c r="K144" t="n">
        <v>126151.2531899699</v>
      </c>
      <c r="L144" t="n">
        <v>133092.466</v>
      </c>
      <c r="M144" t="inlineStr">
        <is>
          <t>published</t>
        </is>
      </c>
      <c r="N144" t="n">
        <v>36374</v>
      </c>
      <c r="O144" t="n">
        <v>3.659</v>
      </c>
      <c r="P144" t="n">
        <v>0.1292164873</v>
      </c>
    </row>
    <row r="145">
      <c r="A145" t="inlineStr">
        <is>
          <t>Bolivia</t>
        </is>
      </c>
      <c r="B145" t="inlineStr">
        <is>
          <t>BO</t>
        </is>
      </c>
      <c r="C145" s="4" t="n">
        <v>44287</v>
      </c>
      <c r="D145" t="n">
        <v>14121.55</v>
      </c>
      <c r="E145" t="n">
        <v>125090.186</v>
      </c>
      <c r="F145" t="n">
        <v>8.858105944460773</v>
      </c>
      <c r="G145" t="b">
        <v>1</v>
      </c>
      <c r="I145" t="n">
        <v>8.44058036119119</v>
      </c>
      <c r="J145" t="inlineStr">
        <is>
          <t>first 12 calibrated months (Jan/21-Dec/21)</t>
        </is>
      </c>
      <c r="K145" t="n">
        <v>119194.0775995794</v>
      </c>
      <c r="L145" t="n">
        <v>125090.186</v>
      </c>
      <c r="M145" t="inlineStr">
        <is>
          <t>published</t>
        </is>
      </c>
      <c r="N145" t="n">
        <v>36374</v>
      </c>
      <c r="O145" t="n">
        <v>3.439</v>
      </c>
      <c r="P145" t="n">
        <v>0.1214472533</v>
      </c>
    </row>
    <row r="146">
      <c r="A146" t="inlineStr">
        <is>
          <t>Bolivia</t>
        </is>
      </c>
      <c r="B146" t="inlineStr">
        <is>
          <t>BO</t>
        </is>
      </c>
      <c r="C146" s="4" t="n">
        <v>44317</v>
      </c>
      <c r="D146" t="n">
        <v>17748.94516129032</v>
      </c>
      <c r="E146" t="n">
        <v>148005.806</v>
      </c>
      <c r="F146" t="n">
        <v>8.338850824937712</v>
      </c>
      <c r="G146" t="b">
        <v>1</v>
      </c>
      <c r="I146" t="n">
        <v>8.44058036119119</v>
      </c>
      <c r="J146" t="inlineStr">
        <is>
          <t>first 12 calibrated months (Jan/21-Dec/21)</t>
        </is>
      </c>
      <c r="K146" t="n">
        <v>149811.3979602465</v>
      </c>
      <c r="L146" t="n">
        <v>148005.806</v>
      </c>
      <c r="M146" t="inlineStr">
        <is>
          <t>published</t>
        </is>
      </c>
      <c r="N146" t="n">
        <v>36374</v>
      </c>
      <c r="O146" t="n">
        <v>4.069</v>
      </c>
      <c r="P146" t="n">
        <v>0.1436955143</v>
      </c>
    </row>
    <row r="147">
      <c r="A147" t="inlineStr">
        <is>
          <t>Bolivia</t>
        </is>
      </c>
      <c r="B147" t="inlineStr">
        <is>
          <t>BO</t>
        </is>
      </c>
      <c r="C147" s="4" t="n">
        <v>44348</v>
      </c>
      <c r="D147" t="n">
        <v>16127.97</v>
      </c>
      <c r="E147" t="n">
        <v>135056.662</v>
      </c>
      <c r="F147" t="n">
        <v>8.374064559891913</v>
      </c>
      <c r="G147" t="b">
        <v>1</v>
      </c>
      <c r="I147" t="n">
        <v>8.44058036119119</v>
      </c>
      <c r="J147" t="inlineStr">
        <is>
          <t>first 12 calibrated months (Jan/21-Dec/21)</t>
        </is>
      </c>
      <c r="K147" t="n">
        <v>136129.4268478807</v>
      </c>
      <c r="L147" t="n">
        <v>135056.662</v>
      </c>
      <c r="M147" t="inlineStr">
        <is>
          <t>published</t>
        </is>
      </c>
      <c r="N147" t="n">
        <v>36374</v>
      </c>
      <c r="O147" t="n">
        <v>3.713000000000001</v>
      </c>
      <c r="P147" t="n">
        <v>0.1311234811</v>
      </c>
    </row>
    <row r="148">
      <c r="A148" t="inlineStr">
        <is>
          <t>Bolivia</t>
        </is>
      </c>
      <c r="B148" t="inlineStr">
        <is>
          <t>BO</t>
        </is>
      </c>
      <c r="C148" s="4" t="n">
        <v>44378</v>
      </c>
      <c r="D148" t="n">
        <v>16516.9</v>
      </c>
      <c r="E148" t="n">
        <v>139712.534</v>
      </c>
      <c r="F148" t="n">
        <v>8.458762479642063</v>
      </c>
      <c r="G148" t="b">
        <v>1</v>
      </c>
      <c r="I148" t="n">
        <v>8.713164508013424</v>
      </c>
      <c r="J148" t="inlineStr">
        <is>
          <t>trailing 6 calibrated months (Jan/21-Jun/21)</t>
        </is>
      </c>
      <c r="K148" t="n">
        <v>143914.4668624069</v>
      </c>
      <c r="L148" t="n">
        <v>139712.534</v>
      </c>
      <c r="M148" t="inlineStr">
        <is>
          <t>published</t>
        </is>
      </c>
      <c r="N148" t="n">
        <v>36374</v>
      </c>
      <c r="O148" t="n">
        <v>3.841</v>
      </c>
      <c r="P148" t="n">
        <v>0.1356437627</v>
      </c>
    </row>
    <row r="149">
      <c r="A149" t="inlineStr">
        <is>
          <t>Bolivia</t>
        </is>
      </c>
      <c r="B149" t="inlineStr">
        <is>
          <t>BO</t>
        </is>
      </c>
      <c r="C149" s="4" t="n">
        <v>44409</v>
      </c>
      <c r="D149" t="n">
        <v>16856.56451612903</v>
      </c>
      <c r="E149" t="n">
        <v>142658.828</v>
      </c>
      <c r="F149" t="n">
        <v>8.463102185709214</v>
      </c>
      <c r="G149" t="b">
        <v>1</v>
      </c>
      <c r="I149" t="n">
        <v>8.673743904711003</v>
      </c>
      <c r="J149" t="inlineStr">
        <is>
          <t>trailing 7 calibrated months (Jan/21-Jul/21)</t>
        </is>
      </c>
      <c r="K149" t="n">
        <v>146209.523726142</v>
      </c>
      <c r="L149" t="n">
        <v>142658.828</v>
      </c>
      <c r="M149" t="inlineStr">
        <is>
          <t>published</t>
        </is>
      </c>
      <c r="N149" t="n">
        <v>36374</v>
      </c>
      <c r="O149" t="n">
        <v>3.922</v>
      </c>
      <c r="P149" t="n">
        <v>0.1385042534</v>
      </c>
    </row>
    <row r="150">
      <c r="A150" t="inlineStr">
        <is>
          <t>Bolivia</t>
        </is>
      </c>
      <c r="B150" t="inlineStr">
        <is>
          <t>BO</t>
        </is>
      </c>
      <c r="C150" s="4" t="n">
        <v>44440</v>
      </c>
      <c r="D150" t="n">
        <v>18550.12666666667</v>
      </c>
      <c r="E150" t="n">
        <v>152116.068</v>
      </c>
      <c r="F150" t="n">
        <v>8.200271121239425</v>
      </c>
      <c r="G150" t="b">
        <v>1</v>
      </c>
      <c r="I150" t="n">
        <v>8.644981423378253</v>
      </c>
      <c r="J150" t="inlineStr">
        <is>
          <t>trailing 8 calibrated months (Jan/21-Aug/21)</t>
        </is>
      </c>
      <c r="K150" t="n">
        <v>160365.5004346469</v>
      </c>
      <c r="L150" t="n">
        <v>152116.068</v>
      </c>
      <c r="M150" t="inlineStr">
        <is>
          <t>published</t>
        </is>
      </c>
      <c r="N150" t="n">
        <v>36374</v>
      </c>
      <c r="O150" t="n">
        <v>4.182</v>
      </c>
      <c r="P150" t="n">
        <v>0.1476860754</v>
      </c>
    </row>
    <row r="151">
      <c r="A151" t="inlineStr">
        <is>
          <t>Bolivia</t>
        </is>
      </c>
      <c r="B151" t="inlineStr">
        <is>
          <t>BO</t>
        </is>
      </c>
      <c r="C151" s="4" t="n">
        <v>44470</v>
      </c>
      <c r="D151" t="n">
        <v>19457.40967741935</v>
      </c>
      <c r="E151" t="n">
        <v>160191.096</v>
      </c>
      <c r="F151" t="n">
        <v>8.232909655281833</v>
      </c>
      <c r="G151" t="b">
        <v>1</v>
      </c>
      <c r="I151" t="n">
        <v>8.586886416964827</v>
      </c>
      <c r="J151" t="inlineStr">
        <is>
          <t>trailing 9 calibrated months (Jan/21-Sep/21)</t>
        </is>
      </c>
      <c r="K151" t="n">
        <v>167078.5668683522</v>
      </c>
      <c r="L151" t="n">
        <v>160191.096</v>
      </c>
      <c r="M151" t="inlineStr">
        <is>
          <t>published</t>
        </is>
      </c>
      <c r="N151" t="n">
        <v>36374</v>
      </c>
      <c r="O151" t="n">
        <v>4.404</v>
      </c>
      <c r="P151" t="n">
        <v>0.1555259388</v>
      </c>
    </row>
    <row r="152">
      <c r="A152" t="inlineStr">
        <is>
          <t>Bolivia</t>
        </is>
      </c>
      <c r="B152" t="inlineStr">
        <is>
          <t>BO</t>
        </is>
      </c>
      <c r="C152" s="4" t="n">
        <v>44501</v>
      </c>
      <c r="D152" t="n">
        <v>20450.96000000001</v>
      </c>
      <c r="E152" t="n">
        <v>165101.586</v>
      </c>
      <c r="F152" t="n">
        <v>8.073048208983829</v>
      </c>
      <c r="G152" t="b">
        <v>1</v>
      </c>
      <c r="I152" t="n">
        <v>8.544228022900972</v>
      </c>
      <c r="J152" t="inlineStr">
        <is>
          <t>trailing 10 calibrated months (Jan/21-Oct/21)</t>
        </is>
      </c>
      <c r="K152" t="n">
        <v>174737.6655272269</v>
      </c>
      <c r="L152" t="n">
        <v>165101.586</v>
      </c>
      <c r="M152" t="inlineStr">
        <is>
          <t>published</t>
        </is>
      </c>
      <c r="N152" t="n">
        <v>36374</v>
      </c>
      <c r="O152" t="n">
        <v>4.539</v>
      </c>
      <c r="P152" t="n">
        <v>0.1602934233</v>
      </c>
    </row>
    <row r="153">
      <c r="A153" t="inlineStr">
        <is>
          <t>Bolivia</t>
        </is>
      </c>
      <c r="B153" t="inlineStr">
        <is>
          <t>BO</t>
        </is>
      </c>
      <c r="C153" s="4" t="n">
        <v>44531</v>
      </c>
      <c r="D153" t="n">
        <v>16476.75483870968</v>
      </c>
      <c r="E153" t="n">
        <v>129855.18</v>
      </c>
      <c r="F153" t="n">
        <v>7.881113803728182</v>
      </c>
      <c r="G153" t="b">
        <v>1</v>
      </c>
      <c r="I153" t="n">
        <v>8.491255568339243</v>
      </c>
      <c r="J153" t="inlineStr">
        <is>
          <t>trailing 11 calibrated months (Jan/21-Nov/21)</t>
        </is>
      </c>
      <c r="K153" t="n">
        <v>139908.3362723542</v>
      </c>
      <c r="L153" t="n">
        <v>129855.18</v>
      </c>
      <c r="M153" t="inlineStr">
        <is>
          <t>published</t>
        </is>
      </c>
      <c r="N153" t="n">
        <v>36374</v>
      </c>
      <c r="O153" t="n">
        <v>3.57</v>
      </c>
      <c r="P153" t="n">
        <v>0.126073479</v>
      </c>
    </row>
    <row r="154">
      <c r="A154" t="inlineStr">
        <is>
          <t>Bolivia</t>
        </is>
      </c>
      <c r="B154" t="inlineStr">
        <is>
          <t>BO</t>
        </is>
      </c>
      <c r="C154" s="4" t="n">
        <v>44562</v>
      </c>
      <c r="D154" t="n">
        <v>16404.0129032258</v>
      </c>
      <c r="E154" t="n">
        <v>131637.506</v>
      </c>
      <c r="F154" t="n">
        <v>8.024713634193365</v>
      </c>
      <c r="G154" t="b">
        <v>1</v>
      </c>
      <c r="I154" t="n">
        <v>8.44058036119119</v>
      </c>
      <c r="J154" t="inlineStr">
        <is>
          <t>trailing 12 calibrated months (Jan/21-Dec/21)</t>
        </is>
      </c>
      <c r="K154" t="n">
        <v>138459.3891556946</v>
      </c>
      <c r="L154" t="n">
        <v>131637.506</v>
      </c>
      <c r="M154" t="inlineStr">
        <is>
          <t>published</t>
        </is>
      </c>
      <c r="N154" t="n">
        <v>36374</v>
      </c>
      <c r="O154" t="n">
        <v>3.619</v>
      </c>
      <c r="P154" t="n">
        <v>0.1278038993</v>
      </c>
    </row>
    <row r="155">
      <c r="A155" t="inlineStr">
        <is>
          <t>Bolivia</t>
        </is>
      </c>
      <c r="B155" t="inlineStr">
        <is>
          <t>BO</t>
        </is>
      </c>
      <c r="C155" s="4" t="n">
        <v>44593</v>
      </c>
      <c r="D155" t="n">
        <v>17793.09285714286</v>
      </c>
      <c r="E155" t="n">
        <v>140912.876</v>
      </c>
      <c r="F155" t="n">
        <v>7.919526814779251</v>
      </c>
      <c r="G155" t="b">
        <v>1</v>
      </c>
      <c r="I155" t="n">
        <v>8.385150305762496</v>
      </c>
      <c r="J155" t="inlineStr">
        <is>
          <t>trailing 12 calibrated months (Feb/21-Jan/22)</t>
        </is>
      </c>
      <c r="K155" t="n">
        <v>149197.7580115319</v>
      </c>
      <c r="L155" t="n">
        <v>140912.876</v>
      </c>
      <c r="M155" t="inlineStr">
        <is>
          <t>published</t>
        </is>
      </c>
      <c r="N155" t="n">
        <v>36374</v>
      </c>
      <c r="O155" t="n">
        <v>3.874000000000001</v>
      </c>
      <c r="P155" t="n">
        <v>0.1368091478</v>
      </c>
    </row>
    <row r="156">
      <c r="A156" t="inlineStr">
        <is>
          <t>Bolivia</t>
        </is>
      </c>
      <c r="B156" t="inlineStr">
        <is>
          <t>BO</t>
        </is>
      </c>
      <c r="C156" s="4" t="n">
        <v>44621</v>
      </c>
      <c r="D156" t="n">
        <v>16099.27419354838</v>
      </c>
      <c r="E156" t="n">
        <v>128945.83</v>
      </c>
      <c r="F156" t="n">
        <v>8.009418837755661</v>
      </c>
      <c r="G156" t="b">
        <v>1</v>
      </c>
      <c r="I156" t="n">
        <v>8.291214646212186</v>
      </c>
      <c r="J156" t="inlineStr">
        <is>
          <t>trailing 12 calibrated months (Mar/21-Feb/22)</t>
        </is>
      </c>
      <c r="K156" t="n">
        <v>133482.5379869342</v>
      </c>
      <c r="L156" t="n">
        <v>128945.83</v>
      </c>
      <c r="M156" t="inlineStr">
        <is>
          <t>published</t>
        </is>
      </c>
      <c r="N156" t="n">
        <v>36374</v>
      </c>
      <c r="O156" t="n">
        <v>3.545</v>
      </c>
      <c r="P156" t="n">
        <v>0.1251906115</v>
      </c>
    </row>
    <row r="157">
      <c r="A157" t="inlineStr">
        <is>
          <t>Bolivia</t>
        </is>
      </c>
      <c r="B157" t="inlineStr">
        <is>
          <t>BO</t>
        </is>
      </c>
      <c r="C157" s="4" t="n">
        <v>44652</v>
      </c>
      <c r="D157" t="n">
        <v>15860.86666666667</v>
      </c>
      <c r="E157" t="n">
        <v>123707.974</v>
      </c>
      <c r="F157" t="n">
        <v>7.799572154527074</v>
      </c>
      <c r="G157" t="b">
        <v>1</v>
      </c>
      <c r="I157" t="n">
        <v>8.224854166616888</v>
      </c>
      <c r="J157" t="inlineStr">
        <is>
          <t>trailing 12 calibrated months (Apr/21-Mar/22)</t>
        </is>
      </c>
      <c r="K157" t="n">
        <v>130453.3152894883</v>
      </c>
      <c r="L157" t="n">
        <v>123707.974</v>
      </c>
      <c r="M157" t="inlineStr">
        <is>
          <t>published</t>
        </is>
      </c>
      <c r="N157" t="n">
        <v>36374</v>
      </c>
      <c r="O157" t="n">
        <v>3.401</v>
      </c>
      <c r="P157" t="n">
        <v>0.1201052947</v>
      </c>
    </row>
    <row r="158">
      <c r="A158" t="inlineStr">
        <is>
          <t>Bolivia</t>
        </is>
      </c>
      <c r="B158" t="inlineStr">
        <is>
          <t>BO</t>
        </is>
      </c>
      <c r="C158" s="4" t="n">
        <v>44682</v>
      </c>
      <c r="D158" t="n">
        <v>16221.77096774193</v>
      </c>
      <c r="E158" t="n">
        <v>122544.006</v>
      </c>
      <c r="F158" t="n">
        <v>7.554292699834494</v>
      </c>
      <c r="G158" t="b">
        <v>1</v>
      </c>
      <c r="I158" t="n">
        <v>8.149555994091909</v>
      </c>
      <c r="J158" t="inlineStr">
        <is>
          <t>trailing 12 calibrated months (May/21-Apr/22)</t>
        </is>
      </c>
      <c r="K158" t="n">
        <v>132200.2308249474</v>
      </c>
      <c r="L158" t="n">
        <v>122544.006</v>
      </c>
      <c r="M158" t="inlineStr">
        <is>
          <t>published</t>
        </is>
      </c>
      <c r="N158" t="n">
        <v>36374</v>
      </c>
      <c r="O158" t="n">
        <v>3.369</v>
      </c>
      <c r="P158" t="n">
        <v>0.1189752243</v>
      </c>
    </row>
    <row r="159">
      <c r="A159" t="inlineStr">
        <is>
          <t>Bolivia</t>
        </is>
      </c>
      <c r="B159" t="inlineStr">
        <is>
          <t>BO</t>
        </is>
      </c>
      <c r="C159" s="4" t="n">
        <v>44713</v>
      </c>
      <c r="D159" t="n">
        <v>15315.14666666667</v>
      </c>
      <c r="E159" t="n">
        <v>114359.856</v>
      </c>
      <c r="F159" t="n">
        <v>7.467108117802333</v>
      </c>
      <c r="G159" t="b">
        <v>1</v>
      </c>
      <c r="I159" t="n">
        <v>8.086620693773504</v>
      </c>
      <c r="J159" t="inlineStr">
        <is>
          <t>trailing 12 calibrated months (Jun/21-May/22)</t>
        </is>
      </c>
      <c r="K159" t="n">
        <v>123847.781962843</v>
      </c>
      <c r="L159" t="n">
        <v>114359.856</v>
      </c>
      <c r="M159" t="inlineStr">
        <is>
          <t>published</t>
        </is>
      </c>
      <c r="N159" t="n">
        <v>36374</v>
      </c>
      <c r="O159" t="n">
        <v>3.144</v>
      </c>
      <c r="P159" t="n">
        <v>0.1110294168</v>
      </c>
    </row>
    <row r="160">
      <c r="A160" t="inlineStr">
        <is>
          <t>Bolivia</t>
        </is>
      </c>
      <c r="B160" t="inlineStr">
        <is>
          <t>BO</t>
        </is>
      </c>
      <c r="C160" s="4" t="n">
        <v>44743</v>
      </c>
      <c r="D160" t="n">
        <v>16639.99677419355</v>
      </c>
      <c r="E160" t="n">
        <v>96682.092</v>
      </c>
      <c r="F160" t="n">
        <v>5.81022300136147</v>
      </c>
      <c r="G160" t="b">
        <v>1</v>
      </c>
      <c r="I160" t="n">
        <v>8.018059458049789</v>
      </c>
      <c r="J160" t="inlineStr">
        <is>
          <t>trailing 12 calibrated months (Jul/21-Jun/22)</t>
        </is>
      </c>
      <c r="K160" t="n">
        <v>133420.4835172406</v>
      </c>
      <c r="L160" t="n">
        <v>96682.092</v>
      </c>
      <c r="M160" t="inlineStr">
        <is>
          <t>published</t>
        </is>
      </c>
      <c r="N160" t="n">
        <v>36374</v>
      </c>
      <c r="O160" t="n">
        <v>2.658</v>
      </c>
      <c r="P160" t="n">
        <v>0.09386647259999999</v>
      </c>
    </row>
    <row r="161">
      <c r="A161" t="inlineStr">
        <is>
          <t>Bolivia</t>
        </is>
      </c>
      <c r="B161" t="inlineStr">
        <is>
          <t>BO</t>
        </is>
      </c>
      <c r="C161" s="4" t="n">
        <v>44774</v>
      </c>
      <c r="D161" t="n">
        <v>17070.57419354839</v>
      </c>
      <c r="E161" t="n">
        <v>137057.232</v>
      </c>
      <c r="F161" t="n">
        <v>8.028858926830889</v>
      </c>
      <c r="G161" t="b">
        <v>1</v>
      </c>
      <c r="I161" t="n">
        <v>7.804513160036904</v>
      </c>
      <c r="J161" t="inlineStr">
        <is>
          <t>trailing 12 calibrated months (Aug/21-Jul/22)</t>
        </is>
      </c>
      <c r="K161" t="n">
        <v>133227.5209429348</v>
      </c>
      <c r="L161" t="n">
        <v>137057.232</v>
      </c>
      <c r="M161" t="inlineStr">
        <is>
          <t>published</t>
        </is>
      </c>
      <c r="N161" t="n">
        <v>36374</v>
      </c>
      <c r="O161" t="n">
        <v>3.768</v>
      </c>
      <c r="P161" t="n">
        <v>0.1330657896</v>
      </c>
    </row>
    <row r="162">
      <c r="A162" t="inlineStr">
        <is>
          <t>Bolivia</t>
        </is>
      </c>
      <c r="B162" t="inlineStr">
        <is>
          <t>BO</t>
        </is>
      </c>
      <c r="C162" s="4" t="n">
        <v>44805</v>
      </c>
      <c r="D162" t="n">
        <v>18431.84666666667</v>
      </c>
      <c r="E162" t="n">
        <v>145496</v>
      </c>
      <c r="F162" t="n">
        <v>7.893728861315035</v>
      </c>
      <c r="G162" t="b">
        <v>1</v>
      </c>
      <c r="I162" t="n">
        <v>7.769271142866743</v>
      </c>
      <c r="J162" t="inlineStr">
        <is>
          <t>trailing 12 calibrated months (Sep/21-Aug/22)</t>
        </is>
      </c>
      <c r="K162" t="n">
        <v>143202.0144170779</v>
      </c>
      <c r="L162" t="n">
        <v>145496</v>
      </c>
      <c r="M162" t="inlineStr">
        <is>
          <t>published</t>
        </is>
      </c>
      <c r="N162" t="n">
        <v>36374</v>
      </c>
      <c r="O162" t="n">
        <v>4</v>
      </c>
      <c r="P162" t="n">
        <v>0.1412588</v>
      </c>
    </row>
    <row r="163">
      <c r="A163" t="inlineStr">
        <is>
          <t>Bolivia</t>
        </is>
      </c>
      <c r="B163" t="inlineStr">
        <is>
          <t>BO</t>
        </is>
      </c>
      <c r="C163" s="4" t="n">
        <v>44835</v>
      </c>
      <c r="D163" t="n">
        <v>21993.47096774193</v>
      </c>
      <c r="E163" t="n">
        <v>177286.876</v>
      </c>
      <c r="F163" t="n">
        <v>8.060886626764306</v>
      </c>
      <c r="G163" t="b">
        <v>1</v>
      </c>
      <c r="I163" t="n">
        <v>7.741625563220483</v>
      </c>
      <c r="J163" t="inlineStr">
        <is>
          <t>trailing 12 calibrated months (Oct/21-Sep/22)</t>
        </is>
      </c>
      <c r="K163" t="n">
        <v>170265.2170678185</v>
      </c>
      <c r="L163" t="n">
        <v>177286.876</v>
      </c>
      <c r="M163" t="inlineStr">
        <is>
          <t>published</t>
        </is>
      </c>
      <c r="N163" t="n">
        <v>36374</v>
      </c>
      <c r="O163" t="n">
        <v>4.874</v>
      </c>
      <c r="P163" t="n">
        <v>0.1721238478</v>
      </c>
    </row>
    <row r="164">
      <c r="A164" t="inlineStr">
        <is>
          <t>Bolivia</t>
        </is>
      </c>
      <c r="B164" t="inlineStr">
        <is>
          <t>BO</t>
        </is>
      </c>
      <c r="C164" s="4" t="n">
        <v>44866</v>
      </c>
      <c r="D164" t="n">
        <v>23792.93333333333</v>
      </c>
      <c r="E164" t="n">
        <v>198056.43</v>
      </c>
      <c r="F164" t="n">
        <v>8.324170341894233</v>
      </c>
      <c r="G164" t="b">
        <v>1</v>
      </c>
      <c r="I164" t="n">
        <v>7.729470533287646</v>
      </c>
      <c r="J164" t="inlineStr">
        <is>
          <t>trailing 12 calibrated months (Nov/21-Oct/22)</t>
        </is>
      </c>
      <c r="K164" t="n">
        <v>183906.7771004774</v>
      </c>
      <c r="L164" t="n">
        <v>198056.43</v>
      </c>
      <c r="M164" t="inlineStr">
        <is>
          <t>published</t>
        </is>
      </c>
      <c r="N164" t="n">
        <v>36374</v>
      </c>
      <c r="O164" t="n">
        <v>5.445</v>
      </c>
      <c r="P164" t="n">
        <v>0.1922885415</v>
      </c>
    </row>
    <row r="165">
      <c r="A165" t="inlineStr">
        <is>
          <t>Bolivia</t>
        </is>
      </c>
      <c r="B165" t="inlineStr">
        <is>
          <t>BO</t>
        </is>
      </c>
      <c r="C165" s="4" t="n">
        <v>44896</v>
      </c>
      <c r="D165" t="n">
        <v>23623.79354838709</v>
      </c>
      <c r="E165" t="n">
        <v>193837.046</v>
      </c>
      <c r="F165" t="n">
        <v>8.205161698648276</v>
      </c>
      <c r="G165" t="b">
        <v>1</v>
      </c>
      <c r="I165" t="n">
        <v>7.76305454221855</v>
      </c>
      <c r="J165" t="inlineStr">
        <is>
          <t>trailing 12 calibrated months (Dec/21-Nov/22)</t>
        </is>
      </c>
      <c r="K165" t="n">
        <v>183392.7978102397</v>
      </c>
      <c r="L165" t="n">
        <v>193837.046</v>
      </c>
      <c r="M165" t="inlineStr">
        <is>
          <t>published</t>
        </is>
      </c>
      <c r="N165" t="n">
        <v>36374</v>
      </c>
      <c r="O165" t="n">
        <v>5.329</v>
      </c>
      <c r="P165" t="n">
        <v>0.1881920363</v>
      </c>
    </row>
    <row r="166">
      <c r="A166" t="inlineStr">
        <is>
          <t>Bolivia</t>
        </is>
      </c>
      <c r="B166" t="inlineStr">
        <is>
          <t>BO</t>
        </is>
      </c>
      <c r="C166" s="4" t="n">
        <v>44927</v>
      </c>
      <c r="D166" t="n">
        <v>21151.8129032258</v>
      </c>
      <c r="E166" t="n">
        <v>168738.986</v>
      </c>
      <c r="F166" t="n">
        <v>7.977518843042817</v>
      </c>
      <c r="G166" t="b">
        <v>1</v>
      </c>
      <c r="I166" t="n">
        <v>7.801819146613424</v>
      </c>
      <c r="J166" t="inlineStr">
        <is>
          <t>trailing 12 calibrated months (Jan/22-Dec/22)</t>
        </is>
      </c>
      <c r="K166" t="n">
        <v>165022.6188939719</v>
      </c>
      <c r="L166" t="n">
        <v>168738.986</v>
      </c>
      <c r="M166" t="inlineStr">
        <is>
          <t>published</t>
        </is>
      </c>
      <c r="N166" t="n">
        <v>36374</v>
      </c>
      <c r="O166" t="n">
        <v>4.639</v>
      </c>
      <c r="P166" t="n">
        <v>0.1638248933</v>
      </c>
    </row>
    <row r="167">
      <c r="A167" t="inlineStr">
        <is>
          <t>Bolivia</t>
        </is>
      </c>
      <c r="B167" t="inlineStr">
        <is>
          <t>BO</t>
        </is>
      </c>
      <c r="C167" s="4" t="n">
        <v>44958</v>
      </c>
      <c r="D167" t="n">
        <v>19458.25357142857</v>
      </c>
      <c r="E167" t="n">
        <v>156662.818</v>
      </c>
      <c r="F167" t="n">
        <v>8.051227075693735</v>
      </c>
      <c r="G167" t="b">
        <v>1</v>
      </c>
      <c r="I167" t="n">
        <v>7.802087023879825</v>
      </c>
      <c r="J167" t="inlineStr">
        <is>
          <t>trailing 12 calibrated months (Feb/22-Jan/23)</t>
        </is>
      </c>
      <c r="K167" t="n">
        <v>151814.9876970061</v>
      </c>
      <c r="L167" t="n">
        <v>156662.818</v>
      </c>
      <c r="M167" t="inlineStr">
        <is>
          <t>published</t>
        </is>
      </c>
      <c r="N167" t="n">
        <v>36374</v>
      </c>
      <c r="O167" t="n">
        <v>4.307</v>
      </c>
      <c r="P167" t="n">
        <v>0.1521004129</v>
      </c>
    </row>
    <row r="168">
      <c r="A168" t="inlineStr">
        <is>
          <t>Bolivia</t>
        </is>
      </c>
      <c r="B168" t="inlineStr">
        <is>
          <t>BO</t>
        </is>
      </c>
      <c r="C168" s="4" t="n">
        <v>44986</v>
      </c>
      <c r="D168" t="n">
        <v>22120.28387096774</v>
      </c>
      <c r="E168" t="n">
        <v>185325.53</v>
      </c>
      <c r="F168" t="n">
        <v>8.378080999368848</v>
      </c>
      <c r="G168" t="b">
        <v>1</v>
      </c>
      <c r="I168" t="n">
        <v>7.814309909507799</v>
      </c>
      <c r="J168" t="inlineStr">
        <is>
          <t>trailing 12 calibrated months (Mar/22-Feb/23)</t>
        </is>
      </c>
      <c r="K168" t="n">
        <v>172854.7534540287</v>
      </c>
      <c r="L168" t="n">
        <v>185325.53</v>
      </c>
      <c r="M168" t="inlineStr">
        <is>
          <t>published</t>
        </is>
      </c>
      <c r="N168" t="n">
        <v>36374</v>
      </c>
      <c r="O168" t="n">
        <v>5.095</v>
      </c>
      <c r="P168" t="n">
        <v>0.1799283965</v>
      </c>
    </row>
    <row r="169">
      <c r="A169" t="inlineStr">
        <is>
          <t>Bolivia</t>
        </is>
      </c>
      <c r="B169" t="inlineStr">
        <is>
          <t>BO</t>
        </is>
      </c>
      <c r="C169" s="4" t="n">
        <v>45017</v>
      </c>
      <c r="D169" t="n">
        <v>20705.54666666667</v>
      </c>
      <c r="E169" t="n">
        <v>176159.282</v>
      </c>
      <c r="F169" t="n">
        <v>8.507830526570658</v>
      </c>
      <c r="G169" t="b">
        <v>1</v>
      </c>
      <c r="I169" t="n">
        <v>7.854579394163912</v>
      </c>
      <c r="J169" t="inlineStr">
        <is>
          <t>trailing 12 calibrated months (Apr/22-Mar/23)</t>
        </is>
      </c>
      <c r="K169" t="n">
        <v>162633.3601928993</v>
      </c>
      <c r="L169" t="n">
        <v>176159.282</v>
      </c>
      <c r="M169" t="inlineStr">
        <is>
          <t>published</t>
        </is>
      </c>
      <c r="N169" t="n">
        <v>36374</v>
      </c>
      <c r="O169" t="n">
        <v>4.843</v>
      </c>
      <c r="P169" t="n">
        <v>0.1710290921</v>
      </c>
    </row>
    <row r="170">
      <c r="A170" t="inlineStr">
        <is>
          <t>Bolivia</t>
        </is>
      </c>
      <c r="B170" t="inlineStr">
        <is>
          <t>BO</t>
        </is>
      </c>
      <c r="C170" s="4" t="n">
        <v>45047</v>
      </c>
      <c r="D170" t="n">
        <v>21176.89032258065</v>
      </c>
      <c r="E170" t="n">
        <v>171248.792</v>
      </c>
      <c r="F170" t="n">
        <v>8.086588228555899</v>
      </c>
      <c r="G170" t="b">
        <v>1</v>
      </c>
      <c r="I170" t="n">
        <v>7.915453966055541</v>
      </c>
      <c r="J170" t="inlineStr">
        <is>
          <t>trailing 12 calibrated months (May/22-Apr/23)</t>
        </is>
      </c>
      <c r="K170" t="n">
        <v>167624.7004925942</v>
      </c>
      <c r="L170" t="n">
        <v>171248.792</v>
      </c>
      <c r="M170" t="inlineStr">
        <is>
          <t>published</t>
        </is>
      </c>
      <c r="N170" t="n">
        <v>36374</v>
      </c>
      <c r="O170" t="n">
        <v>4.708</v>
      </c>
      <c r="P170" t="n">
        <v>0.1662616076</v>
      </c>
    </row>
    <row r="171">
      <c r="A171" t="inlineStr">
        <is>
          <t>Bolivia</t>
        </is>
      </c>
      <c r="B171" t="inlineStr">
        <is>
          <t>BO</t>
        </is>
      </c>
      <c r="C171" s="4" t="n">
        <v>45078</v>
      </c>
      <c r="D171" t="n">
        <v>21117.47333333333</v>
      </c>
      <c r="E171" t="n">
        <v>176959.51</v>
      </c>
      <c r="F171" t="n">
        <v>8.379767181743018</v>
      </c>
      <c r="G171" t="b">
        <v>1</v>
      </c>
      <c r="I171" t="n">
        <v>7.954723244143036</v>
      </c>
      <c r="J171" t="inlineStr">
        <is>
          <t>trailing 12 calibrated months (Jun/22-May/23)</t>
        </is>
      </c>
      <c r="K171" t="n">
        <v>167983.6559822374</v>
      </c>
      <c r="L171" t="n">
        <v>176959.51</v>
      </c>
      <c r="M171" t="inlineStr">
        <is>
          <t>published</t>
        </is>
      </c>
      <c r="N171" t="n">
        <v>36374</v>
      </c>
      <c r="O171" t="n">
        <v>4.865</v>
      </c>
      <c r="P171" t="n">
        <v>0.1718060155</v>
      </c>
    </row>
    <row r="172">
      <c r="A172" t="inlineStr">
        <is>
          <t>Bolivia</t>
        </is>
      </c>
      <c r="B172" t="inlineStr">
        <is>
          <t>BO</t>
        </is>
      </c>
      <c r="C172" s="4" t="n">
        <v>45108</v>
      </c>
      <c r="D172" t="n">
        <v>20194.04838709677</v>
      </c>
      <c r="E172" t="n">
        <v>171248.792</v>
      </c>
      <c r="F172" t="n">
        <v>8.480161516767557</v>
      </c>
      <c r="G172" t="b">
        <v>1</v>
      </c>
      <c r="I172" t="n">
        <v>8.021220979248813</v>
      </c>
      <c r="J172" t="inlineStr">
        <is>
          <t>trailing 12 calibrated months (Jul/22-Jun/23)</t>
        </is>
      </c>
      <c r="K172" t="n">
        <v>161980.9245785463</v>
      </c>
      <c r="L172" t="n">
        <v>171248.792</v>
      </c>
      <c r="M172" t="inlineStr">
        <is>
          <t>published</t>
        </is>
      </c>
      <c r="N172" t="n">
        <v>36374</v>
      </c>
      <c r="O172" t="n">
        <v>4.708</v>
      </c>
      <c r="P172" t="n">
        <v>0.1662616076</v>
      </c>
    </row>
    <row r="173">
      <c r="A173" t="inlineStr">
        <is>
          <t>Bolivia</t>
        </is>
      </c>
      <c r="B173" t="inlineStr">
        <is>
          <t>BO</t>
        </is>
      </c>
      <c r="C173" s="4" t="n">
        <v>45139</v>
      </c>
      <c r="D173" t="n">
        <v>21638.83870967742</v>
      </c>
      <c r="E173" t="n">
        <v>175359.054</v>
      </c>
      <c r="F173" t="n">
        <v>8.10390318781641</v>
      </c>
      <c r="G173" t="b">
        <v>1</v>
      </c>
      <c r="I173" t="n">
        <v>8.20484173657368</v>
      </c>
      <c r="J173" t="inlineStr">
        <is>
          <t>trailing 12 calibrated months (Aug/22-Jul/23)</t>
        </is>
      </c>
      <c r="K173" t="n">
        <v>177543.2469761475</v>
      </c>
      <c r="L173" t="n">
        <v>175359.054</v>
      </c>
      <c r="M173" t="inlineStr">
        <is>
          <t>published</t>
        </is>
      </c>
      <c r="N173" t="n">
        <v>36374</v>
      </c>
      <c r="O173" t="n">
        <v>4.821</v>
      </c>
      <c r="P173" t="n">
        <v>0.1702521687</v>
      </c>
    </row>
    <row r="174">
      <c r="A174" t="inlineStr">
        <is>
          <t>Bolivia</t>
        </is>
      </c>
      <c r="B174" t="inlineStr">
        <is>
          <t>BO</t>
        </is>
      </c>
      <c r="C174" s="4" t="n">
        <v>45170</v>
      </c>
      <c r="D174" t="n">
        <v>22918.74</v>
      </c>
      <c r="E174" t="n">
        <v>184343.432</v>
      </c>
      <c r="F174" t="n">
        <v>8.043349328977071</v>
      </c>
      <c r="G174" t="b">
        <v>1</v>
      </c>
      <c r="I174" t="n">
        <v>8.208052065334158</v>
      </c>
      <c r="J174" t="inlineStr">
        <is>
          <t>trailing 12 calibrated months (Sep/22-Aug/23)</t>
        </is>
      </c>
      <c r="K174" t="n">
        <v>188118.2111918566</v>
      </c>
      <c r="L174" t="n">
        <v>184343.432</v>
      </c>
      <c r="M174" t="inlineStr">
        <is>
          <t>published</t>
        </is>
      </c>
      <c r="N174" t="n">
        <v>36374</v>
      </c>
      <c r="O174" t="n">
        <v>5.068</v>
      </c>
      <c r="P174" t="n">
        <v>0.1789748996</v>
      </c>
    </row>
    <row r="175">
      <c r="A175" t="inlineStr">
        <is>
          <t>Bolivia</t>
        </is>
      </c>
      <c r="B175" t="inlineStr">
        <is>
          <t>BO</t>
        </is>
      </c>
      <c r="C175" s="4" t="n">
        <v>45200</v>
      </c>
      <c r="D175" t="n">
        <v>23098.03548387097</v>
      </c>
      <c r="E175" t="n">
        <v>185543.774</v>
      </c>
      <c r="F175" t="n">
        <v>8.032881156908889</v>
      </c>
      <c r="G175" t="b">
        <v>1</v>
      </c>
      <c r="I175" t="n">
        <v>8.215819819798964</v>
      </c>
      <c r="J175" t="inlineStr">
        <is>
          <t>trailing 12 calibrated months (Oct/22-Sep/23)</t>
        </is>
      </c>
      <c r="K175" t="n">
        <v>189769.2977268069</v>
      </c>
      <c r="L175" t="n">
        <v>185543.774</v>
      </c>
      <c r="M175" t="inlineStr">
        <is>
          <t>published</t>
        </is>
      </c>
      <c r="N175" t="n">
        <v>36374</v>
      </c>
      <c r="O175" t="n">
        <v>5.101</v>
      </c>
      <c r="P175" t="n">
        <v>0.1801402847</v>
      </c>
    </row>
    <row r="176">
      <c r="A176" t="inlineStr">
        <is>
          <t>Bolivia</t>
        </is>
      </c>
      <c r="B176" t="inlineStr">
        <is>
          <t>BO</t>
        </is>
      </c>
      <c r="C176" s="4" t="n">
        <v>45231</v>
      </c>
      <c r="D176" t="n">
        <v>23052.95333333333</v>
      </c>
      <c r="E176" t="n">
        <v>188890.182</v>
      </c>
      <c r="F176" t="n">
        <v>8.193751979139044</v>
      </c>
      <c r="G176" t="b">
        <v>1</v>
      </c>
      <c r="I176" t="n">
        <v>8.21268566063083</v>
      </c>
      <c r="J176" t="inlineStr">
        <is>
          <t>trailing 12 calibrated months (Nov/22-Oct/23)</t>
        </is>
      </c>
      <c r="K176" t="n">
        <v>189326.6592758583</v>
      </c>
      <c r="L176" t="n">
        <v>188890.182</v>
      </c>
      <c r="M176" t="inlineStr">
        <is>
          <t>published</t>
        </is>
      </c>
      <c r="N176" t="n">
        <v>36374</v>
      </c>
      <c r="O176" t="n">
        <v>5.193</v>
      </c>
      <c r="P176" t="n">
        <v>0.1833892371</v>
      </c>
    </row>
    <row r="177">
      <c r="A177" t="inlineStr">
        <is>
          <t>Bolivia</t>
        </is>
      </c>
      <c r="B177" t="inlineStr">
        <is>
          <t>BO</t>
        </is>
      </c>
      <c r="C177" s="4" t="n">
        <v>45261</v>
      </c>
      <c r="D177" t="n">
        <v>20241.7</v>
      </c>
      <c r="E177" t="n">
        <v>169320.97</v>
      </c>
      <c r="F177" t="n">
        <v>8.364957982778128</v>
      </c>
      <c r="G177" t="b">
        <v>1</v>
      </c>
      <c r="I177" t="n">
        <v>8.20081651290333</v>
      </c>
      <c r="J177" t="inlineStr">
        <is>
          <t>trailing 12 calibrated months (Dec/22-Nov/23)</t>
        </is>
      </c>
      <c r="K177" t="n">
        <v>165998.4676092353</v>
      </c>
      <c r="L177" t="n">
        <v>169320.97</v>
      </c>
      <c r="M177" t="inlineStr">
        <is>
          <t>published</t>
        </is>
      </c>
      <c r="N177" t="n">
        <v>36374</v>
      </c>
      <c r="O177" t="n">
        <v>4.655</v>
      </c>
      <c r="P177" t="n">
        <v>0.1643899285</v>
      </c>
    </row>
    <row r="178">
      <c r="A178" t="inlineStr">
        <is>
          <t>Bolivia</t>
        </is>
      </c>
      <c r="B178" t="inlineStr">
        <is>
          <t>BO</t>
        </is>
      </c>
      <c r="C178" s="4" t="n">
        <v>45292</v>
      </c>
      <c r="D178" t="n">
        <v>23951.69677419355</v>
      </c>
      <c r="E178" t="n">
        <v>198347.422</v>
      </c>
      <c r="F178" t="n">
        <v>8.281142829668207</v>
      </c>
      <c r="G178" t="b">
        <v>1</v>
      </c>
      <c r="I178" t="n">
        <v>8.213351239627315</v>
      </c>
      <c r="J178" t="inlineStr">
        <is>
          <t>trailing 12 calibrated months (Jan/23-Dec/23)</t>
        </is>
      </c>
      <c r="K178" t="n">
        <v>196723.6983915001</v>
      </c>
      <c r="L178" t="n">
        <v>198347.422</v>
      </c>
      <c r="M178" t="inlineStr">
        <is>
          <t>published</t>
        </is>
      </c>
      <c r="N178" t="n">
        <v>36374</v>
      </c>
      <c r="O178" t="n">
        <v>5.453</v>
      </c>
      <c r="P178" t="n">
        <v>0.1925710591</v>
      </c>
    </row>
    <row r="179">
      <c r="A179" t="inlineStr">
        <is>
          <t>Bolivia</t>
        </is>
      </c>
      <c r="B179" t="inlineStr">
        <is>
          <t>BO</t>
        </is>
      </c>
      <c r="C179" s="4" t="n">
        <v>45323</v>
      </c>
      <c r="D179" t="n">
        <v>21678.75862068966</v>
      </c>
      <c r="E179" t="n">
        <v>187326.1</v>
      </c>
      <c r="F179" t="n">
        <v>8.640997544076198</v>
      </c>
      <c r="G179" t="b">
        <v>1</v>
      </c>
      <c r="I179" t="n">
        <v>8.238813914416495</v>
      </c>
      <c r="J179" t="inlineStr">
        <is>
          <t>trailing 12 calibrated months (Feb/23-Jan/24)</t>
        </is>
      </c>
      <c r="K179" t="n">
        <v>178607.2581714145</v>
      </c>
      <c r="L179" t="n">
        <v>187326.1</v>
      </c>
      <c r="M179" t="inlineStr">
        <is>
          <t>published</t>
        </is>
      </c>
      <c r="N179" t="n">
        <v>36374</v>
      </c>
      <c r="O179" t="n">
        <v>5.15</v>
      </c>
      <c r="P179" t="n">
        <v>0.181870705</v>
      </c>
    </row>
    <row r="180">
      <c r="A180" t="inlineStr">
        <is>
          <t>Bolivia</t>
        </is>
      </c>
      <c r="B180" t="inlineStr">
        <is>
          <t>BO</t>
        </is>
      </c>
      <c r="C180" s="4" t="n">
        <v>45352</v>
      </c>
      <c r="D180" t="n">
        <v>18571.22258064516</v>
      </c>
      <c r="E180" t="n">
        <v>157499.42</v>
      </c>
      <c r="F180" t="n">
        <v>8.480832067789935</v>
      </c>
      <c r="G180" t="b">
        <v>1</v>
      </c>
      <c r="I180" t="n">
        <v>8.286042596645601</v>
      </c>
      <c r="J180" t="inlineStr">
        <is>
          <t>trailing 12 calibrated months (Mar/23-Feb/24)</t>
        </is>
      </c>
      <c r="K180" t="n">
        <v>153881.9413750125</v>
      </c>
      <c r="L180" t="n">
        <v>157499.42</v>
      </c>
      <c r="M180" t="inlineStr">
        <is>
          <t>published</t>
        </is>
      </c>
      <c r="N180" t="n">
        <v>36374</v>
      </c>
      <c r="O180" t="n">
        <v>4.33</v>
      </c>
      <c r="P180" t="n">
        <v>0.152912651</v>
      </c>
    </row>
    <row r="181">
      <c r="A181" t="inlineStr">
        <is>
          <t>Bolivia</t>
        </is>
      </c>
      <c r="B181" t="inlineStr">
        <is>
          <t>BO</t>
        </is>
      </c>
      <c r="C181" s="4" t="n">
        <v>45383</v>
      </c>
      <c r="D181" t="n">
        <v>20161.00333333333</v>
      </c>
      <c r="E181" t="n">
        <v>169939.328</v>
      </c>
      <c r="F181" t="n">
        <v>8.429110654380461</v>
      </c>
      <c r="G181" t="b">
        <v>1</v>
      </c>
      <c r="I181" t="n">
        <v>8.292164478215748</v>
      </c>
      <c r="J181" t="inlineStr">
        <is>
          <t>trailing 12 calibrated months (Apr/23-Mar/24)</t>
        </is>
      </c>
      <c r="K181" t="n">
        <v>167178.355685856</v>
      </c>
      <c r="L181" t="n">
        <v>169939.328</v>
      </c>
      <c r="M181" t="inlineStr">
        <is>
          <t>published</t>
        </is>
      </c>
      <c r="N181" t="n">
        <v>36374</v>
      </c>
      <c r="O181" t="n">
        <v>4.672</v>
      </c>
      <c r="P181" t="n">
        <v>0.1649902784</v>
      </c>
    </row>
    <row r="182">
      <c r="A182" t="inlineStr">
        <is>
          <t>Bolivia</t>
        </is>
      </c>
      <c r="B182" t="inlineStr">
        <is>
          <t>BO</t>
        </is>
      </c>
      <c r="C182" s="4" t="n">
        <v>45413</v>
      </c>
      <c r="D182" t="n">
        <v>18928.27419354839</v>
      </c>
      <c r="E182" t="n">
        <v>169211.848</v>
      </c>
      <c r="F182" t="n">
        <v>8.939634235522384</v>
      </c>
      <c r="G182" t="b">
        <v>1</v>
      </c>
      <c r="I182" t="n">
        <v>8.28555275549763</v>
      </c>
      <c r="J182" t="inlineStr">
        <is>
          <t>trailing 12 calibrated months (May/23-Apr/24)</t>
        </is>
      </c>
      <c r="K182" t="n">
        <v>156831.2144011695</v>
      </c>
      <c r="L182" t="n">
        <v>169211.848</v>
      </c>
      <c r="M182" t="inlineStr">
        <is>
          <t>published</t>
        </is>
      </c>
      <c r="N182" t="n">
        <v>36374</v>
      </c>
      <c r="O182" t="n">
        <v>4.652</v>
      </c>
      <c r="P182" t="n">
        <v>0.1642839844</v>
      </c>
    </row>
    <row r="183">
      <c r="A183" t="inlineStr">
        <is>
          <t>Bolivia</t>
        </is>
      </c>
      <c r="B183" t="inlineStr">
        <is>
          <t>BO</t>
        </is>
      </c>
      <c r="C183" s="4" t="n">
        <v>45444</v>
      </c>
      <c r="D183" t="n">
        <v>18896.82666666667</v>
      </c>
      <c r="E183" t="n">
        <v>159572.738</v>
      </c>
      <c r="F183" t="n">
        <v>8.444419839098204</v>
      </c>
      <c r="G183" t="b">
        <v>1</v>
      </c>
      <c r="I183" t="n">
        <v>8.35048684016266</v>
      </c>
      <c r="J183" t="inlineStr">
        <is>
          <t>trailing 12 calibrated months (Jun/23-May/24)</t>
        </is>
      </c>
      <c r="K183" t="n">
        <v>157797.7024008348</v>
      </c>
      <c r="L183" t="n">
        <v>159572.738</v>
      </c>
      <c r="M183" t="inlineStr">
        <is>
          <t>published</t>
        </is>
      </c>
      <c r="N183" t="n">
        <v>36374</v>
      </c>
      <c r="O183" t="n">
        <v>4.387</v>
      </c>
      <c r="P183" t="n">
        <v>0.1549255889</v>
      </c>
    </row>
    <row r="184">
      <c r="A184" t="inlineStr">
        <is>
          <t>Bolivia</t>
        </is>
      </c>
      <c r="B184" t="inlineStr">
        <is>
          <t>BO</t>
        </is>
      </c>
      <c r="C184" s="4" t="n">
        <v>45474</v>
      </c>
      <c r="D184" t="n">
        <v>18449.6129032258</v>
      </c>
      <c r="E184" t="n">
        <v>154989.614</v>
      </c>
      <c r="F184" t="n">
        <v>8.400697337823333</v>
      </c>
      <c r="G184" t="b">
        <v>1</v>
      </c>
      <c r="I184" t="n">
        <v>8.355052818084147</v>
      </c>
      <c r="J184" t="inlineStr">
        <is>
          <t>trailing 12 calibrated months (Jul/23-Jun/24)</t>
        </is>
      </c>
      <c r="K184" t="n">
        <v>154147.4902796584</v>
      </c>
      <c r="L184" t="n">
        <v>154989.614</v>
      </c>
      <c r="M184" t="inlineStr">
        <is>
          <t>published</t>
        </is>
      </c>
      <c r="N184" t="n">
        <v>36374</v>
      </c>
      <c r="O184" t="n">
        <v>4.261</v>
      </c>
      <c r="P184" t="n">
        <v>0.1504759367</v>
      </c>
    </row>
    <row r="185">
      <c r="A185" t="inlineStr">
        <is>
          <t>Bolivia</t>
        </is>
      </c>
      <c r="B185" t="inlineStr">
        <is>
          <t>BO</t>
        </is>
      </c>
      <c r="C185" s="4" t="n">
        <v>45505</v>
      </c>
      <c r="D185" t="n">
        <v>20087.67096774194</v>
      </c>
      <c r="E185" t="n">
        <v>158081.404</v>
      </c>
      <c r="F185" t="n">
        <v>7.869573543585872</v>
      </c>
      <c r="G185" t="b">
        <v>1</v>
      </c>
      <c r="I185" t="n">
        <v>8.348358024797715</v>
      </c>
      <c r="J185" t="inlineStr">
        <is>
          <t>trailing 12 calibrated months (Aug/23-Jul/24)</t>
        </is>
      </c>
      <c r="K185" t="n">
        <v>167699.0691230445</v>
      </c>
      <c r="L185" t="n">
        <v>158081.404</v>
      </c>
      <c r="M185" t="inlineStr">
        <is>
          <t>published</t>
        </is>
      </c>
      <c r="N185" t="n">
        <v>36374</v>
      </c>
      <c r="O185" t="n">
        <v>4.346</v>
      </c>
      <c r="P185" t="n">
        <v>0.1534776862</v>
      </c>
    </row>
    <row r="186">
      <c r="A186" t="inlineStr">
        <is>
          <t>Bolivia</t>
        </is>
      </c>
      <c r="B186" t="inlineStr">
        <is>
          <t>BO</t>
        </is>
      </c>
      <c r="C186" s="4" t="n">
        <v>45536</v>
      </c>
      <c r="D186" t="n">
        <v>21979.16999999999</v>
      </c>
      <c r="E186" t="n">
        <v>187326.1</v>
      </c>
      <c r="F186" t="n">
        <v>8.522892356717749</v>
      </c>
      <c r="G186" t="b">
        <v>1</v>
      </c>
      <c r="I186" t="n">
        <v>8.331048766258171</v>
      </c>
      <c r="J186" t="inlineStr">
        <is>
          <t>trailing 12 calibrated months (Sep/23-Aug/24)</t>
        </is>
      </c>
      <c r="K186" t="n">
        <v>183109.5371118785</v>
      </c>
      <c r="L186" t="n">
        <v>187326.1</v>
      </c>
      <c r="M186" t="inlineStr">
        <is>
          <t>published</t>
        </is>
      </c>
      <c r="N186" t="n">
        <v>36374</v>
      </c>
      <c r="O186" t="n">
        <v>5.15</v>
      </c>
      <c r="P186" t="n">
        <v>0.181870705</v>
      </c>
    </row>
    <row r="187">
      <c r="A187" t="inlineStr">
        <is>
          <t>Bolivia</t>
        </is>
      </c>
      <c r="B187" t="inlineStr">
        <is>
          <t>BO</t>
        </is>
      </c>
      <c r="C187" s="4" t="n">
        <v>45566</v>
      </c>
      <c r="D187" t="n">
        <v>24806.26774193548</v>
      </c>
      <c r="E187" t="n">
        <v>167065.782</v>
      </c>
      <c r="F187" t="n">
        <v>6.734821366036133</v>
      </c>
      <c r="G187" t="b">
        <v>1</v>
      </c>
      <c r="I187" t="n">
        <v>8.374446618301139</v>
      </c>
      <c r="J187" t="inlineStr">
        <is>
          <t>trailing 12 calibrated months (Oct/23-Sep/24)</t>
        </is>
      </c>
      <c r="K187" t="n">
        <v>207738.7650041243</v>
      </c>
      <c r="L187" t="n">
        <v>167065.782</v>
      </c>
      <c r="M187" t="inlineStr">
        <is>
          <t>published</t>
        </is>
      </c>
      <c r="N187" t="n">
        <v>36374</v>
      </c>
      <c r="O187" t="n">
        <v>4.593</v>
      </c>
      <c r="P187" t="n">
        <v>0.1622004171</v>
      </c>
    </row>
    <row r="188">
      <c r="A188" t="inlineStr">
        <is>
          <t>Bolivia</t>
        </is>
      </c>
      <c r="B188" t="inlineStr">
        <is>
          <t>BO</t>
        </is>
      </c>
      <c r="C188" s="4" t="n">
        <v>45597</v>
      </c>
      <c r="D188" t="n">
        <v>23991.49666666667</v>
      </c>
      <c r="E188" t="n">
        <v>154043.89</v>
      </c>
      <c r="F188" t="n">
        <v>6.420770331265981</v>
      </c>
      <c r="G188" t="b">
        <v>1</v>
      </c>
      <c r="I188" t="n">
        <v>8.243733628847945</v>
      </c>
      <c r="J188" t="inlineStr">
        <is>
          <t>trailing 12 calibrated months (Nov/23-Oct/24)</t>
        </is>
      </c>
      <c r="K188" t="n">
        <v>197779.5078773934</v>
      </c>
      <c r="L188" t="n">
        <v>154043.89</v>
      </c>
      <c r="M188" t="inlineStr">
        <is>
          <t>published</t>
        </is>
      </c>
      <c r="N188" t="n">
        <v>36374</v>
      </c>
      <c r="O188" t="n">
        <v>4.235</v>
      </c>
      <c r="P188" t="n">
        <v>0.1495577545</v>
      </c>
    </row>
    <row r="189">
      <c r="A189" t="inlineStr">
        <is>
          <t>Bolivia</t>
        </is>
      </c>
      <c r="B189" t="inlineStr">
        <is>
          <t>BO</t>
        </is>
      </c>
      <c r="C189" s="4" t="n">
        <v>45627</v>
      </c>
      <c r="D189" t="n">
        <v>21688.40967741936</v>
      </c>
      <c r="E189" t="n">
        <v>173140.24</v>
      </c>
      <c r="F189" t="n">
        <v>7.983076794250294</v>
      </c>
      <c r="G189" t="b">
        <v>1</v>
      </c>
      <c r="I189" t="n">
        <v>8.074579869833356</v>
      </c>
      <c r="J189" t="inlineStr">
        <is>
          <t>trailing 12 calibrated months (Dec/23-Nov/24)</t>
        </is>
      </c>
      <c r="K189" t="n">
        <v>175124.7961899893</v>
      </c>
      <c r="L189" t="n">
        <v>173140.24</v>
      </c>
      <c r="M189" t="inlineStr">
        <is>
          <t>published</t>
        </is>
      </c>
      <c r="N189" t="n">
        <v>36374</v>
      </c>
      <c r="O189" t="n">
        <v>4.76</v>
      </c>
      <c r="P189" t="n">
        <v>0.168097972</v>
      </c>
    </row>
    <row r="190">
      <c r="A190" t="inlineStr">
        <is>
          <t>Bolivia</t>
        </is>
      </c>
      <c r="B190" t="inlineStr">
        <is>
          <t>BO</t>
        </is>
      </c>
      <c r="C190" s="4" t="n">
        <v>45658</v>
      </c>
      <c r="D190" t="n">
        <v>21002.33548387096</v>
      </c>
      <c r="E190" t="n">
        <v>179396.568</v>
      </c>
      <c r="F190" t="n">
        <v>8.541743756915517</v>
      </c>
      <c r="G190" t="b">
        <v>1</v>
      </c>
      <c r="I190" t="n">
        <v>8.043526944744807</v>
      </c>
      <c r="J190" t="inlineStr">
        <is>
          <t>trailing 12 calibrated months (Jan/24-Dec/24)</t>
        </is>
      </c>
      <c r="K190" t="n">
        <v>168932.8513670861</v>
      </c>
      <c r="L190" t="n">
        <v>179396.568</v>
      </c>
      <c r="M190" t="inlineStr">
        <is>
          <t>published</t>
        </is>
      </c>
      <c r="N190" t="n">
        <v>36374</v>
      </c>
      <c r="O190" t="n">
        <v>4.932</v>
      </c>
      <c r="P190" t="n">
        <v>0.1741721004</v>
      </c>
    </row>
    <row r="191">
      <c r="A191" t="inlineStr">
        <is>
          <t>Bolivia</t>
        </is>
      </c>
      <c r="B191" t="inlineStr">
        <is>
          <t>BO</t>
        </is>
      </c>
      <c r="C191" s="4" t="n">
        <v>45689</v>
      </c>
      <c r="D191" t="n">
        <v>22826.36428571428</v>
      </c>
      <c r="E191" t="n">
        <v>238686.188</v>
      </c>
      <c r="F191" t="n">
        <v>10.45660119204266</v>
      </c>
      <c r="G191" t="b">
        <v>1</v>
      </c>
      <c r="I191" t="n">
        <v>8.062598208355235</v>
      </c>
      <c r="J191" t="inlineStr">
        <is>
          <t>trailing 12 calibrated months (Feb/24-Jan/25)</t>
        </is>
      </c>
      <c r="K191" t="n">
        <v>184039.8037932639</v>
      </c>
      <c r="L191" t="n">
        <v>238686.188</v>
      </c>
      <c r="M191" t="inlineStr">
        <is>
          <t>published</t>
        </is>
      </c>
      <c r="N191" t="n">
        <v>36374</v>
      </c>
      <c r="O191" t="n">
        <v>6.562</v>
      </c>
      <c r="P191" t="n">
        <v>0.2317350614</v>
      </c>
    </row>
    <row r="192">
      <c r="A192" t="inlineStr">
        <is>
          <t>Bolivia</t>
        </is>
      </c>
      <c r="B192" t="inlineStr">
        <is>
          <t>BO</t>
        </is>
      </c>
      <c r="C192" s="4" t="n">
        <v>45717</v>
      </c>
      <c r="D192" t="n">
        <v>17922.33225806452</v>
      </c>
      <c r="E192" t="n">
        <v>151424.962</v>
      </c>
      <c r="F192" t="n">
        <v>8.448954065778089</v>
      </c>
      <c r="G192" t="b">
        <v>1</v>
      </c>
      <c r="I192" t="n">
        <v>8.230097432633656</v>
      </c>
      <c r="J192" t="inlineStr">
        <is>
          <t>trailing 12 calibrated months (Mar/24-Feb/25)</t>
        </is>
      </c>
      <c r="K192" t="n">
        <v>147502.5407039041</v>
      </c>
      <c r="L192" t="n">
        <v>151424.962</v>
      </c>
      <c r="M192" t="inlineStr">
        <is>
          <t>published</t>
        </is>
      </c>
      <c r="N192" t="n">
        <v>36374</v>
      </c>
      <c r="O192" t="n">
        <v>4.163</v>
      </c>
      <c r="P192" t="n">
        <v>0.1470150961</v>
      </c>
    </row>
    <row r="193">
      <c r="A193" t="inlineStr">
        <is>
          <t>Bolivia</t>
        </is>
      </c>
      <c r="B193" t="inlineStr">
        <is>
          <t>BO</t>
        </is>
      </c>
      <c r="C193" s="4" t="n">
        <v>45748</v>
      </c>
      <c r="D193" t="n">
        <v>17533.19</v>
      </c>
      <c r="E193" t="n">
        <v>141458.486</v>
      </c>
      <c r="F193" t="n">
        <v>8.068040442155706</v>
      </c>
      <c r="G193" t="b">
        <v>1</v>
      </c>
      <c r="I193" t="n">
        <v>8.227169985427688</v>
      </c>
      <c r="J193" t="inlineStr">
        <is>
          <t>trailing 12 calibrated months (Apr/24-Mar/25)</t>
        </is>
      </c>
      <c r="K193" t="n">
        <v>144248.5345168009</v>
      </c>
      <c r="L193" t="n">
        <v>141458.486</v>
      </c>
      <c r="M193" t="inlineStr">
        <is>
          <t>published</t>
        </is>
      </c>
      <c r="N193" t="n">
        <v>36374</v>
      </c>
      <c r="O193" t="n">
        <v>3.889</v>
      </c>
      <c r="P193" t="n">
        <v>0.1373388683</v>
      </c>
    </row>
    <row r="194">
      <c r="A194" t="inlineStr">
        <is>
          <t>Bolivia</t>
        </is>
      </c>
      <c r="B194" t="inlineStr">
        <is>
          <t>BO</t>
        </is>
      </c>
      <c r="C194" s="4" t="n">
        <v>45778</v>
      </c>
      <c r="D194" t="n">
        <v>18884.72258064516</v>
      </c>
      <c r="E194" t="n">
        <v>152043.32</v>
      </c>
      <c r="F194" t="n">
        <v>8.051128066653638</v>
      </c>
      <c r="G194" t="b">
        <v>1</v>
      </c>
      <c r="I194" t="n">
        <v>8.199515634263509</v>
      </c>
      <c r="J194" t="inlineStr">
        <is>
          <t>trailing 12 calibrated months (May/24-Apr/25)</t>
        </is>
      </c>
      <c r="K194" t="n">
        <v>154845.5780487291</v>
      </c>
      <c r="L194" t="n">
        <v>152043.32</v>
      </c>
      <c r="M194" t="inlineStr">
        <is>
          <t>published</t>
        </is>
      </c>
      <c r="N194" t="n">
        <v>36374</v>
      </c>
      <c r="O194" t="n">
        <v>4.18</v>
      </c>
      <c r="P194" t="n">
        <v>0.147615446</v>
      </c>
    </row>
    <row r="195">
      <c r="A195" t="inlineStr">
        <is>
          <t>Bolivia</t>
        </is>
      </c>
      <c r="B195" t="inlineStr">
        <is>
          <t>BO</t>
        </is>
      </c>
      <c r="C195" s="4" t="n">
        <v>45809</v>
      </c>
      <c r="D195" t="n">
        <v>17884.36</v>
      </c>
      <c r="E195" t="n">
        <v>146041.61</v>
      </c>
      <c r="F195" t="n">
        <v>8.165884046172184</v>
      </c>
      <c r="G195" t="b">
        <v>1</v>
      </c>
      <c r="I195" t="n">
        <v>8.131746317731645</v>
      </c>
      <c r="J195" t="inlineStr">
        <is>
          <t>trailing 12 calibrated months (Jun/24-May/25)</t>
        </is>
      </c>
      <c r="K195" t="n">
        <v>145431.0785749871</v>
      </c>
      <c r="L195" t="n">
        <v>146041.61</v>
      </c>
      <c r="M195" t="inlineStr">
        <is>
          <t>published</t>
        </is>
      </c>
      <c r="N195" t="n">
        <v>36374</v>
      </c>
      <c r="O195" t="n">
        <v>4.015</v>
      </c>
      <c r="P195" t="n">
        <v>0.1417885205</v>
      </c>
    </row>
    <row r="196">
      <c r="A196" t="inlineStr">
        <is>
          <t>Bolivia</t>
        </is>
      </c>
      <c r="B196" t="inlineStr">
        <is>
          <t>BO</t>
        </is>
      </c>
      <c r="C196" s="4" t="n">
        <v>45839</v>
      </c>
      <c r="D196" t="n">
        <v>19546.75806451613</v>
      </c>
      <c r="E196" t="n">
        <v>159427.242</v>
      </c>
      <c r="F196" t="n">
        <v>8.156198663419971</v>
      </c>
      <c r="G196" t="b">
        <v>1</v>
      </c>
      <c r="I196" t="n">
        <v>8.110301757155845</v>
      </c>
      <c r="J196" t="inlineStr">
        <is>
          <t>trailing 12 calibrated months (Jul/24-Jun/25)</t>
        </is>
      </c>
      <c r="K196" t="n">
        <v>158530.1062773454</v>
      </c>
      <c r="L196" t="n">
        <v>159427.242</v>
      </c>
      <c r="M196" t="inlineStr">
        <is>
          <t>published</t>
        </is>
      </c>
      <c r="N196" t="n">
        <v>36374</v>
      </c>
      <c r="O196" t="n">
        <v>4.383</v>
      </c>
      <c r="P196" t="n">
        <v>0.1547843301</v>
      </c>
    </row>
    <row r="197">
      <c r="A197" t="inlineStr">
        <is>
          <t>Bolivia</t>
        </is>
      </c>
      <c r="B197" t="inlineStr">
        <is>
          <t>BO</t>
        </is>
      </c>
      <c r="C197" s="4" t="n">
        <v>45870</v>
      </c>
      <c r="D197" t="n">
        <v>19336.0064516129</v>
      </c>
      <c r="E197" t="n">
        <v>153461.906</v>
      </c>
      <c r="F197" t="n">
        <v>7.936587442915291</v>
      </c>
      <c r="G197" t="b">
        <v>1</v>
      </c>
      <c r="I197" t="n">
        <v>8.092326762163509</v>
      </c>
      <c r="J197" t="inlineStr">
        <is>
          <t>trailing 12 calibrated months (Aug/24-Jul/25)</t>
        </is>
      </c>
      <c r="K197" t="n">
        <v>156473.2824817534</v>
      </c>
      <c r="L197" t="n">
        <v>153461.906</v>
      </c>
      <c r="M197" t="inlineStr">
        <is>
          <t>published</t>
        </is>
      </c>
      <c r="N197" t="n">
        <v>36374</v>
      </c>
      <c r="O197" t="n">
        <v>4.219</v>
      </c>
      <c r="P197" t="n">
        <v>0.1489927193</v>
      </c>
    </row>
    <row r="198">
      <c r="A198" t="inlineStr">
        <is>
          <t>Bolivia</t>
        </is>
      </c>
      <c r="B198" t="inlineStr">
        <is>
          <t>BO</t>
        </is>
      </c>
      <c r="C198" s="4" t="n">
        <v>45901</v>
      </c>
      <c r="D198" t="n">
        <v>23255.66666666667</v>
      </c>
      <c r="E198" t="n">
        <v>192964.07</v>
      </c>
      <c r="F198" t="n">
        <v>8.297507560881218</v>
      </c>
      <c r="G198" t="b">
        <v>1</v>
      </c>
      <c r="I198" t="n">
        <v>8.098241105420696</v>
      </c>
      <c r="J198" t="inlineStr">
        <is>
          <t>trailing 12 calibrated months (Sep/24-Aug/25)</t>
        </is>
      </c>
      <c r="K198" t="n">
        <v>188329.9957339619</v>
      </c>
      <c r="L198" t="n">
        <v>192964.07</v>
      </c>
      <c r="M198" t="inlineStr">
        <is>
          <t>published</t>
        </is>
      </c>
      <c r="N198" t="n">
        <v>36374</v>
      </c>
      <c r="O198" t="n">
        <v>5.305</v>
      </c>
      <c r="P198" t="n">
        <v>0.1873444835</v>
      </c>
    </row>
    <row r="199">
      <c r="A199" t="inlineStr">
        <is>
          <t>Bolivia</t>
        </is>
      </c>
      <c r="B199" t="inlineStr">
        <is>
          <t>BO</t>
        </is>
      </c>
      <c r="C199" s="4" t="n">
        <v>45931</v>
      </c>
      <c r="D199" t="n">
        <v>20955.97096774194</v>
      </c>
      <c r="E199" t="n">
        <v>166483.798</v>
      </c>
      <c r="F199" t="n">
        <v>7.944456415609316</v>
      </c>
      <c r="G199" t="b">
        <v>1</v>
      </c>
      <c r="I199" t="n">
        <v>8.079343537159589</v>
      </c>
      <c r="J199" t="inlineStr">
        <is>
          <t>trailing 12 calibrated months (Oct/24-Sep/25)</t>
        </is>
      </c>
      <c r="K199" t="n">
        <v>169310.4886031298</v>
      </c>
      <c r="L199" t="n">
        <v>166483.798</v>
      </c>
      <c r="M199" t="inlineStr">
        <is>
          <t>published</t>
        </is>
      </c>
      <c r="N199" t="n">
        <v>36374</v>
      </c>
      <c r="O199" t="n">
        <v>4.577</v>
      </c>
      <c r="P199" t="n">
        <v>0.1616353819</v>
      </c>
    </row>
    <row r="200">
      <c r="A200" t="inlineStr">
        <is>
          <t>Bolivia</t>
        </is>
      </c>
      <c r="B200" t="inlineStr">
        <is>
          <t>BO</t>
        </is>
      </c>
      <c r="C200" s="4" t="n">
        <v>45962</v>
      </c>
      <c r="D200" t="n">
        <v>24705.10666666667</v>
      </c>
      <c r="E200" t="n">
        <v>193364.184</v>
      </c>
      <c r="F200" t="n">
        <v>7.826891282396136</v>
      </c>
      <c r="G200" t="b">
        <v>1</v>
      </c>
      <c r="I200" t="n">
        <v>8.204026721265519</v>
      </c>
      <c r="J200" t="inlineStr">
        <is>
          <t>trailing 12 calibrated months (Nov/24-Oct/25)</t>
        </is>
      </c>
      <c r="K200" t="n">
        <v>202681.3552450483</v>
      </c>
      <c r="L200" t="n">
        <v>193364.184</v>
      </c>
      <c r="M200" t="inlineStr">
        <is>
          <t>published</t>
        </is>
      </c>
      <c r="N200" t="n">
        <v>36374</v>
      </c>
      <c r="O200" t="n">
        <v>5.316</v>
      </c>
      <c r="P200" t="n">
        <v>0.1877329452</v>
      </c>
    </row>
    <row r="201">
      <c r="A201" t="inlineStr">
        <is>
          <t>Bolivia</t>
        </is>
      </c>
      <c r="B201" t="inlineStr">
        <is>
          <t>BO</t>
        </is>
      </c>
      <c r="C201" s="4" t="n">
        <v>45992</v>
      </c>
      <c r="D201" t="n">
        <v>23318.83870967742</v>
      </c>
      <c r="E201" t="n">
        <v>183215.838</v>
      </c>
      <c r="F201" t="n">
        <v>7.856988089375336</v>
      </c>
      <c r="G201" t="b">
        <v>1</v>
      </c>
      <c r="I201" t="n">
        <v>8.340320815057707</v>
      </c>
      <c r="J201" t="inlineStr">
        <is>
          <t>trailing 12 calibrated months (Dec/24-Nov/25)</t>
        </is>
      </c>
      <c r="K201" t="n">
        <v>194486.595873296</v>
      </c>
      <c r="L201" t="n">
        <v>183215.838</v>
      </c>
      <c r="M201" t="inlineStr">
        <is>
          <t>published</t>
        </is>
      </c>
      <c r="N201" t="n">
        <v>36374</v>
      </c>
      <c r="O201" t="n">
        <v>5.037</v>
      </c>
      <c r="P201" t="n">
        <v>0.1778801439</v>
      </c>
    </row>
    <row r="202">
      <c r="A202" t="inlineStr">
        <is>
          <t>Bolivia</t>
        </is>
      </c>
      <c r="B202" t="inlineStr">
        <is>
          <t>BO</t>
        </is>
      </c>
      <c r="C202" s="4" t="n">
        <v>46023</v>
      </c>
      <c r="D202" t="n">
        <v>20844.97741935484</v>
      </c>
      <c r="G202" t="b">
        <v>0</v>
      </c>
      <c r="I202" t="n">
        <v>8.32606876323548</v>
      </c>
      <c r="J202" t="inlineStr">
        <is>
          <t>trailing 12 calibrated months (Jan/25-Dec/25)</t>
        </is>
      </c>
      <c r="K202" t="n">
        <v>173556.7153616392</v>
      </c>
      <c r="L202" t="n">
        <v>173556.7153616392</v>
      </c>
      <c r="M202" t="inlineStr">
        <is>
          <t>estimated</t>
        </is>
      </c>
      <c r="N202" t="n">
        <v>36374</v>
      </c>
      <c r="O202" t="n">
        <v>4.771449809249443</v>
      </c>
      <c r="P202" t="n">
        <v>0.1685023185787013</v>
      </c>
    </row>
    <row r="203">
      <c r="A203" t="inlineStr">
        <is>
          <t>Bolivia</t>
        </is>
      </c>
      <c r="B203" t="inlineStr">
        <is>
          <t>BO</t>
        </is>
      </c>
      <c r="C203" s="4" t="n">
        <v>46054</v>
      </c>
      <c r="D203" t="n">
        <v>23011.92142857143</v>
      </c>
      <c r="G203" t="b">
        <v>0</v>
      </c>
      <c r="I203" t="n">
        <v>8.32606876323548</v>
      </c>
      <c r="J203" t="inlineStr">
        <is>
          <t>trailing 12 calibrated months (Jan/25-Dec/25)</t>
        </is>
      </c>
      <c r="K203" t="n">
        <v>191598.8401884578</v>
      </c>
      <c r="L203" t="n">
        <v>191598.8401884578</v>
      </c>
      <c r="M203" t="inlineStr">
        <is>
          <t>estimated</t>
        </is>
      </c>
      <c r="N203" t="n">
        <v>36374</v>
      </c>
      <c r="O203" t="n">
        <v>5.267466877122609</v>
      </c>
      <c r="P203" t="n">
        <v>0.1860190125255218</v>
      </c>
    </row>
    <row r="204">
      <c r="A204" t="inlineStr">
        <is>
          <t>Bolivia</t>
        </is>
      </c>
      <c r="B204" t="inlineStr">
        <is>
          <t>BO</t>
        </is>
      </c>
      <c r="C204" s="4" t="n">
        <v>46082</v>
      </c>
      <c r="D204" t="n">
        <v>25052.94838709677</v>
      </c>
      <c r="G204" t="b">
        <v>0</v>
      </c>
      <c r="I204" t="n">
        <v>8.32606876323548</v>
      </c>
      <c r="J204" t="inlineStr">
        <is>
          <t>trailing 12 calibrated months (Jan/25-Dec/25)</t>
        </is>
      </c>
      <c r="K204" t="n">
        <v>208592.5709927571</v>
      </c>
      <c r="L204" t="n">
        <v>208592.5709927571</v>
      </c>
      <c r="M204" t="inlineStr">
        <is>
          <t>estimated</t>
        </is>
      </c>
      <c r="N204" t="n">
        <v>36374</v>
      </c>
      <c r="O204" t="n">
        <v>5.734661323823531</v>
      </c>
      <c r="P204" t="n">
        <v>0.2025178442524308</v>
      </c>
    </row>
    <row r="205">
      <c r="A205" t="inlineStr">
        <is>
          <t>Bolivia</t>
        </is>
      </c>
      <c r="B205" t="inlineStr">
        <is>
          <t>BO</t>
        </is>
      </c>
      <c r="C205" s="4" t="n">
        <v>46113</v>
      </c>
      <c r="D205" t="n">
        <v>23030.81666666667</v>
      </c>
      <c r="G205" t="b">
        <v>0</v>
      </c>
      <c r="I205" t="n">
        <v>8.32606876323548</v>
      </c>
      <c r="J205" t="inlineStr">
        <is>
          <t>trailing 12 calibrated months (Jan/25-Dec/25)</t>
        </is>
      </c>
      <c r="K205" t="n">
        <v>191756.1632401364</v>
      </c>
      <c r="L205" t="n">
        <v>191756.1632401364</v>
      </c>
      <c r="M205" t="inlineStr">
        <is>
          <t>estimated</t>
        </is>
      </c>
      <c r="N205" t="n">
        <v>36374</v>
      </c>
      <c r="O205" t="n">
        <v>5.271792028375665</v>
      </c>
      <c r="P205" t="n">
        <v>0.1861717539444781</v>
      </c>
    </row>
    <row r="206">
      <c r="A206" t="inlineStr">
        <is>
          <t>Bolivia</t>
        </is>
      </c>
      <c r="B206" t="inlineStr">
        <is>
          <t>BO</t>
        </is>
      </c>
      <c r="C206" s="4" t="n">
        <v>46143</v>
      </c>
      <c r="D206" t="n">
        <v>20399.6064516129</v>
      </c>
      <c r="G206" t="b">
        <v>0</v>
      </c>
      <c r="I206" t="n">
        <v>8.32606876323548</v>
      </c>
      <c r="J206" t="inlineStr">
        <is>
          <t>trailing 12 calibrated months (Jan/25-Dec/25)</t>
        </is>
      </c>
      <c r="K206" t="n">
        <v>169848.5260590712</v>
      </c>
      <c r="L206" t="n">
        <v>169848.5260590712</v>
      </c>
      <c r="M206" t="inlineStr">
        <is>
          <t>estimated</t>
        </is>
      </c>
      <c r="N206" t="n">
        <v>36374</v>
      </c>
      <c r="O206" t="n">
        <v>4.669503658081903</v>
      </c>
      <c r="P206" t="n">
        <v>0.164902120834065</v>
      </c>
    </row>
    <row r="207">
      <c r="A207" t="inlineStr">
        <is>
          <t>Bolivia</t>
        </is>
      </c>
      <c r="B207" t="inlineStr">
        <is>
          <t>BO</t>
        </is>
      </c>
      <c r="C207" s="4" t="n">
        <v>46174</v>
      </c>
      <c r="D207" t="n">
        <v>20983.86666666666</v>
      </c>
      <c r="G207" t="b">
        <v>0</v>
      </c>
      <c r="I207" t="n">
        <v>8.32606876323548</v>
      </c>
      <c r="J207" t="inlineStr">
        <is>
          <t>trailing 12 calibrated months (Jan/25-Dec/25)</t>
        </is>
      </c>
      <c r="K207" t="n">
        <v>174713.1167852315</v>
      </c>
      <c r="L207" t="n">
        <v>174713.1167852315</v>
      </c>
      <c r="M207" t="inlineStr">
        <is>
          <t>estimated</t>
        </is>
      </c>
      <c r="N207" t="n">
        <v>36374</v>
      </c>
      <c r="O207" t="n">
        <v>4.803241787684375</v>
      </c>
      <c r="P207" t="n">
        <v>0.1696250427595374</v>
      </c>
    </row>
    <row r="208">
      <c r="A208" t="inlineStr">
        <is>
          <t>Bolivia</t>
        </is>
      </c>
      <c r="B208" t="inlineStr">
        <is>
          <t>BO</t>
        </is>
      </c>
      <c r="C208" s="4" t="n">
        <v>46204</v>
      </c>
      <c r="D208" t="n">
        <v>22877.05483870968</v>
      </c>
      <c r="G208" t="b">
        <v>0</v>
      </c>
      <c r="I208" t="n">
        <v>8.32606876323548</v>
      </c>
      <c r="J208" t="inlineStr">
        <is>
          <t>trailing 12 calibrated months (Jan/25-Dec/25)</t>
        </is>
      </c>
      <c r="K208" t="n">
        <v>190475.9316874057</v>
      </c>
      <c r="L208" t="n">
        <v>190475.9316874057</v>
      </c>
      <c r="M208" t="inlineStr">
        <is>
          <t>estimated</t>
        </is>
      </c>
      <c r="N208" t="n">
        <v>36374</v>
      </c>
      <c r="O208" t="n">
        <v>5.236595691631543</v>
      </c>
      <c r="P208" t="n">
        <v>0.1849288058712604</v>
      </c>
    </row>
    <row r="209">
      <c r="A209" t="inlineStr">
        <is>
          <t>Bolivia</t>
        </is>
      </c>
      <c r="B209" t="inlineStr">
        <is>
          <t>BO</t>
        </is>
      </c>
      <c r="C209" s="4" t="n">
        <v>46235</v>
      </c>
      <c r="D209" t="n">
        <v>21982.01935483871</v>
      </c>
      <c r="G209" t="b">
        <v>0</v>
      </c>
      <c r="I209" t="n">
        <v>8.32606876323548</v>
      </c>
      <c r="J209" t="inlineStr">
        <is>
          <t>trailing 12 calibrated months (Jan/25-Dec/25)</t>
        </is>
      </c>
      <c r="K209" t="n">
        <v>183023.8047031603</v>
      </c>
      <c r="L209" t="n">
        <v>183023.8047031603</v>
      </c>
      <c r="M209" t="inlineStr">
        <is>
          <t>estimated</t>
        </is>
      </c>
      <c r="N209" t="n">
        <v>36374</v>
      </c>
      <c r="O209" t="n">
        <v>5.031720588969053</v>
      </c>
      <c r="P209" t="n">
        <v>0.1776937030832654</v>
      </c>
    </row>
    <row r="210">
      <c r="A210" t="inlineStr">
        <is>
          <t>Bolivia</t>
        </is>
      </c>
      <c r="B210" t="inlineStr">
        <is>
          <t>BO</t>
        </is>
      </c>
      <c r="C210" s="4" t="n">
        <v>46266</v>
      </c>
      <c r="D210" t="n">
        <v>21208.14333333333</v>
      </c>
      <c r="G210" t="b">
        <v>0</v>
      </c>
      <c r="I210" t="n">
        <v>8.32606876323548</v>
      </c>
      <c r="J210" t="inlineStr">
        <is>
          <t>trailing 12 calibrated months (Jan/25-Dec/25)</t>
        </is>
      </c>
      <c r="K210" t="n">
        <v>176580.4597338874</v>
      </c>
      <c r="L210" t="n">
        <v>176580.4597338874</v>
      </c>
      <c r="M210" t="inlineStr">
        <is>
          <t>estimated</t>
        </is>
      </c>
      <c r="N210" t="n">
        <v>36374</v>
      </c>
      <c r="O210" t="n">
        <v>4.854579087641927</v>
      </c>
      <c r="P210" t="n">
        <v>0.1714380041063484</v>
      </c>
    </row>
    <row r="211">
      <c r="A211" t="inlineStr">
        <is>
          <t>Bolivia</t>
        </is>
      </c>
      <c r="B211" t="inlineStr">
        <is>
          <t>BO</t>
        </is>
      </c>
      <c r="C211" s="4" t="n">
        <v>46296</v>
      </c>
      <c r="D211" t="n">
        <v>22038.91851851852</v>
      </c>
      <c r="G211" t="b">
        <v>0</v>
      </c>
      <c r="I211" t="n">
        <v>8.32606876323548</v>
      </c>
      <c r="J211" t="inlineStr">
        <is>
          <t>trailing 12 calibrated months (Jan/25-Dec/25)</t>
        </is>
      </c>
      <c r="K211" t="n">
        <v>183497.551052529</v>
      </c>
      <c r="L211" t="n">
        <v>183497.551052529</v>
      </c>
      <c r="M211" t="inlineStr">
        <is>
          <t>estimated</t>
        </is>
      </c>
      <c r="N211" t="n">
        <v>36374</v>
      </c>
      <c r="O211" t="n">
        <v>5.044744901647578</v>
      </c>
      <c r="P211" t="n">
        <v>0.1781536527782137</v>
      </c>
    </row>
    <row r="212">
      <c r="A212" t="inlineStr">
        <is>
          <t>Chile</t>
        </is>
      </c>
      <c r="B212" t="inlineStr">
        <is>
          <t>CL</t>
        </is>
      </c>
      <c r="C212" s="4" t="n">
        <v>44197</v>
      </c>
      <c r="D212" t="n">
        <v>23263.06129032258</v>
      </c>
      <c r="G212" t="b">
        <v>0</v>
      </c>
      <c r="I212" t="n">
        <v>7.5</v>
      </c>
      <c r="J212" t="inlineStr">
        <is>
          <t>ASSUMPTION: 7.5 MMBtu/MWh (combined cycles at part load plus open-cycle units; no Chilean power-sector gas statistic is published monthly - CNE's import split is by region, not by use)</t>
        </is>
      </c>
      <c r="K212" t="n">
        <v>174472.9596774194</v>
      </c>
      <c r="L212" t="n">
        <v>174472.9596774194</v>
      </c>
      <c r="M212" t="inlineStr">
        <is>
          <t>estimated</t>
        </is>
      </c>
      <c r="N212" t="n">
        <v>36374</v>
      </c>
      <c r="O212" t="n">
        <v>4.796639348914592</v>
      </c>
      <c r="P212" t="n">
        <v>0.1693918796151141</v>
      </c>
    </row>
    <row r="213">
      <c r="A213" t="inlineStr">
        <is>
          <t>Chile</t>
        </is>
      </c>
      <c r="B213" t="inlineStr">
        <is>
          <t>CL</t>
        </is>
      </c>
      <c r="C213" s="4" t="n">
        <v>44228</v>
      </c>
      <c r="D213" t="n">
        <v>36071.72857142857</v>
      </c>
      <c r="G213" t="b">
        <v>0</v>
      </c>
      <c r="I213" t="n">
        <v>7.5</v>
      </c>
      <c r="J213" t="inlineStr">
        <is>
          <t>ASSUMPTION: 7.5 MMBtu/MWh (combined cycles at part load plus open-cycle units; no Chilean power-sector gas statistic is published monthly - CNE's import split is by region, not by use)</t>
        </is>
      </c>
      <c r="K213" t="n">
        <v>270537.9642857143</v>
      </c>
      <c r="L213" t="n">
        <v>270537.9642857143</v>
      </c>
      <c r="M213" t="inlineStr">
        <is>
          <t>estimated</t>
        </is>
      </c>
      <c r="N213" t="n">
        <v>36374</v>
      </c>
      <c r="O213" t="n">
        <v>7.437674280687147</v>
      </c>
      <c r="P213" t="n">
        <v>0.2626592359201824</v>
      </c>
    </row>
    <row r="214">
      <c r="A214" t="inlineStr">
        <is>
          <t>Chile</t>
        </is>
      </c>
      <c r="B214" t="inlineStr">
        <is>
          <t>CL</t>
        </is>
      </c>
      <c r="C214" s="4" t="n">
        <v>44256</v>
      </c>
      <c r="D214" t="n">
        <v>42865.86774193549</v>
      </c>
      <c r="G214" t="b">
        <v>0</v>
      </c>
      <c r="I214" t="n">
        <v>7.5</v>
      </c>
      <c r="J214" t="inlineStr">
        <is>
          <t>ASSUMPTION: 7.5 MMBtu/MWh (combined cycles at part load plus open-cycle units; no Chilean power-sector gas statistic is published monthly - CNE's import split is by region, not by use)</t>
        </is>
      </c>
      <c r="K214" t="n">
        <v>321494.0080645161</v>
      </c>
      <c r="L214" t="n">
        <v>321494.0080645161</v>
      </c>
      <c r="M214" t="inlineStr">
        <is>
          <t>estimated</t>
        </is>
      </c>
      <c r="N214" t="n">
        <v>36374</v>
      </c>
      <c r="O214" t="n">
        <v>8.838566230398531</v>
      </c>
      <c r="P214" t="n">
        <v>0.312131314856655</v>
      </c>
    </row>
    <row r="215">
      <c r="A215" t="inlineStr">
        <is>
          <t>Chile</t>
        </is>
      </c>
      <c r="B215" t="inlineStr">
        <is>
          <t>CL</t>
        </is>
      </c>
      <c r="C215" s="4" t="n">
        <v>44287</v>
      </c>
      <c r="D215" t="n">
        <v>53350.46333333334</v>
      </c>
      <c r="G215" t="b">
        <v>0</v>
      </c>
      <c r="I215" t="n">
        <v>7.5</v>
      </c>
      <c r="J215" t="inlineStr">
        <is>
          <t>ASSUMPTION: 7.5 MMBtu/MWh (combined cycles at part load plus open-cycle units; no Chilean power-sector gas statistic is published monthly - CNE's import split is by region, not by use)</t>
        </is>
      </c>
      <c r="K215" t="n">
        <v>400128.475</v>
      </c>
      <c r="L215" t="n">
        <v>400128.475</v>
      </c>
      <c r="M215" t="inlineStr">
        <is>
          <t>estimated</t>
        </is>
      </c>
      <c r="N215" t="n">
        <v>36374</v>
      </c>
      <c r="O215" t="n">
        <v>11.00039794908451</v>
      </c>
      <c r="P215" t="n">
        <v>0.3884757534525348</v>
      </c>
    </row>
    <row r="216">
      <c r="A216" t="inlineStr">
        <is>
          <t>Chile</t>
        </is>
      </c>
      <c r="B216" t="inlineStr">
        <is>
          <t>CL</t>
        </is>
      </c>
      <c r="C216" s="4" t="n">
        <v>44317</v>
      </c>
      <c r="D216" t="n">
        <v>49617.33548387096</v>
      </c>
      <c r="G216" t="b">
        <v>0</v>
      </c>
      <c r="I216" t="n">
        <v>7.5</v>
      </c>
      <c r="J216" t="inlineStr">
        <is>
          <t>ASSUMPTION: 7.5 MMBtu/MWh (combined cycles at part load plus open-cycle units; no Chilean power-sector gas statistic is published monthly - CNE's import split is by region, not by use)</t>
        </is>
      </c>
      <c r="K216" t="n">
        <v>372130.0161290322</v>
      </c>
      <c r="L216" t="n">
        <v>372130.0161290322</v>
      </c>
      <c r="M216" t="inlineStr">
        <is>
          <t>estimated</t>
        </is>
      </c>
      <c r="N216" t="n">
        <v>36374</v>
      </c>
      <c r="O216" t="n">
        <v>10.23065970553231</v>
      </c>
      <c r="P216" t="n">
        <v>0.3612926783029618</v>
      </c>
    </row>
    <row r="217">
      <c r="A217" t="inlineStr">
        <is>
          <t>Chile</t>
        </is>
      </c>
      <c r="B217" t="inlineStr">
        <is>
          <t>CL</t>
        </is>
      </c>
      <c r="C217" s="4" t="n">
        <v>44348</v>
      </c>
      <c r="D217" t="n">
        <v>37148.94333333333</v>
      </c>
      <c r="G217" t="b">
        <v>0</v>
      </c>
      <c r="I217" t="n">
        <v>7.5</v>
      </c>
      <c r="J217" t="inlineStr">
        <is>
          <t>ASSUMPTION: 7.5 MMBtu/MWh (combined cycles at part load plus open-cycle units; no Chilean power-sector gas statistic is published monthly - CNE's import split is by region, not by use)</t>
        </is>
      </c>
      <c r="K217" t="n">
        <v>278617.075</v>
      </c>
      <c r="L217" t="n">
        <v>278617.075</v>
      </c>
      <c r="M217" t="inlineStr">
        <is>
          <t>estimated</t>
        </is>
      </c>
      <c r="N217" t="n">
        <v>36374</v>
      </c>
      <c r="O217" t="n">
        <v>7.659786523340847</v>
      </c>
      <c r="P217" t="n">
        <v>0.270503063135825</v>
      </c>
    </row>
    <row r="218">
      <c r="A218" t="inlineStr">
        <is>
          <t>Chile</t>
        </is>
      </c>
      <c r="B218" t="inlineStr">
        <is>
          <t>CL</t>
        </is>
      </c>
      <c r="C218" s="4" t="n">
        <v>44378</v>
      </c>
      <c r="D218" t="n">
        <v>42270.15483870968</v>
      </c>
      <c r="G218" t="b">
        <v>0</v>
      </c>
      <c r="I218" t="n">
        <v>7.5</v>
      </c>
      <c r="J218" t="inlineStr">
        <is>
          <t>ASSUMPTION: 7.5 MMBtu/MWh (combined cycles at part load plus open-cycle units; no Chilean power-sector gas statistic is published monthly - CNE's import split is by region, not by use)</t>
        </is>
      </c>
      <c r="K218" t="n">
        <v>317026.1612903227</v>
      </c>
      <c r="L218" t="n">
        <v>317026.1612903227</v>
      </c>
      <c r="M218" t="inlineStr">
        <is>
          <t>estimated</t>
        </is>
      </c>
      <c r="N218" t="n">
        <v>36374</v>
      </c>
      <c r="O218" t="n">
        <v>8.715735450880372</v>
      </c>
      <c r="P218" t="n">
        <v>0.307793582727205</v>
      </c>
    </row>
    <row r="219">
      <c r="A219" t="inlineStr">
        <is>
          <t>Chile</t>
        </is>
      </c>
      <c r="B219" t="inlineStr">
        <is>
          <t>CL</t>
        </is>
      </c>
      <c r="C219" s="4" t="n">
        <v>44409</v>
      </c>
      <c r="D219" t="n">
        <v>49806.88387096774</v>
      </c>
      <c r="G219" t="b">
        <v>0</v>
      </c>
      <c r="I219" t="n">
        <v>7.5</v>
      </c>
      <c r="J219" t="inlineStr">
        <is>
          <t>ASSUMPTION: 7.5 MMBtu/MWh (combined cycles at part load plus open-cycle units; no Chilean power-sector gas statistic is published monthly - CNE's import split is by region, not by use)</t>
        </is>
      </c>
      <c r="K219" t="n">
        <v>373551.6290322581</v>
      </c>
      <c r="L219" t="n">
        <v>373551.6290322581</v>
      </c>
      <c r="M219" t="inlineStr">
        <is>
          <t>estimated</t>
        </is>
      </c>
      <c r="N219" t="n">
        <v>36374</v>
      </c>
      <c r="O219" t="n">
        <v>10.26974292165442</v>
      </c>
      <c r="P219" t="n">
        <v>0.3626728903553495</v>
      </c>
    </row>
    <row r="220">
      <c r="A220" t="inlineStr">
        <is>
          <t>Chile</t>
        </is>
      </c>
      <c r="B220" t="inlineStr">
        <is>
          <t>CL</t>
        </is>
      </c>
      <c r="C220" s="4" t="n">
        <v>44440</v>
      </c>
      <c r="D220" t="n">
        <v>37402.87666666666</v>
      </c>
      <c r="G220" t="b">
        <v>0</v>
      </c>
      <c r="I220" t="n">
        <v>7.5</v>
      </c>
      <c r="J220" t="inlineStr">
        <is>
          <t>ASSUMPTION: 7.5 MMBtu/MWh (combined cycles at part load plus open-cycle units; no Chilean power-sector gas statistic is published monthly - CNE's import split is by region, not by use)</t>
        </is>
      </c>
      <c r="K220" t="n">
        <v>280521.575</v>
      </c>
      <c r="L220" t="n">
        <v>280521.575</v>
      </c>
      <c r="M220" t="inlineStr">
        <is>
          <t>estimated</t>
        </is>
      </c>
      <c r="N220" t="n">
        <v>36374</v>
      </c>
      <c r="O220" t="n">
        <v>7.712145351074942</v>
      </c>
      <c r="P220" t="n">
        <v>0.2723520994296063</v>
      </c>
    </row>
    <row r="221">
      <c r="A221" t="inlineStr">
        <is>
          <t>Chile</t>
        </is>
      </c>
      <c r="B221" t="inlineStr">
        <is>
          <t>CL</t>
        </is>
      </c>
      <c r="C221" s="4" t="n">
        <v>44470</v>
      </c>
      <c r="D221" t="n">
        <v>36369.57096774194</v>
      </c>
      <c r="G221" t="b">
        <v>0</v>
      </c>
      <c r="I221" t="n">
        <v>7.5</v>
      </c>
      <c r="J221" t="inlineStr">
        <is>
          <t>ASSUMPTION: 7.5 MMBtu/MWh (combined cycles at part load plus open-cycle units; no Chilean power-sector gas statistic is published monthly - CNE's import split is by region, not by use)</t>
        </is>
      </c>
      <c r="K221" t="n">
        <v>272771.7822580646</v>
      </c>
      <c r="L221" t="n">
        <v>272771.7822580646</v>
      </c>
      <c r="M221" t="inlineStr">
        <is>
          <t>estimated</t>
        </is>
      </c>
      <c r="N221" t="n">
        <v>36374</v>
      </c>
      <c r="O221" t="n">
        <v>7.499086772366652</v>
      </c>
      <c r="P221" t="n">
        <v>0.2648279996400966</v>
      </c>
    </row>
    <row r="222">
      <c r="A222" t="inlineStr">
        <is>
          <t>Chile</t>
        </is>
      </c>
      <c r="B222" t="inlineStr">
        <is>
          <t>CL</t>
        </is>
      </c>
      <c r="C222" s="4" t="n">
        <v>44501</v>
      </c>
      <c r="D222" t="n">
        <v>32511.27</v>
      </c>
      <c r="G222" t="b">
        <v>0</v>
      </c>
      <c r="I222" t="n">
        <v>7.5</v>
      </c>
      <c r="J222" t="inlineStr">
        <is>
          <t>ASSUMPTION: 7.5 MMBtu/MWh (combined cycles at part load plus open-cycle units; no Chilean power-sector gas statistic is published monthly - CNE's import split is by region, not by use)</t>
        </is>
      </c>
      <c r="K222" t="n">
        <v>243834.525</v>
      </c>
      <c r="L222" t="n">
        <v>243834.525</v>
      </c>
      <c r="M222" t="inlineStr">
        <is>
          <t>estimated</t>
        </is>
      </c>
      <c r="N222" t="n">
        <v>36374</v>
      </c>
      <c r="O222" t="n">
        <v>6.703538928905261</v>
      </c>
      <c r="P222" t="n">
        <v>0.2367334662126106</v>
      </c>
    </row>
    <row r="223">
      <c r="A223" t="inlineStr">
        <is>
          <t>Chile</t>
        </is>
      </c>
      <c r="B223" t="inlineStr">
        <is>
          <t>CL</t>
        </is>
      </c>
      <c r="C223" s="4" t="n">
        <v>44531</v>
      </c>
      <c r="D223" t="n">
        <v>35314.28387096775</v>
      </c>
      <c r="G223" t="b">
        <v>0</v>
      </c>
      <c r="I223" t="n">
        <v>7.5</v>
      </c>
      <c r="J223" t="inlineStr">
        <is>
          <t>ASSUMPTION: 7.5 MMBtu/MWh (combined cycles at part load plus open-cycle units; no Chilean power-sector gas statistic is published monthly - CNE's import split is by region, not by use)</t>
        </is>
      </c>
      <c r="K223" t="n">
        <v>264857.1290322581</v>
      </c>
      <c r="L223" t="n">
        <v>264857.1290322581</v>
      </c>
      <c r="M223" t="inlineStr">
        <is>
          <t>estimated</t>
        </is>
      </c>
      <c r="N223" t="n">
        <v>36374</v>
      </c>
      <c r="O223" t="n">
        <v>7.281495822077805</v>
      </c>
      <c r="P223" t="n">
        <v>0.257143840507931</v>
      </c>
    </row>
    <row r="224">
      <c r="A224" t="inlineStr">
        <is>
          <t>Chile</t>
        </is>
      </c>
      <c r="B224" t="inlineStr">
        <is>
          <t>CL</t>
        </is>
      </c>
      <c r="C224" s="4" t="n">
        <v>44562</v>
      </c>
      <c r="D224" t="n">
        <v>38575.38064516129</v>
      </c>
      <c r="G224" t="b">
        <v>0</v>
      </c>
      <c r="I224" t="n">
        <v>7.5</v>
      </c>
      <c r="J224" t="inlineStr">
        <is>
          <t>ASSUMPTION: 7.5 MMBtu/MWh (combined cycles at part load plus open-cycle units; no Chilean power-sector gas statistic is published monthly - CNE's import split is by region, not by use)</t>
        </is>
      </c>
      <c r="K224" t="n">
        <v>289315.3548387097</v>
      </c>
      <c r="L224" t="n">
        <v>289315.3548387097</v>
      </c>
      <c r="M224" t="inlineStr">
        <is>
          <t>estimated</t>
        </is>
      </c>
      <c r="N224" t="n">
        <v>36374</v>
      </c>
      <c r="O224" t="n">
        <v>7.953905395026934</v>
      </c>
      <c r="P224" t="n">
        <v>0.2808897828537577</v>
      </c>
    </row>
    <row r="225">
      <c r="A225" t="inlineStr">
        <is>
          <t>Chile</t>
        </is>
      </c>
      <c r="B225" t="inlineStr">
        <is>
          <t>CL</t>
        </is>
      </c>
      <c r="C225" s="4" t="n">
        <v>44593</v>
      </c>
      <c r="D225" t="n">
        <v>43726.72857142856</v>
      </c>
      <c r="G225" t="b">
        <v>0</v>
      </c>
      <c r="I225" t="n">
        <v>7.5</v>
      </c>
      <c r="J225" t="inlineStr">
        <is>
          <t>ASSUMPTION: 7.5 MMBtu/MWh (combined cycles at part load plus open-cycle units; no Chilean power-sector gas statistic is published monthly - CNE's import split is by region, not by use)</t>
        </is>
      </c>
      <c r="K225" t="n">
        <v>327950.4642857142</v>
      </c>
      <c r="L225" t="n">
        <v>327950.4642857142</v>
      </c>
      <c r="M225" t="inlineStr">
        <is>
          <t>estimated</t>
        </is>
      </c>
      <c r="N225" t="n">
        <v>36374</v>
      </c>
      <c r="O225" t="n">
        <v>9.016068188423439</v>
      </c>
      <c r="P225" t="n">
        <v>0.3183997432537172</v>
      </c>
    </row>
    <row r="226">
      <c r="A226" t="inlineStr">
        <is>
          <t>Chile</t>
        </is>
      </c>
      <c r="B226" t="inlineStr">
        <is>
          <t>CL</t>
        </is>
      </c>
      <c r="C226" s="4" t="n">
        <v>44621</v>
      </c>
      <c r="D226" t="n">
        <v>48417.30967741935</v>
      </c>
      <c r="G226" t="b">
        <v>0</v>
      </c>
      <c r="I226" t="n">
        <v>7.5</v>
      </c>
      <c r="J226" t="inlineStr">
        <is>
          <t>ASSUMPTION: 7.5 MMBtu/MWh (combined cycles at part load plus open-cycle units; no Chilean power-sector gas statistic is published monthly - CNE's import split is by region, not by use)</t>
        </is>
      </c>
      <c r="K226" t="n">
        <v>363129.8225806451</v>
      </c>
      <c r="L226" t="n">
        <v>363129.8225806451</v>
      </c>
      <c r="M226" t="inlineStr">
        <is>
          <t>estimated</t>
        </is>
      </c>
      <c r="N226" t="n">
        <v>36374</v>
      </c>
      <c r="O226" t="n">
        <v>9.983224901870708</v>
      </c>
      <c r="P226" t="n">
        <v>0.3525545924420935</v>
      </c>
    </row>
    <row r="227">
      <c r="A227" t="inlineStr">
        <is>
          <t>Chile</t>
        </is>
      </c>
      <c r="B227" t="inlineStr">
        <is>
          <t>CL</t>
        </is>
      </c>
      <c r="C227" s="4" t="n">
        <v>44652</v>
      </c>
      <c r="D227" t="n">
        <v>52449.07666666668</v>
      </c>
      <c r="G227" t="b">
        <v>0</v>
      </c>
      <c r="I227" t="n">
        <v>7.5</v>
      </c>
      <c r="J227" t="inlineStr">
        <is>
          <t>ASSUMPTION: 7.5 MMBtu/MWh (combined cycles at part load plus open-cycle units; no Chilean power-sector gas statistic is published monthly - CNE's import split is by region, not by use)</t>
        </is>
      </c>
      <c r="K227" t="n">
        <v>393368.0750000001</v>
      </c>
      <c r="L227" t="n">
        <v>393368.0750000001</v>
      </c>
      <c r="M227" t="inlineStr">
        <is>
          <t>estimated</t>
        </is>
      </c>
      <c r="N227" t="n">
        <v>36374</v>
      </c>
      <c r="O227" t="n">
        <v>10.8145399186232</v>
      </c>
      <c r="P227" t="n">
        <v>0.3819122328642025</v>
      </c>
    </row>
    <row r="228">
      <c r="A228" t="inlineStr">
        <is>
          <t>Chile</t>
        </is>
      </c>
      <c r="B228" t="inlineStr">
        <is>
          <t>CL</t>
        </is>
      </c>
      <c r="C228" s="4" t="n">
        <v>44682</v>
      </c>
      <c r="D228" t="n">
        <v>50817.06129032258</v>
      </c>
      <c r="G228" t="b">
        <v>0</v>
      </c>
      <c r="I228" t="n">
        <v>7.5</v>
      </c>
      <c r="J228" t="inlineStr">
        <is>
          <t>ASSUMPTION: 7.5 MMBtu/MWh (combined cycles at part load plus open-cycle units; no Chilean power-sector gas statistic is published monthly - CNE's import split is by region, not by use)</t>
        </is>
      </c>
      <c r="K228" t="n">
        <v>381127.9596774194</v>
      </c>
      <c r="L228" t="n">
        <v>381127.9596774194</v>
      </c>
      <c r="M228" t="inlineStr">
        <is>
          <t>estimated</t>
        </is>
      </c>
      <c r="N228" t="n">
        <v>36374</v>
      </c>
      <c r="O228" t="n">
        <v>10.47803265182326</v>
      </c>
      <c r="P228" t="n">
        <v>0.370028579689343</v>
      </c>
    </row>
    <row r="229">
      <c r="A229" t="inlineStr">
        <is>
          <t>Chile</t>
        </is>
      </c>
      <c r="B229" t="inlineStr">
        <is>
          <t>CL</t>
        </is>
      </c>
      <c r="C229" s="4" t="n">
        <v>44713</v>
      </c>
      <c r="D229" t="n">
        <v>53703.17999999999</v>
      </c>
      <c r="G229" t="b">
        <v>0</v>
      </c>
      <c r="I229" t="n">
        <v>7.5</v>
      </c>
      <c r="J229" t="inlineStr">
        <is>
          <t>ASSUMPTION: 7.5 MMBtu/MWh (combined cycles at part load plus open-cycle units; no Chilean power-sector gas statistic is published monthly - CNE's import split is by region, not by use)</t>
        </is>
      </c>
      <c r="K229" t="n">
        <v>402773.8499999999</v>
      </c>
      <c r="L229" t="n">
        <v>402773.8499999999</v>
      </c>
      <c r="M229" t="inlineStr">
        <is>
          <t>estimated</t>
        </is>
      </c>
      <c r="N229" t="n">
        <v>36374</v>
      </c>
      <c r="O229" t="n">
        <v>11.0731250343652</v>
      </c>
      <c r="P229" t="n">
        <v>0.3910440886510968</v>
      </c>
    </row>
    <row r="230">
      <c r="A230" t="inlineStr">
        <is>
          <t>Chile</t>
        </is>
      </c>
      <c r="B230" t="inlineStr">
        <is>
          <t>CL</t>
        </is>
      </c>
      <c r="C230" s="4" t="n">
        <v>44743</v>
      </c>
      <c r="D230" t="n">
        <v>43436.10000000001</v>
      </c>
      <c r="G230" t="b">
        <v>0</v>
      </c>
      <c r="I230" t="n">
        <v>7.5</v>
      </c>
      <c r="J230" t="inlineStr">
        <is>
          <t>ASSUMPTION: 7.5 MMBtu/MWh (combined cycles at part load plus open-cycle units; no Chilean power-sector gas statistic is published monthly - CNE's import split is by region, not by use)</t>
        </is>
      </c>
      <c r="K230" t="n">
        <v>325770.7500000001</v>
      </c>
      <c r="L230" t="n">
        <v>325770.7500000001</v>
      </c>
      <c r="M230" t="inlineStr">
        <is>
          <t>estimated</t>
        </is>
      </c>
      <c r="N230" t="n">
        <v>36374</v>
      </c>
      <c r="O230" t="n">
        <v>8.956143124209603</v>
      </c>
      <c r="P230" t="n">
        <v>0.3162835075885249</v>
      </c>
    </row>
    <row r="231">
      <c r="A231" t="inlineStr">
        <is>
          <t>Chile</t>
        </is>
      </c>
      <c r="B231" t="inlineStr">
        <is>
          <t>CL</t>
        </is>
      </c>
      <c r="C231" s="4" t="n">
        <v>44774</v>
      </c>
      <c r="D231" t="n">
        <v>41062.89677419355</v>
      </c>
      <c r="G231" t="b">
        <v>0</v>
      </c>
      <c r="I231" t="n">
        <v>7.5</v>
      </c>
      <c r="J231" t="inlineStr">
        <is>
          <t>ASSUMPTION: 7.5 MMBtu/MWh (combined cycles at part load plus open-cycle units; no Chilean power-sector gas statistic is published monthly - CNE's import split is by region, not by use)</t>
        </is>
      </c>
      <c r="K231" t="n">
        <v>307971.7258064516</v>
      </c>
      <c r="L231" t="n">
        <v>307971.7258064516</v>
      </c>
      <c r="M231" t="inlineStr">
        <is>
          <t>estimated</t>
        </is>
      </c>
      <c r="N231" t="n">
        <v>36374</v>
      </c>
      <c r="O231" t="n">
        <v>8.466809418993007</v>
      </c>
      <c r="P231" t="n">
        <v>0.2990028345889123</v>
      </c>
    </row>
    <row r="232">
      <c r="A232" t="inlineStr">
        <is>
          <t>Chile</t>
        </is>
      </c>
      <c r="B232" t="inlineStr">
        <is>
          <t>CL</t>
        </is>
      </c>
      <c r="C232" s="4" t="n">
        <v>44805</v>
      </c>
      <c r="D232" t="n">
        <v>41096.01333333334</v>
      </c>
      <c r="G232" t="b">
        <v>0</v>
      </c>
      <c r="I232" t="n">
        <v>7.5</v>
      </c>
      <c r="J232" t="inlineStr">
        <is>
          <t>ASSUMPTION: 7.5 MMBtu/MWh (combined cycles at part load plus open-cycle units; no Chilean power-sector gas statistic is published monthly - CNE's import split is by region, not by use)</t>
        </is>
      </c>
      <c r="K232" t="n">
        <v>308220.1</v>
      </c>
      <c r="L232" t="n">
        <v>308220.1</v>
      </c>
      <c r="M232" t="inlineStr">
        <is>
          <t>estimated</t>
        </is>
      </c>
      <c r="N232" t="n">
        <v>36374</v>
      </c>
      <c r="O232" t="n">
        <v>8.473637763237479</v>
      </c>
      <c r="P232" t="n">
        <v>0.2992439755174026</v>
      </c>
    </row>
    <row r="233">
      <c r="A233" t="inlineStr">
        <is>
          <t>Chile</t>
        </is>
      </c>
      <c r="B233" t="inlineStr">
        <is>
          <t>CL</t>
        </is>
      </c>
      <c r="C233" s="4" t="n">
        <v>44835</v>
      </c>
      <c r="D233" t="n">
        <v>32758.91612903226</v>
      </c>
      <c r="G233" t="b">
        <v>0</v>
      </c>
      <c r="I233" t="n">
        <v>7.5</v>
      </c>
      <c r="J233" t="inlineStr">
        <is>
          <t>ASSUMPTION: 7.5 MMBtu/MWh (combined cycles at part load plus open-cycle units; no Chilean power-sector gas statistic is published monthly - CNE's import split is by region, not by use)</t>
        </is>
      </c>
      <c r="K233" t="n">
        <v>245691.8709677419</v>
      </c>
      <c r="L233" t="n">
        <v>245691.8709677419</v>
      </c>
      <c r="M233" t="inlineStr">
        <is>
          <t>estimated</t>
        </is>
      </c>
      <c r="N233" t="n">
        <v>36374</v>
      </c>
      <c r="O233" t="n">
        <v>6.754601390216692</v>
      </c>
      <c r="P233" t="n">
        <v>0.2385367217150854</v>
      </c>
    </row>
    <row r="234">
      <c r="A234" t="inlineStr">
        <is>
          <t>Chile</t>
        </is>
      </c>
      <c r="B234" t="inlineStr">
        <is>
          <t>CL</t>
        </is>
      </c>
      <c r="C234" s="4" t="n">
        <v>44866</v>
      </c>
      <c r="D234" t="n">
        <v>34250.80666666666</v>
      </c>
      <c r="G234" t="b">
        <v>0</v>
      </c>
      <c r="I234" t="n">
        <v>7.5</v>
      </c>
      <c r="J234" t="inlineStr">
        <is>
          <t>ASSUMPTION: 7.5 MMBtu/MWh (combined cycles at part load plus open-cycle units; no Chilean power-sector gas statistic is published monthly - CNE's import split is by region, not by use)</t>
        </is>
      </c>
      <c r="K234" t="n">
        <v>256881.05</v>
      </c>
      <c r="L234" t="n">
        <v>256881.05</v>
      </c>
      <c r="M234" t="inlineStr">
        <is>
          <t>estimated</t>
        </is>
      </c>
      <c r="N234" t="n">
        <v>36374</v>
      </c>
      <c r="O234" t="n">
        <v>7.062216143399131</v>
      </c>
      <c r="P234" t="n">
        <v>0.2494000444392973</v>
      </c>
    </row>
    <row r="235">
      <c r="A235" t="inlineStr">
        <is>
          <t>Chile</t>
        </is>
      </c>
      <c r="B235" t="inlineStr">
        <is>
          <t>CL</t>
        </is>
      </c>
      <c r="C235" s="4" t="n">
        <v>44896</v>
      </c>
      <c r="D235" t="n">
        <v>42454.86774193548</v>
      </c>
      <c r="G235" t="b">
        <v>0</v>
      </c>
      <c r="I235" t="n">
        <v>7.5</v>
      </c>
      <c r="J235" t="inlineStr">
        <is>
          <t>ASSUMPTION: 7.5 MMBtu/MWh (combined cycles at part load plus open-cycle units; no Chilean power-sector gas statistic is published monthly - CNE's import split is by region, not by use)</t>
        </is>
      </c>
      <c r="K235" t="n">
        <v>318411.5080645161</v>
      </c>
      <c r="L235" t="n">
        <v>318411.5080645161</v>
      </c>
      <c r="M235" t="inlineStr">
        <is>
          <t>estimated</t>
        </is>
      </c>
      <c r="N235" t="n">
        <v>36374</v>
      </c>
      <c r="O235" t="n">
        <v>8.753821632608901</v>
      </c>
      <c r="P235" t="n">
        <v>0.3091385848090935</v>
      </c>
    </row>
    <row r="236">
      <c r="A236" t="inlineStr">
        <is>
          <t>Chile</t>
        </is>
      </c>
      <c r="B236" t="inlineStr">
        <is>
          <t>CL</t>
        </is>
      </c>
      <c r="C236" s="4" t="n">
        <v>44927</v>
      </c>
      <c r="D236" t="n">
        <v>48974.37096774195</v>
      </c>
      <c r="G236" t="b">
        <v>0</v>
      </c>
      <c r="I236" t="n">
        <v>7.5</v>
      </c>
      <c r="J236" t="inlineStr">
        <is>
          <t>ASSUMPTION: 7.5 MMBtu/MWh (combined cycles at part load plus open-cycle units; no Chilean power-sector gas statistic is published monthly - CNE's import split is by region, not by use)</t>
        </is>
      </c>
      <c r="K236" t="n">
        <v>367307.7822580646</v>
      </c>
      <c r="L236" t="n">
        <v>367307.7822580646</v>
      </c>
      <c r="M236" t="inlineStr">
        <is>
          <t>estimated</t>
        </is>
      </c>
      <c r="N236" t="n">
        <v>36374</v>
      </c>
      <c r="O236" t="n">
        <v>10.09808605757037</v>
      </c>
      <c r="P236" t="n">
        <v>0.3566108796972803</v>
      </c>
    </row>
    <row r="237">
      <c r="A237" t="inlineStr">
        <is>
          <t>Chile</t>
        </is>
      </c>
      <c r="B237" t="inlineStr">
        <is>
          <t>CL</t>
        </is>
      </c>
      <c r="C237" s="4" t="n">
        <v>44958</v>
      </c>
      <c r="D237" t="n">
        <v>53245.69285714287</v>
      </c>
      <c r="G237" t="b">
        <v>0</v>
      </c>
      <c r="I237" t="n">
        <v>7.5</v>
      </c>
      <c r="J237" t="inlineStr">
        <is>
          <t>ASSUMPTION: 7.5 MMBtu/MWh (combined cycles at part load plus open-cycle units; no Chilean power-sector gas statistic is published monthly - CNE's import split is by region, not by use)</t>
        </is>
      </c>
      <c r="K237" t="n">
        <v>399342.6964285715</v>
      </c>
      <c r="L237" t="n">
        <v>399342.6964285715</v>
      </c>
      <c r="M237" t="inlineStr">
        <is>
          <t>estimated</t>
        </is>
      </c>
      <c r="N237" t="n">
        <v>36374</v>
      </c>
      <c r="O237" t="n">
        <v>10.9787951951551</v>
      </c>
      <c r="P237" t="n">
        <v>0.3877128586783437</v>
      </c>
    </row>
    <row r="238">
      <c r="A238" t="inlineStr">
        <is>
          <t>Chile</t>
        </is>
      </c>
      <c r="B238" t="inlineStr">
        <is>
          <t>CL</t>
        </is>
      </c>
      <c r="C238" s="4" t="n">
        <v>44986</v>
      </c>
      <c r="D238" t="n">
        <v>63769.50967741936</v>
      </c>
      <c r="G238" t="b">
        <v>0</v>
      </c>
      <c r="I238" t="n">
        <v>7.5</v>
      </c>
      <c r="J238" t="inlineStr">
        <is>
          <t>ASSUMPTION: 7.5 MMBtu/MWh (combined cycles at part load plus open-cycle units; no Chilean power-sector gas statistic is published monthly - CNE's import split is by region, not by use)</t>
        </is>
      </c>
      <c r="K238" t="n">
        <v>478271.3225806452</v>
      </c>
      <c r="L238" t="n">
        <v>478271.3225806452</v>
      </c>
      <c r="M238" t="inlineStr">
        <is>
          <t>estimated</t>
        </is>
      </c>
      <c r="N238" t="n">
        <v>36374</v>
      </c>
      <c r="O238" t="n">
        <v>13.14871398748131</v>
      </c>
      <c r="P238" t="n">
        <v>0.4643428898537063</v>
      </c>
    </row>
    <row r="239">
      <c r="A239" t="inlineStr">
        <is>
          <t>Chile</t>
        </is>
      </c>
      <c r="B239" t="inlineStr">
        <is>
          <t>CL</t>
        </is>
      </c>
      <c r="C239" s="4" t="n">
        <v>45017</v>
      </c>
      <c r="D239" t="n">
        <v>64920.79</v>
      </c>
      <c r="G239" t="b">
        <v>0</v>
      </c>
      <c r="I239" t="n">
        <v>7.5</v>
      </c>
      <c r="J239" t="inlineStr">
        <is>
          <t>ASSUMPTION: 7.5 MMBtu/MWh (combined cycles at part load plus open-cycle units; no Chilean power-sector gas statistic is published monthly - CNE's import split is by region, not by use)</t>
        </is>
      </c>
      <c r="K239" t="n">
        <v>486905.925</v>
      </c>
      <c r="L239" t="n">
        <v>486905.925</v>
      </c>
      <c r="M239" t="inlineStr">
        <is>
          <t>estimated</t>
        </is>
      </c>
      <c r="N239" t="n">
        <v>36374</v>
      </c>
      <c r="O239" t="n">
        <v>13.38609789959861</v>
      </c>
      <c r="P239" t="n">
        <v>0.4727260314949551</v>
      </c>
    </row>
    <row r="240">
      <c r="A240" t="inlineStr">
        <is>
          <t>Chile</t>
        </is>
      </c>
      <c r="B240" t="inlineStr">
        <is>
          <t>CL</t>
        </is>
      </c>
      <c r="C240" s="4" t="n">
        <v>45047</v>
      </c>
      <c r="D240" t="n">
        <v>63678.23870967742</v>
      </c>
      <c r="G240" t="b">
        <v>0</v>
      </c>
      <c r="I240" t="n">
        <v>7.5</v>
      </c>
      <c r="J240" t="inlineStr">
        <is>
          <t>ASSUMPTION: 7.5 MMBtu/MWh (combined cycles at part load plus open-cycle units; no Chilean power-sector gas statistic is published monthly - CNE's import split is by region, not by use)</t>
        </is>
      </c>
      <c r="K240" t="n">
        <v>477586.7903225806</v>
      </c>
      <c r="L240" t="n">
        <v>477586.7903225806</v>
      </c>
      <c r="M240" t="inlineStr">
        <is>
          <t>estimated</t>
        </is>
      </c>
      <c r="N240" t="n">
        <v>36374</v>
      </c>
      <c r="O240" t="n">
        <v>13.12989471387751</v>
      </c>
      <c r="P240" t="n">
        <v>0.4636782928521702</v>
      </c>
    </row>
    <row r="241">
      <c r="A241" t="inlineStr">
        <is>
          <t>Chile</t>
        </is>
      </c>
      <c r="B241" t="inlineStr">
        <is>
          <t>CL</t>
        </is>
      </c>
      <c r="C241" s="4" t="n">
        <v>45078</v>
      </c>
      <c r="D241" t="n">
        <v>58963.03000000001</v>
      </c>
      <c r="G241" t="b">
        <v>0</v>
      </c>
      <c r="I241" t="n">
        <v>7.5</v>
      </c>
      <c r="J241" t="inlineStr">
        <is>
          <t>ASSUMPTION: 7.5 MMBtu/MWh (combined cycles at part load plus open-cycle units; no Chilean power-sector gas statistic is published monthly - CNE's import split is by region, not by use)</t>
        </is>
      </c>
      <c r="K241" t="n">
        <v>442222.725</v>
      </c>
      <c r="L241" t="n">
        <v>442222.725</v>
      </c>
      <c r="M241" t="inlineStr">
        <is>
          <t>estimated</t>
        </is>
      </c>
      <c r="N241" t="n">
        <v>36374</v>
      </c>
      <c r="O241" t="n">
        <v>12.15766000439875</v>
      </c>
      <c r="P241" t="n">
        <v>0.4293441157573404</v>
      </c>
    </row>
    <row r="242">
      <c r="A242" t="inlineStr">
        <is>
          <t>Chile</t>
        </is>
      </c>
      <c r="B242" t="inlineStr">
        <is>
          <t>CL</t>
        </is>
      </c>
      <c r="C242" s="4" t="n">
        <v>45108</v>
      </c>
      <c r="D242" t="n">
        <v>39546.64516129033</v>
      </c>
      <c r="G242" t="b">
        <v>0</v>
      </c>
      <c r="I242" t="n">
        <v>7.5</v>
      </c>
      <c r="J242" t="inlineStr">
        <is>
          <t>ASSUMPTION: 7.5 MMBtu/MWh (combined cycles at part load plus open-cycle units; no Chilean power-sector gas statistic is published monthly - CNE's import split is by region, not by use)</t>
        </is>
      </c>
      <c r="K242" t="n">
        <v>296599.8387096775</v>
      </c>
      <c r="L242" t="n">
        <v>296599.8387096775</v>
      </c>
      <c r="M242" t="inlineStr">
        <is>
          <t>estimated</t>
        </is>
      </c>
      <c r="N242" t="n">
        <v>36374</v>
      </c>
      <c r="O242" t="n">
        <v>8.154171625602833</v>
      </c>
      <c r="P242" t="n">
        <v>0.2879621247066764</v>
      </c>
    </row>
    <row r="243">
      <c r="A243" t="inlineStr">
        <is>
          <t>Chile</t>
        </is>
      </c>
      <c r="B243" t="inlineStr">
        <is>
          <t>CL</t>
        </is>
      </c>
      <c r="C243" s="4" t="n">
        <v>45139</v>
      </c>
      <c r="D243" t="n">
        <v>32665.15806451613</v>
      </c>
      <c r="G243" t="b">
        <v>0</v>
      </c>
      <c r="I243" t="n">
        <v>7.5</v>
      </c>
      <c r="J243" t="inlineStr">
        <is>
          <t>ASSUMPTION: 7.5 MMBtu/MWh (combined cycles at part load plus open-cycle units; no Chilean power-sector gas statistic is published monthly - CNE's import split is by region, not by use)</t>
        </is>
      </c>
      <c r="K243" t="n">
        <v>244988.685483871</v>
      </c>
      <c r="L243" t="n">
        <v>244988.685483871</v>
      </c>
      <c r="M243" t="inlineStr">
        <is>
          <t>estimated</t>
        </is>
      </c>
      <c r="N243" t="n">
        <v>36374</v>
      </c>
      <c r="O243" t="n">
        <v>6.73526929905622</v>
      </c>
      <c r="P243" t="n">
        <v>0.2378540147153807</v>
      </c>
    </row>
    <row r="244">
      <c r="A244" t="inlineStr">
        <is>
          <t>Chile</t>
        </is>
      </c>
      <c r="B244" t="inlineStr">
        <is>
          <t>CL</t>
        </is>
      </c>
      <c r="C244" s="4" t="n">
        <v>45170</v>
      </c>
      <c r="D244" t="n">
        <v>26617.02</v>
      </c>
      <c r="G244" t="b">
        <v>0</v>
      </c>
      <c r="I244" t="n">
        <v>7.5</v>
      </c>
      <c r="J244" t="inlineStr">
        <is>
          <t>ASSUMPTION: 7.5 MMBtu/MWh (combined cycles at part load plus open-cycle units; no Chilean power-sector gas statistic is published monthly - CNE's import split is by region, not by use)</t>
        </is>
      </c>
      <c r="K244" t="n">
        <v>199627.65</v>
      </c>
      <c r="L244" t="n">
        <v>199627.65</v>
      </c>
      <c r="M244" t="inlineStr">
        <is>
          <t>estimated</t>
        </is>
      </c>
      <c r="N244" t="n">
        <v>36374</v>
      </c>
      <c r="O244" t="n">
        <v>5.488196239071865</v>
      </c>
      <c r="P244" t="n">
        <v>0.1938140037239512</v>
      </c>
    </row>
    <row r="245">
      <c r="A245" t="inlineStr">
        <is>
          <t>Chile</t>
        </is>
      </c>
      <c r="B245" t="inlineStr">
        <is>
          <t>CL</t>
        </is>
      </c>
      <c r="C245" s="4" t="n">
        <v>45200</v>
      </c>
      <c r="D245" t="n">
        <v>20881.49354838709</v>
      </c>
      <c r="G245" t="b">
        <v>0</v>
      </c>
      <c r="I245" t="n">
        <v>7.5</v>
      </c>
      <c r="J245" t="inlineStr">
        <is>
          <t>ASSUMPTION: 7.5 MMBtu/MWh (combined cycles at part load plus open-cycle units; no Chilean power-sector gas statistic is published monthly - CNE's import split is by region, not by use)</t>
        </is>
      </c>
      <c r="K245" t="n">
        <v>156611.2016129032</v>
      </c>
      <c r="L245" t="n">
        <v>156611.2016129032</v>
      </c>
      <c r="M245" t="inlineStr">
        <is>
          <t>estimated</t>
        </is>
      </c>
      <c r="N245" t="n">
        <v>36374</v>
      </c>
      <c r="O245" t="n">
        <v>4.30558095378301</v>
      </c>
      <c r="P245" t="n">
        <v>0.1520502997085608</v>
      </c>
    </row>
    <row r="246">
      <c r="A246" t="inlineStr">
        <is>
          <t>Chile</t>
        </is>
      </c>
      <c r="B246" t="inlineStr">
        <is>
          <t>CL</t>
        </is>
      </c>
      <c r="C246" s="4" t="n">
        <v>45231</v>
      </c>
      <c r="D246" t="n">
        <v>15991.87333333333</v>
      </c>
      <c r="G246" t="b">
        <v>0</v>
      </c>
      <c r="I246" t="n">
        <v>7.5</v>
      </c>
      <c r="J246" t="inlineStr">
        <is>
          <t>ASSUMPTION: 7.5 MMBtu/MWh (combined cycles at part load plus open-cycle units; no Chilean power-sector gas statistic is published monthly - CNE's import split is by region, not by use)</t>
        </is>
      </c>
      <c r="K246" t="n">
        <v>119939.05</v>
      </c>
      <c r="L246" t="n">
        <v>119939.05</v>
      </c>
      <c r="M246" t="inlineStr">
        <is>
          <t>estimated</t>
        </is>
      </c>
      <c r="N246" t="n">
        <v>36374</v>
      </c>
      <c r="O246" t="n">
        <v>3.29738412052565</v>
      </c>
      <c r="P246" t="n">
        <v>0.1164461310011272</v>
      </c>
    </row>
    <row r="247">
      <c r="A247" t="inlineStr">
        <is>
          <t>Chile</t>
        </is>
      </c>
      <c r="B247" t="inlineStr">
        <is>
          <t>CL</t>
        </is>
      </c>
      <c r="C247" s="4" t="n">
        <v>45261</v>
      </c>
      <c r="D247" t="n">
        <v>17575.00322580645</v>
      </c>
      <c r="G247" t="b">
        <v>0</v>
      </c>
      <c r="I247" t="n">
        <v>7.5</v>
      </c>
      <c r="J247" t="inlineStr">
        <is>
          <t>ASSUMPTION: 7.5 MMBtu/MWh (combined cycles at part load plus open-cycle units; no Chilean power-sector gas statistic is published monthly - CNE's import split is by region, not by use)</t>
        </is>
      </c>
      <c r="K247" t="n">
        <v>131812.5241935484</v>
      </c>
      <c r="L247" t="n">
        <v>131812.5241935484</v>
      </c>
      <c r="M247" t="inlineStr">
        <is>
          <t>estimated</t>
        </is>
      </c>
      <c r="N247" t="n">
        <v>36374</v>
      </c>
      <c r="O247" t="n">
        <v>3.623811629008313</v>
      </c>
      <c r="P247" t="n">
        <v>0.1279738205349399</v>
      </c>
    </row>
    <row r="248">
      <c r="A248" t="inlineStr">
        <is>
          <t>Chile</t>
        </is>
      </c>
      <c r="B248" t="inlineStr">
        <is>
          <t>CL</t>
        </is>
      </c>
      <c r="C248" s="4" t="n">
        <v>45292</v>
      </c>
      <c r="D248" t="n">
        <v>27413.53225806451</v>
      </c>
      <c r="G248" t="b">
        <v>0</v>
      </c>
      <c r="I248" t="n">
        <v>7.5</v>
      </c>
      <c r="J248" t="inlineStr">
        <is>
          <t>ASSUMPTION: 7.5 MMBtu/MWh (combined cycles at part load plus open-cycle units; no Chilean power-sector gas statistic is published monthly - CNE's import split is by region, not by use)</t>
        </is>
      </c>
      <c r="K248" t="n">
        <v>205601.4919354838</v>
      </c>
      <c r="L248" t="n">
        <v>205601.4919354838</v>
      </c>
      <c r="M248" t="inlineStr">
        <is>
          <t>estimated</t>
        </is>
      </c>
      <c r="N248" t="n">
        <v>36374</v>
      </c>
      <c r="O248" t="n">
        <v>5.652430085651395</v>
      </c>
      <c r="P248" t="n">
        <v>0.1996138727457533</v>
      </c>
    </row>
    <row r="249">
      <c r="A249" t="inlineStr">
        <is>
          <t>Chile</t>
        </is>
      </c>
      <c r="B249" t="inlineStr">
        <is>
          <t>CL</t>
        </is>
      </c>
      <c r="C249" s="4" t="n">
        <v>45323</v>
      </c>
      <c r="D249" t="n">
        <v>40284.83793103448</v>
      </c>
      <c r="G249" t="b">
        <v>0</v>
      </c>
      <c r="I249" t="n">
        <v>7.5</v>
      </c>
      <c r="J249" t="inlineStr">
        <is>
          <t>ASSUMPTION: 7.5 MMBtu/MWh (combined cycles at part load plus open-cycle units; no Chilean power-sector gas statistic is published monthly - CNE's import split is by region, not by use)</t>
        </is>
      </c>
      <c r="K249" t="n">
        <v>302136.2844827586</v>
      </c>
      <c r="L249" t="n">
        <v>302136.2844827586</v>
      </c>
      <c r="M249" t="inlineStr">
        <is>
          <t>estimated</t>
        </is>
      </c>
      <c r="N249" t="n">
        <v>36374</v>
      </c>
      <c r="O249" t="n">
        <v>8.306380504831985</v>
      </c>
      <c r="P249" t="n">
        <v>0.2933373356139901</v>
      </c>
    </row>
    <row r="250">
      <c r="A250" t="inlineStr">
        <is>
          <t>Chile</t>
        </is>
      </c>
      <c r="B250" t="inlineStr">
        <is>
          <t>CL</t>
        </is>
      </c>
      <c r="C250" s="4" t="n">
        <v>45352</v>
      </c>
      <c r="D250" t="n">
        <v>43876.97419354838</v>
      </c>
      <c r="G250" t="b">
        <v>0</v>
      </c>
      <c r="I250" t="n">
        <v>7.5</v>
      </c>
      <c r="J250" t="inlineStr">
        <is>
          <t>ASSUMPTION: 7.5 MMBtu/MWh (combined cycles at part load plus open-cycle units; no Chilean power-sector gas statistic is published monthly - CNE's import split is by region, not by use)</t>
        </is>
      </c>
      <c r="K250" t="n">
        <v>329077.3064516129</v>
      </c>
      <c r="L250" t="n">
        <v>329077.3064516129</v>
      </c>
      <c r="M250" t="inlineStr">
        <is>
          <t>estimated</t>
        </is>
      </c>
      <c r="N250" t="n">
        <v>36374</v>
      </c>
      <c r="O250" t="n">
        <v>9.047047518876473</v>
      </c>
      <c r="P250" t="n">
        <v>0.319493769014867</v>
      </c>
    </row>
    <row r="251">
      <c r="A251" t="inlineStr">
        <is>
          <t>Chile</t>
        </is>
      </c>
      <c r="B251" t="inlineStr">
        <is>
          <t>CL</t>
        </is>
      </c>
      <c r="C251" s="4" t="n">
        <v>45383</v>
      </c>
      <c r="D251" t="n">
        <v>46956.91666666666</v>
      </c>
      <c r="G251" t="b">
        <v>0</v>
      </c>
      <c r="I251" t="n">
        <v>7.5</v>
      </c>
      <c r="J251" t="inlineStr">
        <is>
          <t>ASSUMPTION: 7.5 MMBtu/MWh (combined cycles at part load plus open-cycle units; no Chilean power-sector gas statistic is published monthly - CNE's import split is by region, not by use)</t>
        </is>
      </c>
      <c r="K251" t="n">
        <v>352176.875</v>
      </c>
      <c r="L251" t="n">
        <v>352176.875</v>
      </c>
      <c r="M251" t="inlineStr">
        <is>
          <t>estimated</t>
        </is>
      </c>
      <c r="N251" t="n">
        <v>36374</v>
      </c>
      <c r="O251" t="n">
        <v>9.682104662671138</v>
      </c>
      <c r="P251" t="n">
        <v>0.3419206215308324</v>
      </c>
    </row>
    <row r="252">
      <c r="A252" t="inlineStr">
        <is>
          <t>Chile</t>
        </is>
      </c>
      <c r="B252" t="inlineStr">
        <is>
          <t>CL</t>
        </is>
      </c>
      <c r="C252" s="4" t="n">
        <v>45413</v>
      </c>
      <c r="D252" t="n">
        <v>56591.32903225807</v>
      </c>
      <c r="G252" t="b">
        <v>0</v>
      </c>
      <c r="I252" t="n">
        <v>7.5</v>
      </c>
      <c r="J252" t="inlineStr">
        <is>
          <t>ASSUMPTION: 7.5 MMBtu/MWh (combined cycles at part load plus open-cycle units; no Chilean power-sector gas statistic is published monthly - CNE's import split is by region, not by use)</t>
        </is>
      </c>
      <c r="K252" t="n">
        <v>424434.9677419355</v>
      </c>
      <c r="L252" t="n">
        <v>424434.9677419355</v>
      </c>
      <c r="M252" t="inlineStr">
        <is>
          <t>estimated</t>
        </is>
      </c>
      <c r="N252" t="n">
        <v>36374</v>
      </c>
      <c r="O252" t="n">
        <v>11.66863605162851</v>
      </c>
      <c r="P252" t="n">
        <v>0.4120743815724454</v>
      </c>
    </row>
    <row r="253">
      <c r="A253" t="inlineStr">
        <is>
          <t>Chile</t>
        </is>
      </c>
      <c r="B253" t="inlineStr">
        <is>
          <t>CL</t>
        </is>
      </c>
      <c r="C253" s="4" t="n">
        <v>45444</v>
      </c>
      <c r="D253" t="n">
        <v>43212.05666666666</v>
      </c>
      <c r="G253" t="b">
        <v>0</v>
      </c>
      <c r="I253" t="n">
        <v>7.5</v>
      </c>
      <c r="J253" t="inlineStr">
        <is>
          <t>ASSUMPTION: 7.5 MMBtu/MWh (combined cycles at part load plus open-cycle units; no Chilean power-sector gas statistic is published monthly - CNE's import split is by region, not by use)</t>
        </is>
      </c>
      <c r="K253" t="n">
        <v>324090.425</v>
      </c>
      <c r="L253" t="n">
        <v>324090.425</v>
      </c>
      <c r="M253" t="inlineStr">
        <is>
          <t>estimated</t>
        </is>
      </c>
      <c r="N253" t="n">
        <v>36374</v>
      </c>
      <c r="O253" t="n">
        <v>8.909947352504537</v>
      </c>
      <c r="P253" t="n">
        <v>0.3146521177694919</v>
      </c>
    </row>
    <row r="254">
      <c r="A254" t="inlineStr">
        <is>
          <t>Chile</t>
        </is>
      </c>
      <c r="B254" t="inlineStr">
        <is>
          <t>CL</t>
        </is>
      </c>
      <c r="C254" s="4" t="n">
        <v>45474</v>
      </c>
      <c r="D254" t="n">
        <v>38554.2</v>
      </c>
      <c r="G254" t="b">
        <v>0</v>
      </c>
      <c r="I254" t="n">
        <v>7.5</v>
      </c>
      <c r="J254" t="inlineStr">
        <is>
          <t>ASSUMPTION: 7.5 MMBtu/MWh (combined cycles at part load plus open-cycle units; no Chilean power-sector gas statistic is published monthly - CNE's import split is by region, not by use)</t>
        </is>
      </c>
      <c r="K254" t="n">
        <v>289156.5</v>
      </c>
      <c r="L254" t="n">
        <v>289156.5</v>
      </c>
      <c r="M254" t="inlineStr">
        <is>
          <t>estimated</t>
        </is>
      </c>
      <c r="N254" t="n">
        <v>36374</v>
      </c>
      <c r="O254" t="n">
        <v>7.949538131632485</v>
      </c>
      <c r="P254" t="n">
        <v>0.2807355542571617</v>
      </c>
    </row>
    <row r="255">
      <c r="A255" t="inlineStr">
        <is>
          <t>Chile</t>
        </is>
      </c>
      <c r="B255" t="inlineStr">
        <is>
          <t>CL</t>
        </is>
      </c>
      <c r="C255" s="4" t="n">
        <v>45505</v>
      </c>
      <c r="D255" t="n">
        <v>36370.77419354839</v>
      </c>
      <c r="G255" t="b">
        <v>0</v>
      </c>
      <c r="I255" t="n">
        <v>7.5</v>
      </c>
      <c r="J255" t="inlineStr">
        <is>
          <t>ASSUMPTION: 7.5 MMBtu/MWh (combined cycles at part load plus open-cycle units; no Chilean power-sector gas statistic is published monthly - CNE's import split is by region, not by use)</t>
        </is>
      </c>
      <c r="K255" t="n">
        <v>272780.8064516129</v>
      </c>
      <c r="L255" t="n">
        <v>272780.8064516129</v>
      </c>
      <c r="M255" t="inlineStr">
        <is>
          <t>estimated</t>
        </is>
      </c>
      <c r="N255" t="n">
        <v>36374</v>
      </c>
      <c r="O255" t="n">
        <v>7.499334866982265</v>
      </c>
      <c r="P255" t="n">
        <v>0.2648367610270186</v>
      </c>
    </row>
    <row r="256">
      <c r="A256" t="inlineStr">
        <is>
          <t>Chile</t>
        </is>
      </c>
      <c r="B256" t="inlineStr">
        <is>
          <t>CL</t>
        </is>
      </c>
      <c r="C256" s="4" t="n">
        <v>45536</v>
      </c>
      <c r="D256" t="n">
        <v>22254.50666666666</v>
      </c>
      <c r="G256" t="b">
        <v>0</v>
      </c>
      <c r="I256" t="n">
        <v>7.5</v>
      </c>
      <c r="J256" t="inlineStr">
        <is>
          <t>ASSUMPTION: 7.5 MMBtu/MWh (combined cycles at part load plus open-cycle units; no Chilean power-sector gas statistic is published monthly - CNE's import split is by region, not by use)</t>
        </is>
      </c>
      <c r="K256" t="n">
        <v>166908.8</v>
      </c>
      <c r="L256" t="n">
        <v>166908.8</v>
      </c>
      <c r="M256" t="inlineStr">
        <is>
          <t>estimated</t>
        </is>
      </c>
      <c r="N256" t="n">
        <v>36374</v>
      </c>
      <c r="O256" t="n">
        <v>4.588684224995876</v>
      </c>
      <c r="P256" t="n">
        <v>0.1620480068004619</v>
      </c>
    </row>
    <row r="257">
      <c r="A257" t="inlineStr">
        <is>
          <t>Chile</t>
        </is>
      </c>
      <c r="B257" t="inlineStr">
        <is>
          <t>CL</t>
        </is>
      </c>
      <c r="C257" s="4" t="n">
        <v>45566</v>
      </c>
      <c r="D257" t="n">
        <v>17547.67096774194</v>
      </c>
      <c r="G257" t="b">
        <v>0</v>
      </c>
      <c r="I257" t="n">
        <v>7.5</v>
      </c>
      <c r="J257" t="inlineStr">
        <is>
          <t>ASSUMPTION: 7.5 MMBtu/MWh (combined cycles at part load plus open-cycle units; no Chilean power-sector gas statistic is published monthly - CNE's import split is by region, not by use)</t>
        </is>
      </c>
      <c r="K257" t="n">
        <v>131607.5322580645</v>
      </c>
      <c r="L257" t="n">
        <v>131607.5322580645</v>
      </c>
      <c r="M257" t="inlineStr">
        <is>
          <t>estimated</t>
        </is>
      </c>
      <c r="N257" t="n">
        <v>36374</v>
      </c>
      <c r="O257" t="n">
        <v>3.618175956949044</v>
      </c>
      <c r="P257" t="n">
        <v>0.1277747984668684</v>
      </c>
    </row>
    <row r="258">
      <c r="A258" t="inlineStr">
        <is>
          <t>Chile</t>
        </is>
      </c>
      <c r="B258" t="inlineStr">
        <is>
          <t>CL</t>
        </is>
      </c>
      <c r="C258" s="4" t="n">
        <v>45597</v>
      </c>
      <c r="D258" t="n">
        <v>9949.540000000001</v>
      </c>
      <c r="G258" t="b">
        <v>0</v>
      </c>
      <c r="I258" t="n">
        <v>7.5</v>
      </c>
      <c r="J258" t="inlineStr">
        <is>
          <t>ASSUMPTION: 7.5 MMBtu/MWh (combined cycles at part load plus open-cycle units; no Chilean power-sector gas statistic is published monthly - CNE's import split is by region, not by use)</t>
        </is>
      </c>
      <c r="K258" t="n">
        <v>74621.55</v>
      </c>
      <c r="L258" t="n">
        <v>74621.55</v>
      </c>
      <c r="M258" t="inlineStr">
        <is>
          <t>estimated</t>
        </is>
      </c>
      <c r="N258" t="n">
        <v>36374</v>
      </c>
      <c r="O258" t="n">
        <v>2.051507945235608</v>
      </c>
      <c r="P258" t="n">
        <v>0.07244838763361192</v>
      </c>
    </row>
    <row r="259">
      <c r="A259" t="inlineStr">
        <is>
          <t>Chile</t>
        </is>
      </c>
      <c r="B259" t="inlineStr">
        <is>
          <t>CL</t>
        </is>
      </c>
      <c r="C259" s="4" t="n">
        <v>45627</v>
      </c>
      <c r="D259" t="n">
        <v>21398.52903225806</v>
      </c>
      <c r="G259" t="b">
        <v>0</v>
      </c>
      <c r="I259" t="n">
        <v>7.5</v>
      </c>
      <c r="J259" t="inlineStr">
        <is>
          <t>ASSUMPTION: 7.5 MMBtu/MWh (combined cycles at part load plus open-cycle units; no Chilean power-sector gas statistic is published monthly - CNE's import split is by region, not by use)</t>
        </is>
      </c>
      <c r="K259" t="n">
        <v>160488.9677419355</v>
      </c>
      <c r="L259" t="n">
        <v>160488.9677419355</v>
      </c>
      <c r="M259" t="inlineStr">
        <is>
          <t>estimated</t>
        </is>
      </c>
      <c r="N259" t="n">
        <v>36374</v>
      </c>
      <c r="O259" t="n">
        <v>4.412189138998611</v>
      </c>
      <c r="P259" t="n">
        <v>0.1558151357869942</v>
      </c>
    </row>
    <row r="260">
      <c r="A260" t="inlineStr">
        <is>
          <t>Chile</t>
        </is>
      </c>
      <c r="B260" t="inlineStr">
        <is>
          <t>CL</t>
        </is>
      </c>
      <c r="C260" s="4" t="n">
        <v>45658</v>
      </c>
      <c r="D260" t="n">
        <v>33459.22580645161</v>
      </c>
      <c r="G260" t="b">
        <v>0</v>
      </c>
      <c r="I260" t="n">
        <v>7.5</v>
      </c>
      <c r="J260" t="inlineStr">
        <is>
          <t>ASSUMPTION: 7.5 MMBtu/MWh (combined cycles at part load plus open-cycle units; no Chilean power-sector gas statistic is published monthly - CNE's import split is by region, not by use)</t>
        </is>
      </c>
      <c r="K260" t="n">
        <v>250944.1935483871</v>
      </c>
      <c r="L260" t="n">
        <v>250944.1935483871</v>
      </c>
      <c r="M260" t="inlineStr">
        <is>
          <t>estimated</t>
        </is>
      </c>
      <c r="N260" t="n">
        <v>36374</v>
      </c>
      <c r="O260" t="n">
        <v>6.898999107834912</v>
      </c>
      <c r="P260" t="n">
        <v>0.2436360837934576</v>
      </c>
    </row>
    <row r="261">
      <c r="A261" t="inlineStr">
        <is>
          <t>Chile</t>
        </is>
      </c>
      <c r="B261" t="inlineStr">
        <is>
          <t>CL</t>
        </is>
      </c>
      <c r="C261" s="4" t="n">
        <v>45689</v>
      </c>
      <c r="D261" t="n">
        <v>40127.025</v>
      </c>
      <c r="G261" t="b">
        <v>0</v>
      </c>
      <c r="I261" t="n">
        <v>7.5</v>
      </c>
      <c r="J261" t="inlineStr">
        <is>
          <t>ASSUMPTION: 7.5 MMBtu/MWh (combined cycles at part load plus open-cycle units; no Chilean power-sector gas statistic is published monthly - CNE's import split is by region, not by use)</t>
        </is>
      </c>
      <c r="K261" t="n">
        <v>300952.6875</v>
      </c>
      <c r="L261" t="n">
        <v>300952.6875</v>
      </c>
      <c r="M261" t="inlineStr">
        <is>
          <t>estimated</t>
        </is>
      </c>
      <c r="N261" t="n">
        <v>36374</v>
      </c>
      <c r="O261" t="n">
        <v>8.273840861604443</v>
      </c>
      <c r="P261" t="n">
        <v>0.2921882078753024</v>
      </c>
    </row>
    <row r="262">
      <c r="A262" t="inlineStr">
        <is>
          <t>Chile</t>
        </is>
      </c>
      <c r="B262" t="inlineStr">
        <is>
          <t>CL</t>
        </is>
      </c>
      <c r="C262" s="4" t="n">
        <v>45717</v>
      </c>
      <c r="D262" t="n">
        <v>43121.34516129032</v>
      </c>
      <c r="G262" t="b">
        <v>0</v>
      </c>
      <c r="I262" t="n">
        <v>7.5</v>
      </c>
      <c r="J262" t="inlineStr">
        <is>
          <t>ASSUMPTION: 7.5 MMBtu/MWh (combined cycles at part load plus open-cycle units; no Chilean power-sector gas statistic is published monthly - CNE's import split is by region, not by use)</t>
        </is>
      </c>
      <c r="K262" t="n">
        <v>323410.0887096774</v>
      </c>
      <c r="L262" t="n">
        <v>323410.0887096774</v>
      </c>
      <c r="M262" t="inlineStr">
        <is>
          <t>estimated</t>
        </is>
      </c>
      <c r="N262" t="n">
        <v>36374</v>
      </c>
      <c r="O262" t="n">
        <v>8.891243435137115</v>
      </c>
      <c r="P262" t="n">
        <v>0.3139915945388366</v>
      </c>
    </row>
    <row r="263">
      <c r="A263" t="inlineStr">
        <is>
          <t>Chile</t>
        </is>
      </c>
      <c r="B263" t="inlineStr">
        <is>
          <t>CL</t>
        </is>
      </c>
      <c r="C263" s="4" t="n">
        <v>45748</v>
      </c>
      <c r="D263" t="n">
        <v>47576.63</v>
      </c>
      <c r="G263" t="b">
        <v>0</v>
      </c>
      <c r="I263" t="n">
        <v>7.5</v>
      </c>
      <c r="J263" t="inlineStr">
        <is>
          <t>ASSUMPTION: 7.5 MMBtu/MWh (combined cycles at part load plus open-cycle units; no Chilean power-sector gas statistic is published monthly - CNE's import split is by region, not by use)</t>
        </is>
      </c>
      <c r="K263" t="n">
        <v>356824.725</v>
      </c>
      <c r="L263" t="n">
        <v>356824.725</v>
      </c>
      <c r="M263" t="inlineStr">
        <is>
          <t>estimated</t>
        </is>
      </c>
      <c r="N263" t="n">
        <v>36374</v>
      </c>
      <c r="O263" t="n">
        <v>9.80988412052565</v>
      </c>
      <c r="P263" t="n">
        <v>0.3464331147511271</v>
      </c>
    </row>
    <row r="264">
      <c r="A264" t="inlineStr">
        <is>
          <t>Chile</t>
        </is>
      </c>
      <c r="B264" t="inlineStr">
        <is>
          <t>CL</t>
        </is>
      </c>
      <c r="C264" s="4" t="n">
        <v>45778</v>
      </c>
      <c r="D264" t="n">
        <v>41381.7</v>
      </c>
      <c r="G264" t="b">
        <v>0</v>
      </c>
      <c r="I264" t="n">
        <v>7.5</v>
      </c>
      <c r="J264" t="inlineStr">
        <is>
          <t>ASSUMPTION: 7.5 MMBtu/MWh (combined cycles at part load plus open-cycle units; no Chilean power-sector gas statistic is published monthly - CNE's import split is by region, not by use)</t>
        </is>
      </c>
      <c r="K264" t="n">
        <v>310362.75</v>
      </c>
      <c r="L264" t="n">
        <v>310362.75</v>
      </c>
      <c r="M264" t="inlineStr">
        <is>
          <t>estimated</t>
        </is>
      </c>
      <c r="N264" t="n">
        <v>36374</v>
      </c>
      <c r="O264" t="n">
        <v>8.53254385000275</v>
      </c>
      <c r="P264" t="n">
        <v>0.3013242262996921</v>
      </c>
    </row>
    <row r="265">
      <c r="A265" t="inlineStr">
        <is>
          <t>Chile</t>
        </is>
      </c>
      <c r="B265" t="inlineStr">
        <is>
          <t>CL</t>
        </is>
      </c>
      <c r="C265" s="4" t="n">
        <v>45809</v>
      </c>
      <c r="D265" t="n">
        <v>46648.99666666666</v>
      </c>
      <c r="G265" t="b">
        <v>0</v>
      </c>
      <c r="I265" t="n">
        <v>7.5</v>
      </c>
      <c r="J265" t="inlineStr">
        <is>
          <t>ASSUMPTION: 7.5 MMBtu/MWh (combined cycles at part load plus open-cycle units; no Chilean power-sector gas statistic is published monthly - CNE's import split is by region, not by use)</t>
        </is>
      </c>
      <c r="K265" t="n">
        <v>349867.4749999999</v>
      </c>
      <c r="L265" t="n">
        <v>349867.4749999999</v>
      </c>
      <c r="M265" t="inlineStr">
        <is>
          <t>estimated</t>
        </is>
      </c>
      <c r="N265" t="n">
        <v>36374</v>
      </c>
      <c r="O265" t="n">
        <v>9.618614257436628</v>
      </c>
      <c r="P265" t="n">
        <v>0.3396784769170972</v>
      </c>
    </row>
    <row r="266">
      <c r="A266" t="inlineStr">
        <is>
          <t>Chile</t>
        </is>
      </c>
      <c r="B266" t="inlineStr">
        <is>
          <t>CL</t>
        </is>
      </c>
      <c r="C266" s="4" t="n">
        <v>45839</v>
      </c>
      <c r="D266" t="n">
        <v>49584.38387096774</v>
      </c>
      <c r="G266" t="b">
        <v>0</v>
      </c>
      <c r="I266" t="n">
        <v>7.5</v>
      </c>
      <c r="J266" t="inlineStr">
        <is>
          <t>ASSUMPTION: 7.5 MMBtu/MWh (combined cycles at part load plus open-cycle units; no Chilean power-sector gas statistic is published monthly - CNE's import split is by region, not by use)</t>
        </is>
      </c>
      <c r="K266" t="n">
        <v>371882.8790322581</v>
      </c>
      <c r="L266" t="n">
        <v>371882.8790322581</v>
      </c>
      <c r="M266" t="inlineStr">
        <is>
          <t>estimated</t>
        </is>
      </c>
      <c r="N266" t="n">
        <v>36374</v>
      </c>
      <c r="O266" t="n">
        <v>10.22386537175615</v>
      </c>
      <c r="P266" t="n">
        <v>0.3610527384439567</v>
      </c>
    </row>
    <row r="267">
      <c r="A267" t="inlineStr">
        <is>
          <t>Chile</t>
        </is>
      </c>
      <c r="B267" t="inlineStr">
        <is>
          <t>CL</t>
        </is>
      </c>
      <c r="C267" s="4" t="n">
        <v>45870</v>
      </c>
      <c r="D267" t="n">
        <v>39686.60967741935</v>
      </c>
      <c r="G267" t="b">
        <v>0</v>
      </c>
      <c r="I267" t="n">
        <v>7.5</v>
      </c>
      <c r="J267" t="inlineStr">
        <is>
          <t>ASSUMPTION: 7.5 MMBtu/MWh (combined cycles at part load plus open-cycle units; no Chilean power-sector gas statistic is published monthly - CNE's import split is by region, not by use)</t>
        </is>
      </c>
      <c r="K267" t="n">
        <v>297649.5725806452</v>
      </c>
      <c r="L267" t="n">
        <v>297649.5725806452</v>
      </c>
      <c r="M267" t="inlineStr">
        <is>
          <t>estimated</t>
        </is>
      </c>
      <c r="N267" t="n">
        <v>36374</v>
      </c>
      <c r="O267" t="n">
        <v>8.183031082109341</v>
      </c>
      <c r="P267" t="n">
        <v>0.2889812877553667</v>
      </c>
    </row>
    <row r="268">
      <c r="A268" t="inlineStr">
        <is>
          <t>Chile</t>
        </is>
      </c>
      <c r="B268" t="inlineStr">
        <is>
          <t>CL</t>
        </is>
      </c>
      <c r="C268" s="4" t="n">
        <v>45901</v>
      </c>
      <c r="D268" t="n">
        <v>22430.09999999999</v>
      </c>
      <c r="G268" t="b">
        <v>0</v>
      </c>
      <c r="I268" t="n">
        <v>7.5</v>
      </c>
      <c r="J268" t="inlineStr">
        <is>
          <t>ASSUMPTION: 7.5 MMBtu/MWh (combined cycles at part load plus open-cycle units; no Chilean power-sector gas statistic is published monthly - CNE's import split is by region, not by use)</t>
        </is>
      </c>
      <c r="K268" t="n">
        <v>168225.75</v>
      </c>
      <c r="L268" t="n">
        <v>168225.75</v>
      </c>
      <c r="M268" t="inlineStr">
        <is>
          <t>estimated</t>
        </is>
      </c>
      <c r="N268" t="n">
        <v>36374</v>
      </c>
      <c r="O268" t="n">
        <v>4.624890031341067</v>
      </c>
      <c r="P268" t="n">
        <v>0.1633266039898004</v>
      </c>
    </row>
    <row r="269">
      <c r="A269" t="inlineStr">
        <is>
          <t>Chile</t>
        </is>
      </c>
      <c r="B269" t="inlineStr">
        <is>
          <t>CL</t>
        </is>
      </c>
      <c r="C269" s="4" t="n">
        <v>45931</v>
      </c>
      <c r="D269" t="n">
        <v>18848.23548387097</v>
      </c>
      <c r="G269" t="b">
        <v>0</v>
      </c>
      <c r="I269" t="n">
        <v>7.5</v>
      </c>
      <c r="J269" t="inlineStr">
        <is>
          <t>ASSUMPTION: 7.5 MMBtu/MWh (combined cycles at part load plus open-cycle units; no Chilean power-sector gas statistic is published monthly - CNE's import split is by region, not by use)</t>
        </is>
      </c>
      <c r="K269" t="n">
        <v>141361.7661290323</v>
      </c>
      <c r="L269" t="n">
        <v>141361.7661290323</v>
      </c>
      <c r="M269" t="inlineStr">
        <is>
          <t>estimated</t>
        </is>
      </c>
      <c r="N269" t="n">
        <v>36374</v>
      </c>
      <c r="O269" t="n">
        <v>3.886340961374396</v>
      </c>
      <c r="P269" t="n">
        <v>0.1372449651486484</v>
      </c>
    </row>
    <row r="270">
      <c r="A270" t="inlineStr">
        <is>
          <t>Chile</t>
        </is>
      </c>
      <c r="B270" t="inlineStr">
        <is>
          <t>CL</t>
        </is>
      </c>
      <c r="C270" s="4" t="n">
        <v>45962</v>
      </c>
      <c r="D270" t="n">
        <v>25224.99333333334</v>
      </c>
      <c r="G270" t="b">
        <v>0</v>
      </c>
      <c r="I270" t="n">
        <v>7.5</v>
      </c>
      <c r="J270" t="inlineStr">
        <is>
          <t>ASSUMPTION: 7.5 MMBtu/MWh (combined cycles at part load plus open-cycle units; no Chilean power-sector gas statistic is published monthly - CNE's import split is by region, not by use)</t>
        </is>
      </c>
      <c r="K270" t="n">
        <v>189187.45</v>
      </c>
      <c r="L270" t="n">
        <v>189187.45</v>
      </c>
      <c r="M270" t="inlineStr">
        <is>
          <t>estimated</t>
        </is>
      </c>
      <c r="N270" t="n">
        <v>36374</v>
      </c>
      <c r="O270" t="n">
        <v>5.201172540825865</v>
      </c>
      <c r="P270" t="n">
        <v>0.1836778479275032</v>
      </c>
    </row>
    <row r="271">
      <c r="A271" t="inlineStr">
        <is>
          <t>Chile</t>
        </is>
      </c>
      <c r="B271" t="inlineStr">
        <is>
          <t>CL</t>
        </is>
      </c>
      <c r="C271" s="4" t="n">
        <v>45992</v>
      </c>
      <c r="D271" t="n">
        <v>26480.7935483871</v>
      </c>
      <c r="G271" t="b">
        <v>0</v>
      </c>
      <c r="I271" t="n">
        <v>7.5</v>
      </c>
      <c r="J271" t="inlineStr">
        <is>
          <t>ASSUMPTION: 7.5 MMBtu/MWh (combined cycles at part load plus open-cycle units; no Chilean power-sector gas statistic is published monthly - CNE's import split is by region, not by use)</t>
        </is>
      </c>
      <c r="K271" t="n">
        <v>198605.9516129033</v>
      </c>
      <c r="L271" t="n">
        <v>198605.9516129033</v>
      </c>
      <c r="M271" t="inlineStr">
        <is>
          <t>estimated</t>
        </is>
      </c>
      <c r="N271" t="n">
        <v>36374</v>
      </c>
      <c r="O271" t="n">
        <v>5.460107538706309</v>
      </c>
      <c r="P271" t="n">
        <v>0.1928220596971517</v>
      </c>
    </row>
    <row r="272">
      <c r="A272" t="inlineStr">
        <is>
          <t>Chile</t>
        </is>
      </c>
      <c r="B272" t="inlineStr">
        <is>
          <t>CL</t>
        </is>
      </c>
      <c r="C272" s="4" t="n">
        <v>46023</v>
      </c>
      <c r="D272" t="n">
        <v>38733.11935483871</v>
      </c>
      <c r="G272" t="b">
        <v>0</v>
      </c>
      <c r="I272" t="n">
        <v>7.5</v>
      </c>
      <c r="J272" t="inlineStr">
        <is>
          <t>ASSUMPTION: 7.5 MMBtu/MWh (combined cycles at part load plus open-cycle units; no Chilean power-sector gas statistic is published monthly - CNE's import split is by region, not by use)</t>
        </is>
      </c>
      <c r="K272" t="n">
        <v>290498.3951612903</v>
      </c>
      <c r="L272" t="n">
        <v>290498.3951612903</v>
      </c>
      <c r="M272" t="inlineStr">
        <is>
          <t>estimated</t>
        </is>
      </c>
      <c r="N272" t="n">
        <v>36374</v>
      </c>
      <c r="O272" t="n">
        <v>7.986429734461162</v>
      </c>
      <c r="P272" t="n">
        <v>0.2820383701435756</v>
      </c>
    </row>
    <row r="273">
      <c r="A273" t="inlineStr">
        <is>
          <t>Chile</t>
        </is>
      </c>
      <c r="B273" t="inlineStr">
        <is>
          <t>CL</t>
        </is>
      </c>
      <c r="C273" s="4" t="n">
        <v>46054</v>
      </c>
      <c r="D273" t="n">
        <v>38501.49642857142</v>
      </c>
      <c r="G273" t="b">
        <v>0</v>
      </c>
      <c r="I273" t="n">
        <v>7.5</v>
      </c>
      <c r="J273" t="inlineStr">
        <is>
          <t>ASSUMPTION: 7.5 MMBtu/MWh (combined cycles at part load plus open-cycle units; no Chilean power-sector gas statistic is published monthly - CNE's import split is by region, not by use)</t>
        </is>
      </c>
      <c r="K273" t="n">
        <v>288761.2232142857</v>
      </c>
      <c r="L273" t="n">
        <v>288761.2232142857</v>
      </c>
      <c r="M273" t="inlineStr">
        <is>
          <t>estimated</t>
        </is>
      </c>
      <c r="N273" t="n">
        <v>36374</v>
      </c>
      <c r="O273" t="n">
        <v>7.938671117124476</v>
      </c>
      <c r="P273" t="n">
        <v>0.2803517888999157</v>
      </c>
    </row>
    <row r="274">
      <c r="A274" t="inlineStr">
        <is>
          <t>Chile</t>
        </is>
      </c>
      <c r="B274" t="inlineStr">
        <is>
          <t>CL</t>
        </is>
      </c>
      <c r="C274" s="4" t="n">
        <v>46082</v>
      </c>
      <c r="D274" t="n">
        <v>43747.35161290323</v>
      </c>
      <c r="G274" t="b">
        <v>0</v>
      </c>
      <c r="I274" t="n">
        <v>7.5</v>
      </c>
      <c r="J274" t="inlineStr">
        <is>
          <t>ASSUMPTION: 7.5 MMBtu/MWh (combined cycles at part load plus open-cycle units; no Chilean power-sector gas statistic is published monthly - CNE's import split is by region, not by use)</t>
        </is>
      </c>
      <c r="K274" t="n">
        <v>328105.1370967742</v>
      </c>
      <c r="L274" t="n">
        <v>328105.1370967742</v>
      </c>
      <c r="M274" t="inlineStr">
        <is>
          <t>estimated</t>
        </is>
      </c>
      <c r="N274" t="n">
        <v>36374</v>
      </c>
      <c r="O274" t="n">
        <v>9.020320478824827</v>
      </c>
      <c r="P274" t="n">
        <v>0.3185499116135551</v>
      </c>
    </row>
    <row r="275">
      <c r="A275" t="inlineStr">
        <is>
          <t>Chile</t>
        </is>
      </c>
      <c r="B275" t="inlineStr">
        <is>
          <t>CL</t>
        </is>
      </c>
      <c r="C275" s="4" t="n">
        <v>46113</v>
      </c>
      <c r="D275" t="n">
        <v>40944.14000000001</v>
      </c>
      <c r="G275" t="b">
        <v>0</v>
      </c>
      <c r="I275" t="n">
        <v>7.5</v>
      </c>
      <c r="J275" t="inlineStr">
        <is>
          <t>ASSUMPTION: 7.5 MMBtu/MWh (combined cycles at part load plus open-cycle units; no Chilean power-sector gas statistic is published monthly - CNE's import split is by region, not by use)</t>
        </is>
      </c>
      <c r="K275" t="n">
        <v>307081.05</v>
      </c>
      <c r="L275" t="n">
        <v>307081.05</v>
      </c>
      <c r="M275" t="inlineStr">
        <is>
          <t>estimated</t>
        </is>
      </c>
      <c r="N275" t="n">
        <v>36374</v>
      </c>
      <c r="O275" t="n">
        <v>8.442322812998297</v>
      </c>
      <c r="P275" t="n">
        <v>0.298138097444191</v>
      </c>
    </row>
    <row r="276">
      <c r="A276" t="inlineStr">
        <is>
          <t>Chile</t>
        </is>
      </c>
      <c r="B276" t="inlineStr">
        <is>
          <t>CL</t>
        </is>
      </c>
      <c r="C276" s="4" t="n">
        <v>46143</v>
      </c>
      <c r="D276" t="n">
        <v>43814.96129032258</v>
      </c>
      <c r="G276" t="b">
        <v>0</v>
      </c>
      <c r="I276" t="n">
        <v>7.5</v>
      </c>
      <c r="J276" t="inlineStr">
        <is>
          <t>ASSUMPTION: 7.5 MMBtu/MWh (combined cycles at part load plus open-cycle units; no Chilean power-sector gas statistic is published monthly - CNE's import split is by region, not by use)</t>
        </is>
      </c>
      <c r="K276" t="n">
        <v>328612.2096774193</v>
      </c>
      <c r="L276" t="n">
        <v>328612.2096774193</v>
      </c>
      <c r="M276" t="inlineStr">
        <is>
          <t>estimated</t>
        </is>
      </c>
      <c r="N276" t="n">
        <v>36374</v>
      </c>
      <c r="O276" t="n">
        <v>9.034261001743534</v>
      </c>
      <c r="P276" t="n">
        <v>0.3190422169982723</v>
      </c>
    </row>
    <row r="277">
      <c r="A277" t="inlineStr">
        <is>
          <t>Chile</t>
        </is>
      </c>
      <c r="B277" t="inlineStr">
        <is>
          <t>CL</t>
        </is>
      </c>
      <c r="C277" s="4" t="n">
        <v>46174</v>
      </c>
      <c r="D277" t="n">
        <v>45335.75333333333</v>
      </c>
      <c r="G277" t="b">
        <v>0</v>
      </c>
      <c r="I277" t="n">
        <v>7.5</v>
      </c>
      <c r="J277" t="inlineStr">
        <is>
          <t>ASSUMPTION: 7.5 MMBtu/MWh (combined cycles at part load plus open-cycle units; no Chilean power-sector gas statistic is published monthly - CNE's import split is by region, not by use)</t>
        </is>
      </c>
      <c r="K277" t="n">
        <v>340018.15</v>
      </c>
      <c r="L277" t="n">
        <v>340018.15</v>
      </c>
      <c r="M277" t="inlineStr">
        <is>
          <t>estimated</t>
        </is>
      </c>
      <c r="N277" t="n">
        <v>36374</v>
      </c>
      <c r="O277" t="n">
        <v>9.347834992027273</v>
      </c>
      <c r="P277" t="n">
        <v>0.3301159883929455</v>
      </c>
    </row>
    <row r="278">
      <c r="A278" t="inlineStr">
        <is>
          <t>Chile</t>
        </is>
      </c>
      <c r="B278" t="inlineStr">
        <is>
          <t>CL</t>
        </is>
      </c>
      <c r="C278" s="4" t="n">
        <v>46204</v>
      </c>
      <c r="D278" t="n">
        <v>36065.84516129033</v>
      </c>
      <c r="G278" t="b">
        <v>0</v>
      </c>
      <c r="I278" t="n">
        <v>7.5</v>
      </c>
      <c r="J278" t="inlineStr">
        <is>
          <t>ASSUMPTION: 7.5 MMBtu/MWh (combined cycles at part load plus open-cycle units; no Chilean power-sector gas statistic is published monthly - CNE's import split is by region, not by use)</t>
        </is>
      </c>
      <c r="K278" t="n">
        <v>270493.8387096775</v>
      </c>
      <c r="L278" t="n">
        <v>270493.8387096775</v>
      </c>
      <c r="M278" t="inlineStr">
        <is>
          <t>estimated</t>
        </is>
      </c>
      <c r="N278" t="n">
        <v>36374</v>
      </c>
      <c r="O278" t="n">
        <v>7.436461173081802</v>
      </c>
      <c r="P278" t="n">
        <v>0.2626163953890319</v>
      </c>
    </row>
    <row r="279">
      <c r="A279" t="inlineStr">
        <is>
          <t>Chile</t>
        </is>
      </c>
      <c r="B279" t="inlineStr">
        <is>
          <t>CL</t>
        </is>
      </c>
      <c r="C279" s="4" t="n">
        <v>46235</v>
      </c>
      <c r="D279" t="n">
        <v>19123.35161290322</v>
      </c>
      <c r="G279" t="b">
        <v>0</v>
      </c>
      <c r="I279" t="n">
        <v>7.5</v>
      </c>
      <c r="J279" t="inlineStr">
        <is>
          <t>ASSUMPTION: 7.5 MMBtu/MWh (combined cycles at part load plus open-cycle units; no Chilean power-sector gas statistic is published monthly - CNE's import split is by region, not by use)</t>
        </is>
      </c>
      <c r="K279" t="n">
        <v>143425.1370967742</v>
      </c>
      <c r="L279" t="n">
        <v>143425.1370967742</v>
      </c>
      <c r="M279" t="inlineStr">
        <is>
          <t>estimated</t>
        </is>
      </c>
      <c r="N279" t="n">
        <v>36374</v>
      </c>
      <c r="O279" t="n">
        <v>3.943067495924951</v>
      </c>
      <c r="P279" t="n">
        <v>0.1392482456983409</v>
      </c>
    </row>
    <row r="280">
      <c r="A280" t="inlineStr">
        <is>
          <t>Chile</t>
        </is>
      </c>
      <c r="B280" t="inlineStr">
        <is>
          <t>CL</t>
        </is>
      </c>
      <c r="C280" s="4" t="n">
        <v>46266</v>
      </c>
      <c r="D280" t="n">
        <v>9381.196666666665</v>
      </c>
      <c r="G280" t="b">
        <v>0</v>
      </c>
      <c r="I280" t="n">
        <v>7.5</v>
      </c>
      <c r="J280" t="inlineStr">
        <is>
          <t>ASSUMPTION: 7.5 MMBtu/MWh (combined cycles at part load plus open-cycle units; no Chilean power-sector gas statistic is published monthly - CNE's import split is by region, not by use)</t>
        </is>
      </c>
      <c r="K280" t="n">
        <v>70358.97499999999</v>
      </c>
      <c r="L280" t="n">
        <v>70358.97499999999</v>
      </c>
      <c r="M280" t="inlineStr">
        <is>
          <t>estimated</t>
        </is>
      </c>
      <c r="N280" t="n">
        <v>36374</v>
      </c>
      <c r="O280" t="n">
        <v>1.934320531148622</v>
      </c>
      <c r="P280" t="n">
        <v>0.06830994926135425</v>
      </c>
    </row>
    <row r="281">
      <c r="A281" t="inlineStr">
        <is>
          <t>Colombia</t>
        </is>
      </c>
      <c r="B281" t="inlineStr">
        <is>
          <t>CO</t>
        </is>
      </c>
      <c r="C281" s="4" t="n">
        <v>44197</v>
      </c>
      <c r="D281" t="n">
        <v>21955.90967741935</v>
      </c>
      <c r="E281" t="n">
        <v>191000</v>
      </c>
      <c r="F281" t="n">
        <v>8.699252402027994</v>
      </c>
      <c r="G281" t="b">
        <v>1</v>
      </c>
      <c r="I281" t="n">
        <v>9.123699077246545</v>
      </c>
      <c r="J281" t="inlineStr">
        <is>
          <t>first 12 calibrated months (Jan/21-Dec/21)</t>
        </is>
      </c>
      <c r="K281" t="n">
        <v>200319.1128639794</v>
      </c>
      <c r="L281" t="n">
        <v>191000</v>
      </c>
      <c r="M281" t="inlineStr">
        <is>
          <t>published</t>
        </is>
      </c>
      <c r="N281" t="n">
        <v>36374</v>
      </c>
      <c r="O281" t="n">
        <v>5.251003464012756</v>
      </c>
      <c r="P281" t="n">
        <v>0.1854376120305713</v>
      </c>
    </row>
    <row r="282">
      <c r="A282" t="inlineStr">
        <is>
          <t>Colombia</t>
        </is>
      </c>
      <c r="B282" t="inlineStr">
        <is>
          <t>CO</t>
        </is>
      </c>
      <c r="C282" s="4" t="n">
        <v>44228</v>
      </c>
      <c r="D282" t="n">
        <v>24253.325</v>
      </c>
      <c r="E282" t="n">
        <v>216000</v>
      </c>
      <c r="F282" t="n">
        <v>8.905995363522321</v>
      </c>
      <c r="G282" t="b">
        <v>1</v>
      </c>
      <c r="I282" t="n">
        <v>9.123699077246545</v>
      </c>
      <c r="J282" t="inlineStr">
        <is>
          <t>first 12 calibrated months (Jan/21-Dec/21)</t>
        </is>
      </c>
      <c r="K282" t="n">
        <v>221280.0389226606</v>
      </c>
      <c r="L282" t="n">
        <v>216000</v>
      </c>
      <c r="M282" t="inlineStr">
        <is>
          <t>published</t>
        </is>
      </c>
      <c r="N282" t="n">
        <v>36374</v>
      </c>
      <c r="O282" t="n">
        <v>5.938307582339033</v>
      </c>
      <c r="P282" t="n">
        <v>0.2097095507780282</v>
      </c>
    </row>
    <row r="283">
      <c r="A283" t="inlineStr">
        <is>
          <t>Colombia</t>
        </is>
      </c>
      <c r="B283" t="inlineStr">
        <is>
          <t>CO</t>
        </is>
      </c>
      <c r="C283" s="4" t="n">
        <v>44256</v>
      </c>
      <c r="D283" t="n">
        <v>21246.52580645161</v>
      </c>
      <c r="E283" t="n">
        <v>179000</v>
      </c>
      <c r="F283" t="n">
        <v>8.42490681208905</v>
      </c>
      <c r="G283" t="b">
        <v>1</v>
      </c>
      <c r="I283" t="n">
        <v>9.123699077246545</v>
      </c>
      <c r="J283" t="inlineStr">
        <is>
          <t>first 12 calibrated months (Jan/21-Dec/21)</t>
        </is>
      </c>
      <c r="K283" t="n">
        <v>193846.9078950175</v>
      </c>
      <c r="L283" t="n">
        <v>179000</v>
      </c>
      <c r="M283" t="inlineStr">
        <is>
          <t>published</t>
        </is>
      </c>
      <c r="N283" t="n">
        <v>36374</v>
      </c>
      <c r="O283" t="n">
        <v>4.921097487216143</v>
      </c>
      <c r="P283" t="n">
        <v>0.1737870814317919</v>
      </c>
    </row>
    <row r="284">
      <c r="A284" t="inlineStr">
        <is>
          <t>Colombia</t>
        </is>
      </c>
      <c r="B284" t="inlineStr">
        <is>
          <t>CO</t>
        </is>
      </c>
      <c r="C284" s="4" t="n">
        <v>44287</v>
      </c>
      <c r="D284" t="n">
        <v>19002.42</v>
      </c>
      <c r="E284" t="n">
        <v>159000</v>
      </c>
      <c r="F284" t="n">
        <v>8.367355315796619</v>
      </c>
      <c r="G284" t="b">
        <v>1</v>
      </c>
      <c r="I284" t="n">
        <v>9.123699077246545</v>
      </c>
      <c r="J284" t="inlineStr">
        <is>
          <t>first 12 calibrated months (Jan/21-Dec/21)</t>
        </is>
      </c>
      <c r="K284" t="n">
        <v>173372.3618194513</v>
      </c>
      <c r="L284" t="n">
        <v>159000</v>
      </c>
      <c r="M284" t="inlineStr">
        <is>
          <t>published</t>
        </is>
      </c>
      <c r="N284" t="n">
        <v>36374</v>
      </c>
      <c r="O284" t="n">
        <v>4.371254192555122</v>
      </c>
      <c r="P284" t="n">
        <v>0.1543695304338263</v>
      </c>
    </row>
    <row r="285">
      <c r="A285" t="inlineStr">
        <is>
          <t>Colombia</t>
        </is>
      </c>
      <c r="B285" t="inlineStr">
        <is>
          <t>CO</t>
        </is>
      </c>
      <c r="C285" s="4" t="n">
        <v>44317</v>
      </c>
      <c r="D285" t="n">
        <v>17407.2935483871</v>
      </c>
      <c r="E285" t="n">
        <v>153000</v>
      </c>
      <c r="F285" t="n">
        <v>8.78941919228888</v>
      </c>
      <c r="G285" t="b">
        <v>1</v>
      </c>
      <c r="I285" t="n">
        <v>9.123699077246545</v>
      </c>
      <c r="J285" t="inlineStr">
        <is>
          <t>first 12 calibrated months (Jan/21-Dec/21)</t>
        </is>
      </c>
      <c r="K285" t="n">
        <v>158818.9080847791</v>
      </c>
      <c r="L285" t="n">
        <v>153000</v>
      </c>
      <c r="M285" t="inlineStr">
        <is>
          <t>published</t>
        </is>
      </c>
      <c r="N285" t="n">
        <v>36374</v>
      </c>
      <c r="O285" t="n">
        <v>4.206301204156816</v>
      </c>
      <c r="P285" t="n">
        <v>0.1485442651344367</v>
      </c>
    </row>
    <row r="286">
      <c r="A286" t="inlineStr">
        <is>
          <t>Colombia</t>
        </is>
      </c>
      <c r="B286" t="inlineStr">
        <is>
          <t>CO</t>
        </is>
      </c>
      <c r="C286" s="4" t="n">
        <v>44348</v>
      </c>
      <c r="D286" t="n">
        <v>21244.48</v>
      </c>
      <c r="E286" t="n">
        <v>180000</v>
      </c>
      <c r="F286" t="n">
        <v>8.472789166880055</v>
      </c>
      <c r="G286" t="b">
        <v>1</v>
      </c>
      <c r="I286" t="n">
        <v>9.123699077246545</v>
      </c>
      <c r="J286" t="inlineStr">
        <is>
          <t>first 12 calibrated months (Jan/21-Dec/21)</t>
        </is>
      </c>
      <c r="K286" t="n">
        <v>193828.2425725827</v>
      </c>
      <c r="L286" t="n">
        <v>180000</v>
      </c>
      <c r="M286" t="inlineStr">
        <is>
          <t>published</t>
        </is>
      </c>
      <c r="N286" t="n">
        <v>36374</v>
      </c>
      <c r="O286" t="n">
        <v>4.948589651949194</v>
      </c>
      <c r="P286" t="n">
        <v>0.1747579589816902</v>
      </c>
    </row>
    <row r="287">
      <c r="A287" t="inlineStr">
        <is>
          <t>Colombia</t>
        </is>
      </c>
      <c r="B287" t="inlineStr">
        <is>
          <t>CO</t>
        </is>
      </c>
      <c r="C287" s="4" t="n">
        <v>44378</v>
      </c>
      <c r="D287" t="n">
        <v>21436.3129032258</v>
      </c>
      <c r="E287" t="n">
        <v>199000</v>
      </c>
      <c r="F287" t="n">
        <v>9.283312895197282</v>
      </c>
      <c r="G287" t="b">
        <v>1</v>
      </c>
      <c r="I287" t="n">
        <v>8.616420718387051</v>
      </c>
      <c r="J287" t="inlineStr">
        <is>
          <t>trailing 6 calibrated months (Jan/21-Jun/21)</t>
        </is>
      </c>
      <c r="K287" t="n">
        <v>184704.2906251825</v>
      </c>
      <c r="L287" t="n">
        <v>199000</v>
      </c>
      <c r="M287" t="inlineStr">
        <is>
          <t>published</t>
        </is>
      </c>
      <c r="N287" t="n">
        <v>36374</v>
      </c>
      <c r="O287" t="n">
        <v>5.470940781877165</v>
      </c>
      <c r="P287" t="n">
        <v>0.1932046324297575</v>
      </c>
    </row>
    <row r="288">
      <c r="A288" t="inlineStr">
        <is>
          <t>Colombia</t>
        </is>
      </c>
      <c r="B288" t="inlineStr">
        <is>
          <t>CO</t>
        </is>
      </c>
      <c r="C288" s="4" t="n">
        <v>44409</v>
      </c>
      <c r="D288" t="n">
        <v>20868.46451612903</v>
      </c>
      <c r="E288" t="n">
        <v>198000</v>
      </c>
      <c r="F288" t="n">
        <v>9.488000415505788</v>
      </c>
      <c r="G288" t="b">
        <v>1</v>
      </c>
      <c r="I288" t="n">
        <v>8.713971544305469</v>
      </c>
      <c r="J288" t="inlineStr">
        <is>
          <t>trailing 7 calibrated months (Jan/21-Jul/21)</t>
        </is>
      </c>
      <c r="K288" t="n">
        <v>181847.2059668968</v>
      </c>
      <c r="L288" t="n">
        <v>198000</v>
      </c>
      <c r="M288" t="inlineStr">
        <is>
          <t>published</t>
        </is>
      </c>
      <c r="N288" t="n">
        <v>36374</v>
      </c>
      <c r="O288" t="n">
        <v>5.443448617144114</v>
      </c>
      <c r="P288" t="n">
        <v>0.1922337548798592</v>
      </c>
    </row>
    <row r="289">
      <c r="A289" t="inlineStr">
        <is>
          <t>Colombia</t>
        </is>
      </c>
      <c r="B289" t="inlineStr">
        <is>
          <t>CO</t>
        </is>
      </c>
      <c r="C289" s="4" t="n">
        <v>44440</v>
      </c>
      <c r="D289" t="n">
        <v>20982.56666666666</v>
      </c>
      <c r="E289" t="n">
        <v>197000</v>
      </c>
      <c r="F289" t="n">
        <v>9.388746530850216</v>
      </c>
      <c r="G289" t="b">
        <v>1</v>
      </c>
      <c r="I289" t="n">
        <v>8.81045525211927</v>
      </c>
      <c r="J289" t="inlineStr">
        <is>
          <t>trailing 8 calibrated months (Jan/21-Aug/21)</t>
        </is>
      </c>
      <c r="K289" t="n">
        <v>184865.964691276</v>
      </c>
      <c r="L289" t="n">
        <v>197000</v>
      </c>
      <c r="M289" t="inlineStr">
        <is>
          <t>published</t>
        </is>
      </c>
      <c r="N289" t="n">
        <v>36374</v>
      </c>
      <c r="O289" t="n">
        <v>5.415956452411063</v>
      </c>
      <c r="P289" t="n">
        <v>0.1912628773299609</v>
      </c>
    </row>
    <row r="290">
      <c r="A290" t="inlineStr">
        <is>
          <t>Colombia</t>
        </is>
      </c>
      <c r="B290" t="inlineStr">
        <is>
          <t>CO</t>
        </is>
      </c>
      <c r="C290" s="4" t="n">
        <v>44470</v>
      </c>
      <c r="D290" t="n">
        <v>21134.87741935484</v>
      </c>
      <c r="E290" t="n">
        <v>206000</v>
      </c>
      <c r="F290" t="n">
        <v>9.746921920226036</v>
      </c>
      <c r="G290" t="b">
        <v>1</v>
      </c>
      <c r="I290" t="n">
        <v>8.874861883370988</v>
      </c>
      <c r="J290" t="inlineStr">
        <is>
          <t>trailing 9 calibrated months (Jan/21-Sep/21)</t>
        </is>
      </c>
      <c r="K290" t="n">
        <v>187569.1180187505</v>
      </c>
      <c r="L290" t="n">
        <v>206000</v>
      </c>
      <c r="M290" t="inlineStr">
        <is>
          <t>published</t>
        </is>
      </c>
      <c r="N290" t="n">
        <v>36374</v>
      </c>
      <c r="O290" t="n">
        <v>5.663385935008523</v>
      </c>
      <c r="P290" t="n">
        <v>0.2000007752790455</v>
      </c>
    </row>
    <row r="291">
      <c r="A291" t="inlineStr">
        <is>
          <t>Colombia</t>
        </is>
      </c>
      <c r="B291" t="inlineStr">
        <is>
          <t>CO</t>
        </is>
      </c>
      <c r="C291" s="4" t="n">
        <v>44501</v>
      </c>
      <c r="D291" t="n">
        <v>21227.09</v>
      </c>
      <c r="E291" t="n">
        <v>208000</v>
      </c>
      <c r="F291" t="n">
        <v>9.798799552835549</v>
      </c>
      <c r="G291" t="b">
        <v>1</v>
      </c>
      <c r="I291" t="n">
        <v>8.962823944252369</v>
      </c>
      <c r="J291" t="inlineStr">
        <is>
          <t>trailing 10 calibrated months (Jan/21-Oct/21)</t>
        </is>
      </c>
      <c r="K291" t="n">
        <v>190254.6705188001</v>
      </c>
      <c r="L291" t="n">
        <v>208000</v>
      </c>
      <c r="M291" t="inlineStr">
        <is>
          <t>published</t>
        </is>
      </c>
      <c r="N291" t="n">
        <v>36374</v>
      </c>
      <c r="O291" t="n">
        <v>5.718370264474625</v>
      </c>
      <c r="P291" t="n">
        <v>0.201942530378842</v>
      </c>
    </row>
    <row r="292">
      <c r="A292" t="inlineStr">
        <is>
          <t>Colombia</t>
        </is>
      </c>
      <c r="B292" t="inlineStr">
        <is>
          <t>CO</t>
        </is>
      </c>
      <c r="C292" s="4" t="n">
        <v>44531</v>
      </c>
      <c r="D292" t="n">
        <v>21989.09677419355</v>
      </c>
      <c r="E292" t="n">
        <v>220000</v>
      </c>
      <c r="F292" t="n">
        <v>10.00495846915334</v>
      </c>
      <c r="G292" t="b">
        <v>1</v>
      </c>
      <c r="I292" t="n">
        <v>9.039723692740717</v>
      </c>
      <c r="J292" t="inlineStr">
        <is>
          <t>trailing 11 calibrated months (Jan/21-Nov/21)</t>
        </is>
      </c>
      <c r="K292" t="n">
        <v>198775.3590916459</v>
      </c>
      <c r="L292" t="n">
        <v>220000</v>
      </c>
      <c r="M292" t="inlineStr">
        <is>
          <t>published</t>
        </is>
      </c>
      <c r="N292" t="n">
        <v>36374</v>
      </c>
      <c r="O292" t="n">
        <v>6.048276241271238</v>
      </c>
      <c r="P292" t="n">
        <v>0.2135930609776214</v>
      </c>
    </row>
    <row r="293">
      <c r="A293" t="inlineStr">
        <is>
          <t>Colombia</t>
        </is>
      </c>
      <c r="B293" t="inlineStr">
        <is>
          <t>CO</t>
        </is>
      </c>
      <c r="C293" s="4" t="n">
        <v>44562</v>
      </c>
      <c r="D293" t="n">
        <v>19601.91290322581</v>
      </c>
      <c r="E293" t="n">
        <v>198000</v>
      </c>
      <c r="F293" t="n">
        <v>10.10105498261937</v>
      </c>
      <c r="G293" t="b">
        <v>1</v>
      </c>
      <c r="I293" t="n">
        <v>9.123699077246545</v>
      </c>
      <c r="J293" t="inlineStr">
        <is>
          <t>trailing 12 calibrated months (Jan/21-Dec/21)</t>
        </is>
      </c>
      <c r="K293" t="n">
        <v>178841.9546674285</v>
      </c>
      <c r="L293" t="n">
        <v>198000</v>
      </c>
      <c r="M293" t="inlineStr">
        <is>
          <t>published</t>
        </is>
      </c>
      <c r="N293" t="n">
        <v>36374</v>
      </c>
      <c r="O293" t="n">
        <v>5.443448617144114</v>
      </c>
      <c r="P293" t="n">
        <v>0.1922337548798592</v>
      </c>
    </row>
    <row r="294">
      <c r="A294" t="inlineStr">
        <is>
          <t>Colombia</t>
        </is>
      </c>
      <c r="B294" t="inlineStr">
        <is>
          <t>CO</t>
        </is>
      </c>
      <c r="C294" s="4" t="n">
        <v>44593</v>
      </c>
      <c r="D294" t="n">
        <v>23625.14642857143</v>
      </c>
      <c r="E294" t="n">
        <v>229000</v>
      </c>
      <c r="F294" t="n">
        <v>9.69306161518878</v>
      </c>
      <c r="G294" t="b">
        <v>1</v>
      </c>
      <c r="I294" t="n">
        <v>9.237428306478227</v>
      </c>
      <c r="J294" t="inlineStr">
        <is>
          <t>trailing 12 calibrated months (Feb/21-Jan/22)</t>
        </is>
      </c>
      <c r="K294" t="n">
        <v>218235.5963639787</v>
      </c>
      <c r="L294" t="n">
        <v>229000</v>
      </c>
      <c r="M294" t="inlineStr">
        <is>
          <t>published</t>
        </is>
      </c>
      <c r="N294" t="n">
        <v>36374</v>
      </c>
      <c r="O294" t="n">
        <v>6.295705723868697</v>
      </c>
      <c r="P294" t="n">
        <v>0.2223309589267059</v>
      </c>
    </row>
    <row r="295">
      <c r="A295" t="inlineStr">
        <is>
          <t>Colombia</t>
        </is>
      </c>
      <c r="B295" t="inlineStr">
        <is>
          <t>CO</t>
        </is>
      </c>
      <c r="C295" s="4" t="n">
        <v>44621</v>
      </c>
      <c r="D295" t="n">
        <v>22768.27419354839</v>
      </c>
      <c r="E295" t="n">
        <v>230000</v>
      </c>
      <c r="F295" t="n">
        <v>10.10177574482886</v>
      </c>
      <c r="G295" t="b">
        <v>1</v>
      </c>
      <c r="I295" t="n">
        <v>9.312709731660817</v>
      </c>
      <c r="J295" t="inlineStr">
        <is>
          <t>trailing 12 calibrated months (Mar/21-Feb/22)</t>
        </is>
      </c>
      <c r="K295" t="n">
        <v>212034.3286553799</v>
      </c>
      <c r="L295" t="n">
        <v>230000</v>
      </c>
      <c r="M295" t="inlineStr">
        <is>
          <t>published</t>
        </is>
      </c>
      <c r="N295" t="n">
        <v>36374</v>
      </c>
      <c r="O295" t="n">
        <v>6.323197888601748</v>
      </c>
      <c r="P295" t="n">
        <v>0.2233018364766041</v>
      </c>
    </row>
    <row r="296">
      <c r="A296" t="inlineStr">
        <is>
          <t>Colombia</t>
        </is>
      </c>
      <c r="B296" t="inlineStr">
        <is>
          <t>CO</t>
        </is>
      </c>
      <c r="C296" s="4" t="n">
        <v>44652</v>
      </c>
      <c r="D296" t="n">
        <v>20914.90333333334</v>
      </c>
      <c r="E296" t="n">
        <v>210000</v>
      </c>
      <c r="F296" t="n">
        <v>10.04068709537425</v>
      </c>
      <c r="G296" t="b">
        <v>1</v>
      </c>
      <c r="I296" t="n">
        <v>9.459268295781952</v>
      </c>
      <c r="J296" t="inlineStr">
        <is>
          <t>trailing 12 calibrated months (Apr/21-Mar/22)</t>
        </is>
      </c>
      <c r="K296" t="n">
        <v>197839.6820103443</v>
      </c>
      <c r="L296" t="n">
        <v>210000</v>
      </c>
      <c r="M296" t="inlineStr">
        <is>
          <t>published</t>
        </is>
      </c>
      <c r="N296" t="n">
        <v>36374</v>
      </c>
      <c r="O296" t="n">
        <v>5.773354593940727</v>
      </c>
      <c r="P296" t="n">
        <v>0.2038842854786386</v>
      </c>
    </row>
    <row r="297">
      <c r="A297" t="inlineStr">
        <is>
          <t>Colombia</t>
        </is>
      </c>
      <c r="B297" t="inlineStr">
        <is>
          <t>CO</t>
        </is>
      </c>
      <c r="C297" s="4" t="n">
        <v>44682</v>
      </c>
      <c r="D297" t="n">
        <v>22043.7</v>
      </c>
      <c r="E297" t="n">
        <v>215000</v>
      </c>
      <c r="F297" t="n">
        <v>9.753353565871427</v>
      </c>
      <c r="G297" t="b">
        <v>1</v>
      </c>
      <c r="I297" t="n">
        <v>9.589241647364428</v>
      </c>
      <c r="J297" t="inlineStr">
        <is>
          <t>trailing 12 calibrated months (May/21-Apr/22)</t>
        </is>
      </c>
      <c r="K297" t="n">
        <v>211382.3661020073</v>
      </c>
      <c r="L297" t="n">
        <v>215000</v>
      </c>
      <c r="M297" t="inlineStr">
        <is>
          <t>published</t>
        </is>
      </c>
      <c r="N297" t="n">
        <v>36374</v>
      </c>
      <c r="O297" t="n">
        <v>5.910815417605982</v>
      </c>
      <c r="P297" t="n">
        <v>0.20873867322813</v>
      </c>
    </row>
    <row r="298">
      <c r="A298" t="inlineStr">
        <is>
          <t>Colombia</t>
        </is>
      </c>
      <c r="B298" t="inlineStr">
        <is>
          <t>CO</t>
        </is>
      </c>
      <c r="C298" s="4" t="n">
        <v>44713</v>
      </c>
      <c r="D298" t="n">
        <v>21289.84666666667</v>
      </c>
      <c r="E298" t="n">
        <v>206000</v>
      </c>
      <c r="F298" t="n">
        <v>9.675973867981513</v>
      </c>
      <c r="G298" t="b">
        <v>1</v>
      </c>
      <c r="I298" t="n">
        <v>9.657270634886594</v>
      </c>
      <c r="J298" t="inlineStr">
        <is>
          <t>trailing 12 calibrated months (Jun/21-May/22)</t>
        </is>
      </c>
      <c r="K298" t="n">
        <v>205601.8110352382</v>
      </c>
      <c r="L298" t="n">
        <v>206000</v>
      </c>
      <c r="M298" t="inlineStr">
        <is>
          <t>published</t>
        </is>
      </c>
      <c r="N298" t="n">
        <v>36374</v>
      </c>
      <c r="O298" t="n">
        <v>5.663385935008523</v>
      </c>
      <c r="P298" t="n">
        <v>0.2000007752790455</v>
      </c>
    </row>
    <row r="299">
      <c r="A299" t="inlineStr">
        <is>
          <t>Colombia</t>
        </is>
      </c>
      <c r="B299" t="inlineStr">
        <is>
          <t>CO</t>
        </is>
      </c>
      <c r="C299" s="4" t="n">
        <v>44743</v>
      </c>
      <c r="D299" t="n">
        <v>24203.46129032259</v>
      </c>
      <c r="E299" t="n">
        <v>234000</v>
      </c>
      <c r="F299" t="n">
        <v>9.66803868228391</v>
      </c>
      <c r="G299" t="b">
        <v>1</v>
      </c>
      <c r="I299" t="n">
        <v>9.756392957538226</v>
      </c>
      <c r="J299" t="inlineStr">
        <is>
          <t>trailing 12 calibrated months (Jul/21-Jun/22)</t>
        </is>
      </c>
      <c r="K299" t="n">
        <v>236138.4792809524</v>
      </c>
      <c r="L299" t="n">
        <v>234000</v>
      </c>
      <c r="M299" t="inlineStr">
        <is>
          <t>published</t>
        </is>
      </c>
      <c r="N299" t="n">
        <v>36374</v>
      </c>
      <c r="O299" t="n">
        <v>6.433166547533953</v>
      </c>
      <c r="P299" t="n">
        <v>0.2271853466761973</v>
      </c>
    </row>
    <row r="300">
      <c r="A300" t="inlineStr">
        <is>
          <t>Colombia</t>
        </is>
      </c>
      <c r="B300" t="inlineStr">
        <is>
          <t>CO</t>
        </is>
      </c>
      <c r="C300" s="4" t="n">
        <v>44774</v>
      </c>
      <c r="D300" t="n">
        <v>20114.45806451613</v>
      </c>
      <c r="E300" t="n">
        <v>189000</v>
      </c>
      <c r="F300" t="n">
        <v>9.39622630616206</v>
      </c>
      <c r="G300" t="b">
        <v>1</v>
      </c>
      <c r="I300" t="n">
        <v>9.787095559577311</v>
      </c>
      <c r="J300" t="inlineStr">
        <is>
          <t>trailing 12 calibrated months (Aug/21-Jul/22)</t>
        </is>
      </c>
      <c r="K300" t="n">
        <v>196862.1232065298</v>
      </c>
      <c r="L300" t="n">
        <v>189000</v>
      </c>
      <c r="M300" t="inlineStr">
        <is>
          <t>published</t>
        </is>
      </c>
      <c r="N300" t="n">
        <v>36374</v>
      </c>
      <c r="O300" t="n">
        <v>5.196019134546654</v>
      </c>
      <c r="P300" t="n">
        <v>0.1834958569307747</v>
      </c>
    </row>
    <row r="301">
      <c r="A301" t="inlineStr">
        <is>
          <t>Colombia</t>
        </is>
      </c>
      <c r="B301" t="inlineStr">
        <is>
          <t>CO</t>
        </is>
      </c>
      <c r="C301" s="4" t="n">
        <v>44805</v>
      </c>
      <c r="D301" t="n">
        <v>19261.77</v>
      </c>
      <c r="E301" t="n">
        <v>187000</v>
      </c>
      <c r="F301" t="n">
        <v>9.708349751866001</v>
      </c>
      <c r="G301" t="b">
        <v>1</v>
      </c>
      <c r="I301" t="n">
        <v>9.780860484933203</v>
      </c>
      <c r="J301" t="inlineStr">
        <is>
          <t>trailing 12 calibrated months (Sep/21-Aug/22)</t>
        </is>
      </c>
      <c r="K301" t="n">
        <v>188396.6850628719</v>
      </c>
      <c r="L301" t="n">
        <v>187000</v>
      </c>
      <c r="M301" t="inlineStr">
        <is>
          <t>published</t>
        </is>
      </c>
      <c r="N301" t="n">
        <v>36374</v>
      </c>
      <c r="O301" t="n">
        <v>5.141034805080552</v>
      </c>
      <c r="P301" t="n">
        <v>0.1815541018309781</v>
      </c>
    </row>
    <row r="302">
      <c r="A302" t="inlineStr">
        <is>
          <t>Colombia</t>
        </is>
      </c>
      <c r="B302" t="inlineStr">
        <is>
          <t>CO</t>
        </is>
      </c>
      <c r="C302" s="4" t="n">
        <v>44835</v>
      </c>
      <c r="D302" t="n">
        <v>15255.77741935484</v>
      </c>
      <c r="E302" t="n">
        <v>136000</v>
      </c>
      <c r="F302" t="n">
        <v>8.914655494872276</v>
      </c>
      <c r="G302" t="b">
        <v>1</v>
      </c>
      <c r="I302" t="n">
        <v>9.807318834377844</v>
      </c>
      <c r="J302" t="inlineStr">
        <is>
          <t>trailing 12 calibrated months (Oct/21-Sep/22)</t>
        </is>
      </c>
      <c r="K302" t="n">
        <v>149618.2732179149</v>
      </c>
      <c r="L302" t="n">
        <v>136000</v>
      </c>
      <c r="M302" t="inlineStr">
        <is>
          <t>published</t>
        </is>
      </c>
      <c r="N302" t="n">
        <v>36374</v>
      </c>
      <c r="O302" t="n">
        <v>3.738934403694947</v>
      </c>
      <c r="P302" t="n">
        <v>0.1320393467861659</v>
      </c>
    </row>
    <row r="303">
      <c r="A303" t="inlineStr">
        <is>
          <t>Colombia</t>
        </is>
      </c>
      <c r="B303" t="inlineStr">
        <is>
          <t>CO</t>
        </is>
      </c>
      <c r="C303" s="4" t="n">
        <v>44866</v>
      </c>
      <c r="D303" t="n">
        <v>17352.56666666667</v>
      </c>
      <c r="E303" t="n">
        <v>168000</v>
      </c>
      <c r="F303" t="n">
        <v>9.681564878970836</v>
      </c>
      <c r="G303" t="b">
        <v>1</v>
      </c>
      <c r="I303" t="n">
        <v>9.758400819910534</v>
      </c>
      <c r="J303" t="inlineStr">
        <is>
          <t>trailing 12 calibrated months (Nov/21-Oct/22)</t>
        </is>
      </c>
      <c r="K303" t="n">
        <v>169333.3007875522</v>
      </c>
      <c r="L303" t="n">
        <v>168000</v>
      </c>
      <c r="M303" t="inlineStr">
        <is>
          <t>published</t>
        </is>
      </c>
      <c r="N303" t="n">
        <v>36374</v>
      </c>
      <c r="O303" t="n">
        <v>4.618683675152582</v>
      </c>
      <c r="P303" t="n">
        <v>0.1631074283829109</v>
      </c>
    </row>
    <row r="304">
      <c r="A304" t="inlineStr">
        <is>
          <t>Colombia</t>
        </is>
      </c>
      <c r="B304" t="inlineStr">
        <is>
          <t>CO</t>
        </is>
      </c>
      <c r="C304" s="4" t="n">
        <v>44896</v>
      </c>
      <c r="D304" t="n">
        <v>15737.92580645161</v>
      </c>
      <c r="E304" t="n">
        <v>126000</v>
      </c>
      <c r="F304" t="n">
        <v>8.006137628908347</v>
      </c>
      <c r="G304" t="b">
        <v>1</v>
      </c>
      <c r="I304" t="n">
        <v>9.749581722137119</v>
      </c>
      <c r="J304" t="inlineStr">
        <is>
          <t>trailing 12 calibrated months (Dec/21-Nov/22)</t>
        </is>
      </c>
      <c r="K304" t="n">
        <v>153438.1937869307</v>
      </c>
      <c r="L304" t="n">
        <v>126000</v>
      </c>
      <c r="M304" t="inlineStr">
        <is>
          <t>published</t>
        </is>
      </c>
      <c r="N304" t="n">
        <v>36374</v>
      </c>
      <c r="O304" t="n">
        <v>3.464012756364436</v>
      </c>
      <c r="P304" t="n">
        <v>0.1223305712871832</v>
      </c>
    </row>
    <row r="305">
      <c r="A305" t="inlineStr">
        <is>
          <t>Colombia</t>
        </is>
      </c>
      <c r="B305" t="inlineStr">
        <is>
          <t>CO</t>
        </is>
      </c>
      <c r="C305" s="4" t="n">
        <v>44927</v>
      </c>
      <c r="D305" t="n">
        <v>15419.56451612903</v>
      </c>
      <c r="E305" t="n">
        <v>122000</v>
      </c>
      <c r="F305" t="n">
        <v>7.912026300897582</v>
      </c>
      <c r="G305" t="b">
        <v>1</v>
      </c>
      <c r="I305" t="n">
        <v>9.613091930255981</v>
      </c>
      <c r="J305" t="inlineStr">
        <is>
          <t>trailing 12 calibrated months (Jan/22-Dec/22)</t>
        </is>
      </c>
      <c r="K305" t="n">
        <v>148229.6912180615</v>
      </c>
      <c r="L305" t="n">
        <v>122000</v>
      </c>
      <c r="M305" t="inlineStr">
        <is>
          <t>published</t>
        </is>
      </c>
      <c r="N305" t="n">
        <v>36374</v>
      </c>
      <c r="O305" t="n">
        <v>3.354044097432232</v>
      </c>
      <c r="P305" t="n">
        <v>0.11844706108759</v>
      </c>
    </row>
    <row r="306">
      <c r="A306" t="inlineStr">
        <is>
          <t>Colombia</t>
        </is>
      </c>
      <c r="B306" t="inlineStr">
        <is>
          <t>CO</t>
        </is>
      </c>
      <c r="C306" s="4" t="n">
        <v>44958</v>
      </c>
      <c r="D306" t="n">
        <v>20639.06785714286</v>
      </c>
      <c r="E306" t="n">
        <v>172000</v>
      </c>
      <c r="F306" t="n">
        <v>8.333709699998563</v>
      </c>
      <c r="G306" t="b">
        <v>1</v>
      </c>
      <c r="I306" t="n">
        <v>9.462686062907855</v>
      </c>
      <c r="J306" t="inlineStr">
        <is>
          <t>trailing 12 calibrated months (Feb/22-Jan/23)</t>
        </is>
      </c>
      <c r="K306" t="n">
        <v>195301.0197631952</v>
      </c>
      <c r="L306" t="n">
        <v>172000</v>
      </c>
      <c r="M306" t="inlineStr">
        <is>
          <t>published</t>
        </is>
      </c>
      <c r="N306" t="n">
        <v>36374</v>
      </c>
      <c r="O306" t="n">
        <v>4.728652334084786</v>
      </c>
      <c r="P306" t="n">
        <v>0.166990938582504</v>
      </c>
    </row>
    <row r="307">
      <c r="A307" t="inlineStr">
        <is>
          <t>Colombia</t>
        </is>
      </c>
      <c r="B307" t="inlineStr">
        <is>
          <t>CO</t>
        </is>
      </c>
      <c r="C307" s="4" t="n">
        <v>44986</v>
      </c>
      <c r="D307" t="n">
        <v>16901.96451612903</v>
      </c>
      <c r="E307" t="n">
        <v>153000</v>
      </c>
      <c r="F307" t="n">
        <v>9.052202177681579</v>
      </c>
      <c r="G307" t="b">
        <v>1</v>
      </c>
      <c r="I307" t="n">
        <v>9.340373233212343</v>
      </c>
      <c r="J307" t="inlineStr">
        <is>
          <t>trailing 12 calibrated months (Mar/22-Feb/23)</t>
        </is>
      </c>
      <c r="K307" t="n">
        <v>157870.6569551564</v>
      </c>
      <c r="L307" t="n">
        <v>153000</v>
      </c>
      <c r="M307" t="inlineStr">
        <is>
          <t>published</t>
        </is>
      </c>
      <c r="N307" t="n">
        <v>36374</v>
      </c>
      <c r="O307" t="n">
        <v>4.206301204156816</v>
      </c>
      <c r="P307" t="n">
        <v>0.1485442651344367</v>
      </c>
    </row>
    <row r="308">
      <c r="A308" t="inlineStr">
        <is>
          <t>Colombia</t>
        </is>
      </c>
      <c r="B308" t="inlineStr">
        <is>
          <t>CO</t>
        </is>
      </c>
      <c r="C308" s="4" t="n">
        <v>45017</v>
      </c>
      <c r="D308" t="n">
        <v>13650.28666666667</v>
      </c>
      <c r="E308" t="n">
        <v>146000</v>
      </c>
      <c r="F308" t="n">
        <v>10.69574607224366</v>
      </c>
      <c r="G308" t="b">
        <v>1</v>
      </c>
      <c r="I308" t="n">
        <v>9.243458848606927</v>
      </c>
      <c r="J308" t="inlineStr">
        <is>
          <t>trailing 12 calibrated months (Apr/22-Mar/23)</t>
        </is>
      </c>
      <c r="K308" t="n">
        <v>126175.8630750212</v>
      </c>
      <c r="L308" t="n">
        <v>146000</v>
      </c>
      <c r="M308" t="inlineStr">
        <is>
          <t>published</t>
        </is>
      </c>
      <c r="N308" t="n">
        <v>36374</v>
      </c>
      <c r="O308" t="n">
        <v>4.013856051025458</v>
      </c>
      <c r="P308" t="n">
        <v>0.1417481222851487</v>
      </c>
    </row>
    <row r="309">
      <c r="A309" t="inlineStr">
        <is>
          <t>Colombia</t>
        </is>
      </c>
      <c r="B309" t="inlineStr">
        <is>
          <t>CO</t>
        </is>
      </c>
      <c r="C309" s="4" t="n">
        <v>45047</v>
      </c>
      <c r="D309" t="n">
        <v>22514.09032258064</v>
      </c>
      <c r="E309" t="n">
        <v>198000</v>
      </c>
      <c r="F309" t="n">
        <v>8.794492567235315</v>
      </c>
      <c r="G309" t="b">
        <v>1</v>
      </c>
      <c r="I309" t="n">
        <v>9.257657161490236</v>
      </c>
      <c r="J309" t="inlineStr">
        <is>
          <t>trailing 12 calibrated months (May/22-Apr/23)</t>
        </is>
      </c>
      <c r="K309" t="n">
        <v>208427.7295092767</v>
      </c>
      <c r="L309" t="n">
        <v>198000</v>
      </c>
      <c r="M309" t="inlineStr">
        <is>
          <t>published</t>
        </is>
      </c>
      <c r="N309" t="n">
        <v>36374</v>
      </c>
      <c r="O309" t="n">
        <v>5.443448617144114</v>
      </c>
      <c r="P309" t="n">
        <v>0.1922337548798592</v>
      </c>
    </row>
    <row r="310">
      <c r="A310" t="inlineStr">
        <is>
          <t>Colombia</t>
        </is>
      </c>
      <c r="B310" t="inlineStr">
        <is>
          <t>CO</t>
        </is>
      </c>
      <c r="C310" s="4" t="n">
        <v>45078</v>
      </c>
      <c r="D310" t="n">
        <v>22359.87333333334</v>
      </c>
      <c r="E310" t="n">
        <v>203000</v>
      </c>
      <c r="F310" t="n">
        <v>9.078763415773672</v>
      </c>
      <c r="G310" t="b">
        <v>1</v>
      </c>
      <c r="I310" t="n">
        <v>9.161612196826301</v>
      </c>
      <c r="J310" t="inlineStr">
        <is>
          <t>trailing 12 calibrated months (Jun/22-May/23)</t>
        </is>
      </c>
      <c r="K310" t="n">
        <v>204852.4882501579</v>
      </c>
      <c r="L310" t="n">
        <v>203000</v>
      </c>
      <c r="M310" t="inlineStr">
        <is>
          <t>published</t>
        </is>
      </c>
      <c r="N310" t="n">
        <v>36374</v>
      </c>
      <c r="O310" t="n">
        <v>5.58090944080937</v>
      </c>
      <c r="P310" t="n">
        <v>0.1970881426293506</v>
      </c>
    </row>
    <row r="311">
      <c r="A311" t="inlineStr">
        <is>
          <t>Colombia</t>
        </is>
      </c>
      <c r="B311" t="inlineStr">
        <is>
          <t>CO</t>
        </is>
      </c>
      <c r="C311" s="4" t="n">
        <v>45108</v>
      </c>
      <c r="D311" t="n">
        <v>22369.28387096774</v>
      </c>
      <c r="E311" t="n">
        <v>198000</v>
      </c>
      <c r="F311" t="n">
        <v>8.851423279445116</v>
      </c>
      <c r="G311" t="b">
        <v>1</v>
      </c>
      <c r="I311" t="n">
        <v>9.104304452571792</v>
      </c>
      <c r="J311" t="inlineStr">
        <is>
          <t>trailing 12 calibrated months (Jul/22-Jun/23)</t>
        </is>
      </c>
      <c r="K311" t="n">
        <v>203656.770747294</v>
      </c>
      <c r="L311" t="n">
        <v>198000</v>
      </c>
      <c r="M311" t="inlineStr">
        <is>
          <t>published</t>
        </is>
      </c>
      <c r="N311" t="n">
        <v>36374</v>
      </c>
      <c r="O311" t="n">
        <v>5.443448617144114</v>
      </c>
      <c r="P311" t="n">
        <v>0.1922337548798592</v>
      </c>
    </row>
    <row r="312">
      <c r="A312" t="inlineStr">
        <is>
          <t>Colombia</t>
        </is>
      </c>
      <c r="B312" t="inlineStr">
        <is>
          <t>CO</t>
        </is>
      </c>
      <c r="C312" s="4" t="n">
        <v>45139</v>
      </c>
      <c r="D312" t="n">
        <v>24678.26774193548</v>
      </c>
      <c r="E312" t="n">
        <v>232000</v>
      </c>
      <c r="F312" t="n">
        <v>9.400983992315037</v>
      </c>
      <c r="G312" t="b">
        <v>1</v>
      </c>
      <c r="I312" t="n">
        <v>9.017196482576084</v>
      </c>
      <c r="J312" t="inlineStr">
        <is>
          <t>trailing 12 calibrated months (Aug/22-Jul/23)</t>
        </is>
      </c>
      <c r="K312" t="n">
        <v>222528.7890786515</v>
      </c>
      <c r="L312" t="n">
        <v>232000</v>
      </c>
      <c r="M312" t="inlineStr">
        <is>
          <t>published</t>
        </is>
      </c>
      <c r="N312" t="n">
        <v>36374</v>
      </c>
      <c r="O312" t="n">
        <v>6.378182218067851</v>
      </c>
      <c r="P312" t="n">
        <v>0.2252435915764007</v>
      </c>
    </row>
    <row r="313">
      <c r="A313" t="inlineStr">
        <is>
          <t>Colombia</t>
        </is>
      </c>
      <c r="B313" t="inlineStr">
        <is>
          <t>CO</t>
        </is>
      </c>
      <c r="C313" s="4" t="n">
        <v>45170</v>
      </c>
      <c r="D313" t="n">
        <v>47826.09333333332</v>
      </c>
      <c r="E313" t="n">
        <v>372000</v>
      </c>
      <c r="F313" t="n">
        <v>7.77818078109105</v>
      </c>
      <c r="G313" t="b">
        <v>1</v>
      </c>
      <c r="I313" t="n">
        <v>9.02536499697406</v>
      </c>
      <c r="J313" t="inlineStr">
        <is>
          <t>trailing 12 calibrated months (Sep/22-Aug/23)</t>
        </is>
      </c>
      <c r="K313" t="n">
        <v>431647.948712681</v>
      </c>
      <c r="L313" t="n">
        <v>372000</v>
      </c>
      <c r="M313" t="inlineStr">
        <is>
          <t>published</t>
        </is>
      </c>
      <c r="N313" t="n">
        <v>36374</v>
      </c>
      <c r="O313" t="n">
        <v>10.227085280695</v>
      </c>
      <c r="P313" t="n">
        <v>0.3611664485621598</v>
      </c>
    </row>
    <row r="314">
      <c r="A314" t="inlineStr">
        <is>
          <t>Colombia</t>
        </is>
      </c>
      <c r="B314" t="inlineStr">
        <is>
          <t>CO</t>
        </is>
      </c>
      <c r="C314" s="4" t="n">
        <v>45200</v>
      </c>
      <c r="D314" t="n">
        <v>53825.22258064517</v>
      </c>
      <c r="E314" t="n">
        <v>374000</v>
      </c>
      <c r="F314" t="n">
        <v>6.948415298044404</v>
      </c>
      <c r="G314" t="b">
        <v>1</v>
      </c>
      <c r="I314" t="n">
        <v>8.739530356943158</v>
      </c>
      <c r="J314" t="inlineStr">
        <is>
          <t>trailing 12 calibrated months (Oct/22-Sep/23)</t>
        </is>
      </c>
      <c r="K314" t="n">
        <v>470407.1667127708</v>
      </c>
      <c r="L314" t="n">
        <v>374000</v>
      </c>
      <c r="M314" t="inlineStr">
        <is>
          <t>published</t>
        </is>
      </c>
      <c r="N314" t="n">
        <v>36374</v>
      </c>
      <c r="O314" t="n">
        <v>10.2820696101611</v>
      </c>
      <c r="P314" t="n">
        <v>0.3631082036619563</v>
      </c>
    </row>
    <row r="315">
      <c r="A315" t="inlineStr">
        <is>
          <t>Colombia</t>
        </is>
      </c>
      <c r="B315" t="inlineStr">
        <is>
          <t>CO</t>
        </is>
      </c>
      <c r="C315" s="4" t="n">
        <v>45231</v>
      </c>
      <c r="D315" t="n">
        <v>31312.67333333333</v>
      </c>
      <c r="E315" t="n">
        <v>242000</v>
      </c>
      <c r="F315" t="n">
        <v>7.728500132321291</v>
      </c>
      <c r="G315" t="b">
        <v>1</v>
      </c>
      <c r="I315" t="n">
        <v>8.401693498463697</v>
      </c>
      <c r="J315" t="inlineStr">
        <is>
          <t>trailing 12 calibrated months (Nov/22-Oct/23)</t>
        </is>
      </c>
      <c r="K315" t="n">
        <v>263079.4839641842</v>
      </c>
      <c r="L315" t="n">
        <v>242000</v>
      </c>
      <c r="M315" t="inlineStr">
        <is>
          <t>published</t>
        </is>
      </c>
      <c r="N315" t="n">
        <v>36374</v>
      </c>
      <c r="O315" t="n">
        <v>6.653103865398362</v>
      </c>
      <c r="P315" t="n">
        <v>0.2349523670753835</v>
      </c>
    </row>
    <row r="316">
      <c r="A316" t="inlineStr">
        <is>
          <t>Colombia</t>
        </is>
      </c>
      <c r="B316" t="inlineStr">
        <is>
          <t>CO</t>
        </is>
      </c>
      <c r="C316" s="4" t="n">
        <v>45261</v>
      </c>
      <c r="D316" t="n">
        <v>48463.01290322581</v>
      </c>
      <c r="E316" t="n">
        <v>355000</v>
      </c>
      <c r="F316" t="n">
        <v>7.325173957072949</v>
      </c>
      <c r="G316" t="b">
        <v>1</v>
      </c>
      <c r="I316" t="n">
        <v>8.260796028800554</v>
      </c>
      <c r="J316" t="inlineStr">
        <is>
          <t>trailing 12 calibrated months (Dec/22-Nov/23)</t>
        </is>
      </c>
      <c r="K316" t="n">
        <v>400343.0645346778</v>
      </c>
      <c r="L316" t="n">
        <v>355000</v>
      </c>
      <c r="M316" t="inlineStr">
        <is>
          <t>published</t>
        </is>
      </c>
      <c r="N316" t="n">
        <v>36374</v>
      </c>
      <c r="O316" t="n">
        <v>9.759718480233133</v>
      </c>
      <c r="P316" t="n">
        <v>0.344661530213889</v>
      </c>
    </row>
    <row r="317">
      <c r="A317" t="inlineStr">
        <is>
          <t>Colombia</t>
        </is>
      </c>
      <c r="B317" t="inlineStr">
        <is>
          <t>CO</t>
        </is>
      </c>
      <c r="C317" s="4" t="n">
        <v>45292</v>
      </c>
      <c r="D317" t="n">
        <v>36114.39032258064</v>
      </c>
      <c r="E317" t="n">
        <v>302000</v>
      </c>
      <c r="F317" t="n">
        <v>8.362317549942786</v>
      </c>
      <c r="G317" t="b">
        <v>1</v>
      </c>
      <c r="I317" t="n">
        <v>8.139207187860769</v>
      </c>
      <c r="J317" t="inlineStr">
        <is>
          <t>trailing 12 calibrated months (Jan/23-Dec/23)</t>
        </is>
      </c>
      <c r="K317" t="n">
        <v>293942.5052987578</v>
      </c>
      <c r="L317" t="n">
        <v>302000</v>
      </c>
      <c r="M317" t="inlineStr">
        <is>
          <t>published</t>
        </is>
      </c>
      <c r="N317" t="n">
        <v>36374</v>
      </c>
      <c r="O317" t="n">
        <v>8.302633749381426</v>
      </c>
      <c r="P317" t="n">
        <v>0.2932050200692802</v>
      </c>
    </row>
    <row r="318">
      <c r="A318" t="inlineStr">
        <is>
          <t>Colombia</t>
        </is>
      </c>
      <c r="B318" t="inlineStr">
        <is>
          <t>CO</t>
        </is>
      </c>
      <c r="C318" s="4" t="n">
        <v>45323</v>
      </c>
      <c r="D318" t="n">
        <v>38911.73103448276</v>
      </c>
      <c r="E318" t="n">
        <v>331000</v>
      </c>
      <c r="F318" t="n">
        <v>8.506432152984271</v>
      </c>
      <c r="G318" t="b">
        <v>1</v>
      </c>
      <c r="I318" t="n">
        <v>8.171261505226624</v>
      </c>
      <c r="J318" t="inlineStr">
        <is>
          <t>trailing 12 calibrated months (Feb/23-Jan/24)</t>
        </is>
      </c>
      <c r="K318" t="n">
        <v>317957.9299038011</v>
      </c>
      <c r="L318" t="n">
        <v>331000</v>
      </c>
      <c r="M318" t="inlineStr">
        <is>
          <t>published</t>
        </is>
      </c>
      <c r="N318" t="n">
        <v>36374</v>
      </c>
      <c r="O318" t="n">
        <v>9.099906526639908</v>
      </c>
      <c r="P318" t="n">
        <v>0.3213604690163303</v>
      </c>
    </row>
    <row r="319">
      <c r="A319" t="inlineStr">
        <is>
          <t>Colombia</t>
        </is>
      </c>
      <c r="B319" t="inlineStr">
        <is>
          <t>CO</t>
        </is>
      </c>
      <c r="C319" s="4" t="n">
        <v>45352</v>
      </c>
      <c r="D319" t="n">
        <v>55580.05483870968</v>
      </c>
      <c r="E319" t="n">
        <v>461000</v>
      </c>
      <c r="F319" t="n">
        <v>8.294342302068559</v>
      </c>
      <c r="G319" t="b">
        <v>1</v>
      </c>
      <c r="I319" t="n">
        <v>8.196831848841123</v>
      </c>
      <c r="J319" t="inlineStr">
        <is>
          <t>trailing 12 calibrated months (Mar/23-Feb/24)</t>
        </is>
      </c>
      <c r="K319" t="n">
        <v>455580.3636622716</v>
      </c>
      <c r="L319" t="n">
        <v>461000</v>
      </c>
      <c r="M319" t="inlineStr">
        <is>
          <t>published</t>
        </is>
      </c>
      <c r="N319" t="n">
        <v>36374</v>
      </c>
      <c r="O319" t="n">
        <v>12.67388794193655</v>
      </c>
      <c r="P319" t="n">
        <v>0.4475745505031066</v>
      </c>
    </row>
    <row r="320">
      <c r="A320" t="inlineStr">
        <is>
          <t>Colombia</t>
        </is>
      </c>
      <c r="B320" t="inlineStr">
        <is>
          <t>CO</t>
        </is>
      </c>
      <c r="C320" s="4" t="n">
        <v>45383</v>
      </c>
      <c r="D320" t="n">
        <v>71103.79333333335</v>
      </c>
      <c r="E320" t="n">
        <v>513000</v>
      </c>
      <c r="F320" t="n">
        <v>7.214804948521732</v>
      </c>
      <c r="G320" t="b">
        <v>1</v>
      </c>
      <c r="I320" t="n">
        <v>8.175189859316994</v>
      </c>
      <c r="J320" t="inlineStr">
        <is>
          <t>trailing 12 calibrated months (Apr/23-Mar/24)</t>
        </is>
      </c>
      <c r="K320" t="n">
        <v>581287.0102176381</v>
      </c>
      <c r="L320" t="n">
        <v>513000</v>
      </c>
      <c r="M320" t="inlineStr">
        <is>
          <t>published</t>
        </is>
      </c>
      <c r="N320" t="n">
        <v>36374</v>
      </c>
      <c r="O320" t="n">
        <v>14.1034805080552</v>
      </c>
      <c r="P320" t="n">
        <v>0.4980601830978171</v>
      </c>
    </row>
    <row r="321">
      <c r="A321" t="inlineStr">
        <is>
          <t>Colombia</t>
        </is>
      </c>
      <c r="B321" t="inlineStr">
        <is>
          <t>CO</t>
        </is>
      </c>
      <c r="C321" s="4" t="n">
        <v>45413</v>
      </c>
      <c r="D321" t="n">
        <v>17743.12258064516</v>
      </c>
      <c r="E321" t="n">
        <v>175000</v>
      </c>
      <c r="F321" t="n">
        <v>9.862976440849048</v>
      </c>
      <c r="G321" t="b">
        <v>1</v>
      </c>
      <c r="I321" t="n">
        <v>7.959020002541703</v>
      </c>
      <c r="J321" t="inlineStr">
        <is>
          <t>trailing 12 calibrated months (May/23-Apr/24)</t>
        </is>
      </c>
      <c r="K321" t="n">
        <v>141217.8675269042</v>
      </c>
      <c r="L321" t="n">
        <v>175000</v>
      </c>
      <c r="M321" t="inlineStr">
        <is>
          <t>published</t>
        </is>
      </c>
      <c r="N321" t="n">
        <v>36374</v>
      </c>
      <c r="O321" t="n">
        <v>4.811128828283939</v>
      </c>
      <c r="P321" t="n">
        <v>0.1699035712321988</v>
      </c>
    </row>
    <row r="322">
      <c r="A322" t="inlineStr">
        <is>
          <t>Colombia</t>
        </is>
      </c>
      <c r="B322" t="inlineStr">
        <is>
          <t>CO</t>
        </is>
      </c>
      <c r="C322" s="4" t="n">
        <v>45444</v>
      </c>
      <c r="D322" t="n">
        <v>15990.56</v>
      </c>
      <c r="E322" t="n">
        <v>164000</v>
      </c>
      <c r="F322" t="n">
        <v>10.25605107013138</v>
      </c>
      <c r="G322" t="b">
        <v>1</v>
      </c>
      <c r="I322" t="n">
        <v>7.990856330485951</v>
      </c>
      <c r="J322" t="inlineStr">
        <is>
          <t>trailing 12 calibrated months (Jun/23-May/24)</t>
        </is>
      </c>
      <c r="K322" t="n">
        <v>127778.2676040154</v>
      </c>
      <c r="L322" t="n">
        <v>164000</v>
      </c>
      <c r="M322" t="inlineStr">
        <is>
          <t>published</t>
        </is>
      </c>
      <c r="N322" t="n">
        <v>36374</v>
      </c>
      <c r="O322" t="n">
        <v>4.508715016220378</v>
      </c>
      <c r="P322" t="n">
        <v>0.1592239181833177</v>
      </c>
    </row>
    <row r="323">
      <c r="A323" t="inlineStr">
        <is>
          <t>Colombia</t>
        </is>
      </c>
      <c r="B323" t="inlineStr">
        <is>
          <t>CO</t>
        </is>
      </c>
      <c r="C323" s="4" t="n">
        <v>45474</v>
      </c>
      <c r="D323" t="n">
        <v>19693.55483870968</v>
      </c>
      <c r="E323" t="n">
        <v>192000</v>
      </c>
      <c r="F323" t="n">
        <v>9.749382555484832</v>
      </c>
      <c r="G323" t="b">
        <v>1</v>
      </c>
      <c r="I323" t="n">
        <v>8.016499358976555</v>
      </c>
      <c r="J323" t="inlineStr">
        <is>
          <t>trailing 12 calibrated months (Jul/23-Jun/24)</t>
        </is>
      </c>
      <c r="K323" t="n">
        <v>157873.3697404857</v>
      </c>
      <c r="L323" t="n">
        <v>192000</v>
      </c>
      <c r="M323" t="inlineStr">
        <is>
          <t>published</t>
        </is>
      </c>
      <c r="N323" t="n">
        <v>36374</v>
      </c>
      <c r="O323" t="n">
        <v>5.278495628745808</v>
      </c>
      <c r="P323" t="n">
        <v>0.1864084895804696</v>
      </c>
    </row>
    <row r="324">
      <c r="A324" t="inlineStr">
        <is>
          <t>Colombia</t>
        </is>
      </c>
      <c r="B324" t="inlineStr">
        <is>
          <t>CO</t>
        </is>
      </c>
      <c r="C324" s="4" t="n">
        <v>45505</v>
      </c>
      <c r="D324" t="n">
        <v>25863.61290322581</v>
      </c>
      <c r="E324" t="n">
        <v>234000</v>
      </c>
      <c r="F324" t="n">
        <v>9.047459876373832</v>
      </c>
      <c r="G324" t="b">
        <v>1</v>
      </c>
      <c r="I324" t="n">
        <v>8.049995797070698</v>
      </c>
      <c r="J324" t="inlineStr">
        <is>
          <t>trailing 12 calibrated months (Aug/23-Jul/24)</t>
        </is>
      </c>
      <c r="K324" t="n">
        <v>208201.9751680312</v>
      </c>
      <c r="L324" t="n">
        <v>234000</v>
      </c>
      <c r="M324" t="inlineStr">
        <is>
          <t>published</t>
        </is>
      </c>
      <c r="N324" t="n">
        <v>36374</v>
      </c>
      <c r="O324" t="n">
        <v>6.433166547533953</v>
      </c>
      <c r="P324" t="n">
        <v>0.2271853466761973</v>
      </c>
    </row>
    <row r="325">
      <c r="A325" t="inlineStr">
        <is>
          <t>Colombia</t>
        </is>
      </c>
      <c r="B325" t="inlineStr">
        <is>
          <t>CO</t>
        </is>
      </c>
      <c r="C325" s="4" t="n">
        <v>45536</v>
      </c>
      <c r="D325" t="n">
        <v>48110.44333333334</v>
      </c>
      <c r="E325" t="n">
        <v>384000</v>
      </c>
      <c r="F325" t="n">
        <v>7.981635033779567</v>
      </c>
      <c r="G325" t="b">
        <v>1</v>
      </c>
      <c r="I325" t="n">
        <v>8.033686173800605</v>
      </c>
      <c r="J325" t="inlineStr">
        <is>
          <t>trailing 12 calibrated months (Sep/23-Aug/24)</t>
        </is>
      </c>
      <c r="K325" t="n">
        <v>386504.2034224175</v>
      </c>
      <c r="L325" t="n">
        <v>384000</v>
      </c>
      <c r="M325" t="inlineStr">
        <is>
          <t>published</t>
        </is>
      </c>
      <c r="N325" t="n">
        <v>36374</v>
      </c>
      <c r="O325" t="n">
        <v>10.55699125749162</v>
      </c>
      <c r="P325" t="n">
        <v>0.3728169791609391</v>
      </c>
    </row>
    <row r="326">
      <c r="A326" t="inlineStr">
        <is>
          <t>Colombia</t>
        </is>
      </c>
      <c r="B326" t="inlineStr">
        <is>
          <t>CO</t>
        </is>
      </c>
      <c r="C326" s="4" t="n">
        <v>45566</v>
      </c>
      <c r="D326" t="n">
        <v>62728.51612903226</v>
      </c>
      <c r="E326" t="n">
        <v>464000</v>
      </c>
      <c r="F326" t="n">
        <v>7.396954824270897</v>
      </c>
      <c r="G326" t="b">
        <v>1</v>
      </c>
      <c r="I326" t="n">
        <v>8.054683290203311</v>
      </c>
      <c r="J326" t="inlineStr">
        <is>
          <t>trailing 12 calibrated months (Oct/23-Sep/24)</t>
        </is>
      </c>
      <c r="K326" t="n">
        <v>505258.3306837651</v>
      </c>
      <c r="L326" t="n">
        <v>464000</v>
      </c>
      <c r="M326" t="inlineStr">
        <is>
          <t>published</t>
        </is>
      </c>
      <c r="N326" t="n">
        <v>36374</v>
      </c>
      <c r="O326" t="n">
        <v>12.7563644361357</v>
      </c>
      <c r="P326" t="n">
        <v>0.4504871831528014</v>
      </c>
    </row>
    <row r="327">
      <c r="A327" t="inlineStr">
        <is>
          <t>Colombia</t>
        </is>
      </c>
      <c r="B327" t="inlineStr">
        <is>
          <t>CO</t>
        </is>
      </c>
      <c r="C327" s="4" t="n">
        <v>45597</v>
      </c>
      <c r="D327" t="n">
        <v>35791.09666666666</v>
      </c>
      <c r="E327" t="n">
        <v>272000</v>
      </c>
      <c r="F327" t="n">
        <v>7.599655370530232</v>
      </c>
      <c r="G327" t="b">
        <v>1</v>
      </c>
      <c r="I327" t="n">
        <v>8.093458079335136</v>
      </c>
      <c r="J327" t="inlineStr">
        <is>
          <t>trailing 12 calibrated months (Nov/23-Oct/24)</t>
        </is>
      </c>
      <c r="K327" t="n">
        <v>289673.7404850982</v>
      </c>
      <c r="L327" t="n">
        <v>272000</v>
      </c>
      <c r="M327" t="inlineStr">
        <is>
          <t>published</t>
        </is>
      </c>
      <c r="N327" t="n">
        <v>36374</v>
      </c>
      <c r="O327" t="n">
        <v>7.477868807389894</v>
      </c>
      <c r="P327" t="n">
        <v>0.2640786935723319</v>
      </c>
    </row>
    <row r="328">
      <c r="A328" t="inlineStr">
        <is>
          <t>Colombia</t>
        </is>
      </c>
      <c r="B328" t="inlineStr">
        <is>
          <t>CO</t>
        </is>
      </c>
      <c r="C328" s="4" t="n">
        <v>45627</v>
      </c>
      <c r="D328" t="n">
        <v>43560.68709677419</v>
      </c>
      <c r="E328" t="n">
        <v>344000</v>
      </c>
      <c r="F328" t="n">
        <v>7.897028787350655</v>
      </c>
      <c r="G328" t="b">
        <v>1</v>
      </c>
      <c r="I328" t="n">
        <v>8.080338962170048</v>
      </c>
      <c r="J328" t="inlineStr">
        <is>
          <t>trailing 12 calibrated months (Dec/23-Nov/24)</t>
        </is>
      </c>
      <c r="K328" t="n">
        <v>351985.1171669625</v>
      </c>
      <c r="L328" t="n">
        <v>344000</v>
      </c>
      <c r="M328" t="inlineStr">
        <is>
          <t>published</t>
        </is>
      </c>
      <c r="N328" t="n">
        <v>36374</v>
      </c>
      <c r="O328" t="n">
        <v>9.457304668169572</v>
      </c>
      <c r="P328" t="n">
        <v>0.3339818771650079</v>
      </c>
    </row>
    <row r="329">
      <c r="A329" t="inlineStr">
        <is>
          <t>Colombia</t>
        </is>
      </c>
      <c r="B329" t="inlineStr">
        <is>
          <t>CO</t>
        </is>
      </c>
      <c r="C329" s="4" t="n">
        <v>45658</v>
      </c>
      <c r="D329" t="n">
        <v>22129.12580645162</v>
      </c>
      <c r="E329" t="n">
        <v>185000</v>
      </c>
      <c r="F329" t="n">
        <v>8.360022967832935</v>
      </c>
      <c r="G329" t="b">
        <v>1</v>
      </c>
      <c r="I329" t="n">
        <v>8.141062575369416</v>
      </c>
      <c r="J329" t="inlineStr">
        <is>
          <t>trailing 12 calibrated months (Jan/24-Dec/24)</t>
        </is>
      </c>
      <c r="K329" t="n">
        <v>180154.5979285448</v>
      </c>
      <c r="L329" t="n">
        <v>185000</v>
      </c>
      <c r="M329" t="inlineStr">
        <is>
          <t>published</t>
        </is>
      </c>
      <c r="N329" t="n">
        <v>36374</v>
      </c>
      <c r="O329" t="n">
        <v>5.08605047561445</v>
      </c>
      <c r="P329" t="n">
        <v>0.1796123467311816</v>
      </c>
    </row>
    <row r="330">
      <c r="A330" t="inlineStr">
        <is>
          <t>Colombia</t>
        </is>
      </c>
      <c r="B330" t="inlineStr">
        <is>
          <t>CO</t>
        </is>
      </c>
      <c r="C330" s="4" t="n">
        <v>45689</v>
      </c>
      <c r="D330" t="n">
        <v>18129.99642857143</v>
      </c>
      <c r="E330" t="n">
        <v>152000</v>
      </c>
      <c r="F330" t="n">
        <v>8.383895749723377</v>
      </c>
      <c r="G330" t="b">
        <v>1</v>
      </c>
      <c r="I330" t="n">
        <v>8.134183653423248</v>
      </c>
      <c r="J330" t="inlineStr">
        <is>
          <t>trailing 12 calibrated months (Feb/24-Jan/25)</t>
        </is>
      </c>
      <c r="K330" t="n">
        <v>147472.7205859076</v>
      </c>
      <c r="L330" t="n">
        <v>152000</v>
      </c>
      <c r="M330" t="inlineStr">
        <is>
          <t>published</t>
        </is>
      </c>
      <c r="N330" t="n">
        <v>36374</v>
      </c>
      <c r="O330" t="n">
        <v>4.178809039423764</v>
      </c>
      <c r="P330" t="n">
        <v>0.1475733875845384</v>
      </c>
    </row>
    <row r="331">
      <c r="A331" t="inlineStr">
        <is>
          <t>Colombia</t>
        </is>
      </c>
      <c r="B331" t="inlineStr">
        <is>
          <t>CO</t>
        </is>
      </c>
      <c r="C331" s="4" t="n">
        <v>45717</v>
      </c>
      <c r="D331" t="n">
        <v>16702.23225806452</v>
      </c>
      <c r="E331" t="n">
        <v>159000</v>
      </c>
      <c r="F331" t="n">
        <v>9.519685605091999</v>
      </c>
      <c r="G331" t="b">
        <v>1</v>
      </c>
      <c r="I331" t="n">
        <v>8.111367444389167</v>
      </c>
      <c r="J331" t="inlineStr">
        <is>
          <t>trailing 12 calibrated months (Mar/24-Feb/25)</t>
        </is>
      </c>
      <c r="K331" t="n">
        <v>135477.9429866911</v>
      </c>
      <c r="L331" t="n">
        <v>159000</v>
      </c>
      <c r="M331" t="inlineStr">
        <is>
          <t>published</t>
        </is>
      </c>
      <c r="N331" t="n">
        <v>36374</v>
      </c>
      <c r="O331" t="n">
        <v>4.371254192555122</v>
      </c>
      <c r="P331" t="n">
        <v>0.1543695304338263</v>
      </c>
    </row>
    <row r="332">
      <c r="A332" t="inlineStr">
        <is>
          <t>Colombia</t>
        </is>
      </c>
      <c r="B332" t="inlineStr">
        <is>
          <t>CO</t>
        </is>
      </c>
      <c r="C332" s="4" t="n">
        <v>45748</v>
      </c>
      <c r="D332" t="n">
        <v>18925.26333333333</v>
      </c>
      <c r="E332" t="n">
        <v>175000</v>
      </c>
      <c r="F332" t="n">
        <v>9.246899074411823</v>
      </c>
      <c r="G332" t="b">
        <v>1</v>
      </c>
      <c r="I332" t="n">
        <v>8.144954197844138</v>
      </c>
      <c r="J332" t="inlineStr">
        <is>
          <t>trailing 12 calibrated months (Apr/24-Mar/25)</t>
        </is>
      </c>
      <c r="K332" t="n">
        <v>154145.4030321391</v>
      </c>
      <c r="L332" t="n">
        <v>175000</v>
      </c>
      <c r="M332" t="inlineStr">
        <is>
          <t>published</t>
        </is>
      </c>
      <c r="N332" t="n">
        <v>36374</v>
      </c>
      <c r="O332" t="n">
        <v>4.811128828283939</v>
      </c>
      <c r="P332" t="n">
        <v>0.1699035712321988</v>
      </c>
    </row>
    <row r="333">
      <c r="A333" t="inlineStr">
        <is>
          <t>Colombia</t>
        </is>
      </c>
      <c r="B333" t="inlineStr">
        <is>
          <t>CO</t>
        </is>
      </c>
      <c r="C333" s="4" t="n">
        <v>45778</v>
      </c>
      <c r="D333" t="n">
        <v>15713.7064516129</v>
      </c>
      <c r="E333" t="n">
        <v>154000</v>
      </c>
      <c r="F333" t="n">
        <v>9.800361262583788</v>
      </c>
      <c r="G333" t="b">
        <v>1</v>
      </c>
      <c r="I333" t="n">
        <v>8.396835332516458</v>
      </c>
      <c r="J333" t="inlineStr">
        <is>
          <t>trailing 12 calibrated months (May/24-Apr/25)</t>
        </is>
      </c>
      <c r="K333" t="n">
        <v>131945.405537695</v>
      </c>
      <c r="L333" t="n">
        <v>154000</v>
      </c>
      <c r="M333" t="inlineStr">
        <is>
          <t>published</t>
        </is>
      </c>
      <c r="N333" t="n">
        <v>36374</v>
      </c>
      <c r="O333" t="n">
        <v>4.233793368889867</v>
      </c>
      <c r="P333" t="n">
        <v>0.149515142684335</v>
      </c>
    </row>
    <row r="334">
      <c r="A334" t="inlineStr">
        <is>
          <t>Colombia</t>
        </is>
      </c>
      <c r="B334" t="inlineStr">
        <is>
          <t>CO</t>
        </is>
      </c>
      <c r="C334" s="4" t="n">
        <v>45809</v>
      </c>
      <c r="D334" t="n">
        <v>17597.67666666667</v>
      </c>
      <c r="E334" t="n">
        <v>170000</v>
      </c>
      <c r="F334" t="n">
        <v>9.660366150607379</v>
      </c>
      <c r="G334" t="b">
        <v>1</v>
      </c>
      <c r="I334" t="n">
        <v>8.385303495747099</v>
      </c>
      <c r="J334" t="inlineStr">
        <is>
          <t>trailing 12 calibrated months (Jun/24-May/25)</t>
        </is>
      </c>
      <c r="K334" t="n">
        <v>147561.8596700272</v>
      </c>
      <c r="L334" t="n">
        <v>170000</v>
      </c>
      <c r="M334" t="inlineStr">
        <is>
          <t>published</t>
        </is>
      </c>
      <c r="N334" t="n">
        <v>36374</v>
      </c>
      <c r="O334" t="n">
        <v>4.673668004618683</v>
      </c>
      <c r="P334" t="n">
        <v>0.1650491834827074</v>
      </c>
    </row>
    <row r="335">
      <c r="A335" t="inlineStr">
        <is>
          <t>Colombia</t>
        </is>
      </c>
      <c r="B335" t="inlineStr">
        <is>
          <t>CO</t>
        </is>
      </c>
      <c r="C335" s="4" t="n">
        <v>45839</v>
      </c>
      <c r="D335" t="n">
        <v>20025.98709677419</v>
      </c>
      <c r="E335" t="n">
        <v>190000</v>
      </c>
      <c r="F335" t="n">
        <v>9.487672147287332</v>
      </c>
      <c r="G335" t="b">
        <v>1</v>
      </c>
      <c r="I335" t="n">
        <v>8.363630065957414</v>
      </c>
      <c r="J335" t="inlineStr">
        <is>
          <t>trailing 12 calibrated months (Jul/24-Jun/25)</t>
        </is>
      </c>
      <c r="K335" t="n">
        <v>167489.9477830559</v>
      </c>
      <c r="L335" t="n">
        <v>190000</v>
      </c>
      <c r="M335" t="inlineStr">
        <is>
          <t>published</t>
        </is>
      </c>
      <c r="N335" t="n">
        <v>36374</v>
      </c>
      <c r="O335" t="n">
        <v>5.223511299279705</v>
      </c>
      <c r="P335" t="n">
        <v>0.184466734480673</v>
      </c>
    </row>
    <row r="336">
      <c r="A336" t="inlineStr">
        <is>
          <t>Colombia</t>
        </is>
      </c>
      <c r="B336" t="inlineStr">
        <is>
          <t>CO</t>
        </is>
      </c>
      <c r="C336" s="4" t="n">
        <v>45870</v>
      </c>
      <c r="D336" t="n">
        <v>17451.77419354839</v>
      </c>
      <c r="E336" t="n">
        <v>169000</v>
      </c>
      <c r="F336" t="n">
        <v>9.683829169785861</v>
      </c>
      <c r="G336" t="b">
        <v>1</v>
      </c>
      <c r="I336" t="n">
        <v>8.349785176727748</v>
      </c>
      <c r="J336" t="inlineStr">
        <is>
          <t>trailing 12 calibrated months (Aug/24-Jul/25)</t>
        </is>
      </c>
      <c r="K336" t="n">
        <v>145718.5654688902</v>
      </c>
      <c r="L336" t="n">
        <v>169000</v>
      </c>
      <c r="M336" t="inlineStr">
        <is>
          <t>published</t>
        </is>
      </c>
      <c r="N336" t="n">
        <v>36374</v>
      </c>
      <c r="O336" t="n">
        <v>4.646175839885633</v>
      </c>
      <c r="P336" t="n">
        <v>0.1640783059328091</v>
      </c>
    </row>
    <row r="337">
      <c r="A337" t="inlineStr">
        <is>
          <t>Colombia</t>
        </is>
      </c>
      <c r="B337" t="inlineStr">
        <is>
          <t>CO</t>
        </is>
      </c>
      <c r="C337" s="4" t="n">
        <v>45901</v>
      </c>
      <c r="D337" t="n">
        <v>20021.25</v>
      </c>
      <c r="E337" t="n">
        <v>187000</v>
      </c>
      <c r="F337" t="n">
        <v>9.340076169070365</v>
      </c>
      <c r="G337" t="b">
        <v>1</v>
      </c>
      <c r="I337" t="n">
        <v>8.365331531388104</v>
      </c>
      <c r="J337" t="inlineStr">
        <is>
          <t>trailing 12 calibrated months (Sep/24-Aug/25)</t>
        </is>
      </c>
      <c r="K337" t="n">
        <v>167484.3939228041</v>
      </c>
      <c r="L337" t="n">
        <v>187000</v>
      </c>
      <c r="M337" t="inlineStr">
        <is>
          <t>published</t>
        </is>
      </c>
      <c r="N337" t="n">
        <v>36374</v>
      </c>
      <c r="O337" t="n">
        <v>5.141034805080552</v>
      </c>
      <c r="P337" t="n">
        <v>0.1815541018309781</v>
      </c>
    </row>
    <row r="338">
      <c r="A338" t="inlineStr">
        <is>
          <t>Colombia</t>
        </is>
      </c>
      <c r="B338" t="inlineStr">
        <is>
          <t>CO</t>
        </is>
      </c>
      <c r="C338" s="4" t="n">
        <v>45931</v>
      </c>
      <c r="D338" t="n">
        <v>16541.57419354839</v>
      </c>
      <c r="E338" t="n">
        <v>158000</v>
      </c>
      <c r="F338" t="n">
        <v>9.55169067655144</v>
      </c>
      <c r="G338" t="b">
        <v>1</v>
      </c>
      <c r="I338" t="n">
        <v>8.488317946487507</v>
      </c>
      <c r="J338" t="inlineStr">
        <is>
          <t>trailing 12 calibrated months (Oct/24-Sep/25)</t>
        </is>
      </c>
      <c r="K338" t="n">
        <v>140410.1410902514</v>
      </c>
      <c r="L338" t="n">
        <v>158000</v>
      </c>
      <c r="M338" t="inlineStr">
        <is>
          <t>published</t>
        </is>
      </c>
      <c r="N338" t="n">
        <v>36374</v>
      </c>
      <c r="O338" t="n">
        <v>4.343762027822071</v>
      </c>
      <c r="P338" t="n">
        <v>0.1533986528839281</v>
      </c>
    </row>
    <row r="339">
      <c r="A339" t="inlineStr">
        <is>
          <t>Colombia</t>
        </is>
      </c>
      <c r="B339" t="inlineStr">
        <is>
          <t>CO</t>
        </is>
      </c>
      <c r="C339" s="4" t="n">
        <v>45962</v>
      </c>
      <c r="D339" t="n">
        <v>18894.79</v>
      </c>
      <c r="E339" t="n">
        <v>168000</v>
      </c>
      <c r="F339" t="n">
        <v>8.891339887873853</v>
      </c>
      <c r="G339" t="b">
        <v>1</v>
      </c>
      <c r="I339" t="n">
        <v>8.816012553343892</v>
      </c>
      <c r="J339" t="inlineStr">
        <is>
          <t>trailing 12 calibrated months (Nov/24-Oct/25)</t>
        </is>
      </c>
      <c r="K339" t="n">
        <v>166576.7058327966</v>
      </c>
      <c r="L339" t="n">
        <v>168000</v>
      </c>
      <c r="M339" t="inlineStr">
        <is>
          <t>published</t>
        </is>
      </c>
      <c r="N339" t="n">
        <v>36374</v>
      </c>
      <c r="O339" t="n">
        <v>4.618683675152582</v>
      </c>
      <c r="P339" t="n">
        <v>0.1631074283829109</v>
      </c>
    </row>
    <row r="340">
      <c r="A340" t="inlineStr">
        <is>
          <t>Colombia</t>
        </is>
      </c>
      <c r="B340" t="inlineStr">
        <is>
          <t>CO</t>
        </is>
      </c>
      <c r="C340" s="4" t="n">
        <v>45992</v>
      </c>
      <c r="D340" t="n">
        <v>14970.08064516129</v>
      </c>
      <c r="E340" t="n">
        <v>134000</v>
      </c>
      <c r="F340" t="n">
        <v>8.951187583836578</v>
      </c>
      <c r="G340" t="b">
        <v>1</v>
      </c>
      <c r="I340" t="n">
        <v>8.998996427815257</v>
      </c>
      <c r="J340" t="inlineStr">
        <is>
          <t>trailing 12 calibrated months (Dec/24-Nov/25)</t>
        </is>
      </c>
      <c r="K340" t="n">
        <v>134715.7022499128</v>
      </c>
      <c r="L340" t="n">
        <v>134000</v>
      </c>
      <c r="M340" t="inlineStr">
        <is>
          <t>published</t>
        </is>
      </c>
      <c r="N340" t="n">
        <v>36374</v>
      </c>
      <c r="O340" t="n">
        <v>3.683950074228845</v>
      </c>
      <c r="P340" t="n">
        <v>0.1300975916863694</v>
      </c>
    </row>
    <row r="341">
      <c r="A341" t="inlineStr">
        <is>
          <t>Colombia</t>
        </is>
      </c>
      <c r="B341" t="inlineStr">
        <is>
          <t>CO</t>
        </is>
      </c>
      <c r="C341" s="4" t="n">
        <v>46023</v>
      </c>
      <c r="D341" t="n">
        <v>13885.98709677419</v>
      </c>
      <c r="E341" t="n">
        <v>144000</v>
      </c>
      <c r="F341" t="n">
        <v>10.37016662887813</v>
      </c>
      <c r="G341" t="b">
        <v>1</v>
      </c>
      <c r="I341" t="n">
        <v>9.216803946702793</v>
      </c>
      <c r="J341" t="inlineStr">
        <is>
          <t>trailing 12 calibrated months (Jan/25-Dec/25)</t>
        </is>
      </c>
      <c r="K341" t="n">
        <v>127984.4206774124</v>
      </c>
      <c r="L341" t="n">
        <v>144000</v>
      </c>
      <c r="M341" t="inlineStr">
        <is>
          <t>published</t>
        </is>
      </c>
      <c r="N341" t="n">
        <v>36374</v>
      </c>
      <c r="O341" t="n">
        <v>3.958871721559356</v>
      </c>
      <c r="P341" t="n">
        <v>0.1398063671853522</v>
      </c>
    </row>
    <row r="342">
      <c r="A342" t="inlineStr">
        <is>
          <t>Colombia</t>
        </is>
      </c>
      <c r="B342" t="inlineStr">
        <is>
          <t>CO</t>
        </is>
      </c>
      <c r="C342" s="4" t="n">
        <v>46054</v>
      </c>
      <c r="D342" t="n">
        <v>14627.97142857143</v>
      </c>
      <c r="E342" t="n">
        <v>163000</v>
      </c>
      <c r="F342" t="n">
        <v>11.14303516355163</v>
      </c>
      <c r="G342" t="b">
        <v>1</v>
      </c>
      <c r="I342" t="n">
        <v>9.384262244509316</v>
      </c>
      <c r="J342" t="inlineStr">
        <is>
          <t>trailing 12 calibrated months (Feb/25-Jan/26)</t>
        </is>
      </c>
      <c r="K342" t="n">
        <v>137272.7199909039</v>
      </c>
      <c r="L342" t="n">
        <v>163000</v>
      </c>
      <c r="M342" t="inlineStr">
        <is>
          <t>published</t>
        </is>
      </c>
      <c r="N342" t="n">
        <v>36374</v>
      </c>
      <c r="O342" t="n">
        <v>4.481222851487326</v>
      </c>
      <c r="P342" t="n">
        <v>0.1582530406334194</v>
      </c>
    </row>
    <row r="343">
      <c r="A343" t="inlineStr">
        <is>
          <t>Colombia</t>
        </is>
      </c>
      <c r="B343" t="inlineStr">
        <is>
          <t>CO</t>
        </is>
      </c>
      <c r="C343" s="4" t="n">
        <v>46082</v>
      </c>
      <c r="D343" t="n">
        <v>15994.0129032258</v>
      </c>
      <c r="E343" t="n">
        <v>146000</v>
      </c>
      <c r="F343" t="n">
        <v>9.128415794297222</v>
      </c>
      <c r="G343" t="b">
        <v>1</v>
      </c>
      <c r="I343" t="n">
        <v>9.597859271774569</v>
      </c>
      <c r="J343" t="inlineStr">
        <is>
          <t>trailing 12 calibrated months (Mar/25-Feb/26)</t>
        </is>
      </c>
      <c r="K343" t="n">
        <v>153508.2850361079</v>
      </c>
      <c r="L343" t="n">
        <v>146000</v>
      </c>
      <c r="M343" t="inlineStr">
        <is>
          <t>published</t>
        </is>
      </c>
      <c r="N343" t="n">
        <v>36374</v>
      </c>
      <c r="O343" t="n">
        <v>4.013856051025458</v>
      </c>
      <c r="P343" t="n">
        <v>0.1417481222851487</v>
      </c>
    </row>
    <row r="344">
      <c r="A344" t="inlineStr">
        <is>
          <t>Colombia</t>
        </is>
      </c>
      <c r="B344" t="inlineStr">
        <is>
          <t>CO</t>
        </is>
      </c>
      <c r="C344" s="4" t="n">
        <v>46113</v>
      </c>
      <c r="D344" t="n">
        <v>16742.58333333333</v>
      </c>
      <c r="E344" t="n">
        <v>165000</v>
      </c>
      <c r="F344" t="n">
        <v>9.855109974068121</v>
      </c>
      <c r="G344" t="b">
        <v>1</v>
      </c>
      <c r="I344" t="n">
        <v>9.567550901114357</v>
      </c>
      <c r="J344" t="inlineStr">
        <is>
          <t>trailing 12 calibrated months (Apr/25-Mar/26)</t>
        </is>
      </c>
      <c r="K344" t="n">
        <v>160185.5182578155</v>
      </c>
      <c r="L344" t="n">
        <v>165000</v>
      </c>
      <c r="M344" t="inlineStr">
        <is>
          <t>published</t>
        </is>
      </c>
      <c r="N344" t="n">
        <v>36374</v>
      </c>
      <c r="O344" t="n">
        <v>4.536207180953428</v>
      </c>
      <c r="P344" t="n">
        <v>0.160194795733216</v>
      </c>
    </row>
    <row r="345">
      <c r="A345" t="inlineStr">
        <is>
          <t>Colombia</t>
        </is>
      </c>
      <c r="B345" t="inlineStr">
        <is>
          <t>CO</t>
        </is>
      </c>
      <c r="C345" s="4" t="n">
        <v>46143</v>
      </c>
      <c r="D345" t="n">
        <v>22861.19677419355</v>
      </c>
      <c r="E345" t="n">
        <v>209000</v>
      </c>
      <c r="F345" t="n">
        <v>9.142128562399929</v>
      </c>
      <c r="G345" t="b">
        <v>1</v>
      </c>
      <c r="I345" t="n">
        <v>9.621302281943356</v>
      </c>
      <c r="J345" t="inlineStr">
        <is>
          <t>trailing 12 calibrated months (May/25-Apr/26)</t>
        </is>
      </c>
      <c r="K345" t="n">
        <v>219954.4846915045</v>
      </c>
      <c r="L345" t="n">
        <v>209000</v>
      </c>
      <c r="M345" t="inlineStr">
        <is>
          <t>published</t>
        </is>
      </c>
      <c r="N345" t="n">
        <v>36374</v>
      </c>
      <c r="O345" t="n">
        <v>5.745862429207675</v>
      </c>
      <c r="P345" t="n">
        <v>0.2029134079287403</v>
      </c>
    </row>
    <row r="346">
      <c r="A346" t="inlineStr">
        <is>
          <t>Colombia</t>
        </is>
      </c>
      <c r="B346" t="inlineStr">
        <is>
          <t>CO</t>
        </is>
      </c>
      <c r="C346" s="4" t="n">
        <v>46174</v>
      </c>
      <c r="D346" t="n">
        <v>23721.81333333333</v>
      </c>
      <c r="E346" t="n">
        <v>219000</v>
      </c>
      <c r="F346" t="n">
        <v>9.232009244936869</v>
      </c>
      <c r="G346" t="b">
        <v>1</v>
      </c>
      <c r="I346" t="n">
        <v>9.555619136422926</v>
      </c>
      <c r="J346" t="inlineStr">
        <is>
          <t>trailing 12 calibrated months (Jun/25-May/26)</t>
        </is>
      </c>
      <c r="K346" t="n">
        <v>226676.6134386525</v>
      </c>
      <c r="L346" t="n">
        <v>219000</v>
      </c>
      <c r="M346" t="inlineStr">
        <is>
          <t>published</t>
        </is>
      </c>
      <c r="N346" t="n">
        <v>36374</v>
      </c>
      <c r="O346" t="n">
        <v>6.020784076538186</v>
      </c>
      <c r="P346" t="n">
        <v>0.2126221834277231</v>
      </c>
    </row>
    <row r="347">
      <c r="A347" t="inlineStr">
        <is>
          <t>Colombia</t>
        </is>
      </c>
      <c r="B347" t="inlineStr">
        <is>
          <t>CO</t>
        </is>
      </c>
      <c r="C347" s="4" t="n">
        <v>46204</v>
      </c>
      <c r="D347" t="n">
        <v>30456.86451612903</v>
      </c>
      <c r="E347" t="n">
        <v>266000</v>
      </c>
      <c r="F347" t="n">
        <v>8.733663304675847</v>
      </c>
      <c r="G347" t="b">
        <v>1</v>
      </c>
      <c r="I347" t="n">
        <v>9.511492128327635</v>
      </c>
      <c r="J347" t="inlineStr">
        <is>
          <t>trailing 12 calibrated months (Jul/25-Jun/26)</t>
        </is>
      </c>
      <c r="K347" t="n">
        <v>289690.2270987025</v>
      </c>
      <c r="L347" t="n">
        <v>266000</v>
      </c>
      <c r="M347" t="inlineStr">
        <is>
          <t>published</t>
        </is>
      </c>
      <c r="N347" t="n">
        <v>36374</v>
      </c>
      <c r="O347" t="n">
        <v>7.312915818991588</v>
      </c>
      <c r="P347" t="n">
        <v>0.2582534282729422</v>
      </c>
    </row>
    <row r="348">
      <c r="A348" t="inlineStr">
        <is>
          <t>Colombia</t>
        </is>
      </c>
      <c r="B348" t="inlineStr">
        <is>
          <t>CO</t>
        </is>
      </c>
      <c r="C348" s="4" t="n">
        <v>46235</v>
      </c>
      <c r="D348" t="n">
        <v>40394.93870967742</v>
      </c>
      <c r="E348" t="n">
        <v>319000</v>
      </c>
      <c r="F348" t="n">
        <v>7.897028939508631</v>
      </c>
      <c r="G348" t="b">
        <v>1</v>
      </c>
      <c r="I348" t="n">
        <v>9.40885597458599</v>
      </c>
      <c r="J348" t="inlineStr">
        <is>
          <t>trailing 12 calibrated months (Aug/25-Jul/26)</t>
        </is>
      </c>
      <c r="K348" t="n">
        <v>380070.1604215832</v>
      </c>
      <c r="L348" t="n">
        <v>319000</v>
      </c>
      <c r="M348" t="inlineStr">
        <is>
          <t>published</t>
        </is>
      </c>
      <c r="N348" t="n">
        <v>36374</v>
      </c>
      <c r="O348" t="n">
        <v>8.770000549843294</v>
      </c>
      <c r="P348" t="n">
        <v>0.309709938417551</v>
      </c>
    </row>
    <row r="349">
      <c r="A349" t="inlineStr">
        <is>
          <t>Colombia</t>
        </is>
      </c>
      <c r="B349" t="inlineStr">
        <is>
          <t>CO</t>
        </is>
      </c>
      <c r="C349" s="4" t="n">
        <v>46266</v>
      </c>
      <c r="D349" t="n">
        <v>49637.79000000001</v>
      </c>
      <c r="E349" t="n">
        <v>362000</v>
      </c>
      <c r="F349" t="n">
        <v>7.292830724333213</v>
      </c>
      <c r="G349" t="b">
        <v>1</v>
      </c>
      <c r="I349" t="n">
        <v>9.144442178867237</v>
      </c>
      <c r="J349" t="inlineStr">
        <is>
          <t>trailing 12 calibrated months (Sep/25-Aug/26)</t>
        </is>
      </c>
      <c r="K349" t="n">
        <v>453909.9005417544</v>
      </c>
      <c r="L349" t="n">
        <v>362000</v>
      </c>
      <c r="M349" t="inlineStr">
        <is>
          <t>published</t>
        </is>
      </c>
      <c r="N349" t="n">
        <v>36374</v>
      </c>
      <c r="O349" t="n">
        <v>9.95216363336449</v>
      </c>
      <c r="P349" t="n">
        <v>0.3514576730631769</v>
      </c>
    </row>
    <row r="350">
      <c r="A350" t="inlineStr">
        <is>
          <t>Ecuador</t>
        </is>
      </c>
      <c r="B350" t="inlineStr">
        <is>
          <t>EC</t>
        </is>
      </c>
      <c r="C350" s="4" t="n">
        <v>44197</v>
      </c>
      <c r="E350" t="n">
        <v>23316</v>
      </c>
      <c r="G350" t="b">
        <v>0</v>
      </c>
      <c r="I350" t="n">
        <v>7.5</v>
      </c>
      <c r="J350" t="inlineStr">
        <is>
          <t>ASSUMPTION: flat 7.5 MMBtu/MWh</t>
        </is>
      </c>
      <c r="L350" t="n">
        <v>23316</v>
      </c>
      <c r="M350" t="inlineStr">
        <is>
          <t>published</t>
        </is>
      </c>
      <c r="N350" t="n">
        <v>36374</v>
      </c>
      <c r="O350" t="n">
        <v>0.641007312915819</v>
      </c>
      <c r="P350" t="n">
        <v>0.02263698095342827</v>
      </c>
    </row>
    <row r="351">
      <c r="A351" t="inlineStr">
        <is>
          <t>Ecuador</t>
        </is>
      </c>
      <c r="B351" t="inlineStr">
        <is>
          <t>EC</t>
        </is>
      </c>
      <c r="C351" s="4" t="n">
        <v>44228</v>
      </c>
      <c r="E351" t="n">
        <v>21764</v>
      </c>
      <c r="G351" t="b">
        <v>0</v>
      </c>
      <c r="I351" t="n">
        <v>7.5</v>
      </c>
      <c r="J351" t="inlineStr">
        <is>
          <t>ASSUMPTION: flat 7.5 MMBtu/MWh</t>
        </is>
      </c>
      <c r="L351" t="n">
        <v>21764</v>
      </c>
      <c r="M351" t="inlineStr">
        <is>
          <t>published</t>
        </is>
      </c>
      <c r="N351" t="n">
        <v>36374</v>
      </c>
      <c r="O351" t="n">
        <v>0.5983394732501237</v>
      </c>
      <c r="P351" t="n">
        <v>0.02113017899598614</v>
      </c>
    </row>
    <row r="352">
      <c r="A352" t="inlineStr">
        <is>
          <t>Ecuador</t>
        </is>
      </c>
      <c r="B352" t="inlineStr">
        <is>
          <t>EC</t>
        </is>
      </c>
      <c r="C352" s="4" t="n">
        <v>44256</v>
      </c>
      <c r="E352" t="n">
        <v>22610</v>
      </c>
      <c r="G352" t="b">
        <v>0</v>
      </c>
      <c r="I352" t="n">
        <v>7.5</v>
      </c>
      <c r="J352" t="inlineStr">
        <is>
          <t>ASSUMPTION: flat 7.5 MMBtu/MWh</t>
        </is>
      </c>
      <c r="L352" t="n">
        <v>22610</v>
      </c>
      <c r="M352" t="inlineStr">
        <is>
          <t>published</t>
        </is>
      </c>
      <c r="N352" t="n">
        <v>36374</v>
      </c>
      <c r="O352" t="n">
        <v>0.6215978446142849</v>
      </c>
      <c r="P352" t="n">
        <v>0.02195154140320009</v>
      </c>
    </row>
    <row r="353">
      <c r="A353" t="inlineStr">
        <is>
          <t>Ecuador</t>
        </is>
      </c>
      <c r="B353" t="inlineStr">
        <is>
          <t>EC</t>
        </is>
      </c>
      <c r="C353" s="4" t="n">
        <v>44287</v>
      </c>
      <c r="E353" t="n">
        <v>20480</v>
      </c>
      <c r="G353" t="b">
        <v>0</v>
      </c>
      <c r="I353" t="n">
        <v>7.5</v>
      </c>
      <c r="J353" t="inlineStr">
        <is>
          <t>ASSUMPTION: flat 7.5 MMBtu/MWh</t>
        </is>
      </c>
      <c r="L353" t="n">
        <v>20480</v>
      </c>
      <c r="M353" t="inlineStr">
        <is>
          <t>published</t>
        </is>
      </c>
      <c r="N353" t="n">
        <v>36374</v>
      </c>
      <c r="O353" t="n">
        <v>0.5630395337328862</v>
      </c>
      <c r="P353" t="n">
        <v>0.01988357222191675</v>
      </c>
    </row>
    <row r="354">
      <c r="A354" t="inlineStr">
        <is>
          <t>Ecuador</t>
        </is>
      </c>
      <c r="B354" t="inlineStr">
        <is>
          <t>EC</t>
        </is>
      </c>
      <c r="C354" s="4" t="n">
        <v>44317</v>
      </c>
      <c r="E354" t="n">
        <v>19232</v>
      </c>
      <c r="G354" t="b">
        <v>0</v>
      </c>
      <c r="I354" t="n">
        <v>7.5</v>
      </c>
      <c r="J354" t="inlineStr">
        <is>
          <t>ASSUMPTION: flat 7.5 MMBtu/MWh</t>
        </is>
      </c>
      <c r="L354" t="n">
        <v>19232</v>
      </c>
      <c r="M354" t="inlineStr">
        <is>
          <t>published</t>
        </is>
      </c>
      <c r="N354" t="n">
        <v>36374</v>
      </c>
      <c r="O354" t="n">
        <v>0.5287293121460384</v>
      </c>
      <c r="P354" t="n">
        <v>0.0186719170396437</v>
      </c>
    </row>
    <row r="355">
      <c r="A355" t="inlineStr">
        <is>
          <t>Ecuador</t>
        </is>
      </c>
      <c r="B355" t="inlineStr">
        <is>
          <t>EC</t>
        </is>
      </c>
      <c r="C355" s="4" t="n">
        <v>44348</v>
      </c>
      <c r="E355" t="n">
        <v>19965</v>
      </c>
      <c r="G355" t="b">
        <v>0</v>
      </c>
      <c r="I355" t="n">
        <v>7.5</v>
      </c>
      <c r="J355" t="inlineStr">
        <is>
          <t>ASSUMPTION: flat 7.5 MMBtu/MWh</t>
        </is>
      </c>
      <c r="L355" t="n">
        <v>19965</v>
      </c>
      <c r="M355" t="inlineStr">
        <is>
          <t>published</t>
        </is>
      </c>
      <c r="N355" t="n">
        <v>36374</v>
      </c>
      <c r="O355" t="n">
        <v>0.5488810688953648</v>
      </c>
      <c r="P355" t="n">
        <v>0.01938357028371914</v>
      </c>
    </row>
    <row r="356">
      <c r="A356" t="inlineStr">
        <is>
          <t>Ecuador</t>
        </is>
      </c>
      <c r="B356" t="inlineStr">
        <is>
          <t>EC</t>
        </is>
      </c>
      <c r="C356" s="4" t="n">
        <v>44378</v>
      </c>
      <c r="E356" t="n">
        <v>19294</v>
      </c>
      <c r="G356" t="b">
        <v>0</v>
      </c>
      <c r="I356" t="n">
        <v>7.5</v>
      </c>
      <c r="J356" t="inlineStr">
        <is>
          <t>ASSUMPTION: flat 7.5 MMBtu/MWh</t>
        </is>
      </c>
      <c r="L356" t="n">
        <v>19294</v>
      </c>
      <c r="M356" t="inlineStr">
        <is>
          <t>published</t>
        </is>
      </c>
      <c r="N356" t="n">
        <v>36374</v>
      </c>
      <c r="O356" t="n">
        <v>0.5304338263594875</v>
      </c>
      <c r="P356" t="n">
        <v>0.01873211144773739</v>
      </c>
    </row>
    <row r="357">
      <c r="A357" t="inlineStr">
        <is>
          <t>Ecuador</t>
        </is>
      </c>
      <c r="B357" t="inlineStr">
        <is>
          <t>EC</t>
        </is>
      </c>
      <c r="C357" s="4" t="n">
        <v>44409</v>
      </c>
      <c r="E357" t="n">
        <v>18431</v>
      </c>
      <c r="G357" t="b">
        <v>0</v>
      </c>
      <c r="I357" t="n">
        <v>7.5</v>
      </c>
      <c r="J357" t="inlineStr">
        <is>
          <t>ASSUMPTION: flat 7.5 MMBtu/MWh</t>
        </is>
      </c>
      <c r="L357" t="n">
        <v>18431</v>
      </c>
      <c r="M357" t="inlineStr">
        <is>
          <t>published</t>
        </is>
      </c>
      <c r="N357" t="n">
        <v>36374</v>
      </c>
      <c r="O357" t="n">
        <v>0.5067080881948645</v>
      </c>
      <c r="P357" t="n">
        <v>0.01789424412217518</v>
      </c>
    </row>
    <row r="358">
      <c r="A358" t="inlineStr">
        <is>
          <t>Ecuador</t>
        </is>
      </c>
      <c r="B358" t="inlineStr">
        <is>
          <t>EC</t>
        </is>
      </c>
      <c r="C358" s="4" t="n">
        <v>44440</v>
      </c>
      <c r="E358" t="n">
        <v>18239</v>
      </c>
      <c r="G358" t="b">
        <v>0</v>
      </c>
      <c r="I358" t="n">
        <v>7.5</v>
      </c>
      <c r="J358" t="inlineStr">
        <is>
          <t>ASSUMPTION: flat 7.5 MMBtu/MWh</t>
        </is>
      </c>
      <c r="L358" t="n">
        <v>18239</v>
      </c>
      <c r="M358" t="inlineStr">
        <is>
          <t>published</t>
        </is>
      </c>
      <c r="N358" t="n">
        <v>36374</v>
      </c>
      <c r="O358" t="n">
        <v>0.5014295925661186</v>
      </c>
      <c r="P358" t="n">
        <v>0.01770783563259471</v>
      </c>
    </row>
    <row r="359">
      <c r="A359" t="inlineStr">
        <is>
          <t>Ecuador</t>
        </is>
      </c>
      <c r="B359" t="inlineStr">
        <is>
          <t>EC</t>
        </is>
      </c>
      <c r="C359" s="4" t="n">
        <v>44470</v>
      </c>
      <c r="E359" t="n">
        <v>18350</v>
      </c>
      <c r="G359" t="b">
        <v>0</v>
      </c>
      <c r="I359" t="n">
        <v>7.5</v>
      </c>
      <c r="J359" t="inlineStr">
        <is>
          <t>ASSUMPTION: flat 7.5 MMBtu/MWh</t>
        </is>
      </c>
      <c r="L359" t="n">
        <v>18350</v>
      </c>
      <c r="M359" t="inlineStr">
        <is>
          <t>published</t>
        </is>
      </c>
      <c r="N359" t="n">
        <v>36374</v>
      </c>
      <c r="O359" t="n">
        <v>0.5044812228514873</v>
      </c>
      <c r="P359" t="n">
        <v>0.01781560304063342</v>
      </c>
    </row>
    <row r="360">
      <c r="A360" t="inlineStr">
        <is>
          <t>Ecuador</t>
        </is>
      </c>
      <c r="B360" t="inlineStr">
        <is>
          <t>EC</t>
        </is>
      </c>
      <c r="C360" s="4" t="n">
        <v>44501</v>
      </c>
      <c r="E360" t="n">
        <v>18126</v>
      </c>
      <c r="G360" t="b">
        <v>0</v>
      </c>
      <c r="I360" t="n">
        <v>7.5</v>
      </c>
      <c r="J360" t="inlineStr">
        <is>
          <t>ASSUMPTION: flat 7.5 MMBtu/MWh</t>
        </is>
      </c>
      <c r="L360" t="n">
        <v>18126</v>
      </c>
      <c r="M360" t="inlineStr">
        <is>
          <t>published</t>
        </is>
      </c>
      <c r="N360" t="n">
        <v>36374</v>
      </c>
      <c r="O360" t="n">
        <v>0.4983229779512839</v>
      </c>
      <c r="P360" t="n">
        <v>0.01759812646945621</v>
      </c>
    </row>
    <row r="361">
      <c r="A361" t="inlineStr">
        <is>
          <t>Ecuador</t>
        </is>
      </c>
      <c r="B361" t="inlineStr">
        <is>
          <t>EC</t>
        </is>
      </c>
      <c r="C361" s="4" t="n">
        <v>44531</v>
      </c>
      <c r="E361" t="n">
        <v>17341</v>
      </c>
      <c r="G361" t="b">
        <v>0</v>
      </c>
      <c r="I361" t="n">
        <v>7.5</v>
      </c>
      <c r="J361" t="inlineStr">
        <is>
          <t>ASSUMPTION: flat 7.5 MMBtu/MWh</t>
        </is>
      </c>
      <c r="L361" t="n">
        <v>17341</v>
      </c>
      <c r="M361" t="inlineStr">
        <is>
          <t>published</t>
        </is>
      </c>
      <c r="N361" t="n">
        <v>36374</v>
      </c>
      <c r="O361" t="n">
        <v>0.4767416286358388</v>
      </c>
      <c r="P361" t="n">
        <v>0.01683598759278606</v>
      </c>
    </row>
    <row r="362">
      <c r="A362" t="inlineStr">
        <is>
          <t>Ecuador</t>
        </is>
      </c>
      <c r="B362" t="inlineStr">
        <is>
          <t>EC</t>
        </is>
      </c>
      <c r="C362" s="4" t="n">
        <v>44562</v>
      </c>
      <c r="E362" t="n">
        <v>19207</v>
      </c>
      <c r="G362" t="b">
        <v>0</v>
      </c>
      <c r="I362" t="n">
        <v>7.5</v>
      </c>
      <c r="J362" t="inlineStr">
        <is>
          <t>ASSUMPTION: flat 7.5 MMBtu/MWh</t>
        </is>
      </c>
      <c r="L362" t="n">
        <v>19207</v>
      </c>
      <c r="M362" t="inlineStr">
        <is>
          <t>published</t>
        </is>
      </c>
      <c r="N362" t="n">
        <v>36374</v>
      </c>
      <c r="O362" t="n">
        <v>0.5280420080277121</v>
      </c>
      <c r="P362" t="n">
        <v>0.01864764510089624</v>
      </c>
    </row>
    <row r="363">
      <c r="A363" t="inlineStr">
        <is>
          <t>Ecuador</t>
        </is>
      </c>
      <c r="B363" t="inlineStr">
        <is>
          <t>EC</t>
        </is>
      </c>
      <c r="C363" s="4" t="n">
        <v>45292</v>
      </c>
      <c r="E363" t="n">
        <v>14904</v>
      </c>
      <c r="G363" t="b">
        <v>0</v>
      </c>
      <c r="I363" t="n">
        <v>7.5</v>
      </c>
      <c r="J363" t="inlineStr">
        <is>
          <t>ASSUMPTION: flat 7.5 MMBtu/MWh</t>
        </is>
      </c>
      <c r="L363" t="n">
        <v>14904</v>
      </c>
      <c r="M363" t="inlineStr">
        <is>
          <t>published</t>
        </is>
      </c>
      <c r="N363" t="n">
        <v>36374</v>
      </c>
      <c r="O363" t="n">
        <v>0.4097432231813933</v>
      </c>
      <c r="P363" t="n">
        <v>0.01446995900368395</v>
      </c>
    </row>
    <row r="364">
      <c r="A364" t="inlineStr">
        <is>
          <t>Ecuador</t>
        </is>
      </c>
      <c r="B364" t="inlineStr">
        <is>
          <t>EC</t>
        </is>
      </c>
      <c r="C364" s="4" t="n">
        <v>45323</v>
      </c>
      <c r="E364" t="n">
        <v>15610</v>
      </c>
      <c r="G364" t="b">
        <v>0</v>
      </c>
      <c r="I364" t="n">
        <v>7.5</v>
      </c>
      <c r="J364" t="inlineStr">
        <is>
          <t>ASSUMPTION: flat 7.5 MMBtu/MWh</t>
        </is>
      </c>
      <c r="L364" t="n">
        <v>15610</v>
      </c>
      <c r="M364" t="inlineStr">
        <is>
          <t>published</t>
        </is>
      </c>
      <c r="N364" t="n">
        <v>36374</v>
      </c>
      <c r="O364" t="n">
        <v>0.4291526914829273</v>
      </c>
      <c r="P364" t="n">
        <v>0.01515539855391213</v>
      </c>
    </row>
    <row r="365">
      <c r="A365" t="inlineStr">
        <is>
          <t>Ecuador</t>
        </is>
      </c>
      <c r="B365" t="inlineStr">
        <is>
          <t>EC</t>
        </is>
      </c>
      <c r="C365" s="4" t="n">
        <v>45352</v>
      </c>
      <c r="E365" t="n">
        <v>14572</v>
      </c>
      <c r="G365" t="b">
        <v>0</v>
      </c>
      <c r="I365" t="n">
        <v>7.5</v>
      </c>
      <c r="J365" t="inlineStr">
        <is>
          <t>ASSUMPTION: flat 7.5 MMBtu/MWh</t>
        </is>
      </c>
      <c r="L365" t="n">
        <v>14572</v>
      </c>
      <c r="M365" t="inlineStr">
        <is>
          <t>published</t>
        </is>
      </c>
      <c r="N365" t="n">
        <v>36374</v>
      </c>
      <c r="O365" t="n">
        <v>0.4006158244900204</v>
      </c>
      <c r="P365" t="n">
        <v>0.01414762765711772</v>
      </c>
    </row>
    <row r="366">
      <c r="A366" t="inlineStr">
        <is>
          <t>Ecuador</t>
        </is>
      </c>
      <c r="B366" t="inlineStr">
        <is>
          <t>EC</t>
        </is>
      </c>
      <c r="C366" s="4" t="n">
        <v>45383</v>
      </c>
      <c r="E366" t="n">
        <v>15318</v>
      </c>
      <c r="G366" t="b">
        <v>0</v>
      </c>
      <c r="I366" t="n">
        <v>7.5</v>
      </c>
      <c r="J366" t="inlineStr">
        <is>
          <t>ASSUMPTION: flat 7.5 MMBtu/MWh</t>
        </is>
      </c>
      <c r="L366" t="n">
        <v>15318</v>
      </c>
      <c r="M366" t="inlineStr">
        <is>
          <t>published</t>
        </is>
      </c>
      <c r="N366" t="n">
        <v>36374</v>
      </c>
      <c r="O366" t="n">
        <v>0.4211249793808765</v>
      </c>
      <c r="P366" t="n">
        <v>0.01487190230934184</v>
      </c>
    </row>
    <row r="367">
      <c r="A367" t="inlineStr">
        <is>
          <t>Ecuador</t>
        </is>
      </c>
      <c r="B367" t="inlineStr">
        <is>
          <t>EC</t>
        </is>
      </c>
      <c r="C367" s="4" t="n">
        <v>45413</v>
      </c>
      <c r="E367" t="n">
        <v>14635</v>
      </c>
      <c r="G367" t="b">
        <v>0</v>
      </c>
      <c r="I367" t="n">
        <v>7.5</v>
      </c>
      <c r="J367" t="inlineStr">
        <is>
          <t>ASSUMPTION: flat 7.5 MMBtu/MWh</t>
        </is>
      </c>
      <c r="L367" t="n">
        <v>14635</v>
      </c>
      <c r="M367" t="inlineStr">
        <is>
          <t>published</t>
        </is>
      </c>
      <c r="N367" t="n">
        <v>36374</v>
      </c>
      <c r="O367" t="n">
        <v>0.4023478308682026</v>
      </c>
      <c r="P367" t="n">
        <v>0.01420879294276131</v>
      </c>
    </row>
    <row r="368">
      <c r="A368" t="inlineStr">
        <is>
          <t>Ecuador</t>
        </is>
      </c>
      <c r="B368" t="inlineStr">
        <is>
          <t>EC</t>
        </is>
      </c>
      <c r="C368" s="4" t="n">
        <v>45444</v>
      </c>
      <c r="E368" t="n">
        <v>14502</v>
      </c>
      <c r="G368" t="b">
        <v>0</v>
      </c>
      <c r="I368" t="n">
        <v>7.5</v>
      </c>
      <c r="J368" t="inlineStr">
        <is>
          <t>ASSUMPTION: flat 7.5 MMBtu/MWh</t>
        </is>
      </c>
      <c r="L368" t="n">
        <v>14502</v>
      </c>
      <c r="M368" t="inlineStr">
        <is>
          <t>published</t>
        </is>
      </c>
      <c r="N368" t="n">
        <v>36374</v>
      </c>
      <c r="O368" t="n">
        <v>0.3986913729587068</v>
      </c>
      <c r="P368" t="n">
        <v>0.01407966622862484</v>
      </c>
    </row>
    <row r="369">
      <c r="A369" t="inlineStr">
        <is>
          <t>Ecuador</t>
        </is>
      </c>
      <c r="B369" t="inlineStr">
        <is>
          <t>EC</t>
        </is>
      </c>
      <c r="C369" s="4" t="n">
        <v>45474</v>
      </c>
      <c r="E369" t="n">
        <v>14238</v>
      </c>
      <c r="G369" t="b">
        <v>0</v>
      </c>
      <c r="I369" t="n">
        <v>7.5</v>
      </c>
      <c r="J369" t="inlineStr">
        <is>
          <t>ASSUMPTION: flat 7.5 MMBtu/MWh</t>
        </is>
      </c>
      <c r="L369" t="n">
        <v>14238</v>
      </c>
      <c r="M369" t="inlineStr">
        <is>
          <t>published</t>
        </is>
      </c>
      <c r="N369" t="n">
        <v>36374</v>
      </c>
      <c r="O369" t="n">
        <v>0.3914334414691813</v>
      </c>
      <c r="P369" t="n">
        <v>0.0138233545554517</v>
      </c>
    </row>
    <row r="370">
      <c r="A370" t="inlineStr">
        <is>
          <t>Ecuador</t>
        </is>
      </c>
      <c r="B370" t="inlineStr">
        <is>
          <t>EC</t>
        </is>
      </c>
      <c r="C370" s="4" t="n">
        <v>45505</v>
      </c>
      <c r="E370" t="n">
        <v>13807</v>
      </c>
      <c r="G370" t="b">
        <v>0</v>
      </c>
      <c r="I370" t="n">
        <v>7.5</v>
      </c>
      <c r="J370" t="inlineStr">
        <is>
          <t>ASSUMPTION: flat 7.5 MMBtu/MWh</t>
        </is>
      </c>
      <c r="L370" t="n">
        <v>13807</v>
      </c>
      <c r="M370" t="inlineStr">
        <is>
          <t>published</t>
        </is>
      </c>
      <c r="N370" t="n">
        <v>36374</v>
      </c>
      <c r="O370" t="n">
        <v>0.3795843184692363</v>
      </c>
      <c r="P370" t="n">
        <v>0.01340490633144554</v>
      </c>
    </row>
    <row r="371">
      <c r="A371" t="inlineStr">
        <is>
          <t>Ecuador</t>
        </is>
      </c>
      <c r="B371" t="inlineStr">
        <is>
          <t>EC</t>
        </is>
      </c>
      <c r="C371" s="4" t="n">
        <v>45536</v>
      </c>
      <c r="E371" t="n">
        <v>16802</v>
      </c>
      <c r="G371" t="b">
        <v>0</v>
      </c>
      <c r="I371" t="n">
        <v>7.5</v>
      </c>
      <c r="J371" t="inlineStr">
        <is>
          <t>ASSUMPTION: flat 7.5 MMBtu/MWh</t>
        </is>
      </c>
      <c r="L371" t="n">
        <v>16802</v>
      </c>
      <c r="M371" t="inlineStr">
        <is>
          <t>published</t>
        </is>
      </c>
      <c r="N371" t="n">
        <v>36374</v>
      </c>
      <c r="O371" t="n">
        <v>0.4619233518447243</v>
      </c>
      <c r="P371" t="n">
        <v>0.01631268459339088</v>
      </c>
    </row>
    <row r="372">
      <c r="A372" t="inlineStr">
        <is>
          <t>Ecuador</t>
        </is>
      </c>
      <c r="B372" t="inlineStr">
        <is>
          <t>EC</t>
        </is>
      </c>
      <c r="C372" s="4" t="n">
        <v>45566</v>
      </c>
      <c r="E372" t="n">
        <v>18919</v>
      </c>
      <c r="G372" t="b">
        <v>0</v>
      </c>
      <c r="I372" t="n">
        <v>7.5</v>
      </c>
      <c r="J372" t="inlineStr">
        <is>
          <t>ASSUMPTION: flat 7.5 MMBtu/MWh</t>
        </is>
      </c>
      <c r="L372" t="n">
        <v>18919</v>
      </c>
      <c r="M372" t="inlineStr">
        <is>
          <t>published</t>
        </is>
      </c>
      <c r="N372" t="n">
        <v>36374</v>
      </c>
      <c r="O372" t="n">
        <v>0.5201242645845934</v>
      </c>
      <c r="P372" t="n">
        <v>0.01836803236652554</v>
      </c>
    </row>
    <row r="373">
      <c r="A373" t="inlineStr">
        <is>
          <t>Ecuador</t>
        </is>
      </c>
      <c r="B373" t="inlineStr">
        <is>
          <t>EC</t>
        </is>
      </c>
      <c r="C373" s="4" t="n">
        <v>45597</v>
      </c>
      <c r="E373" t="n">
        <v>18556</v>
      </c>
      <c r="G373" t="b">
        <v>0</v>
      </c>
      <c r="I373" t="n">
        <v>7.5</v>
      </c>
      <c r="J373" t="inlineStr">
        <is>
          <t>ASSUMPTION: flat 7.5 MMBtu/MWh</t>
        </is>
      </c>
      <c r="L373" t="n">
        <v>18556</v>
      </c>
      <c r="M373" t="inlineStr">
        <is>
          <t>published</t>
        </is>
      </c>
      <c r="N373" t="n">
        <v>36374</v>
      </c>
      <c r="O373" t="n">
        <v>0.5101446087864958</v>
      </c>
      <c r="P373" t="n">
        <v>0.01801560381591246</v>
      </c>
    </row>
    <row r="374">
      <c r="A374" t="inlineStr">
        <is>
          <t>Ecuador</t>
        </is>
      </c>
      <c r="B374" t="inlineStr">
        <is>
          <t>EC</t>
        </is>
      </c>
      <c r="C374" s="4" t="n">
        <v>45627</v>
      </c>
      <c r="E374" t="n">
        <v>17498</v>
      </c>
      <c r="G374" t="b">
        <v>0</v>
      </c>
      <c r="I374" t="n">
        <v>7.5</v>
      </c>
      <c r="J374" t="inlineStr">
        <is>
          <t>ASSUMPTION: flat 7.5 MMBtu/MWh</t>
        </is>
      </c>
      <c r="L374" t="n">
        <v>17498</v>
      </c>
      <c r="M374" t="inlineStr">
        <is>
          <t>published</t>
        </is>
      </c>
      <c r="N374" t="n">
        <v>36374</v>
      </c>
      <c r="O374" t="n">
        <v>0.4810578984989278</v>
      </c>
      <c r="P374" t="n">
        <v>0.01698841536812009</v>
      </c>
    </row>
    <row r="375">
      <c r="A375" t="inlineStr">
        <is>
          <t>Ecuador</t>
        </is>
      </c>
      <c r="B375" t="inlineStr">
        <is>
          <t>EC</t>
        </is>
      </c>
      <c r="C375" s="4" t="n">
        <v>46023</v>
      </c>
      <c r="E375" t="n">
        <v>17760</v>
      </c>
      <c r="G375" t="b">
        <v>0</v>
      </c>
      <c r="I375" t="n">
        <v>7.5</v>
      </c>
      <c r="J375" t="inlineStr">
        <is>
          <t>ASSUMPTION: flat 7.5 MMBtu/MWh</t>
        </is>
      </c>
      <c r="L375" t="n">
        <v>17760</v>
      </c>
      <c r="M375" t="inlineStr">
        <is>
          <t>published</t>
        </is>
      </c>
      <c r="N375" t="n">
        <v>36374</v>
      </c>
      <c r="O375" t="n">
        <v>0.4882608456589872</v>
      </c>
      <c r="P375" t="n">
        <v>0.01724278528619343</v>
      </c>
    </row>
    <row r="376">
      <c r="A376" t="inlineStr">
        <is>
          <t>Ecuador</t>
        </is>
      </c>
      <c r="B376" t="inlineStr">
        <is>
          <t>EC</t>
        </is>
      </c>
      <c r="C376" s="4" t="n">
        <v>46054</v>
      </c>
      <c r="E376" t="n">
        <v>17426</v>
      </c>
      <c r="G376" t="b">
        <v>0</v>
      </c>
      <c r="I376" t="n">
        <v>7.5</v>
      </c>
      <c r="J376" t="inlineStr">
        <is>
          <t>ASSUMPTION: flat 7.5 MMBtu/MWh</t>
        </is>
      </c>
      <c r="L376" t="n">
        <v>17426</v>
      </c>
      <c r="M376" t="inlineStr">
        <is>
          <t>published</t>
        </is>
      </c>
      <c r="N376" t="n">
        <v>36374</v>
      </c>
      <c r="O376" t="n">
        <v>0.4790784626381481</v>
      </c>
      <c r="P376" t="n">
        <v>0.01691851218452741</v>
      </c>
    </row>
    <row r="377">
      <c r="A377" t="inlineStr">
        <is>
          <t>Ecuador</t>
        </is>
      </c>
      <c r="B377" t="inlineStr">
        <is>
          <t>EC</t>
        </is>
      </c>
      <c r="C377" s="4" t="n">
        <v>46082</v>
      </c>
      <c r="E377" t="n">
        <v>19257</v>
      </c>
      <c r="G377" t="b">
        <v>0</v>
      </c>
      <c r="I377" t="n">
        <v>7.5</v>
      </c>
      <c r="J377" t="inlineStr">
        <is>
          <t>ASSUMPTION: flat 7.5 MMBtu/MWh</t>
        </is>
      </c>
      <c r="L377" t="n">
        <v>19257</v>
      </c>
      <c r="M377" t="inlineStr">
        <is>
          <t>published</t>
        </is>
      </c>
      <c r="N377" t="n">
        <v>36374</v>
      </c>
      <c r="O377" t="n">
        <v>0.5294166162643646</v>
      </c>
      <c r="P377" t="n">
        <v>0.01869618897839116</v>
      </c>
    </row>
    <row r="378">
      <c r="A378" t="inlineStr">
        <is>
          <t>Peru</t>
        </is>
      </c>
      <c r="B378" t="inlineStr">
        <is>
          <t>PE</t>
        </is>
      </c>
      <c r="C378" s="4" t="n">
        <v>44197</v>
      </c>
      <c r="D378" t="n">
        <v>31467.09032258065</v>
      </c>
      <c r="E378" t="n">
        <v>285016.365</v>
      </c>
      <c r="F378" t="n">
        <v>9.057601515684896</v>
      </c>
      <c r="G378" t="b">
        <v>1</v>
      </c>
      <c r="I378" t="n">
        <v>7.925309538105909</v>
      </c>
      <c r="J378" t="inlineStr">
        <is>
          <t>first 12 calibrated months (Jan/21-Dec/21)</t>
        </is>
      </c>
      <c r="K378" t="n">
        <v>249386.4310699885</v>
      </c>
      <c r="L378" t="n">
        <v>285016.365</v>
      </c>
      <c r="M378" t="inlineStr">
        <is>
          <t>published</t>
        </is>
      </c>
      <c r="N378" t="n">
        <v>37610</v>
      </c>
      <c r="O378" t="n">
        <v>7.578206992821058</v>
      </c>
      <c r="P378" t="n">
        <v>0.2676221064893778</v>
      </c>
    </row>
    <row r="379">
      <c r="A379" t="inlineStr">
        <is>
          <t>Peru</t>
        </is>
      </c>
      <c r="B379" t="inlineStr">
        <is>
          <t>PE</t>
        </is>
      </c>
      <c r="C379" s="4" t="n">
        <v>44228</v>
      </c>
      <c r="D379" t="n">
        <v>37384.79285714286</v>
      </c>
      <c r="E379" t="n">
        <v>305587.905</v>
      </c>
      <c r="F379" t="n">
        <v>8.174123263641768</v>
      </c>
      <c r="G379" t="b">
        <v>1</v>
      </c>
      <c r="I379" t="n">
        <v>7.925309538105909</v>
      </c>
      <c r="J379" t="inlineStr">
        <is>
          <t>first 12 calibrated months (Jan/21-Dec/21)</t>
        </is>
      </c>
      <c r="K379" t="n">
        <v>296286.0554108279</v>
      </c>
      <c r="L379" t="n">
        <v>305587.905</v>
      </c>
      <c r="M379" t="inlineStr">
        <is>
          <t>published</t>
        </is>
      </c>
      <c r="N379" t="n">
        <v>37610</v>
      </c>
      <c r="O379" t="n">
        <v>8.125176947620314</v>
      </c>
      <c r="P379" t="n">
        <v>0.2869381863521271</v>
      </c>
    </row>
    <row r="380">
      <c r="A380" t="inlineStr">
        <is>
          <t>Peru</t>
        </is>
      </c>
      <c r="B380" t="inlineStr">
        <is>
          <t>PE</t>
        </is>
      </c>
      <c r="C380" s="4" t="n">
        <v>44256</v>
      </c>
      <c r="D380" t="n">
        <v>40197.3258064516</v>
      </c>
      <c r="E380" t="n">
        <v>348852.465</v>
      </c>
      <c r="F380" t="n">
        <v>8.678499328032656</v>
      </c>
      <c r="G380" t="b">
        <v>1</v>
      </c>
      <c r="I380" t="n">
        <v>7.925309538105909</v>
      </c>
      <c r="J380" t="inlineStr">
        <is>
          <t>first 12 calibrated months (Jan/21-Dec/21)</t>
        </is>
      </c>
      <c r="K380" t="n">
        <v>318576.2496202217</v>
      </c>
      <c r="L380" t="n">
        <v>348852.465</v>
      </c>
      <c r="M380" t="inlineStr">
        <is>
          <t>published</t>
        </is>
      </c>
      <c r="N380" t="n">
        <v>37610</v>
      </c>
      <c r="O380" t="n">
        <v>9.275524195692634</v>
      </c>
      <c r="P380" t="n">
        <v>0.3275623543136267</v>
      </c>
    </row>
    <row r="381">
      <c r="A381" t="inlineStr">
        <is>
          <t>Peru</t>
        </is>
      </c>
      <c r="B381" t="inlineStr">
        <is>
          <t>PE</t>
        </is>
      </c>
      <c r="C381" s="4" t="n">
        <v>44287</v>
      </c>
      <c r="D381" t="n">
        <v>31238.95333333333</v>
      </c>
      <c r="E381" t="n">
        <v>298496.07</v>
      </c>
      <c r="F381" t="n">
        <v>9.555251957865426</v>
      </c>
      <c r="G381" t="b">
        <v>1</v>
      </c>
      <c r="I381" t="n">
        <v>7.925309538105909</v>
      </c>
      <c r="J381" t="inlineStr">
        <is>
          <t>first 12 calibrated months (Jan/21-Dec/21)</t>
        </is>
      </c>
      <c r="K381" t="n">
        <v>247578.374813112</v>
      </c>
      <c r="L381" t="n">
        <v>298496.07</v>
      </c>
      <c r="M381" t="inlineStr">
        <is>
          <t>published</t>
        </is>
      </c>
      <c r="N381" t="n">
        <v>37610</v>
      </c>
      <c r="O381" t="n">
        <v>7.936614464238235</v>
      </c>
      <c r="P381" t="n">
        <v>0.280279158820234</v>
      </c>
    </row>
    <row r="382">
      <c r="A382" t="inlineStr">
        <is>
          <t>Peru</t>
        </is>
      </c>
      <c r="B382" t="inlineStr">
        <is>
          <t>PE</t>
        </is>
      </c>
      <c r="C382" s="4" t="n">
        <v>44317</v>
      </c>
      <c r="D382" t="n">
        <v>54291.69677419354</v>
      </c>
      <c r="E382" t="n">
        <v>429414.39</v>
      </c>
      <c r="F382" t="n">
        <v>7.90939343424819</v>
      </c>
      <c r="G382" t="b">
        <v>1</v>
      </c>
      <c r="I382" t="n">
        <v>7.925309538105909</v>
      </c>
      <c r="J382" t="inlineStr">
        <is>
          <t>first 12 calibrated months (Jan/21-Dec/21)</t>
        </is>
      </c>
      <c r="K382" t="n">
        <v>430278.5022844698</v>
      </c>
      <c r="L382" t="n">
        <v>429414.39</v>
      </c>
      <c r="M382" t="inlineStr">
        <is>
          <t>published</t>
        </is>
      </c>
      <c r="N382" t="n">
        <v>37610</v>
      </c>
      <c r="O382" t="n">
        <v>11.41755889391119</v>
      </c>
      <c r="P382" t="n">
        <v>0.4032076670708056</v>
      </c>
    </row>
    <row r="383">
      <c r="A383" t="inlineStr">
        <is>
          <t>Peru</t>
        </is>
      </c>
      <c r="B383" t="inlineStr">
        <is>
          <t>PE</t>
        </is>
      </c>
      <c r="C383" s="4" t="n">
        <v>44348</v>
      </c>
      <c r="D383" t="n">
        <v>67846.15333333331</v>
      </c>
      <c r="E383" t="n">
        <v>534184.83</v>
      </c>
      <c r="F383" t="n">
        <v>7.873472610532676</v>
      </c>
      <c r="G383" t="b">
        <v>1</v>
      </c>
      <c r="I383" t="n">
        <v>7.925309538105909</v>
      </c>
      <c r="J383" t="inlineStr">
        <is>
          <t>first 12 calibrated months (Jan/21-Dec/21)</t>
        </is>
      </c>
      <c r="K383" t="n">
        <v>537701.7661364625</v>
      </c>
      <c r="L383" t="n">
        <v>534184.83</v>
      </c>
      <c r="M383" t="inlineStr">
        <is>
          <t>published</t>
        </is>
      </c>
      <c r="N383" t="n">
        <v>37610</v>
      </c>
      <c r="O383" t="n">
        <v>14.20326588673225</v>
      </c>
      <c r="P383" t="n">
        <v>0.5015840738101833</v>
      </c>
    </row>
    <row r="384">
      <c r="A384" t="inlineStr">
        <is>
          <t>Peru</t>
        </is>
      </c>
      <c r="B384" t="inlineStr">
        <is>
          <t>PE</t>
        </is>
      </c>
      <c r="C384" s="4" t="n">
        <v>44378</v>
      </c>
      <c r="D384" t="n">
        <v>70880.36451612905</v>
      </c>
      <c r="E384" t="n">
        <v>531010.0649999999</v>
      </c>
      <c r="F384" t="n">
        <v>7.491638461864385</v>
      </c>
      <c r="G384" t="b">
        <v>1</v>
      </c>
      <c r="I384" t="n">
        <v>8.389229423710873</v>
      </c>
      <c r="J384" t="inlineStr">
        <is>
          <t>trailing 6 calibrated months (Jan/21-Jun/21)</t>
        </is>
      </c>
      <c r="K384" t="n">
        <v>594631.6395620619</v>
      </c>
      <c r="L384" t="n">
        <v>531010.0649999999</v>
      </c>
      <c r="M384" t="inlineStr">
        <is>
          <t>published</t>
        </is>
      </c>
      <c r="N384" t="n">
        <v>37610</v>
      </c>
      <c r="O384" t="n">
        <v>14.11885309758043</v>
      </c>
      <c r="P384" t="n">
        <v>0.4986030614851235</v>
      </c>
    </row>
    <row r="385">
      <c r="A385" t="inlineStr">
        <is>
          <t>Peru</t>
        </is>
      </c>
      <c r="B385" t="inlineStr">
        <is>
          <t>PE</t>
        </is>
      </c>
      <c r="C385" s="4" t="n">
        <v>44409</v>
      </c>
      <c r="D385" t="n">
        <v>76213.37096774194</v>
      </c>
      <c r="E385" t="n">
        <v>587408.2050000001</v>
      </c>
      <c r="F385" t="n">
        <v>7.70741665853655</v>
      </c>
      <c r="G385" t="b">
        <v>1</v>
      </c>
      <c r="I385" t="n">
        <v>8.198349263704481</v>
      </c>
      <c r="J385" t="inlineStr">
        <is>
          <t>trailing 7 calibrated months (Jan/21-Jul/21)</t>
        </is>
      </c>
      <c r="K385" t="n">
        <v>624823.8337578236</v>
      </c>
      <c r="L385" t="n">
        <v>587408.2050000001</v>
      </c>
      <c r="M385" t="inlineStr">
        <is>
          <t>published</t>
        </is>
      </c>
      <c r="N385" t="n">
        <v>37610</v>
      </c>
      <c r="O385" t="n">
        <v>15.61840481254985</v>
      </c>
      <c r="P385" t="n">
        <v>0.5515592804337544</v>
      </c>
    </row>
    <row r="386">
      <c r="A386" t="inlineStr">
        <is>
          <t>Peru</t>
        </is>
      </c>
      <c r="B386" t="inlineStr">
        <is>
          <t>PE</t>
        </is>
      </c>
      <c r="C386" s="4" t="n">
        <v>44440</v>
      </c>
      <c r="D386" t="n">
        <v>78981.52333333335</v>
      </c>
      <c r="E386" t="n">
        <v>596401.0649999999</v>
      </c>
      <c r="F386" t="n">
        <v>7.551146645816782</v>
      </c>
      <c r="G386" t="b">
        <v>1</v>
      </c>
      <c r="I386" t="n">
        <v>8.106984612918549</v>
      </c>
      <c r="J386" t="inlineStr">
        <is>
          <t>trailing 8 calibrated months (Jan/21-Aug/21)</t>
        </is>
      </c>
      <c r="K386" t="n">
        <v>640301.9943682008</v>
      </c>
      <c r="L386" t="n">
        <v>596401.0649999999</v>
      </c>
      <c r="M386" t="inlineStr">
        <is>
          <t>published</t>
        </is>
      </c>
      <c r="N386" t="n">
        <v>37610</v>
      </c>
      <c r="O386" t="n">
        <v>15.85751302844988</v>
      </c>
      <c r="P386" t="n">
        <v>0.5600033153457988</v>
      </c>
    </row>
    <row r="387">
      <c r="A387" t="inlineStr">
        <is>
          <t>Peru</t>
        </is>
      </c>
      <c r="B387" t="inlineStr">
        <is>
          <t>PE</t>
        </is>
      </c>
      <c r="C387" s="4" t="n">
        <v>44470</v>
      </c>
      <c r="D387" t="n">
        <v>66600.09032258065</v>
      </c>
      <c r="E387" t="n">
        <v>497086.62</v>
      </c>
      <c r="F387" t="n">
        <v>7.463752940759354</v>
      </c>
      <c r="G387" t="b">
        <v>1</v>
      </c>
      <c r="I387" t="n">
        <v>8.01711600468262</v>
      </c>
      <c r="J387" t="inlineStr">
        <is>
          <t>trailing 9 calibrated months (Jan/21-Sep/21)</t>
        </is>
      </c>
      <c r="K387" t="n">
        <v>533940.6500384695</v>
      </c>
      <c r="L387" t="n">
        <v>497086.62</v>
      </c>
      <c r="M387" t="inlineStr">
        <is>
          <t>published</t>
        </is>
      </c>
      <c r="N387" t="n">
        <v>37610</v>
      </c>
      <c r="O387" t="n">
        <v>13.21687370380218</v>
      </c>
      <c r="P387" t="n">
        <v>0.4667499297876628</v>
      </c>
    </row>
    <row r="388">
      <c r="A388" t="inlineStr">
        <is>
          <t>Peru</t>
        </is>
      </c>
      <c r="B388" t="inlineStr">
        <is>
          <t>PE</t>
        </is>
      </c>
      <c r="C388" s="4" t="n">
        <v>44501</v>
      </c>
      <c r="D388" t="n">
        <v>62178.69666666667</v>
      </c>
      <c r="E388" t="n">
        <v>474938.88</v>
      </c>
      <c r="F388" t="n">
        <v>7.638289405551494</v>
      </c>
      <c r="G388" t="b">
        <v>1</v>
      </c>
      <c r="I388" t="n">
        <v>7.950724472270511</v>
      </c>
      <c r="J388" t="inlineStr">
        <is>
          <t>trailing 10 calibrated months (Jan/21-Oct/21)</t>
        </is>
      </c>
      <c r="K388" t="n">
        <v>494365.6852415515</v>
      </c>
      <c r="L388" t="n">
        <v>474938.88</v>
      </c>
      <c r="M388" t="inlineStr">
        <is>
          <t>published</t>
        </is>
      </c>
      <c r="N388" t="n">
        <v>37610</v>
      </c>
      <c r="O388" t="n">
        <v>12.62799468226535</v>
      </c>
      <c r="P388" t="n">
        <v>0.4459538438057963</v>
      </c>
    </row>
    <row r="389">
      <c r="A389" t="inlineStr">
        <is>
          <t>Peru</t>
        </is>
      </c>
      <c r="B389" t="inlineStr">
        <is>
          <t>PE</t>
        </is>
      </c>
      <c r="C389" s="4" t="n">
        <v>44531</v>
      </c>
      <c r="D389" t="n">
        <v>48455.47419354838</v>
      </c>
      <c r="E389" t="n">
        <v>387763.305</v>
      </c>
      <c r="F389" t="n">
        <v>8.002466417955906</v>
      </c>
      <c r="G389" t="b">
        <v>1</v>
      </c>
      <c r="I389" t="n">
        <v>7.919252849329789</v>
      </c>
      <c r="J389" t="inlineStr">
        <is>
          <t>trailing 11 calibrated months (Jan/21-Nov/21)</t>
        </is>
      </c>
      <c r="K389" t="n">
        <v>383731.1520728841</v>
      </c>
      <c r="L389" t="n">
        <v>387763.305</v>
      </c>
      <c r="M389" t="inlineStr">
        <is>
          <t>published</t>
        </is>
      </c>
      <c r="N389" t="n">
        <v>37610</v>
      </c>
      <c r="O389" t="n">
        <v>10.31011180537091</v>
      </c>
      <c r="P389" t="n">
        <v>0.3640985053731322</v>
      </c>
    </row>
    <row r="390">
      <c r="A390" t="inlineStr">
        <is>
          <t>Peru</t>
        </is>
      </c>
      <c r="B390" t="inlineStr">
        <is>
          <t>PE</t>
        </is>
      </c>
      <c r="C390" s="4" t="n">
        <v>44562</v>
      </c>
      <c r="D390" t="n">
        <v>49938.68387096774</v>
      </c>
      <c r="E390" t="n">
        <v>358794.24</v>
      </c>
      <c r="F390" t="n">
        <v>7.184695554393413</v>
      </c>
      <c r="G390" t="b">
        <v>1</v>
      </c>
      <c r="I390" t="n">
        <v>7.925309538105909</v>
      </c>
      <c r="J390" t="inlineStr">
        <is>
          <t>trailing 12 calibrated months (Jan/21-Dec/21)</t>
        </is>
      </c>
      <c r="K390" t="n">
        <v>395779.5276030363</v>
      </c>
      <c r="L390" t="n">
        <v>358794.24</v>
      </c>
      <c r="M390" t="inlineStr">
        <is>
          <t>published</t>
        </is>
      </c>
      <c r="N390" t="n">
        <v>37610</v>
      </c>
      <c r="O390" t="n">
        <v>9.539862802446157</v>
      </c>
      <c r="P390" t="n">
        <v>0.3368973929095453</v>
      </c>
    </row>
    <row r="391">
      <c r="A391" t="inlineStr">
        <is>
          <t>Peru</t>
        </is>
      </c>
      <c r="B391" t="inlineStr">
        <is>
          <t>PE</t>
        </is>
      </c>
      <c r="C391" s="4" t="n">
        <v>44593</v>
      </c>
      <c r="D391" t="n">
        <v>44264.77857142858</v>
      </c>
      <c r="E391" t="n">
        <v>331209.675</v>
      </c>
      <c r="F391" t="n">
        <v>7.482465420346294</v>
      </c>
      <c r="G391" t="b">
        <v>1</v>
      </c>
      <c r="I391" t="n">
        <v>7.819179071502649</v>
      </c>
      <c r="J391" t="inlineStr">
        <is>
          <t>trailing 12 calibrated months (Feb/21-Jan/22)</t>
        </is>
      </c>
      <c r="K391" t="n">
        <v>346114.2302104133</v>
      </c>
      <c r="L391" t="n">
        <v>331209.675</v>
      </c>
      <c r="M391" t="inlineStr">
        <is>
          <t>published</t>
        </is>
      </c>
      <c r="N391" t="n">
        <v>37610</v>
      </c>
      <c r="O391" t="n">
        <v>8.806425817601701</v>
      </c>
      <c r="P391" t="n">
        <v>0.3109962858208588</v>
      </c>
    </row>
    <row r="392">
      <c r="A392" t="inlineStr">
        <is>
          <t>Peru</t>
        </is>
      </c>
      <c r="B392" t="inlineStr">
        <is>
          <t>PE</t>
        </is>
      </c>
      <c r="C392" s="4" t="n">
        <v>44621</v>
      </c>
      <c r="D392" t="n">
        <v>42128.0064516129</v>
      </c>
      <c r="E392" t="n">
        <v>321247.665</v>
      </c>
      <c r="F392" t="n">
        <v>7.625513098251552</v>
      </c>
      <c r="G392" t="b">
        <v>1</v>
      </c>
      <c r="I392" t="n">
        <v>7.778411316131702</v>
      </c>
      <c r="J392" t="inlineStr">
        <is>
          <t>trailing 12 calibrated months (Mar/21-Feb/22)</t>
        </is>
      </c>
      <c r="K392" t="n">
        <v>327688.9621092951</v>
      </c>
      <c r="L392" t="n">
        <v>321247.665</v>
      </c>
      <c r="M392" t="inlineStr">
        <is>
          <t>published</t>
        </is>
      </c>
      <c r="N392" t="n">
        <v>37610</v>
      </c>
      <c r="O392" t="n">
        <v>8.541549189045467</v>
      </c>
      <c r="P392" t="n">
        <v>0.3016422471463839</v>
      </c>
    </row>
    <row r="393">
      <c r="A393" t="inlineStr">
        <is>
          <t>Peru</t>
        </is>
      </c>
      <c r="B393" t="inlineStr">
        <is>
          <t>PE</t>
        </is>
      </c>
      <c r="C393" s="4" t="n">
        <v>44652</v>
      </c>
      <c r="D393" t="n">
        <v>36466.31</v>
      </c>
      <c r="E393" t="n">
        <v>282220.74</v>
      </c>
      <c r="F393" t="n">
        <v>7.739218473160568</v>
      </c>
      <c r="G393" t="b">
        <v>1</v>
      </c>
      <c r="I393" t="n">
        <v>7.716908669807776</v>
      </c>
      <c r="J393" t="inlineStr">
        <is>
          <t>trailing 12 calibrated months (Apr/21-Mar/22)</t>
        </is>
      </c>
      <c r="K393" t="n">
        <v>281407.183794898</v>
      </c>
      <c r="L393" t="n">
        <v>282220.74</v>
      </c>
      <c r="M393" t="inlineStr">
        <is>
          <t>published</t>
        </is>
      </c>
      <c r="N393" t="n">
        <v>37610</v>
      </c>
      <c r="O393" t="n">
        <v>7.503875033235841</v>
      </c>
      <c r="P393" t="n">
        <v>0.2649970956362138</v>
      </c>
    </row>
    <row r="394">
      <c r="A394" t="inlineStr">
        <is>
          <t>Peru</t>
        </is>
      </c>
      <c r="B394" t="inlineStr">
        <is>
          <t>PE</t>
        </is>
      </c>
      <c r="C394" s="4" t="n">
        <v>44682</v>
      </c>
      <c r="D394" t="n">
        <v>56276.60322580646</v>
      </c>
      <c r="E394" t="n">
        <v>395184.225</v>
      </c>
      <c r="F394" t="n">
        <v>7.022176221516911</v>
      </c>
      <c r="G394" t="b">
        <v>1</v>
      </c>
      <c r="I394" t="n">
        <v>7.635827742769282</v>
      </c>
      <c r="J394" t="inlineStr">
        <is>
          <t>trailing 12 calibrated months (May/21-Apr/22)</t>
        </is>
      </c>
      <c r="K394" t="n">
        <v>429718.4481804322</v>
      </c>
      <c r="L394" t="n">
        <v>395184.225</v>
      </c>
      <c r="M394" t="inlineStr">
        <is>
          <t>published</t>
        </is>
      </c>
      <c r="N394" t="n">
        <v>37610</v>
      </c>
      <c r="O394" t="n">
        <v>10.50742422228131</v>
      </c>
      <c r="P394" t="n">
        <v>0.3710665341825977</v>
      </c>
    </row>
    <row r="395">
      <c r="A395" t="inlineStr">
        <is>
          <t>Peru</t>
        </is>
      </c>
      <c r="B395" t="inlineStr">
        <is>
          <t>PE</t>
        </is>
      </c>
      <c r="C395" s="4" t="n">
        <v>44713</v>
      </c>
      <c r="D395" t="n">
        <v>70561.85666666667</v>
      </c>
      <c r="E395" t="n">
        <v>495971.565</v>
      </c>
      <c r="F395" t="n">
        <v>7.02889051436052</v>
      </c>
      <c r="G395" t="b">
        <v>1</v>
      </c>
      <c r="I395" t="n">
        <v>7.565298681119581</v>
      </c>
      <c r="J395" t="inlineStr">
        <is>
          <t>trailing 12 calibrated months (Jun/21-May/22)</t>
        </is>
      </c>
      <c r="K395" t="n">
        <v>533821.5211776823</v>
      </c>
      <c r="L395" t="n">
        <v>495971.565</v>
      </c>
      <c r="M395" t="inlineStr">
        <is>
          <t>published</t>
        </is>
      </c>
      <c r="N395" t="n">
        <v>37610</v>
      </c>
      <c r="O395" t="n">
        <v>13.18722587077905</v>
      </c>
      <c r="P395" t="n">
        <v>0.4657029254588008</v>
      </c>
    </row>
    <row r="396">
      <c r="A396" t="inlineStr">
        <is>
          <t>Peru</t>
        </is>
      </c>
      <c r="B396" t="inlineStr">
        <is>
          <t>PE</t>
        </is>
      </c>
      <c r="C396" s="4" t="n">
        <v>44743</v>
      </c>
      <c r="D396" t="n">
        <v>78704.19677419355</v>
      </c>
      <c r="E396" t="n">
        <v>535071.975</v>
      </c>
      <c r="F396" t="n">
        <v>6.79851897269404</v>
      </c>
      <c r="G396" t="b">
        <v>1</v>
      </c>
      <c r="I396" t="n">
        <v>7.481709910419242</v>
      </c>
      <c r="J396" t="inlineStr">
        <is>
          <t>trailing 12 calibrated months (Jul/21-Jun/22)</t>
        </is>
      </c>
      <c r="K396" t="n">
        <v>588841.96899707</v>
      </c>
      <c r="L396" t="n">
        <v>535071.975</v>
      </c>
      <c r="M396" t="inlineStr">
        <is>
          <t>published</t>
        </is>
      </c>
      <c r="N396" t="n">
        <v>37610</v>
      </c>
      <c r="O396" t="n">
        <v>14.22685389524063</v>
      </c>
      <c r="P396" t="n">
        <v>0.5024170772542541</v>
      </c>
    </row>
    <row r="397">
      <c r="A397" t="inlineStr">
        <is>
          <t>Peru</t>
        </is>
      </c>
      <c r="B397" t="inlineStr">
        <is>
          <t>PE</t>
        </is>
      </c>
      <c r="C397" s="4" t="n">
        <v>44774</v>
      </c>
      <c r="D397" t="n">
        <v>80128.54838709677</v>
      </c>
      <c r="E397" t="n">
        <v>561984.5249999999</v>
      </c>
      <c r="F397" t="n">
        <v>7.013536826913205</v>
      </c>
      <c r="G397" t="b">
        <v>1</v>
      </c>
      <c r="I397" t="n">
        <v>7.405069415343244</v>
      </c>
      <c r="J397" t="inlineStr">
        <is>
          <t>trailing 12 calibrated months (Aug/21-Jul/22)</t>
        </is>
      </c>
      <c r="K397" t="n">
        <v>593357.4629571416</v>
      </c>
      <c r="L397" t="n">
        <v>561984.5249999999</v>
      </c>
      <c r="M397" t="inlineStr">
        <is>
          <t>published</t>
        </is>
      </c>
      <c r="N397" t="n">
        <v>37610</v>
      </c>
      <c r="O397" t="n">
        <v>14.94242289284765</v>
      </c>
      <c r="P397" t="n">
        <v>0.5276871817340467</v>
      </c>
    </row>
    <row r="398">
      <c r="A398" t="inlineStr">
        <is>
          <t>Peru</t>
        </is>
      </c>
      <c r="B398" t="inlineStr">
        <is>
          <t>PE</t>
        </is>
      </c>
      <c r="C398" s="4" t="n">
        <v>44805</v>
      </c>
      <c r="D398" t="n">
        <v>83676.91333333333</v>
      </c>
      <c r="E398" t="n">
        <v>583908.615</v>
      </c>
      <c r="F398" t="n">
        <v>6.978132817518683</v>
      </c>
      <c r="G398" t="b">
        <v>1</v>
      </c>
      <c r="I398" t="n">
        <v>7.328929775931782</v>
      </c>
      <c r="J398" t="inlineStr">
        <is>
          <t>trailing 12 calibrated months (Sep/21-Aug/22)</t>
        </is>
      </c>
      <c r="K398" t="n">
        <v>613262.2216867297</v>
      </c>
      <c r="L398" t="n">
        <v>583908.615</v>
      </c>
      <c r="M398" t="inlineStr">
        <is>
          <t>published</t>
        </is>
      </c>
      <c r="N398" t="n">
        <v>37610</v>
      </c>
      <c r="O398" t="n">
        <v>15.52535535761765</v>
      </c>
      <c r="P398" t="n">
        <v>0.5482732668476601</v>
      </c>
    </row>
    <row r="399">
      <c r="A399" t="inlineStr">
        <is>
          <t>Peru</t>
        </is>
      </c>
      <c r="B399" t="inlineStr">
        <is>
          <t>PE</t>
        </is>
      </c>
      <c r="C399" s="4" t="n">
        <v>44835</v>
      </c>
      <c r="D399" t="n">
        <v>83047.34193548387</v>
      </c>
      <c r="E399" t="n">
        <v>589807.6499999999</v>
      </c>
      <c r="F399" t="n">
        <v>7.102065355182562</v>
      </c>
      <c r="G399" t="b">
        <v>1</v>
      </c>
      <c r="I399" t="n">
        <v>7.263728320166351</v>
      </c>
      <c r="J399" t="inlineStr">
        <is>
          <t>trailing 12 calibrated months (Oct/21-Sep/22)</t>
        </is>
      </c>
      <c r="K399" t="n">
        <v>603233.3295313128</v>
      </c>
      <c r="L399" t="n">
        <v>589807.6499999999</v>
      </c>
      <c r="M399" t="inlineStr">
        <is>
          <t>published</t>
        </is>
      </c>
      <c r="N399" t="n">
        <v>37610</v>
      </c>
      <c r="O399" t="n">
        <v>15.68220287157671</v>
      </c>
      <c r="P399" t="n">
        <v>0.5538122897488699</v>
      </c>
    </row>
    <row r="400">
      <c r="A400" t="inlineStr">
        <is>
          <t>Peru</t>
        </is>
      </c>
      <c r="B400" t="inlineStr">
        <is>
          <t>PE</t>
        </is>
      </c>
      <c r="C400" s="4" t="n">
        <v>44866</v>
      </c>
      <c r="D400" t="n">
        <v>87981.79333333332</v>
      </c>
      <c r="E400" t="n">
        <v>632912.46</v>
      </c>
      <c r="F400" t="n">
        <v>7.193675373291248</v>
      </c>
      <c r="G400" t="b">
        <v>1</v>
      </c>
      <c r="I400" t="n">
        <v>7.227378305253541</v>
      </c>
      <c r="J400" t="inlineStr">
        <is>
          <t>trailing 12 calibrated months (Nov/21-Oct/22)</t>
        </is>
      </c>
      <c r="K400" t="n">
        <v>635877.7043946338</v>
      </c>
      <c r="L400" t="n">
        <v>632912.46</v>
      </c>
      <c r="M400" t="inlineStr">
        <is>
          <t>published</t>
        </is>
      </c>
      <c r="N400" t="n">
        <v>37610</v>
      </c>
      <c r="O400" t="n">
        <v>16.8283025791013</v>
      </c>
      <c r="P400" t="n">
        <v>0.5942864570901887</v>
      </c>
    </row>
    <row r="401">
      <c r="A401" t="inlineStr">
        <is>
          <t>Peru</t>
        </is>
      </c>
      <c r="B401" t="inlineStr">
        <is>
          <t>PE</t>
        </is>
      </c>
      <c r="C401" s="4" t="n">
        <v>44896</v>
      </c>
      <c r="D401" t="n">
        <v>81548.42903225808</v>
      </c>
      <c r="E401" t="n">
        <v>576808.26</v>
      </c>
      <c r="F401" t="n">
        <v>7.073198918054353</v>
      </c>
      <c r="G401" t="b">
        <v>1</v>
      </c>
      <c r="I401" t="n">
        <v>7.189938679602316</v>
      </c>
      <c r="J401" t="inlineStr">
        <is>
          <t>trailing 12 calibrated months (Dec/21-Nov/22)</t>
        </is>
      </c>
      <c r="K401" t="n">
        <v>586328.2041598369</v>
      </c>
      <c r="L401" t="n">
        <v>576808.26</v>
      </c>
      <c r="M401" t="inlineStr">
        <is>
          <t>published</t>
        </is>
      </c>
      <c r="N401" t="n">
        <v>37610</v>
      </c>
      <c r="O401" t="n">
        <v>15.3365663387397</v>
      </c>
      <c r="P401" t="n">
        <v>0.5416062392826907</v>
      </c>
    </row>
    <row r="402">
      <c r="A402" t="inlineStr">
        <is>
          <t>Peru</t>
        </is>
      </c>
      <c r="B402" t="inlineStr">
        <is>
          <t>PE</t>
        </is>
      </c>
      <c r="C402" s="4" t="n">
        <v>44927</v>
      </c>
      <c r="D402" t="n">
        <v>60238.58064516129</v>
      </c>
      <c r="E402" t="n">
        <v>427050.09</v>
      </c>
      <c r="F402" t="n">
        <v>7.089311956328491</v>
      </c>
      <c r="G402" t="b">
        <v>1</v>
      </c>
      <c r="I402" t="n">
        <v>7.128418712745121</v>
      </c>
      <c r="J402" t="inlineStr">
        <is>
          <t>trailing 12 calibrated months (Jan/22-Dec/22)</t>
        </is>
      </c>
      <c r="K402" t="n">
        <v>429405.8255001738</v>
      </c>
      <c r="L402" t="n">
        <v>427050.09</v>
      </c>
      <c r="M402" t="inlineStr">
        <is>
          <t>published</t>
        </is>
      </c>
      <c r="N402" t="n">
        <v>37610</v>
      </c>
      <c r="O402" t="n">
        <v>11.35469529380484</v>
      </c>
      <c r="P402" t="n">
        <v>0.4009876578921297</v>
      </c>
    </row>
    <row r="403">
      <c r="A403" t="inlineStr">
        <is>
          <t>Peru</t>
        </is>
      </c>
      <c r="B403" t="inlineStr">
        <is>
          <t>PE</t>
        </is>
      </c>
      <c r="C403" s="4" t="n">
        <v>44958</v>
      </c>
      <c r="D403" t="n">
        <v>51237.36428571428</v>
      </c>
      <c r="E403" t="n">
        <v>384450.09</v>
      </c>
      <c r="F403" t="n">
        <v>7.503315116995395</v>
      </c>
      <c r="G403" t="b">
        <v>1</v>
      </c>
      <c r="I403" t="n">
        <v>7.12200135000542</v>
      </c>
      <c r="J403" t="inlineStr">
        <is>
          <t>trailing 12 calibrated months (Feb/22-Jan/23)</t>
        </is>
      </c>
      <c r="K403" t="n">
        <v>364912.5776135766</v>
      </c>
      <c r="L403" t="n">
        <v>384450.09</v>
      </c>
      <c r="M403" t="inlineStr">
        <is>
          <t>published</t>
        </is>
      </c>
      <c r="N403" t="n">
        <v>37610</v>
      </c>
      <c r="O403" t="n">
        <v>10.22201781441106</v>
      </c>
      <c r="P403" t="n">
        <v>0.3609874925105823</v>
      </c>
    </row>
    <row r="404">
      <c r="A404" t="inlineStr">
        <is>
          <t>Peru</t>
        </is>
      </c>
      <c r="B404" t="inlineStr">
        <is>
          <t>PE</t>
        </is>
      </c>
      <c r="C404" s="4" t="n">
        <v>44986</v>
      </c>
      <c r="D404" t="n">
        <v>67252.08387096773</v>
      </c>
      <c r="E404" t="n">
        <v>489295.08</v>
      </c>
      <c r="F404" t="n">
        <v>7.275537824802264</v>
      </c>
      <c r="G404" t="b">
        <v>1</v>
      </c>
      <c r="I404" t="n">
        <v>7.126412271212579</v>
      </c>
      <c r="J404" t="inlineStr">
        <is>
          <t>trailing 12 calibrated months (Mar/22-Feb/23)</t>
        </is>
      </c>
      <c r="K404" t="n">
        <v>479266.075762682</v>
      </c>
      <c r="L404" t="n">
        <v>489295.08</v>
      </c>
      <c r="M404" t="inlineStr">
        <is>
          <t>published</t>
        </is>
      </c>
      <c r="N404" t="n">
        <v>37610</v>
      </c>
      <c r="O404" t="n">
        <v>13.00970699282106</v>
      </c>
      <c r="P404" t="n">
        <v>0.4594338995393778</v>
      </c>
    </row>
    <row r="405">
      <c r="A405" t="inlineStr">
        <is>
          <t>Peru</t>
        </is>
      </c>
      <c r="B405" t="inlineStr">
        <is>
          <t>PE</t>
        </is>
      </c>
      <c r="C405" s="4" t="n">
        <v>45017</v>
      </c>
      <c r="D405" t="n">
        <v>55368.17666666666</v>
      </c>
      <c r="E405" t="n">
        <v>410983.5</v>
      </c>
      <c r="F405" t="n">
        <v>7.422738561073561</v>
      </c>
      <c r="G405" t="b">
        <v>1</v>
      </c>
      <c r="I405" t="n">
        <v>7.113275423040426</v>
      </c>
      <c r="J405" t="inlineStr">
        <is>
          <t>trailing 12 calibrated months (Apr/22-Mar/23)</t>
        </is>
      </c>
      <c r="K405" t="n">
        <v>393849.0903015603</v>
      </c>
      <c r="L405" t="n">
        <v>410983.5</v>
      </c>
      <c r="M405" t="inlineStr">
        <is>
          <t>published</t>
        </is>
      </c>
      <c r="N405" t="n">
        <v>37610</v>
      </c>
      <c r="O405" t="n">
        <v>10.92750598245147</v>
      </c>
      <c r="P405" t="n">
        <v>0.3859015955184791</v>
      </c>
    </row>
    <row r="406">
      <c r="A406" t="inlineStr">
        <is>
          <t>Peru</t>
        </is>
      </c>
      <c r="B406" t="inlineStr">
        <is>
          <t>PE</t>
        </is>
      </c>
      <c r="C406" s="4" t="n">
        <v>45047</v>
      </c>
      <c r="D406" t="n">
        <v>69430.83548387098</v>
      </c>
      <c r="E406" t="n">
        <v>509820.825</v>
      </c>
      <c r="F406" t="n">
        <v>7.342858852943418</v>
      </c>
      <c r="G406" t="b">
        <v>1</v>
      </c>
      <c r="I406" t="n">
        <v>7.106626733692258</v>
      </c>
      <c r="J406" t="inlineStr">
        <is>
          <t>trailing 12 calibrated months (May/22-Apr/23)</t>
        </is>
      </c>
      <c r="K406" t="n">
        <v>493419.0315922665</v>
      </c>
      <c r="L406" t="n">
        <v>509820.825</v>
      </c>
      <c r="M406" t="inlineStr">
        <is>
          <t>published</t>
        </is>
      </c>
      <c r="N406" t="n">
        <v>37610</v>
      </c>
      <c r="O406" t="n">
        <v>13.55545931932997</v>
      </c>
      <c r="P406" t="n">
        <v>0.4787069792243419</v>
      </c>
    </row>
    <row r="407">
      <c r="A407" t="inlineStr">
        <is>
          <t>Peru</t>
        </is>
      </c>
      <c r="B407" t="inlineStr">
        <is>
          <t>PE</t>
        </is>
      </c>
      <c r="C407" s="4" t="n">
        <v>45078</v>
      </c>
      <c r="D407" t="n">
        <v>88215.37999999998</v>
      </c>
      <c r="E407" t="n">
        <v>580120.41</v>
      </c>
      <c r="F407" t="n">
        <v>6.576182180476922</v>
      </c>
      <c r="G407" t="b">
        <v>1</v>
      </c>
      <c r="I407" t="n">
        <v>7.130965162782495</v>
      </c>
      <c r="J407" t="inlineStr">
        <is>
          <t>trailing 12 calibrated months (Jun/22-May/23)</t>
        </is>
      </c>
      <c r="K407" t="n">
        <v>629060.8016016195</v>
      </c>
      <c r="L407" t="n">
        <v>580120.41</v>
      </c>
      <c r="M407" t="inlineStr">
        <is>
          <t>published</t>
        </is>
      </c>
      <c r="N407" t="n">
        <v>37610</v>
      </c>
      <c r="O407" t="n">
        <v>15.42463201276256</v>
      </c>
      <c r="P407" t="n">
        <v>0.5447162521411061</v>
      </c>
    </row>
    <row r="408">
      <c r="A408" t="inlineStr">
        <is>
          <t>Peru</t>
        </is>
      </c>
      <c r="B408" t="inlineStr">
        <is>
          <t>PE</t>
        </is>
      </c>
      <c r="C408" s="4" t="n">
        <v>45108</v>
      </c>
      <c r="D408" t="n">
        <v>83288.4064516129</v>
      </c>
      <c r="E408" t="n">
        <v>584858.595</v>
      </c>
      <c r="F408" t="n">
        <v>7.022088906692896</v>
      </c>
      <c r="G408" t="b">
        <v>1</v>
      </c>
      <c r="I408" t="n">
        <v>7.083901090009771</v>
      </c>
      <c r="J408" t="inlineStr">
        <is>
          <t>trailing 12 calibrated months (Jul/22-Jun/23)</t>
        </is>
      </c>
      <c r="K408" t="n">
        <v>590006.8332477575</v>
      </c>
      <c r="L408" t="n">
        <v>584858.595</v>
      </c>
      <c r="M408" t="inlineStr">
        <is>
          <t>published</t>
        </is>
      </c>
      <c r="N408" t="n">
        <v>37610</v>
      </c>
      <c r="O408" t="n">
        <v>15.55061406540814</v>
      </c>
      <c r="P408" t="n">
        <v>0.5491652705356687</v>
      </c>
    </row>
    <row r="409">
      <c r="A409" t="inlineStr">
        <is>
          <t>Peru</t>
        </is>
      </c>
      <c r="B409" t="inlineStr">
        <is>
          <t>PE</t>
        </is>
      </c>
      <c r="C409" s="4" t="n">
        <v>45139</v>
      </c>
      <c r="D409" t="n">
        <v>88343.05161290326</v>
      </c>
      <c r="E409" t="n">
        <v>610022.415</v>
      </c>
      <c r="F409" t="n">
        <v>6.905154439004018</v>
      </c>
      <c r="G409" t="b">
        <v>1</v>
      </c>
      <c r="I409" t="n">
        <v>7.103322520361977</v>
      </c>
      <c r="J409" t="inlineStr">
        <is>
          <t>trailing 12 calibrated months (Aug/22-Jul/23)</t>
        </is>
      </c>
      <c r="K409" t="n">
        <v>627529.1880394362</v>
      </c>
      <c r="L409" t="n">
        <v>610022.415</v>
      </c>
      <c r="M409" t="inlineStr">
        <is>
          <t>published</t>
        </is>
      </c>
      <c r="N409" t="n">
        <v>37610</v>
      </c>
      <c r="O409" t="n">
        <v>16.21968665248604</v>
      </c>
      <c r="P409" t="n">
        <v>0.5727933682265488</v>
      </c>
    </row>
    <row r="410">
      <c r="A410" t="inlineStr">
        <is>
          <t>Peru</t>
        </is>
      </c>
      <c r="B410" t="inlineStr">
        <is>
          <t>PE</t>
        </is>
      </c>
      <c r="C410" s="4" t="n">
        <v>45170</v>
      </c>
      <c r="D410" t="n">
        <v>92391.95999999999</v>
      </c>
      <c r="E410" t="n">
        <v>632262.8099999999</v>
      </c>
      <c r="F410" t="n">
        <v>6.843266556960151</v>
      </c>
      <c r="G410" t="b">
        <v>1</v>
      </c>
      <c r="I410" t="n">
        <v>7.091859591607884</v>
      </c>
      <c r="J410" t="inlineStr">
        <is>
          <t>trailing 12 calibrated months (Sep/22-Aug/23)</t>
        </is>
      </c>
      <c r="K410" t="n">
        <v>655230.8077134519</v>
      </c>
      <c r="L410" t="n">
        <v>632262.8099999999</v>
      </c>
      <c r="M410" t="inlineStr">
        <is>
          <t>published</t>
        </is>
      </c>
      <c r="N410" t="n">
        <v>37610</v>
      </c>
      <c r="O410" t="n">
        <v>16.81102924754055</v>
      </c>
      <c r="P410" t="n">
        <v>0.5936764545681201</v>
      </c>
    </row>
    <row r="411">
      <c r="A411" t="inlineStr">
        <is>
          <t>Peru</t>
        </is>
      </c>
      <c r="B411" t="inlineStr">
        <is>
          <t>PE</t>
        </is>
      </c>
      <c r="C411" s="4" t="n">
        <v>45200</v>
      </c>
      <c r="D411" t="n">
        <v>83448.90000000001</v>
      </c>
      <c r="E411" t="n">
        <v>578864.775</v>
      </c>
      <c r="F411" t="n">
        <v>6.93675740483098</v>
      </c>
      <c r="G411" t="b">
        <v>1</v>
      </c>
      <c r="I411" t="n">
        <v>7.077050553258318</v>
      </c>
      <c r="J411" t="inlineStr">
        <is>
          <t>trailing 12 calibrated months (Oct/22-Sep/23)</t>
        </is>
      </c>
      <c r="K411" t="n">
        <v>590572.0839137981</v>
      </c>
      <c r="L411" t="n">
        <v>578864.775</v>
      </c>
      <c r="M411" t="inlineStr">
        <is>
          <t>published</t>
        </is>
      </c>
      <c r="N411" t="n">
        <v>37610</v>
      </c>
      <c r="O411" t="n">
        <v>15.39124634405743</v>
      </c>
      <c r="P411" t="n">
        <v>0.543537247266485</v>
      </c>
    </row>
    <row r="412">
      <c r="A412" t="inlineStr">
        <is>
          <t>Peru</t>
        </is>
      </c>
      <c r="B412" t="inlineStr">
        <is>
          <t>PE</t>
        </is>
      </c>
      <c r="C412" s="4" t="n">
        <v>45231</v>
      </c>
      <c r="D412" t="n">
        <v>74553.67</v>
      </c>
      <c r="E412" t="n">
        <v>514553.685</v>
      </c>
      <c r="F412" t="n">
        <v>6.901788805299591</v>
      </c>
      <c r="G412" t="b">
        <v>1</v>
      </c>
      <c r="I412" t="n">
        <v>7.061881586927348</v>
      </c>
      <c r="J412" t="inlineStr">
        <is>
          <t>trailing 12 calibrated months (Nov/22-Oct/23)</t>
        </is>
      </c>
      <c r="K412" t="n">
        <v>526489.1894108579</v>
      </c>
      <c r="L412" t="n">
        <v>514553.685</v>
      </c>
      <c r="M412" t="inlineStr">
        <is>
          <t>published</t>
        </is>
      </c>
      <c r="N412" t="n">
        <v>37610</v>
      </c>
      <c r="O412" t="n">
        <v>13.68129978729061</v>
      </c>
      <c r="P412" t="n">
        <v>0.4831509975982318</v>
      </c>
    </row>
    <row r="413">
      <c r="A413" t="inlineStr">
        <is>
          <t>Peru</t>
        </is>
      </c>
      <c r="B413" t="inlineStr">
        <is>
          <t>PE</t>
        </is>
      </c>
      <c r="C413" s="4" t="n">
        <v>45261</v>
      </c>
      <c r="D413" t="n">
        <v>49000.69677419354</v>
      </c>
      <c r="E413" t="n">
        <v>350764.14</v>
      </c>
      <c r="F413" t="n">
        <v>7.1583500458453</v>
      </c>
      <c r="G413" t="b">
        <v>1</v>
      </c>
      <c r="I413" t="n">
        <v>7.035599317807271</v>
      </c>
      <c r="J413" t="inlineStr">
        <is>
          <t>trailing 12 calibrated months (Dec/22-Nov/23)</t>
        </is>
      </c>
      <c r="K413" t="n">
        <v>344749.268796597</v>
      </c>
      <c r="L413" t="n">
        <v>350764.14</v>
      </c>
      <c r="M413" t="inlineStr">
        <is>
          <t>published</t>
        </is>
      </c>
      <c r="N413" t="n">
        <v>37610</v>
      </c>
      <c r="O413" t="n">
        <v>9.326353097580432</v>
      </c>
      <c r="P413" t="n">
        <v>0.3293573617351236</v>
      </c>
    </row>
    <row r="414">
      <c r="A414" t="inlineStr">
        <is>
          <t>Peru</t>
        </is>
      </c>
      <c r="B414" t="inlineStr">
        <is>
          <t>PE</t>
        </is>
      </c>
      <c r="C414" s="4" t="n">
        <v>45292</v>
      </c>
      <c r="D414" t="n">
        <v>46479.05806451614</v>
      </c>
      <c r="E414" t="n">
        <v>343140.87</v>
      </c>
      <c r="F414" t="n">
        <v>7.382698451498238</v>
      </c>
      <c r="G414" t="b">
        <v>1</v>
      </c>
      <c r="I414" t="n">
        <v>7.039017014212044</v>
      </c>
      <c r="J414" t="inlineStr">
        <is>
          <t>trailing 12 calibrated months (Jan/23-Dec/23)</t>
        </is>
      </c>
      <c r="K414" t="n">
        <v>327166.8805206786</v>
      </c>
      <c r="L414" t="n">
        <v>343140.87</v>
      </c>
      <c r="M414" t="inlineStr">
        <is>
          <t>published</t>
        </is>
      </c>
      <c r="N414" t="n">
        <v>37610</v>
      </c>
      <c r="O414" t="n">
        <v>9.123660462642913</v>
      </c>
      <c r="P414" t="n">
        <v>0.3221993321400957</v>
      </c>
    </row>
    <row r="415">
      <c r="A415" t="inlineStr">
        <is>
          <t>Peru</t>
        </is>
      </c>
      <c r="B415" t="inlineStr">
        <is>
          <t>PE</t>
        </is>
      </c>
      <c r="C415" s="4" t="n">
        <v>45323</v>
      </c>
      <c r="D415" t="n">
        <v>53555.28275862069</v>
      </c>
      <c r="E415" t="n">
        <v>398978.82</v>
      </c>
      <c r="F415" t="n">
        <v>7.449849939141198</v>
      </c>
      <c r="G415" t="b">
        <v>1</v>
      </c>
      <c r="I415" t="n">
        <v>7.054263359846506</v>
      </c>
      <c r="J415" t="inlineStr">
        <is>
          <t>trailing 12 calibrated months (Feb/23-Jan/24)</t>
        </is>
      </c>
      <c r="K415" t="n">
        <v>377793.0688903573</v>
      </c>
      <c r="L415" t="n">
        <v>398978.82</v>
      </c>
      <c r="M415" t="inlineStr">
        <is>
          <t>published</t>
        </is>
      </c>
      <c r="N415" t="n">
        <v>37610</v>
      </c>
      <c r="O415" t="n">
        <v>10.60831746875831</v>
      </c>
      <c r="P415" t="n">
        <v>0.3746295489139591</v>
      </c>
    </row>
    <row r="416">
      <c r="A416" t="inlineStr">
        <is>
          <t>Peru</t>
        </is>
      </c>
      <c r="B416" t="inlineStr">
        <is>
          <t>PE</t>
        </is>
      </c>
      <c r="C416" s="4" t="n">
        <v>45352</v>
      </c>
      <c r="D416" t="n">
        <v>50968.76129032257</v>
      </c>
      <c r="E416" t="n">
        <v>381702.39</v>
      </c>
      <c r="F416" t="n">
        <v>7.48894774636153</v>
      </c>
      <c r="G416" t="b">
        <v>1</v>
      </c>
      <c r="I416" t="n">
        <v>7.052122612189546</v>
      </c>
      <c r="J416" t="inlineStr">
        <is>
          <t>trailing 12 calibrated months (Mar/23-Feb/24)</t>
        </is>
      </c>
      <c r="K416" t="n">
        <v>359437.954010775</v>
      </c>
      <c r="L416" t="n">
        <v>381702.39</v>
      </c>
      <c r="M416" t="inlineStr">
        <is>
          <t>published</t>
        </is>
      </c>
      <c r="N416" t="n">
        <v>37610</v>
      </c>
      <c r="O416" t="n">
        <v>10.14896011699016</v>
      </c>
      <c r="P416" t="n">
        <v>0.3584074818434724</v>
      </c>
    </row>
    <row r="417">
      <c r="A417" t="inlineStr">
        <is>
          <t>Peru</t>
        </is>
      </c>
      <c r="B417" t="inlineStr">
        <is>
          <t>PE</t>
        </is>
      </c>
      <c r="C417" s="4" t="n">
        <v>45383</v>
      </c>
      <c r="D417" t="n">
        <v>43351.04000000001</v>
      </c>
      <c r="E417" t="n">
        <v>322130.55</v>
      </c>
      <c r="F417" t="n">
        <v>7.430745606103105</v>
      </c>
      <c r="G417" t="b">
        <v>1</v>
      </c>
      <c r="I417" t="n">
        <v>7.060791970714173</v>
      </c>
      <c r="J417" t="inlineStr">
        <is>
          <t>trailing 12 calibrated months (Apr/23-Mar/24)</t>
        </is>
      </c>
      <c r="K417" t="n">
        <v>306092.675154109</v>
      </c>
      <c r="L417" t="n">
        <v>322130.55</v>
      </c>
      <c r="M417" t="inlineStr">
        <is>
          <t>published</t>
        </is>
      </c>
      <c r="N417" t="n">
        <v>37610</v>
      </c>
      <c r="O417" t="n">
        <v>8.565023929805903</v>
      </c>
      <c r="P417" t="n">
        <v>0.3024712505739165</v>
      </c>
    </row>
    <row r="418">
      <c r="A418" t="inlineStr">
        <is>
          <t>Peru</t>
        </is>
      </c>
      <c r="B418" t="inlineStr">
        <is>
          <t>PE</t>
        </is>
      </c>
      <c r="C418" s="4" t="n">
        <v>45413</v>
      </c>
      <c r="D418" t="n">
        <v>58228.4129032258</v>
      </c>
      <c r="E418" t="n">
        <v>417509.82</v>
      </c>
      <c r="F418" t="n">
        <v>7.170207793468305</v>
      </c>
      <c r="G418" t="b">
        <v>1</v>
      </c>
      <c r="I418" t="n">
        <v>7.055928888814485</v>
      </c>
      <c r="J418" t="inlineStr">
        <is>
          <t>trailing 12 calibrated months (May/23-Apr/24)</t>
        </is>
      </c>
      <c r="K418" t="n">
        <v>410855.540753689</v>
      </c>
      <c r="L418" t="n">
        <v>417509.82</v>
      </c>
      <c r="M418" t="inlineStr">
        <is>
          <t>published</t>
        </is>
      </c>
      <c r="N418" t="n">
        <v>37610</v>
      </c>
      <c r="O418" t="n">
        <v>11.1010321722946</v>
      </c>
      <c r="P418" t="n">
        <v>0.3920296208549322</v>
      </c>
    </row>
    <row r="419">
      <c r="A419" t="inlineStr">
        <is>
          <t>Peru</t>
        </is>
      </c>
      <c r="B419" t="inlineStr">
        <is>
          <t>PE</t>
        </is>
      </c>
      <c r="C419" s="4" t="n">
        <v>45444</v>
      </c>
      <c r="D419" t="n">
        <v>77041.37999999999</v>
      </c>
      <c r="E419" t="n">
        <v>537652.47</v>
      </c>
      <c r="F419" t="n">
        <v>6.978749212436226</v>
      </c>
      <c r="G419" t="b">
        <v>1</v>
      </c>
      <c r="I419" t="n">
        <v>7.039586063573633</v>
      </c>
      <c r="J419" t="inlineStr">
        <is>
          <t>trailing 12 calibrated months (Jun/23-May/24)</t>
        </is>
      </c>
      <c r="K419" t="n">
        <v>542339.4249664804</v>
      </c>
      <c r="L419" t="n">
        <v>537652.47</v>
      </c>
      <c r="M419" t="inlineStr">
        <is>
          <t>published</t>
        </is>
      </c>
      <c r="N419" t="n">
        <v>37610</v>
      </c>
      <c r="O419" t="n">
        <v>14.29546583355491</v>
      </c>
      <c r="P419" t="n">
        <v>0.5048400872722414</v>
      </c>
    </row>
    <row r="420">
      <c r="A420" t="inlineStr">
        <is>
          <t>Peru</t>
        </is>
      </c>
      <c r="B420" t="inlineStr">
        <is>
          <t>PE</t>
        </is>
      </c>
      <c r="C420" s="4" t="n">
        <v>45474</v>
      </c>
      <c r="D420" t="n">
        <v>80713.75483870966</v>
      </c>
      <c r="E420" t="n">
        <v>570137.1</v>
      </c>
      <c r="F420" t="n">
        <v>7.06369194617826</v>
      </c>
      <c r="G420" t="b">
        <v>1</v>
      </c>
      <c r="I420" t="n">
        <v>7.084789793861018</v>
      </c>
      <c r="J420" t="inlineStr">
        <is>
          <t>trailing 12 calibrated months (Jul/23-Jun/24)</t>
        </is>
      </c>
      <c r="K420" t="n">
        <v>571839.9865054905</v>
      </c>
      <c r="L420" t="n">
        <v>570137.1</v>
      </c>
      <c r="M420" t="inlineStr">
        <is>
          <t>published</t>
        </is>
      </c>
      <c r="N420" t="n">
        <v>37610</v>
      </c>
      <c r="O420" t="n">
        <v>15.15918904546663</v>
      </c>
      <c r="P420" t="n">
        <v>0.5353422133839404</v>
      </c>
    </row>
    <row r="421">
      <c r="A421" t="inlineStr">
        <is>
          <t>Peru</t>
        </is>
      </c>
      <c r="B421" t="inlineStr">
        <is>
          <t>PE</t>
        </is>
      </c>
      <c r="C421" s="4" t="n">
        <v>45505</v>
      </c>
      <c r="D421" t="n">
        <v>79942.20967741935</v>
      </c>
      <c r="E421" t="n">
        <v>566733.36</v>
      </c>
      <c r="F421" t="n">
        <v>7.089288153115446</v>
      </c>
      <c r="G421" t="b">
        <v>1</v>
      </c>
      <c r="I421" t="n">
        <v>7.089199612737779</v>
      </c>
      <c r="J421" t="inlineStr">
        <is>
          <t>trailing 12 calibrated months (Aug/23-Jul/24)</t>
        </is>
      </c>
      <c r="K421" t="n">
        <v>566726.2818865636</v>
      </c>
      <c r="L421" t="n">
        <v>566733.36</v>
      </c>
      <c r="M421" t="inlineStr">
        <is>
          <t>published</t>
        </is>
      </c>
      <c r="N421" t="n">
        <v>37610</v>
      </c>
      <c r="O421" t="n">
        <v>15.06868811486307</v>
      </c>
      <c r="P421" t="n">
        <v>0.5321462001699547</v>
      </c>
    </row>
    <row r="422">
      <c r="A422" t="inlineStr">
        <is>
          <t>Peru</t>
        </is>
      </c>
      <c r="B422" t="inlineStr">
        <is>
          <t>PE</t>
        </is>
      </c>
      <c r="C422" s="4" t="n">
        <v>45536</v>
      </c>
      <c r="D422" t="n">
        <v>81585.26666666666</v>
      </c>
      <c r="E422" t="n">
        <v>579701.865</v>
      </c>
      <c r="F422" t="n">
        <v>7.105472454585346</v>
      </c>
      <c r="G422" t="b">
        <v>1</v>
      </c>
      <c r="I422" t="n">
        <v>7.109798197970891</v>
      </c>
      <c r="J422" t="inlineStr">
        <is>
          <t>trailing 12 calibrated months (Sep/23-Aug/24)</t>
        </is>
      </c>
      <c r="K422" t="n">
        <v>580054.7819276412</v>
      </c>
      <c r="L422" t="n">
        <v>579701.865</v>
      </c>
      <c r="M422" t="inlineStr">
        <is>
          <t>published</t>
        </is>
      </c>
      <c r="N422" t="n">
        <v>37610</v>
      </c>
      <c r="O422" t="n">
        <v>15.41350345652752</v>
      </c>
      <c r="P422" t="n">
        <v>0.5443232505162323</v>
      </c>
    </row>
    <row r="423">
      <c r="A423" t="inlineStr">
        <is>
          <t>Peru</t>
        </is>
      </c>
      <c r="B423" t="inlineStr">
        <is>
          <t>PE</t>
        </is>
      </c>
      <c r="C423" s="4" t="n">
        <v>45566</v>
      </c>
      <c r="D423" t="n">
        <v>81321.33870967742</v>
      </c>
      <c r="E423" t="n">
        <v>580243.9500000001</v>
      </c>
      <c r="F423" t="n">
        <v>7.135199188880909</v>
      </c>
      <c r="G423" t="b">
        <v>1</v>
      </c>
      <c r="I423" t="n">
        <v>7.14096195138517</v>
      </c>
      <c r="J423" t="inlineStr">
        <is>
          <t>trailing 12 calibrated months (Oct/23-Sep/24)</t>
        </is>
      </c>
      <c r="K423" t="n">
        <v>580712.5855615124</v>
      </c>
      <c r="L423" t="n">
        <v>580243.9500000001</v>
      </c>
      <c r="M423" t="inlineStr">
        <is>
          <t>published</t>
        </is>
      </c>
      <c r="N423" t="n">
        <v>37610</v>
      </c>
      <c r="O423" t="n">
        <v>15.42791677745281</v>
      </c>
      <c r="P423" t="n">
        <v>0.5448322526207127</v>
      </c>
    </row>
    <row r="424">
      <c r="A424" t="inlineStr">
        <is>
          <t>Peru</t>
        </is>
      </c>
      <c r="B424" t="inlineStr">
        <is>
          <t>PE</t>
        </is>
      </c>
      <c r="C424" s="4" t="n">
        <v>45597</v>
      </c>
      <c r="D424" t="n">
        <v>70241.56666666667</v>
      </c>
      <c r="E424" t="n">
        <v>504718.41</v>
      </c>
      <c r="F424" t="n">
        <v>7.185466297970764</v>
      </c>
      <c r="G424" t="b">
        <v>1</v>
      </c>
      <c r="I424" t="n">
        <v>7.162297263878151</v>
      </c>
      <c r="J424" t="inlineStr">
        <is>
          <t>trailing 12 calibrated months (Nov/23-Oct/24)</t>
        </is>
      </c>
      <c r="K424" t="n">
        <v>503090.9807471814</v>
      </c>
      <c r="L424" t="n">
        <v>504718.41</v>
      </c>
      <c r="M424" t="inlineStr">
        <is>
          <t>published</t>
        </is>
      </c>
      <c r="N424" t="n">
        <v>37610</v>
      </c>
      <c r="O424" t="n">
        <v>13.41979287423558</v>
      </c>
      <c r="P424" t="n">
        <v>0.473915959415767</v>
      </c>
    </row>
    <row r="425">
      <c r="A425" t="inlineStr">
        <is>
          <t>Peru</t>
        </is>
      </c>
      <c r="B425" t="inlineStr">
        <is>
          <t>PE</t>
        </is>
      </c>
      <c r="C425" s="4" t="n">
        <v>45627</v>
      </c>
      <c r="D425" t="n">
        <v>43456.40645161291</v>
      </c>
      <c r="E425" t="n">
        <v>318827.985</v>
      </c>
      <c r="F425" t="n">
        <v>7.3367314749093</v>
      </c>
      <c r="G425" t="b">
        <v>1</v>
      </c>
      <c r="I425" t="n">
        <v>7.189548049670161</v>
      </c>
      <c r="J425" t="inlineStr">
        <is>
          <t>trailing 12 calibrated months (Dec/23-Nov/24)</t>
        </is>
      </c>
      <c r="K425" t="n">
        <v>312431.9222498674</v>
      </c>
      <c r="L425" t="n">
        <v>318827.985</v>
      </c>
      <c r="M425" t="inlineStr">
        <is>
          <t>published</t>
        </is>
      </c>
      <c r="N425" t="n">
        <v>37610</v>
      </c>
      <c r="O425" t="n">
        <v>8.477213108215901</v>
      </c>
      <c r="P425" t="n">
        <v>0.299370237752712</v>
      </c>
    </row>
    <row r="426">
      <c r="A426" t="inlineStr">
        <is>
          <t>Peru</t>
        </is>
      </c>
      <c r="B426" t="inlineStr">
        <is>
          <t>PE</t>
        </is>
      </c>
      <c r="C426" s="4" t="n">
        <v>45658</v>
      </c>
      <c r="D426" t="n">
        <v>40984.68709677419</v>
      </c>
      <c r="E426" t="n">
        <v>310748.895</v>
      </c>
      <c r="F426" t="n">
        <v>7.58207313541887</v>
      </c>
      <c r="G426" t="b">
        <v>1</v>
      </c>
      <c r="I426" t="n">
        <v>7.199881792108004</v>
      </c>
      <c r="J426" t="inlineStr">
        <is>
          <t>trailing 12 calibrated months (Jan/24-Dec/24)</t>
        </is>
      </c>
      <c r="K426" t="n">
        <v>295084.9023833083</v>
      </c>
      <c r="L426" t="n">
        <v>310748.895</v>
      </c>
      <c r="M426" t="inlineStr">
        <is>
          <t>published</t>
        </is>
      </c>
      <c r="N426" t="n">
        <v>37610</v>
      </c>
      <c r="O426" t="n">
        <v>8.262400824248871</v>
      </c>
      <c r="P426" t="n">
        <v>0.2917842063881016</v>
      </c>
    </row>
    <row r="427">
      <c r="A427" t="inlineStr">
        <is>
          <t>Peru</t>
        </is>
      </c>
      <c r="B427" t="inlineStr">
        <is>
          <t>PE</t>
        </is>
      </c>
      <c r="C427" s="4" t="n">
        <v>45689</v>
      </c>
      <c r="D427" t="n">
        <v>53370.25714285715</v>
      </c>
      <c r="E427" t="n">
        <v>402939.555</v>
      </c>
      <c r="F427" t="n">
        <v>7.549889705823307</v>
      </c>
      <c r="G427" t="b">
        <v>1</v>
      </c>
      <c r="I427" t="n">
        <v>7.209294636356018</v>
      </c>
      <c r="J427" t="inlineStr">
        <is>
          <t>trailing 12 calibrated months (Feb/24-Jan/25)</t>
        </is>
      </c>
      <c r="K427" t="n">
        <v>384761.9085609415</v>
      </c>
      <c r="L427" t="n">
        <v>402939.555</v>
      </c>
      <c r="M427" t="inlineStr">
        <is>
          <t>published</t>
        </is>
      </c>
      <c r="N427" t="n">
        <v>37610</v>
      </c>
      <c r="O427" t="n">
        <v>10.71362815740495</v>
      </c>
      <c r="P427" t="n">
        <v>0.3783485642903084</v>
      </c>
    </row>
    <row r="428">
      <c r="A428" t="inlineStr">
        <is>
          <t>Peru</t>
        </is>
      </c>
      <c r="B428" t="inlineStr">
        <is>
          <t>PE</t>
        </is>
      </c>
      <c r="C428" s="4" t="n">
        <v>45717</v>
      </c>
      <c r="D428" t="n">
        <v>54673.32903225806</v>
      </c>
      <c r="E428" t="n">
        <v>410734.29</v>
      </c>
      <c r="F428" t="n">
        <v>7.512516564661003</v>
      </c>
      <c r="G428" t="b">
        <v>1</v>
      </c>
      <c r="I428" t="n">
        <v>7.216250237820564</v>
      </c>
      <c r="J428" t="inlineStr">
        <is>
          <t>trailing 12 calibrated months (Mar/24-Feb/25)</t>
        </is>
      </c>
      <c r="K428" t="n">
        <v>394536.4236314741</v>
      </c>
      <c r="L428" t="n">
        <v>410734.29</v>
      </c>
      <c r="M428" t="inlineStr">
        <is>
          <t>published</t>
        </is>
      </c>
      <c r="N428" t="n">
        <v>37610</v>
      </c>
      <c r="O428" t="n">
        <v>10.92087981919702</v>
      </c>
      <c r="P428" t="n">
        <v>0.385667594550997</v>
      </c>
    </row>
    <row r="429">
      <c r="A429" t="inlineStr">
        <is>
          <t>Peru</t>
        </is>
      </c>
      <c r="B429" t="inlineStr">
        <is>
          <t>PE</t>
        </is>
      </c>
      <c r="C429" s="4" t="n">
        <v>45748</v>
      </c>
      <c r="D429" t="n">
        <v>41756.14666666666</v>
      </c>
      <c r="E429" t="n">
        <v>321293.46</v>
      </c>
      <c r="F429" t="n">
        <v>7.694518906757362</v>
      </c>
      <c r="G429" t="b">
        <v>1</v>
      </c>
      <c r="I429" t="n">
        <v>7.219255575972177</v>
      </c>
      <c r="J429" t="inlineStr">
        <is>
          <t>trailing 12 calibrated months (Apr/24-Mar/25)</t>
        </is>
      </c>
      <c r="K429" t="n">
        <v>301448.2946544453</v>
      </c>
      <c r="L429" t="n">
        <v>321293.46</v>
      </c>
      <c r="M429" t="inlineStr">
        <is>
          <t>published</t>
        </is>
      </c>
      <c r="N429" t="n">
        <v>37610</v>
      </c>
      <c r="O429" t="n">
        <v>8.542766817335815</v>
      </c>
      <c r="P429" t="n">
        <v>0.3016852473241691</v>
      </c>
    </row>
    <row r="430">
      <c r="A430" t="inlineStr">
        <is>
          <t>Peru</t>
        </is>
      </c>
      <c r="B430" t="inlineStr">
        <is>
          <t>PE</t>
        </is>
      </c>
      <c r="C430" s="4" t="n">
        <v>45778</v>
      </c>
      <c r="D430" t="n">
        <v>48171.76129032258</v>
      </c>
      <c r="E430" t="n">
        <v>366853.095</v>
      </c>
      <c r="F430" t="n">
        <v>7.615521732515489</v>
      </c>
      <c r="G430" t="b">
        <v>1</v>
      </c>
      <c r="I430" t="n">
        <v>7.233243059520593</v>
      </c>
      <c r="J430" t="inlineStr">
        <is>
          <t>trailing 12 calibrated months (May/24-Apr/25)</t>
        </is>
      </c>
      <c r="K430" t="n">
        <v>348438.0580181086</v>
      </c>
      <c r="L430" t="n">
        <v>366853.095</v>
      </c>
      <c r="M430" t="inlineStr">
        <is>
          <t>published</t>
        </is>
      </c>
      <c r="N430" t="n">
        <v>37610</v>
      </c>
      <c r="O430" t="n">
        <v>9.754137064610477</v>
      </c>
      <c r="P430" t="n">
        <v>0.3444644241955996</v>
      </c>
    </row>
    <row r="431">
      <c r="A431" t="inlineStr">
        <is>
          <t>Peru</t>
        </is>
      </c>
      <c r="B431" t="inlineStr">
        <is>
          <t>PE</t>
        </is>
      </c>
      <c r="C431" s="4" t="n">
        <v>45809</v>
      </c>
      <c r="D431" t="n">
        <v>60640.96999999999</v>
      </c>
      <c r="E431" t="n">
        <v>444871.8</v>
      </c>
      <c r="F431" t="n">
        <v>7.336159035714635</v>
      </c>
      <c r="G431" t="b">
        <v>1</v>
      </c>
      <c r="I431" t="n">
        <v>7.262562996945417</v>
      </c>
      <c r="J431" t="inlineStr">
        <is>
          <t>trailing 12 calibrated months (Jun/24-May/25)</t>
        </is>
      </c>
      <c r="K431" t="n">
        <v>440408.8648208771</v>
      </c>
      <c r="L431" t="n">
        <v>444871.8</v>
      </c>
      <c r="M431" t="inlineStr">
        <is>
          <t>published</t>
        </is>
      </c>
      <c r="N431" t="n">
        <v>37610</v>
      </c>
      <c r="O431" t="n">
        <v>11.82855091730923</v>
      </c>
      <c r="P431" t="n">
        <v>0.4177217270795002</v>
      </c>
    </row>
    <row r="432">
      <c r="A432" t="inlineStr">
        <is>
          <t>Peru</t>
        </is>
      </c>
      <c r="B432" t="inlineStr">
        <is>
          <t>PE</t>
        </is>
      </c>
      <c r="C432" s="4" t="n">
        <v>45839</v>
      </c>
      <c r="D432" t="n">
        <v>76574.65161290321</v>
      </c>
      <c r="E432" t="n">
        <v>544652.715</v>
      </c>
      <c r="F432" t="n">
        <v>7.112702487414559</v>
      </c>
      <c r="G432" t="b">
        <v>1</v>
      </c>
      <c r="I432" t="n">
        <v>7.298293560671027</v>
      </c>
      <c r="J432" t="inlineStr">
        <is>
          <t>trailing 12 calibrated months (Jul/24-Jun/25)</t>
        </is>
      </c>
      <c r="K432" t="n">
        <v>558864.2867770788</v>
      </c>
      <c r="L432" t="n">
        <v>544652.715</v>
      </c>
      <c r="M432" t="inlineStr">
        <is>
          <t>published</t>
        </is>
      </c>
      <c r="N432" t="n">
        <v>37610</v>
      </c>
      <c r="O432" t="n">
        <v>14.48159306035629</v>
      </c>
      <c r="P432" t="n">
        <v>0.5114131144485642</v>
      </c>
    </row>
    <row r="433">
      <c r="A433" t="inlineStr">
        <is>
          <t>Peru</t>
        </is>
      </c>
      <c r="B433" t="inlineStr">
        <is>
          <t>PE</t>
        </is>
      </c>
      <c r="C433" s="4" t="n">
        <v>45870</v>
      </c>
      <c r="D433" t="n">
        <v>76778.22258064518</v>
      </c>
      <c r="E433" t="n">
        <v>552905.4</v>
      </c>
      <c r="F433" t="n">
        <v>7.201331073003773</v>
      </c>
      <c r="G433" t="b">
        <v>1</v>
      </c>
      <c r="I433" t="n">
        <v>7.304740790859793</v>
      </c>
      <c r="J433" t="inlineStr">
        <is>
          <t>trailing 12 calibrated months (Aug/24-Jul/25)</t>
        </is>
      </c>
      <c r="K433" t="n">
        <v>560845.0143345513</v>
      </c>
      <c r="L433" t="n">
        <v>552905.4</v>
      </c>
      <c r="M433" t="inlineStr">
        <is>
          <t>published</t>
        </is>
      </c>
      <c r="N433" t="n">
        <v>37610</v>
      </c>
      <c r="O433" t="n">
        <v>14.70102100505185</v>
      </c>
      <c r="P433" t="n">
        <v>0.5191621464871045</v>
      </c>
    </row>
    <row r="434">
      <c r="A434" t="inlineStr">
        <is>
          <t>Peru</t>
        </is>
      </c>
      <c r="B434" t="inlineStr">
        <is>
          <t>PE</t>
        </is>
      </c>
      <c r="C434" s="4" t="n">
        <v>45901</v>
      </c>
      <c r="D434" t="n">
        <v>78064.96333333332</v>
      </c>
      <c r="E434" t="n">
        <v>564585.255</v>
      </c>
      <c r="F434" t="n">
        <v>7.232249025587195</v>
      </c>
      <c r="G434" t="b">
        <v>1</v>
      </c>
      <c r="I434" t="n">
        <v>7.317466562937323</v>
      </c>
      <c r="J434" t="inlineStr">
        <is>
          <t>trailing 12 calibrated months (Sep/24-Aug/25)</t>
        </is>
      </c>
      <c r="K434" t="n">
        <v>571237.7589285948</v>
      </c>
      <c r="L434" t="n">
        <v>564585.255</v>
      </c>
      <c r="M434" t="inlineStr">
        <is>
          <t>published</t>
        </is>
      </c>
      <c r="N434" t="n">
        <v>37610</v>
      </c>
      <c r="O434" t="n">
        <v>15.01157285296464</v>
      </c>
      <c r="P434" t="n">
        <v>0.5301291918305903</v>
      </c>
    </row>
    <row r="435">
      <c r="A435" t="inlineStr">
        <is>
          <t>Peru</t>
        </is>
      </c>
      <c r="B435" t="inlineStr">
        <is>
          <t>PE</t>
        </is>
      </c>
      <c r="C435" s="4" t="n">
        <v>45931</v>
      </c>
      <c r="D435" t="n">
        <v>56641.03870967741</v>
      </c>
      <c r="E435" t="n">
        <v>418252.125</v>
      </c>
      <c r="F435" t="n">
        <v>7.384259443825126</v>
      </c>
      <c r="G435" t="b">
        <v>1</v>
      </c>
      <c r="I435" t="n">
        <v>7.332125776592251</v>
      </c>
      <c r="J435" t="inlineStr">
        <is>
          <t>trailing 12 calibrated months (Oct/24-Sep/25)</t>
        </is>
      </c>
      <c r="K435" t="n">
        <v>415299.2199361852</v>
      </c>
      <c r="L435" t="n">
        <v>418252.125</v>
      </c>
      <c r="M435" t="inlineStr">
        <is>
          <t>published</t>
        </is>
      </c>
      <c r="N435" t="n">
        <v>37610</v>
      </c>
      <c r="O435" t="n">
        <v>11.12076907737304</v>
      </c>
      <c r="P435" t="n">
        <v>0.3927266237367056</v>
      </c>
    </row>
    <row r="436">
      <c r="A436" t="inlineStr">
        <is>
          <t>Peru</t>
        </is>
      </c>
      <c r="B436" t="inlineStr">
        <is>
          <t>PE</t>
        </is>
      </c>
      <c r="C436" s="4" t="n">
        <v>45962</v>
      </c>
      <c r="D436" t="n">
        <v>57044.28333333334</v>
      </c>
      <c r="E436" t="n">
        <v>424639.995</v>
      </c>
      <c r="F436" t="n">
        <v>7.444041193727562</v>
      </c>
      <c r="G436" t="b">
        <v>1</v>
      </c>
      <c r="I436" t="n">
        <v>7.359169521674254</v>
      </c>
      <c r="J436" t="inlineStr">
        <is>
          <t>trailing 12 calibrated months (Nov/24-Oct/25)</t>
        </is>
      </c>
      <c r="K436" t="n">
        <v>419798.5512924173</v>
      </c>
      <c r="L436" t="n">
        <v>424639.995</v>
      </c>
      <c r="M436" t="inlineStr">
        <is>
          <t>published</t>
        </is>
      </c>
      <c r="N436" t="n">
        <v>37610</v>
      </c>
      <c r="O436" t="n">
        <v>11.29061406540814</v>
      </c>
      <c r="P436" t="n">
        <v>0.3987246485356686</v>
      </c>
    </row>
    <row r="437">
      <c r="A437" t="inlineStr">
        <is>
          <t>Peru</t>
        </is>
      </c>
      <c r="B437" t="inlineStr">
        <is>
          <t>PE</t>
        </is>
      </c>
      <c r="C437" s="4" t="n">
        <v>45992</v>
      </c>
      <c r="D437" t="n">
        <v>69610.09354838711</v>
      </c>
      <c r="E437" t="n">
        <v>538378.7999999999</v>
      </c>
      <c r="F437" t="n">
        <v>7.734205954281099</v>
      </c>
      <c r="G437" t="b">
        <v>1</v>
      </c>
      <c r="I437" t="n">
        <v>7.383935145329958</v>
      </c>
      <c r="J437" t="inlineStr">
        <is>
          <t>trailing 12 calibrated months (Dec/24-Nov/25)</t>
        </is>
      </c>
      <c r="K437" t="n">
        <v>513996.4162216418</v>
      </c>
      <c r="L437" t="n">
        <v>538378.7999999999</v>
      </c>
      <c r="M437" t="inlineStr">
        <is>
          <t>published</t>
        </is>
      </c>
      <c r="N437" t="n">
        <v>37610</v>
      </c>
      <c r="O437" t="n">
        <v>14.31477798457857</v>
      </c>
      <c r="P437" t="n">
        <v>0.5055220900919967</v>
      </c>
    </row>
    <row r="438">
      <c r="A438" t="inlineStr">
        <is>
          <t>Peru</t>
        </is>
      </c>
      <c r="B438" t="inlineStr">
        <is>
          <t>PE</t>
        </is>
      </c>
      <c r="C438" s="4" t="n">
        <v>46023</v>
      </c>
      <c r="D438" t="n">
        <v>52551.77419354839</v>
      </c>
      <c r="E438" t="n">
        <v>432212.145</v>
      </c>
      <c r="F438" t="n">
        <v>8.224501487012807</v>
      </c>
      <c r="G438" t="b">
        <v>1</v>
      </c>
      <c r="I438" t="n">
        <v>7.420941026114132</v>
      </c>
      <c r="J438" t="inlineStr">
        <is>
          <t>trailing 12 calibrated months (Jan/25-Dec/25)</t>
        </is>
      </c>
      <c r="K438" t="n">
        <v>389983.6171079892</v>
      </c>
      <c r="L438" t="n">
        <v>432212.145</v>
      </c>
      <c r="M438" t="inlineStr">
        <is>
          <t>published</t>
        </is>
      </c>
      <c r="N438" t="n">
        <v>37610</v>
      </c>
      <c r="O438" t="n">
        <v>11.49194748737038</v>
      </c>
      <c r="P438" t="n">
        <v>0.4058346779322388</v>
      </c>
    </row>
    <row r="439">
      <c r="A439" t="inlineStr">
        <is>
          <t>Peru</t>
        </is>
      </c>
      <c r="B439" t="inlineStr">
        <is>
          <t>PE</t>
        </is>
      </c>
      <c r="C439" s="4" t="n">
        <v>46054</v>
      </c>
      <c r="D439" t="n">
        <v>47652.37857142857</v>
      </c>
      <c r="E439" t="n">
        <v>385907.01</v>
      </c>
      <c r="F439" t="n">
        <v>8.098378749794081</v>
      </c>
      <c r="G439" t="b">
        <v>1</v>
      </c>
      <c r="I439" t="n">
        <v>7.470018975535112</v>
      </c>
      <c r="J439" t="inlineStr">
        <is>
          <t>trailing 12 calibrated months (Feb/25-Jan/26)</t>
        </is>
      </c>
      <c r="K439" t="n">
        <v>355964.1721579541</v>
      </c>
      <c r="L439" t="n">
        <v>385907.01</v>
      </c>
      <c r="M439" t="inlineStr">
        <is>
          <t>published</t>
        </is>
      </c>
      <c r="N439" t="n">
        <v>37610</v>
      </c>
      <c r="O439" t="n">
        <v>10.26075538420633</v>
      </c>
      <c r="P439" t="n">
        <v>0.3623554981666312</v>
      </c>
    </row>
    <row r="440">
      <c r="A440" t="inlineStr">
        <is>
          <t>Peru</t>
        </is>
      </c>
      <c r="B440" t="inlineStr">
        <is>
          <t>PE</t>
        </is>
      </c>
      <c r="C440" s="4" t="n">
        <v>46082</v>
      </c>
      <c r="D440" t="n">
        <v>40750.86129032258</v>
      </c>
      <c r="E440" t="n">
        <v>269528.07</v>
      </c>
      <c r="F440" t="n">
        <v>6.614045972667746</v>
      </c>
      <c r="G440" t="b">
        <v>1</v>
      </c>
      <c r="I440" t="n">
        <v>7.505677898875654</v>
      </c>
      <c r="J440" t="inlineStr">
        <is>
          <t>trailing 12 calibrated months (Mar/25-Feb/26)</t>
        </is>
      </c>
      <c r="K440" t="n">
        <v>305862.8389469216</v>
      </c>
      <c r="L440" t="n">
        <v>269528.07</v>
      </c>
      <c r="M440" t="inlineStr">
        <is>
          <t>published</t>
        </is>
      </c>
      <c r="N440" t="n">
        <v>37610</v>
      </c>
      <c r="O440" t="n">
        <v>7.166393778250465</v>
      </c>
      <c r="P440" t="n">
        <v>0.2530790463607817</v>
      </c>
    </row>
    <row r="441">
      <c r="A441" t="inlineStr">
        <is>
          <t>Peru</t>
        </is>
      </c>
      <c r="B441" t="inlineStr">
        <is>
          <t>PE</t>
        </is>
      </c>
      <c r="C441" s="4" t="n">
        <v>46113</v>
      </c>
      <c r="D441" t="n">
        <v>52394.49666666667</v>
      </c>
      <c r="E441" t="n">
        <v>391417.32</v>
      </c>
      <c r="F441" t="n">
        <v>7.47058078427957</v>
      </c>
      <c r="G441" t="b">
        <v>1</v>
      </c>
      <c r="I441" t="n">
        <v>7.453700086855076</v>
      </c>
      <c r="J441" t="inlineStr">
        <is>
          <t>trailing 12 calibrated months (Apr/25-Mar/26)</t>
        </is>
      </c>
      <c r="K441" t="n">
        <v>390532.8643550613</v>
      </c>
      <c r="L441" t="n">
        <v>391417.32</v>
      </c>
      <c r="M441" t="inlineStr">
        <is>
          <t>published</t>
        </is>
      </c>
      <c r="N441" t="n">
        <v>37610</v>
      </c>
      <c r="O441" t="n">
        <v>10.40726721616591</v>
      </c>
      <c r="P441" t="n">
        <v>0.3675295195587343</v>
      </c>
    </row>
    <row r="442">
      <c r="A442" t="inlineStr">
        <is>
          <t>Peru</t>
        </is>
      </c>
      <c r="B442" t="inlineStr">
        <is>
          <t>PE</t>
        </is>
      </c>
      <c r="C442" s="4" t="n">
        <v>46143</v>
      </c>
      <c r="D442" t="n">
        <v>61416.16129032259</v>
      </c>
      <c r="E442" t="n">
        <v>450326.73</v>
      </c>
      <c r="F442" t="n">
        <v>7.332381583916389</v>
      </c>
      <c r="G442" t="b">
        <v>1</v>
      </c>
      <c r="I442" t="n">
        <v>7.440906777024724</v>
      </c>
      <c r="J442" t="inlineStr">
        <is>
          <t>trailing 12 calibrated months (May/25-Apr/26)</t>
        </is>
      </c>
      <c r="K442" t="n">
        <v>456991.9307640049</v>
      </c>
      <c r="L442" t="n">
        <v>450326.73</v>
      </c>
      <c r="M442" t="inlineStr">
        <is>
          <t>published</t>
        </is>
      </c>
      <c r="N442" t="n">
        <v>37610</v>
      </c>
      <c r="O442" t="n">
        <v>11.9735902685456</v>
      </c>
      <c r="P442" t="n">
        <v>0.4228437482566073</v>
      </c>
    </row>
    <row r="443">
      <c r="A443" t="inlineStr">
        <is>
          <t>Peru</t>
        </is>
      </c>
      <c r="B443" t="inlineStr">
        <is>
          <t>PE</t>
        </is>
      </c>
      <c r="C443" s="4" t="n">
        <v>46174</v>
      </c>
      <c r="D443" t="n">
        <v>77929.75333333334</v>
      </c>
      <c r="E443" t="n">
        <v>564738.615</v>
      </c>
      <c r="F443" t="n">
        <v>7.246765078087846</v>
      </c>
      <c r="G443" t="b">
        <v>1</v>
      </c>
      <c r="I443" t="n">
        <v>7.420257140138811</v>
      </c>
      <c r="J443" t="inlineStr">
        <is>
          <t>trailing 12 calibrated months (Jun/25-May/26)</t>
        </is>
      </c>
      <c r="K443" t="n">
        <v>578258.808600923</v>
      </c>
      <c r="L443" t="n">
        <v>564738.615</v>
      </c>
      <c r="M443" t="inlineStr">
        <is>
          <t>published</t>
        </is>
      </c>
      <c r="N443" t="n">
        <v>37610</v>
      </c>
      <c r="O443" t="n">
        <v>15.01565049189045</v>
      </c>
      <c r="P443" t="n">
        <v>0.5302731924259638</v>
      </c>
    </row>
    <row r="444">
      <c r="A444" t="inlineStr">
        <is>
          <t>Peru</t>
        </is>
      </c>
      <c r="B444" t="inlineStr">
        <is>
          <t>PE</t>
        </is>
      </c>
      <c r="C444" s="4" t="n">
        <v>46204</v>
      </c>
      <c r="D444" t="n">
        <v>87291.79677419356</v>
      </c>
      <c r="E444" t="n">
        <v>607007.4</v>
      </c>
      <c r="F444" t="n">
        <v>6.953773692735492</v>
      </c>
      <c r="G444" t="b">
        <v>1</v>
      </c>
      <c r="I444" t="n">
        <v>7.408991010622112</v>
      </c>
      <c r="J444" t="inlineStr">
        <is>
          <t>trailing 12 calibrated months (Jul/25-Jun/26)</t>
        </is>
      </c>
      <c r="K444" t="n">
        <v>646744.1376010524</v>
      </c>
      <c r="L444" t="n">
        <v>607007.4</v>
      </c>
      <c r="M444" t="inlineStr">
        <is>
          <t>published</t>
        </is>
      </c>
      <c r="N444" t="n">
        <v>37610</v>
      </c>
      <c r="O444" t="n">
        <v>16.13952140388195</v>
      </c>
      <c r="P444" t="n">
        <v>0.5699623565216697</v>
      </c>
    </row>
    <row r="445">
      <c r="A445" t="inlineStr">
        <is>
          <t>Peru</t>
        </is>
      </c>
      <c r="B445" t="inlineStr">
        <is>
          <t>PE</t>
        </is>
      </c>
      <c r="C445" s="4" t="n">
        <v>46235</v>
      </c>
      <c r="D445" t="n">
        <v>85004.44516129031</v>
      </c>
      <c r="E445" t="n">
        <v>570694.0950000001</v>
      </c>
      <c r="F445" t="n">
        <v>6.713697076866343</v>
      </c>
      <c r="G445" t="b">
        <v>1</v>
      </c>
      <c r="I445" t="n">
        <v>7.386503256441665</v>
      </c>
      <c r="J445" t="inlineStr">
        <is>
          <t>trailing 12 calibrated months (Aug/25-Jul/26)</t>
        </is>
      </c>
      <c r="K445" t="n">
        <v>627885.6109958878</v>
      </c>
      <c r="L445" t="n">
        <v>570694.0950000001</v>
      </c>
      <c r="M445" t="inlineStr">
        <is>
          <t>published</t>
        </is>
      </c>
      <c r="N445" t="n">
        <v>37610</v>
      </c>
      <c r="O445" t="n">
        <v>15.17399880350971</v>
      </c>
      <c r="P445" t="n">
        <v>0.5358652155463043</v>
      </c>
    </row>
    <row r="446">
      <c r="A446" t="inlineStr">
        <is>
          <t>Peru</t>
        </is>
      </c>
      <c r="B446" t="inlineStr">
        <is>
          <t>PE</t>
        </is>
      </c>
      <c r="C446" s="4" t="n">
        <v>46266</v>
      </c>
      <c r="D446" t="n">
        <v>87820.45999999998</v>
      </c>
      <c r="E446" t="n">
        <v>647642.475</v>
      </c>
      <c r="F446" t="n">
        <v>7.374619479333178</v>
      </c>
      <c r="G446" t="b">
        <v>1</v>
      </c>
      <c r="I446" t="n">
        <v>7.33042677684862</v>
      </c>
      <c r="J446" t="inlineStr">
        <is>
          <t>trailing 12 calibrated months (Sep/25-Aug/26)</t>
        </is>
      </c>
      <c r="K446" t="n">
        <v>643761.451539163</v>
      </c>
      <c r="L446" t="n">
        <v>647642.475</v>
      </c>
      <c r="M446" t="inlineStr">
        <is>
          <t>published</t>
        </is>
      </c>
      <c r="N446" t="n">
        <v>37610</v>
      </c>
      <c r="O446" t="n">
        <v>17.21995413453869</v>
      </c>
      <c r="P446" t="n">
        <v>0.6081175142749933</v>
      </c>
    </row>
    <row r="447">
      <c r="A447" t="inlineStr">
        <is>
          <t>Peru</t>
        </is>
      </c>
      <c r="B447" t="inlineStr">
        <is>
          <t>PE</t>
        </is>
      </c>
      <c r="C447" s="4" t="n">
        <v>46296</v>
      </c>
      <c r="D447" t="n">
        <v>87841.46923076922</v>
      </c>
      <c r="G447" t="b">
        <v>0</v>
      </c>
      <c r="I447" t="n">
        <v>7.345302635380389</v>
      </c>
      <c r="J447" t="inlineStr">
        <is>
          <t>trailing 12 calibrated months (Oct/25-Sep/26)</t>
        </is>
      </c>
      <c r="K447" t="n">
        <v>645222.1754364545</v>
      </c>
      <c r="L447" t="n">
        <v>645222.1754364545</v>
      </c>
      <c r="M447" t="inlineStr">
        <is>
          <t>estimated</t>
        </is>
      </c>
      <c r="N447" t="n">
        <v>37610</v>
      </c>
      <c r="O447" t="n">
        <v>17.15560158033647</v>
      </c>
      <c r="P447" t="n">
        <v>0.6058449231291081</v>
      </c>
    </row>
    <row r="448">
      <c r="A448" t="inlineStr">
        <is>
          <t>Panama</t>
        </is>
      </c>
      <c r="B448" t="inlineStr">
        <is>
          <t>PA</t>
        </is>
      </c>
      <c r="C448" s="4" t="n">
        <v>44197</v>
      </c>
      <c r="D448" t="n">
        <v>3860.354838709678</v>
      </c>
      <c r="G448" t="b">
        <v>0</v>
      </c>
      <c r="I448" t="n">
        <v>7</v>
      </c>
      <c r="J448" t="inlineStr">
        <is>
          <t>ASSUMPTION: 7.0 MMBtu/MWh, the same as panama_gas.xlsx (AES Colón combined cycle)</t>
        </is>
      </c>
      <c r="K448" t="n">
        <v>27022.48387096774</v>
      </c>
      <c r="L448" t="n">
        <v>27022.48387096774</v>
      </c>
      <c r="M448" t="inlineStr">
        <is>
          <t>estimated</t>
        </is>
      </c>
      <c r="N448" t="n">
        <v>36374</v>
      </c>
      <c r="O448" t="n">
        <v>0.742906578076861</v>
      </c>
      <c r="P448" t="n">
        <v>0.02623552293281092</v>
      </c>
    </row>
    <row r="449">
      <c r="A449" t="inlineStr">
        <is>
          <t>Panama</t>
        </is>
      </c>
      <c r="B449" t="inlineStr">
        <is>
          <t>PA</t>
        </is>
      </c>
      <c r="C449" s="4" t="n">
        <v>44228</v>
      </c>
      <c r="D449" t="n">
        <v>6379.285714285715</v>
      </c>
      <c r="G449" t="b">
        <v>0</v>
      </c>
      <c r="I449" t="n">
        <v>7</v>
      </c>
      <c r="J449" t="inlineStr">
        <is>
          <t>ASSUMPTION: 7.0 MMBtu/MWh, the same as panama_gas.xlsx (AES Colón combined cycle)</t>
        </is>
      </c>
      <c r="K449" t="n">
        <v>44655</v>
      </c>
      <c r="L449" t="n">
        <v>44655</v>
      </c>
      <c r="M449" t="inlineStr">
        <is>
          <t>estimated</t>
        </is>
      </c>
      <c r="N449" t="n">
        <v>36374</v>
      </c>
      <c r="O449" t="n">
        <v>1.227662616154396</v>
      </c>
      <c r="P449" t="n">
        <v>0.04335453699070765</v>
      </c>
    </row>
    <row r="450">
      <c r="A450" t="inlineStr">
        <is>
          <t>Panama</t>
        </is>
      </c>
      <c r="B450" t="inlineStr">
        <is>
          <t>PA</t>
        </is>
      </c>
      <c r="C450" s="4" t="n">
        <v>44256</v>
      </c>
      <c r="D450" t="n">
        <v>6732.903225806452</v>
      </c>
      <c r="G450" t="b">
        <v>0</v>
      </c>
      <c r="I450" t="n">
        <v>7</v>
      </c>
      <c r="J450" t="inlineStr">
        <is>
          <t>ASSUMPTION: 7.0 MMBtu/MWh, the same as panama_gas.xlsx (AES Colón combined cycle)</t>
        </is>
      </c>
      <c r="K450" t="n">
        <v>47130.32258064516</v>
      </c>
      <c r="L450" t="n">
        <v>47130.32258064516</v>
      </c>
      <c r="M450" t="inlineStr">
        <is>
          <t>estimated</t>
        </is>
      </c>
      <c r="N450" t="n">
        <v>36374</v>
      </c>
      <c r="O450" t="n">
        <v>1.295714592308934</v>
      </c>
      <c r="P450" t="n">
        <v>0.0457577721130123</v>
      </c>
    </row>
    <row r="451">
      <c r="A451" t="inlineStr">
        <is>
          <t>Panama</t>
        </is>
      </c>
      <c r="B451" t="inlineStr">
        <is>
          <t>PA</t>
        </is>
      </c>
      <c r="C451" s="4" t="n">
        <v>44287</v>
      </c>
      <c r="D451" t="n">
        <v>5186.3</v>
      </c>
      <c r="G451" t="b">
        <v>0</v>
      </c>
      <c r="I451" t="n">
        <v>7</v>
      </c>
      <c r="J451" t="inlineStr">
        <is>
          <t>ASSUMPTION: 7.0 MMBtu/MWh, the same as panama_gas.xlsx (AES Colón combined cycle)</t>
        </is>
      </c>
      <c r="K451" t="n">
        <v>36304.1</v>
      </c>
      <c r="L451" t="n">
        <v>36304.1</v>
      </c>
      <c r="M451" t="inlineStr">
        <is>
          <t>estimated</t>
        </is>
      </c>
      <c r="N451" t="n">
        <v>36374</v>
      </c>
      <c r="O451" t="n">
        <v>0.9980782976851597</v>
      </c>
      <c r="P451" t="n">
        <v>0.03524683565926211</v>
      </c>
    </row>
    <row r="452">
      <c r="A452" t="inlineStr">
        <is>
          <t>Panama</t>
        </is>
      </c>
      <c r="B452" t="inlineStr">
        <is>
          <t>PA</t>
        </is>
      </c>
      <c r="C452" s="4" t="n">
        <v>44317</v>
      </c>
      <c r="D452" t="n">
        <v>3219.91935483871</v>
      </c>
      <c r="G452" t="b">
        <v>0</v>
      </c>
      <c r="I452" t="n">
        <v>7</v>
      </c>
      <c r="J452" t="inlineStr">
        <is>
          <t>ASSUMPTION: 7.0 MMBtu/MWh, the same as panama_gas.xlsx (AES Colón combined cycle)</t>
        </is>
      </c>
      <c r="K452" t="n">
        <v>22539.43548387097</v>
      </c>
      <c r="L452" t="n">
        <v>22539.43548387097</v>
      </c>
      <c r="M452" t="inlineStr">
        <is>
          <t>estimated</t>
        </is>
      </c>
      <c r="N452" t="n">
        <v>36374</v>
      </c>
      <c r="O452" t="n">
        <v>0.6196578733125576</v>
      </c>
      <c r="P452" t="n">
        <v>0.02188303189867098</v>
      </c>
    </row>
    <row r="453">
      <c r="A453" t="inlineStr">
        <is>
          <t>Panama</t>
        </is>
      </c>
      <c r="B453" t="inlineStr">
        <is>
          <t>PA</t>
        </is>
      </c>
      <c r="C453" s="4" t="n">
        <v>44348</v>
      </c>
      <c r="D453" t="n">
        <v>2108</v>
      </c>
      <c r="G453" t="b">
        <v>0</v>
      </c>
      <c r="I453" t="n">
        <v>7</v>
      </c>
      <c r="J453" t="inlineStr">
        <is>
          <t>ASSUMPTION: 7.0 MMBtu/MWh, the same as panama_gas.xlsx (AES Colón combined cycle)</t>
        </is>
      </c>
      <c r="K453" t="n">
        <v>14756</v>
      </c>
      <c r="L453" t="n">
        <v>14756</v>
      </c>
      <c r="M453" t="inlineStr">
        <is>
          <t>estimated</t>
        </is>
      </c>
      <c r="N453" t="n">
        <v>36374</v>
      </c>
      <c r="O453" t="n">
        <v>0.4056743828009017</v>
      </c>
      <c r="P453" t="n">
        <v>0.014326269126299</v>
      </c>
    </row>
    <row r="454">
      <c r="A454" t="inlineStr">
        <is>
          <t>Panama</t>
        </is>
      </c>
      <c r="B454" t="inlineStr">
        <is>
          <t>PA</t>
        </is>
      </c>
      <c r="C454" s="4" t="n">
        <v>44378</v>
      </c>
      <c r="D454" t="n">
        <v>3464.445161290323</v>
      </c>
      <c r="G454" t="b">
        <v>0</v>
      </c>
      <c r="I454" t="n">
        <v>7</v>
      </c>
      <c r="J454" t="inlineStr">
        <is>
          <t>ASSUMPTION: 7.0 MMBtu/MWh, the same as panama_gas.xlsx (AES Colón combined cycle)</t>
        </is>
      </c>
      <c r="K454" t="n">
        <v>24251.11612903226</v>
      </c>
      <c r="L454" t="n">
        <v>24251.11612903226</v>
      </c>
      <c r="M454" t="inlineStr">
        <is>
          <t>estimated</t>
        </is>
      </c>
      <c r="N454" t="n">
        <v>36374</v>
      </c>
      <c r="O454" t="n">
        <v>0.6667156795797069</v>
      </c>
      <c r="P454" t="n">
        <v>0.02354486420965347</v>
      </c>
    </row>
    <row r="455">
      <c r="A455" t="inlineStr">
        <is>
          <t>Panama</t>
        </is>
      </c>
      <c r="B455" t="inlineStr">
        <is>
          <t>PA</t>
        </is>
      </c>
      <c r="C455" s="4" t="n">
        <v>44409</v>
      </c>
      <c r="D455" t="n">
        <v>1486.545161290323</v>
      </c>
      <c r="G455" t="b">
        <v>0</v>
      </c>
      <c r="I455" t="n">
        <v>7</v>
      </c>
      <c r="J455" t="inlineStr">
        <is>
          <t>ASSUMPTION: 7.0 MMBtu/MWh, the same as panama_gas.xlsx (AES Colón combined cycle)</t>
        </is>
      </c>
      <c r="K455" t="n">
        <v>10405.81612903226</v>
      </c>
      <c r="L455" t="n">
        <v>10405.81612903226</v>
      </c>
      <c r="M455" t="inlineStr">
        <is>
          <t>estimated</t>
        </is>
      </c>
      <c r="N455" t="n">
        <v>36374</v>
      </c>
      <c r="O455" t="n">
        <v>0.2860784112011947</v>
      </c>
      <c r="P455" t="n">
        <v>0.01010277326804683</v>
      </c>
    </row>
    <row r="456">
      <c r="A456" t="inlineStr">
        <is>
          <t>Panama</t>
        </is>
      </c>
      <c r="B456" t="inlineStr">
        <is>
          <t>PA</t>
        </is>
      </c>
      <c r="C456" s="4" t="n">
        <v>44440</v>
      </c>
      <c r="D456" t="n">
        <v>1122.88</v>
      </c>
      <c r="G456" t="b">
        <v>0</v>
      </c>
      <c r="I456" t="n">
        <v>7</v>
      </c>
      <c r="J456" t="inlineStr">
        <is>
          <t>ASSUMPTION: 7.0 MMBtu/MWh, the same as panama_gas.xlsx (AES Colón combined cycle)</t>
        </is>
      </c>
      <c r="K456" t="n">
        <v>7860.160000000001</v>
      </c>
      <c r="L456" t="n">
        <v>7860.160000000001</v>
      </c>
      <c r="M456" t="inlineStr">
        <is>
          <t>estimated</t>
        </is>
      </c>
      <c r="N456" t="n">
        <v>36374</v>
      </c>
      <c r="O456" t="n">
        <v>0.2160928135481388</v>
      </c>
      <c r="P456" t="n">
        <v>0.007631252882608457</v>
      </c>
    </row>
    <row r="457">
      <c r="A457" t="inlineStr">
        <is>
          <t>Panama</t>
        </is>
      </c>
      <c r="B457" t="inlineStr">
        <is>
          <t>PA</t>
        </is>
      </c>
      <c r="C457" s="4" t="n">
        <v>44470</v>
      </c>
      <c r="D457" t="n">
        <v>3445.561290322581</v>
      </c>
      <c r="G457" t="b">
        <v>0</v>
      </c>
      <c r="I457" t="n">
        <v>7</v>
      </c>
      <c r="J457" t="inlineStr">
        <is>
          <t>ASSUMPTION: 7.0 MMBtu/MWh, the same as panama_gas.xlsx (AES Colón combined cycle)</t>
        </is>
      </c>
      <c r="K457" t="n">
        <v>24118.92903225807</v>
      </c>
      <c r="L457" t="n">
        <v>24118.92903225807</v>
      </c>
      <c r="M457" t="inlineStr">
        <is>
          <t>estimated</t>
        </is>
      </c>
      <c r="N457" t="n">
        <v>36374</v>
      </c>
      <c r="O457" t="n">
        <v>0.6630815701396071</v>
      </c>
      <c r="P457" t="n">
        <v>0.02341652672500918</v>
      </c>
    </row>
    <row r="458">
      <c r="A458" t="inlineStr">
        <is>
          <t>Panama</t>
        </is>
      </c>
      <c r="B458" t="inlineStr">
        <is>
          <t>PA</t>
        </is>
      </c>
      <c r="C458" s="4" t="n">
        <v>44501</v>
      </c>
      <c r="D458" t="n">
        <v>4626.836666666667</v>
      </c>
      <c r="G458" t="b">
        <v>0</v>
      </c>
      <c r="I458" t="n">
        <v>7</v>
      </c>
      <c r="J458" t="inlineStr">
        <is>
          <t>ASSUMPTION: 7.0 MMBtu/MWh, the same as panama_gas.xlsx (AES Colón combined cycle)</t>
        </is>
      </c>
      <c r="K458" t="n">
        <v>32387.85666666667</v>
      </c>
      <c r="L458" t="n">
        <v>32387.85666666667</v>
      </c>
      <c r="M458" t="inlineStr">
        <is>
          <t>estimated</t>
        </is>
      </c>
      <c r="N458" t="n">
        <v>36374</v>
      </c>
      <c r="O458" t="n">
        <v>0.8904122908304467</v>
      </c>
      <c r="P458" t="n">
        <v>0.03144464292698997</v>
      </c>
    </row>
    <row r="459">
      <c r="A459" t="inlineStr">
        <is>
          <t>Panama</t>
        </is>
      </c>
      <c r="B459" t="inlineStr">
        <is>
          <t>PA</t>
        </is>
      </c>
      <c r="C459" s="4" t="n">
        <v>44531</v>
      </c>
      <c r="D459" t="n">
        <v>7355.764516129033</v>
      </c>
      <c r="G459" t="b">
        <v>0</v>
      </c>
      <c r="I459" t="n">
        <v>7</v>
      </c>
      <c r="J459" t="inlineStr">
        <is>
          <t>ASSUMPTION: 7.0 MMBtu/MWh, the same as panama_gas.xlsx (AES Colón combined cycle)</t>
        </is>
      </c>
      <c r="K459" t="n">
        <v>51490.35161290323</v>
      </c>
      <c r="L459" t="n">
        <v>51490.35161290323</v>
      </c>
      <c r="M459" t="inlineStr">
        <is>
          <t>estimated</t>
        </is>
      </c>
      <c r="N459" t="n">
        <v>36374</v>
      </c>
      <c r="O459" t="n">
        <v>1.415581228704658</v>
      </c>
      <c r="P459" t="n">
        <v>0.04999082641733638</v>
      </c>
    </row>
    <row r="460">
      <c r="A460" t="inlineStr">
        <is>
          <t>Panama</t>
        </is>
      </c>
      <c r="B460" t="inlineStr">
        <is>
          <t>PA</t>
        </is>
      </c>
      <c r="C460" s="4" t="n">
        <v>44562</v>
      </c>
      <c r="D460" t="n">
        <v>7119.935483870968</v>
      </c>
      <c r="G460" t="b">
        <v>0</v>
      </c>
      <c r="I460" t="n">
        <v>7</v>
      </c>
      <c r="J460" t="inlineStr">
        <is>
          <t>ASSUMPTION: 7.0 MMBtu/MWh, the same as panama_gas.xlsx (AES Colón combined cycle)</t>
        </is>
      </c>
      <c r="K460" t="n">
        <v>49839.54838709677</v>
      </c>
      <c r="L460" t="n">
        <v>49839.54838709677</v>
      </c>
      <c r="M460" t="inlineStr">
        <is>
          <t>estimated</t>
        </is>
      </c>
      <c r="N460" t="n">
        <v>36374</v>
      </c>
      <c r="O460" t="n">
        <v>1.370197074478935</v>
      </c>
      <c r="P460" t="n">
        <v>0.04838809862610123</v>
      </c>
    </row>
    <row r="461">
      <c r="A461" t="inlineStr">
        <is>
          <t>Panama</t>
        </is>
      </c>
      <c r="B461" t="inlineStr">
        <is>
          <t>PA</t>
        </is>
      </c>
      <c r="C461" s="4" t="n">
        <v>44593</v>
      </c>
      <c r="D461" t="n">
        <v>7881.682142857143</v>
      </c>
      <c r="G461" t="b">
        <v>0</v>
      </c>
      <c r="I461" t="n">
        <v>7</v>
      </c>
      <c r="J461" t="inlineStr">
        <is>
          <t>ASSUMPTION: 7.0 MMBtu/MWh, the same as panama_gas.xlsx (AES Colón combined cycle)</t>
        </is>
      </c>
      <c r="K461" t="n">
        <v>55171.775</v>
      </c>
      <c r="L461" t="n">
        <v>55171.775</v>
      </c>
      <c r="M461" t="inlineStr">
        <is>
          <t>estimated</t>
        </is>
      </c>
      <c r="N461" t="n">
        <v>36374</v>
      </c>
      <c r="O461" t="n">
        <v>1.516791526914829</v>
      </c>
      <c r="P461" t="n">
        <v>0.05356503773553912</v>
      </c>
    </row>
    <row r="462">
      <c r="A462" t="inlineStr">
        <is>
          <t>Panama</t>
        </is>
      </c>
      <c r="B462" t="inlineStr">
        <is>
          <t>PA</t>
        </is>
      </c>
      <c r="C462" s="4" t="n">
        <v>44621</v>
      </c>
      <c r="D462" t="n">
        <v>7505.238709677419</v>
      </c>
      <c r="G462" t="b">
        <v>0</v>
      </c>
      <c r="I462" t="n">
        <v>7</v>
      </c>
      <c r="J462" t="inlineStr">
        <is>
          <t>ASSUMPTION: 7.0 MMBtu/MWh, the same as panama_gas.xlsx (AES Colón combined cycle)</t>
        </is>
      </c>
      <c r="K462" t="n">
        <v>52536.67096774193</v>
      </c>
      <c r="L462" t="n">
        <v>52536.67096774193</v>
      </c>
      <c r="M462" t="inlineStr">
        <is>
          <t>estimated</t>
        </is>
      </c>
      <c r="N462" t="n">
        <v>36374</v>
      </c>
      <c r="O462" t="n">
        <v>1.444346812771263</v>
      </c>
      <c r="P462" t="n">
        <v>0.05100667438897333</v>
      </c>
    </row>
    <row r="463">
      <c r="A463" t="inlineStr">
        <is>
          <t>Panama</t>
        </is>
      </c>
      <c r="B463" t="inlineStr">
        <is>
          <t>PA</t>
        </is>
      </c>
      <c r="C463" s="4" t="n">
        <v>44652</v>
      </c>
      <c r="D463" t="n">
        <v>7666.079310344827</v>
      </c>
      <c r="G463" t="b">
        <v>0</v>
      </c>
      <c r="I463" t="n">
        <v>7</v>
      </c>
      <c r="J463" t="inlineStr">
        <is>
          <t>ASSUMPTION: 7.0 MMBtu/MWh, the same as panama_gas.xlsx (AES Colón combined cycle)</t>
        </is>
      </c>
      <c r="K463" t="n">
        <v>53662.55517241379</v>
      </c>
      <c r="L463" t="n">
        <v>53662.55517241379</v>
      </c>
      <c r="M463" t="inlineStr">
        <is>
          <t>estimated</t>
        </is>
      </c>
      <c r="N463" t="n">
        <v>36374</v>
      </c>
      <c r="O463" t="n">
        <v>1.475299806796442</v>
      </c>
      <c r="P463" t="n">
        <v>0.05209977008707432</v>
      </c>
    </row>
    <row r="464">
      <c r="A464" t="inlineStr">
        <is>
          <t>Panama</t>
        </is>
      </c>
      <c r="B464" t="inlineStr">
        <is>
          <t>PA</t>
        </is>
      </c>
      <c r="C464" s="4" t="n">
        <v>44682</v>
      </c>
      <c r="D464" t="n">
        <v>2407.774193548387</v>
      </c>
      <c r="G464" t="b">
        <v>0</v>
      </c>
      <c r="I464" t="n">
        <v>7</v>
      </c>
      <c r="J464" t="inlineStr">
        <is>
          <t>ASSUMPTION: 7.0 MMBtu/MWh, the same as panama_gas.xlsx (AES Colón combined cycle)</t>
        </is>
      </c>
      <c r="K464" t="n">
        <v>16854.41935483871</v>
      </c>
      <c r="L464" t="n">
        <v>16854.41935483871</v>
      </c>
      <c r="M464" t="inlineStr">
        <is>
          <t>estimated</t>
        </is>
      </c>
      <c r="N464" t="n">
        <v>36374</v>
      </c>
      <c r="O464" t="n">
        <v>0.4633644733831504</v>
      </c>
      <c r="P464" t="n">
        <v>0.01636357736818394</v>
      </c>
    </row>
    <row r="465">
      <c r="A465" t="inlineStr">
        <is>
          <t>Panama</t>
        </is>
      </c>
      <c r="B465" t="inlineStr">
        <is>
          <t>PA</t>
        </is>
      </c>
      <c r="C465" s="4" t="n">
        <v>44713</v>
      </c>
      <c r="D465" t="n">
        <v>196.9933333333333</v>
      </c>
      <c r="G465" t="b">
        <v>0</v>
      </c>
      <c r="I465" t="n">
        <v>7</v>
      </c>
      <c r="J465" t="inlineStr">
        <is>
          <t>ASSUMPTION: 7.0 MMBtu/MWh, the same as panama_gas.xlsx (AES Colón combined cycle)</t>
        </is>
      </c>
      <c r="K465" t="n">
        <v>1378.953333333333</v>
      </c>
      <c r="L465" t="n">
        <v>1378.953333333333</v>
      </c>
      <c r="M465" t="inlineStr">
        <is>
          <t>estimated</t>
        </is>
      </c>
      <c r="N465" t="n">
        <v>36374</v>
      </c>
      <c r="O465" t="n">
        <v>0.0379104121991899</v>
      </c>
      <c r="P465" t="n">
        <v>0.001338794833690731</v>
      </c>
    </row>
    <row r="466">
      <c r="A466" t="inlineStr">
        <is>
          <t>Panama</t>
        </is>
      </c>
      <c r="B466" t="inlineStr">
        <is>
          <t>PA</t>
        </is>
      </c>
      <c r="C466" s="4" t="n">
        <v>44743</v>
      </c>
      <c r="D466" t="n">
        <v>0</v>
      </c>
      <c r="G466" t="b">
        <v>0</v>
      </c>
      <c r="I466" t="n">
        <v>7</v>
      </c>
      <c r="J466" t="inlineStr">
        <is>
          <t>ASSUMPTION: 7.0 MMBtu/MWh, the same as panama_gas.xlsx (AES Colón combined cycle)</t>
        </is>
      </c>
      <c r="K466" t="n">
        <v>0</v>
      </c>
      <c r="L466" t="n">
        <v>0</v>
      </c>
      <c r="M466" t="inlineStr">
        <is>
          <t>estimated</t>
        </is>
      </c>
      <c r="N466" t="n">
        <v>36374</v>
      </c>
      <c r="O466" t="n">
        <v>0</v>
      </c>
      <c r="P466" t="n">
        <v>0</v>
      </c>
    </row>
    <row r="467">
      <c r="A467" t="inlineStr">
        <is>
          <t>Panama</t>
        </is>
      </c>
      <c r="B467" t="inlineStr">
        <is>
          <t>PA</t>
        </is>
      </c>
      <c r="C467" s="4" t="n">
        <v>44774</v>
      </c>
      <c r="D467" t="n">
        <v>176.1935483870968</v>
      </c>
      <c r="G467" t="b">
        <v>0</v>
      </c>
      <c r="I467" t="n">
        <v>7</v>
      </c>
      <c r="J467" t="inlineStr">
        <is>
          <t>ASSUMPTION: 7.0 MMBtu/MWh, the same as panama_gas.xlsx (AES Colón combined cycle)</t>
        </is>
      </c>
      <c r="K467" t="n">
        <v>1233.354838709677</v>
      </c>
      <c r="L467" t="n">
        <v>1233.354838709677</v>
      </c>
      <c r="M467" t="inlineStr">
        <is>
          <t>estimated</t>
        </is>
      </c>
      <c r="N467" t="n">
        <v>36374</v>
      </c>
      <c r="O467" t="n">
        <v>0.0339075944001121</v>
      </c>
      <c r="P467" t="n">
        <v>0.001197436523961638</v>
      </c>
    </row>
    <row r="468">
      <c r="A468" t="inlineStr">
        <is>
          <t>Panama</t>
        </is>
      </c>
      <c r="B468" t="inlineStr">
        <is>
          <t>PA</t>
        </is>
      </c>
      <c r="C468" s="4" t="n">
        <v>44805</v>
      </c>
      <c r="D468" t="n">
        <v>10.81666666666667</v>
      </c>
      <c r="G468" t="b">
        <v>0</v>
      </c>
      <c r="I468" t="n">
        <v>7</v>
      </c>
      <c r="J468" t="inlineStr">
        <is>
          <t>ASSUMPTION: 7.0 MMBtu/MWh, the same as panama_gas.xlsx (AES Colón combined cycle)</t>
        </is>
      </c>
      <c r="K468" t="n">
        <v>75.71666666666667</v>
      </c>
      <c r="L468" t="n">
        <v>75.71666666666667</v>
      </c>
      <c r="M468" t="inlineStr">
        <is>
          <t>estimated</t>
        </is>
      </c>
      <c r="N468" t="n">
        <v>36374</v>
      </c>
      <c r="O468" t="n">
        <v>0.002081615073037518</v>
      </c>
      <c r="P468" t="n">
        <v>7.351161181979803e-05</v>
      </c>
    </row>
    <row r="469">
      <c r="A469" t="inlineStr">
        <is>
          <t>Panama</t>
        </is>
      </c>
      <c r="B469" t="inlineStr">
        <is>
          <t>PA</t>
        </is>
      </c>
      <c r="C469" s="4" t="n">
        <v>44835</v>
      </c>
      <c r="D469" t="n">
        <v>135.3064516129032</v>
      </c>
      <c r="G469" t="b">
        <v>0</v>
      </c>
      <c r="I469" t="n">
        <v>7</v>
      </c>
      <c r="J469" t="inlineStr">
        <is>
          <t>ASSUMPTION: 7.0 MMBtu/MWh, the same as panama_gas.xlsx (AES Colón combined cycle)</t>
        </is>
      </c>
      <c r="K469" t="n">
        <v>947.1451612903227</v>
      </c>
      <c r="L469" t="n">
        <v>947.1451612903227</v>
      </c>
      <c r="M469" t="inlineStr">
        <is>
          <t>estimated</t>
        </is>
      </c>
      <c r="N469" t="n">
        <v>36374</v>
      </c>
      <c r="O469" t="n">
        <v>0.02603907080030579</v>
      </c>
      <c r="P469" t="n">
        <v>0.0009195619735915588</v>
      </c>
    </row>
    <row r="470">
      <c r="A470" t="inlineStr">
        <is>
          <t>Panama</t>
        </is>
      </c>
      <c r="B470" t="inlineStr">
        <is>
          <t>PA</t>
        </is>
      </c>
      <c r="C470" s="4" t="n">
        <v>44866</v>
      </c>
      <c r="D470" t="n">
        <v>4669.466666666666</v>
      </c>
      <c r="G470" t="b">
        <v>0</v>
      </c>
      <c r="I470" t="n">
        <v>7</v>
      </c>
      <c r="J470" t="inlineStr">
        <is>
          <t>ASSUMPTION: 7.0 MMBtu/MWh, the same as panama_gas.xlsx (AES Colón combined cycle)</t>
        </is>
      </c>
      <c r="K470" t="n">
        <v>32686.26666666666</v>
      </c>
      <c r="L470" t="n">
        <v>32686.26666666666</v>
      </c>
      <c r="M470" t="inlineStr">
        <is>
          <t>estimated</t>
        </is>
      </c>
      <c r="N470" t="n">
        <v>36374</v>
      </c>
      <c r="O470" t="n">
        <v>0.8986162277084363</v>
      </c>
      <c r="P470" t="n">
        <v>0.03173436249665511</v>
      </c>
    </row>
    <row r="471">
      <c r="A471" t="inlineStr">
        <is>
          <t>Panama</t>
        </is>
      </c>
      <c r="B471" t="inlineStr">
        <is>
          <t>PA</t>
        </is>
      </c>
      <c r="C471" s="4" t="n">
        <v>44896</v>
      </c>
      <c r="D471" t="n">
        <v>6701.81935483871</v>
      </c>
      <c r="G471" t="b">
        <v>0</v>
      </c>
      <c r="I471" t="n">
        <v>7</v>
      </c>
      <c r="J471" t="inlineStr">
        <is>
          <t>ASSUMPTION: 7.0 MMBtu/MWh, the same as panama_gas.xlsx (AES Colón combined cycle)</t>
        </is>
      </c>
      <c r="K471" t="n">
        <v>46912.73548387097</v>
      </c>
      <c r="L471" t="n">
        <v>46912.73548387097</v>
      </c>
      <c r="M471" t="inlineStr">
        <is>
          <t>estimated</t>
        </is>
      </c>
      <c r="N471" t="n">
        <v>36374</v>
      </c>
      <c r="O471" t="n">
        <v>1.289732652000632</v>
      </c>
      <c r="P471" t="n">
        <v>0.0455465216856067</v>
      </c>
    </row>
    <row r="472">
      <c r="A472" t="inlineStr">
        <is>
          <t>Panama</t>
        </is>
      </c>
      <c r="B472" t="inlineStr">
        <is>
          <t>PA</t>
        </is>
      </c>
      <c r="C472" s="4" t="n">
        <v>44927</v>
      </c>
      <c r="D472" t="n">
        <v>7288.548387096775</v>
      </c>
      <c r="G472" t="b">
        <v>0</v>
      </c>
      <c r="I472" t="n">
        <v>7</v>
      </c>
      <c r="J472" t="inlineStr">
        <is>
          <t>ASSUMPTION: 7.0 MMBtu/MWh, the same as panama_gas.xlsx (AES Colón combined cycle)</t>
        </is>
      </c>
      <c r="K472" t="n">
        <v>51019.83870967742</v>
      </c>
      <c r="L472" t="n">
        <v>51019.83870967742</v>
      </c>
      <c r="M472" t="inlineStr">
        <is>
          <t>estimated</t>
        </is>
      </c>
      <c r="N472" t="n">
        <v>36374</v>
      </c>
      <c r="O472" t="n">
        <v>1.402645810460148</v>
      </c>
      <c r="P472" t="n">
        <v>0.04953401600265699</v>
      </c>
    </row>
    <row r="473">
      <c r="A473" t="inlineStr">
        <is>
          <t>Panama</t>
        </is>
      </c>
      <c r="B473" t="inlineStr">
        <is>
          <t>PA</t>
        </is>
      </c>
      <c r="C473" s="4" t="n">
        <v>44958</v>
      </c>
      <c r="D473" t="n">
        <v>7901.410714285715</v>
      </c>
      <c r="G473" t="b">
        <v>0</v>
      </c>
      <c r="I473" t="n">
        <v>7</v>
      </c>
      <c r="J473" t="inlineStr">
        <is>
          <t>ASSUMPTION: 7.0 MMBtu/MWh, the same as panama_gas.xlsx (AES Colón combined cycle)</t>
        </is>
      </c>
      <c r="K473" t="n">
        <v>55309.875</v>
      </c>
      <c r="L473" t="n">
        <v>55309.875</v>
      </c>
      <c r="M473" t="inlineStr">
        <is>
          <t>estimated</t>
        </is>
      </c>
      <c r="N473" t="n">
        <v>36374</v>
      </c>
      <c r="O473" t="n">
        <v>1.520588194864464</v>
      </c>
      <c r="P473" t="n">
        <v>0.05369911592518007</v>
      </c>
    </row>
    <row r="474">
      <c r="A474" t="inlineStr">
        <is>
          <t>Panama</t>
        </is>
      </c>
      <c r="B474" t="inlineStr">
        <is>
          <t>PA</t>
        </is>
      </c>
      <c r="C474" s="4" t="n">
        <v>44986</v>
      </c>
      <c r="D474" t="n">
        <v>7915.209677419355</v>
      </c>
      <c r="G474" t="b">
        <v>0</v>
      </c>
      <c r="I474" t="n">
        <v>7</v>
      </c>
      <c r="J474" t="inlineStr">
        <is>
          <t>ASSUMPTION: 7.0 MMBtu/MWh, the same as panama_gas.xlsx (AES Colón combined cycle)</t>
        </is>
      </c>
      <c r="K474" t="n">
        <v>55406.46774193548</v>
      </c>
      <c r="L474" t="n">
        <v>55406.46774193548</v>
      </c>
      <c r="M474" t="inlineStr">
        <is>
          <t>estimated</t>
        </is>
      </c>
      <c r="N474" t="n">
        <v>36374</v>
      </c>
      <c r="O474" t="n">
        <v>1.523243738437771</v>
      </c>
      <c r="P474" t="n">
        <v>0.05379289564980835</v>
      </c>
    </row>
    <row r="475">
      <c r="A475" t="inlineStr">
        <is>
          <t>Panama</t>
        </is>
      </c>
      <c r="B475" t="inlineStr">
        <is>
          <t>PA</t>
        </is>
      </c>
      <c r="C475" s="4" t="n">
        <v>45017</v>
      </c>
      <c r="D475" t="n">
        <v>7332.740000000001</v>
      </c>
      <c r="G475" t="b">
        <v>0</v>
      </c>
      <c r="I475" t="n">
        <v>7</v>
      </c>
      <c r="J475" t="inlineStr">
        <is>
          <t>ASSUMPTION: 7.0 MMBtu/MWh, the same as panama_gas.xlsx (AES Colón combined cycle)</t>
        </is>
      </c>
      <c r="K475" t="n">
        <v>51329.18000000001</v>
      </c>
      <c r="L475" t="n">
        <v>51329.18000000001</v>
      </c>
      <c r="M475" t="inlineStr">
        <is>
          <t>estimated</t>
        </is>
      </c>
      <c r="N475" t="n">
        <v>36374</v>
      </c>
      <c r="O475" t="n">
        <v>1.411150272172431</v>
      </c>
      <c r="P475" t="n">
        <v>0.04983434851668775</v>
      </c>
    </row>
    <row r="476">
      <c r="A476" t="inlineStr">
        <is>
          <t>Panama</t>
        </is>
      </c>
      <c r="B476" t="inlineStr">
        <is>
          <t>PA</t>
        </is>
      </c>
      <c r="C476" s="4" t="n">
        <v>45047</v>
      </c>
      <c r="D476" t="n">
        <v>8174.425806451613</v>
      </c>
      <c r="G476" t="b">
        <v>0</v>
      </c>
      <c r="I476" t="n">
        <v>7</v>
      </c>
      <c r="J476" t="inlineStr">
        <is>
          <t>ASSUMPTION: 7.0 MMBtu/MWh, the same as panama_gas.xlsx (AES Colón combined cycle)</t>
        </is>
      </c>
      <c r="K476" t="n">
        <v>57220.9806451613</v>
      </c>
      <c r="L476" t="n">
        <v>57220.9806451613</v>
      </c>
      <c r="M476" t="inlineStr">
        <is>
          <t>estimated</t>
        </is>
      </c>
      <c r="N476" t="n">
        <v>36374</v>
      </c>
      <c r="O476" t="n">
        <v>1.573128626083502</v>
      </c>
      <c r="P476" t="n">
        <v>0.05555456549155104</v>
      </c>
    </row>
    <row r="477">
      <c r="A477" t="inlineStr">
        <is>
          <t>Panama</t>
        </is>
      </c>
      <c r="B477" t="inlineStr">
        <is>
          <t>PA</t>
        </is>
      </c>
      <c r="C477" s="4" t="n">
        <v>45078</v>
      </c>
      <c r="D477" t="n">
        <v>7695.516666666666</v>
      </c>
      <c r="G477" t="b">
        <v>0</v>
      </c>
      <c r="I477" t="n">
        <v>7</v>
      </c>
      <c r="J477" t="inlineStr">
        <is>
          <t>ASSUMPTION: 7.0 MMBtu/MWh, the same as panama_gas.xlsx (AES Colón combined cycle)</t>
        </is>
      </c>
      <c r="K477" t="n">
        <v>53868.61666666667</v>
      </c>
      <c r="L477" t="n">
        <v>53868.61666666667</v>
      </c>
      <c r="M477" t="inlineStr">
        <is>
          <t>estimated</t>
        </is>
      </c>
      <c r="N477" t="n">
        <v>36374</v>
      </c>
      <c r="O477" t="n">
        <v>1.480964883341581</v>
      </c>
      <c r="P477" t="n">
        <v>0.05229983056574292</v>
      </c>
    </row>
    <row r="478">
      <c r="A478" t="inlineStr">
        <is>
          <t>Panama</t>
        </is>
      </c>
      <c r="B478" t="inlineStr">
        <is>
          <t>PA</t>
        </is>
      </c>
      <c r="C478" s="4" t="n">
        <v>45108</v>
      </c>
      <c r="D478" t="n">
        <v>8067.032258064516</v>
      </c>
      <c r="G478" t="b">
        <v>0</v>
      </c>
      <c r="I478" t="n">
        <v>7</v>
      </c>
      <c r="J478" t="inlineStr">
        <is>
          <t>ASSUMPTION: 7.0 MMBtu/MWh, the same as panama_gas.xlsx (AES Colón combined cycle)</t>
        </is>
      </c>
      <c r="K478" t="n">
        <v>56469.22580645161</v>
      </c>
      <c r="L478" t="n">
        <v>56469.22580645161</v>
      </c>
      <c r="M478" t="inlineStr">
        <is>
          <t>estimated</t>
        </is>
      </c>
      <c r="N478" t="n">
        <v>36374</v>
      </c>
      <c r="O478" t="n">
        <v>1.552461258218827</v>
      </c>
      <c r="P478" t="n">
        <v>0.05482470359562041</v>
      </c>
    </row>
    <row r="479">
      <c r="A479" t="inlineStr">
        <is>
          <t>Panama</t>
        </is>
      </c>
      <c r="B479" t="inlineStr">
        <is>
          <t>PA</t>
        </is>
      </c>
      <c r="C479" s="4" t="n">
        <v>45139</v>
      </c>
      <c r="D479" t="n">
        <v>7911.354838709677</v>
      </c>
      <c r="G479" t="b">
        <v>0</v>
      </c>
      <c r="I479" t="n">
        <v>7</v>
      </c>
      <c r="J479" t="inlineStr">
        <is>
          <t>ASSUMPTION: 7.0 MMBtu/MWh, the same as panama_gas.xlsx (AES Colón combined cycle)</t>
        </is>
      </c>
      <c r="K479" t="n">
        <v>55379.48387096774</v>
      </c>
      <c r="L479" t="n">
        <v>55379.48387096774</v>
      </c>
      <c r="M479" t="inlineStr">
        <is>
          <t>estimated</t>
        </is>
      </c>
      <c r="N479" t="n">
        <v>36374</v>
      </c>
      <c r="O479" t="n">
        <v>1.52250189341199</v>
      </c>
      <c r="P479" t="n">
        <v>0.05376669761527642</v>
      </c>
    </row>
    <row r="480">
      <c r="A480" t="inlineStr">
        <is>
          <t>Panama</t>
        </is>
      </c>
      <c r="B480" t="inlineStr">
        <is>
          <t>PA</t>
        </is>
      </c>
      <c r="C480" s="4" t="n">
        <v>45170</v>
      </c>
      <c r="D480" t="n">
        <v>7360.823333333334</v>
      </c>
      <c r="G480" t="b">
        <v>0</v>
      </c>
      <c r="I480" t="n">
        <v>7</v>
      </c>
      <c r="J480" t="inlineStr">
        <is>
          <t>ASSUMPTION: 7.0 MMBtu/MWh, the same as panama_gas.xlsx (AES Colón combined cycle)</t>
        </is>
      </c>
      <c r="K480" t="n">
        <v>51525.76333333334</v>
      </c>
      <c r="L480" t="n">
        <v>51525.76333333334</v>
      </c>
      <c r="M480" t="inlineStr">
        <is>
          <t>estimated</t>
        </is>
      </c>
      <c r="N480" t="n">
        <v>36374</v>
      </c>
      <c r="O480" t="n">
        <v>1.416554773556203</v>
      </c>
      <c r="P480" t="n">
        <v>0.05002520686170524</v>
      </c>
    </row>
    <row r="481">
      <c r="A481" t="inlineStr">
        <is>
          <t>Panama</t>
        </is>
      </c>
      <c r="B481" t="inlineStr">
        <is>
          <t>PA</t>
        </is>
      </c>
      <c r="C481" s="4" t="n">
        <v>45200</v>
      </c>
      <c r="D481" t="n">
        <v>4336.33870967742</v>
      </c>
      <c r="G481" t="b">
        <v>0</v>
      </c>
      <c r="I481" t="n">
        <v>7</v>
      </c>
      <c r="J481" t="inlineStr">
        <is>
          <t>ASSUMPTION: 7.0 MMBtu/MWh, the same as panama_gas.xlsx (AES Colón combined cycle)</t>
        </is>
      </c>
      <c r="K481" t="n">
        <v>30354.37096774194</v>
      </c>
      <c r="L481" t="n">
        <v>30354.37096774194</v>
      </c>
      <c r="M481" t="inlineStr">
        <is>
          <t>estimated</t>
        </is>
      </c>
      <c r="N481" t="n">
        <v>36374</v>
      </c>
      <c r="O481" t="n">
        <v>0.8345073670133044</v>
      </c>
      <c r="P481" t="n">
        <v>0.02947037731386474</v>
      </c>
    </row>
    <row r="482">
      <c r="A482" t="inlineStr">
        <is>
          <t>Panama</t>
        </is>
      </c>
      <c r="B482" t="inlineStr">
        <is>
          <t>PA</t>
        </is>
      </c>
      <c r="C482" s="4" t="n">
        <v>45231</v>
      </c>
      <c r="D482" t="n">
        <v>6800.606666666667</v>
      </c>
      <c r="G482" t="b">
        <v>0</v>
      </c>
      <c r="I482" t="n">
        <v>7</v>
      </c>
      <c r="J482" t="inlineStr">
        <is>
          <t>ASSUMPTION: 7.0 MMBtu/MWh, the same as panama_gas.xlsx (AES Colón combined cycle)</t>
        </is>
      </c>
      <c r="K482" t="n">
        <v>47604.24666666667</v>
      </c>
      <c r="L482" t="n">
        <v>47604.24666666667</v>
      </c>
      <c r="M482" t="inlineStr">
        <is>
          <t>estimated</t>
        </is>
      </c>
      <c r="N482" t="n">
        <v>36374</v>
      </c>
      <c r="O482" t="n">
        <v>1.308743791352798</v>
      </c>
      <c r="P482" t="n">
        <v>0.04621789436848665</v>
      </c>
    </row>
    <row r="483">
      <c r="A483" t="inlineStr">
        <is>
          <t>Panama</t>
        </is>
      </c>
      <c r="B483" t="inlineStr">
        <is>
          <t>PA</t>
        </is>
      </c>
      <c r="C483" s="4" t="n">
        <v>45261</v>
      </c>
      <c r="D483" t="n">
        <v>6176.903225806452</v>
      </c>
      <c r="G483" t="b">
        <v>0</v>
      </c>
      <c r="I483" t="n">
        <v>7</v>
      </c>
      <c r="J483" t="inlineStr">
        <is>
          <t>ASSUMPTION: 7.0 MMBtu/MWh, the same as panama_gas.xlsx (AES Colón combined cycle)</t>
        </is>
      </c>
      <c r="K483" t="n">
        <v>43238.32258064516</v>
      </c>
      <c r="L483" t="n">
        <v>43238.32258064516</v>
      </c>
      <c r="M483" t="inlineStr">
        <is>
          <t>estimated</t>
        </is>
      </c>
      <c r="N483" t="n">
        <v>36374</v>
      </c>
      <c r="O483" t="n">
        <v>1.188715087167899</v>
      </c>
      <c r="P483" t="n">
        <v>0.0419791166888082</v>
      </c>
    </row>
    <row r="484">
      <c r="A484" t="inlineStr">
        <is>
          <t>Panama</t>
        </is>
      </c>
      <c r="B484" t="inlineStr">
        <is>
          <t>PA</t>
        </is>
      </c>
      <c r="C484" s="4" t="n">
        <v>45292</v>
      </c>
      <c r="D484" t="n">
        <v>8074.790322580645</v>
      </c>
      <c r="G484" t="b">
        <v>0</v>
      </c>
      <c r="I484" t="n">
        <v>7</v>
      </c>
      <c r="J484" t="inlineStr">
        <is>
          <t>ASSUMPTION: 7.0 MMBtu/MWh, the same as panama_gas.xlsx (AES Colón combined cycle)</t>
        </is>
      </c>
      <c r="K484" t="n">
        <v>56523.53225806452</v>
      </c>
      <c r="L484" t="n">
        <v>56523.53225806452</v>
      </c>
      <c r="M484" t="inlineStr">
        <is>
          <t>estimated</t>
        </is>
      </c>
      <c r="N484" t="n">
        <v>36374</v>
      </c>
      <c r="O484" t="n">
        <v>1.553954260132636</v>
      </c>
      <c r="P484" t="n">
        <v>0.05487742851030601</v>
      </c>
    </row>
    <row r="485">
      <c r="A485" t="inlineStr">
        <is>
          <t>Panama</t>
        </is>
      </c>
      <c r="B485" t="inlineStr">
        <is>
          <t>PA</t>
        </is>
      </c>
      <c r="C485" s="4" t="n">
        <v>45323</v>
      </c>
      <c r="D485" t="n">
        <v>7196.213793103449</v>
      </c>
      <c r="G485" t="b">
        <v>0</v>
      </c>
      <c r="I485" t="n">
        <v>7</v>
      </c>
      <c r="J485" t="inlineStr">
        <is>
          <t>ASSUMPTION: 7.0 MMBtu/MWh, the same as panama_gas.xlsx (AES Colón combined cycle)</t>
        </is>
      </c>
      <c r="K485" t="n">
        <v>50373.49655172414</v>
      </c>
      <c r="L485" t="n">
        <v>50373.49655172414</v>
      </c>
      <c r="M485" t="inlineStr">
        <is>
          <t>estimated</t>
        </is>
      </c>
      <c r="N485" t="n">
        <v>36374</v>
      </c>
      <c r="O485" t="n">
        <v>1.38487646537978</v>
      </c>
      <c r="P485" t="n">
        <v>0.04890649691194733</v>
      </c>
    </row>
    <row r="486">
      <c r="A486" t="inlineStr">
        <is>
          <t>Panama</t>
        </is>
      </c>
      <c r="B486" t="inlineStr">
        <is>
          <t>PA</t>
        </is>
      </c>
      <c r="C486" s="4" t="n">
        <v>45352</v>
      </c>
      <c r="D486" t="n">
        <v>6162.774193548387</v>
      </c>
      <c r="G486" t="b">
        <v>0</v>
      </c>
      <c r="I486" t="n">
        <v>7</v>
      </c>
      <c r="J486" t="inlineStr">
        <is>
          <t>ASSUMPTION: 7.0 MMBtu/MWh, the same as panama_gas.xlsx (AES Colón combined cycle)</t>
        </is>
      </c>
      <c r="K486" t="n">
        <v>43139.41935483871</v>
      </c>
      <c r="L486" t="n">
        <v>43139.41935483871</v>
      </c>
      <c r="M486" t="inlineStr">
        <is>
          <t>estimated</t>
        </is>
      </c>
      <c r="N486" t="n">
        <v>36374</v>
      </c>
      <c r="O486" t="n">
        <v>1.185996023391398</v>
      </c>
      <c r="P486" t="n">
        <v>0.0418830937672602</v>
      </c>
    </row>
    <row r="487">
      <c r="A487" t="inlineStr">
        <is>
          <t>Panama</t>
        </is>
      </c>
      <c r="B487" t="inlineStr">
        <is>
          <t>PA</t>
        </is>
      </c>
      <c r="C487" s="4" t="n">
        <v>45383</v>
      </c>
      <c r="D487" t="n">
        <v>7766.173333333334</v>
      </c>
      <c r="G487" t="b">
        <v>0</v>
      </c>
      <c r="I487" t="n">
        <v>7</v>
      </c>
      <c r="J487" t="inlineStr">
        <is>
          <t>ASSUMPTION: 7.0 MMBtu/MWh, the same as panama_gas.xlsx (AES Colón combined cycle)</t>
        </is>
      </c>
      <c r="K487" t="n">
        <v>54363.21333333334</v>
      </c>
      <c r="L487" t="n">
        <v>54363.21333333334</v>
      </c>
      <c r="M487" t="inlineStr">
        <is>
          <t>estimated</t>
        </is>
      </c>
      <c r="N487" t="n">
        <v>36374</v>
      </c>
      <c r="O487" t="n">
        <v>1.494562416377999</v>
      </c>
      <c r="P487" t="n">
        <v>0.05278002336566412</v>
      </c>
    </row>
    <row r="488">
      <c r="A488" t="inlineStr">
        <is>
          <t>Panama</t>
        </is>
      </c>
      <c r="B488" t="inlineStr">
        <is>
          <t>PA</t>
        </is>
      </c>
      <c r="C488" s="4" t="n">
        <v>45413</v>
      </c>
      <c r="D488" t="n">
        <v>7770.612903225807</v>
      </c>
      <c r="G488" t="b">
        <v>0</v>
      </c>
      <c r="I488" t="n">
        <v>7</v>
      </c>
      <c r="J488" t="inlineStr">
        <is>
          <t>ASSUMPTION: 7.0 MMBtu/MWh, the same as panama_gas.xlsx (AES Colón combined cycle)</t>
        </is>
      </c>
      <c r="K488" t="n">
        <v>54394.29032258065</v>
      </c>
      <c r="L488" t="n">
        <v>54394.29032258065</v>
      </c>
      <c r="M488" t="inlineStr">
        <is>
          <t>estimated</t>
        </is>
      </c>
      <c r="N488" t="n">
        <v>36374</v>
      </c>
      <c r="O488" t="n">
        <v>1.495416790085794</v>
      </c>
      <c r="P488" t="n">
        <v>0.05281019531684277</v>
      </c>
    </row>
    <row r="489">
      <c r="A489" t="inlineStr">
        <is>
          <t>Panama</t>
        </is>
      </c>
      <c r="B489" t="inlineStr">
        <is>
          <t>PA</t>
        </is>
      </c>
      <c r="C489" s="4" t="n">
        <v>45444</v>
      </c>
      <c r="D489" t="n">
        <v>6869.206896551724</v>
      </c>
      <c r="G489" t="b">
        <v>0</v>
      </c>
      <c r="I489" t="n">
        <v>7</v>
      </c>
      <c r="J489" t="inlineStr">
        <is>
          <t>ASSUMPTION: 7.0 MMBtu/MWh, the same as panama_gas.xlsx (AES Colón combined cycle)</t>
        </is>
      </c>
      <c r="K489" t="n">
        <v>48084.44827586207</v>
      </c>
      <c r="L489" t="n">
        <v>48084.44827586207</v>
      </c>
      <c r="M489" t="inlineStr">
        <is>
          <t>estimated</t>
        </is>
      </c>
      <c r="N489" t="n">
        <v>36374</v>
      </c>
      <c r="O489" t="n">
        <v>1.321945573097874</v>
      </c>
      <c r="P489" t="n">
        <v>0.04668411133027948</v>
      </c>
    </row>
    <row r="490">
      <c r="A490" t="inlineStr">
        <is>
          <t>Panama</t>
        </is>
      </c>
      <c r="B490" t="inlineStr">
        <is>
          <t>PA</t>
        </is>
      </c>
      <c r="C490" s="4" t="n">
        <v>45474</v>
      </c>
      <c r="D490" t="n">
        <v>5641.516129032259</v>
      </c>
      <c r="G490" t="b">
        <v>0</v>
      </c>
      <c r="I490" t="n">
        <v>7</v>
      </c>
      <c r="J490" t="inlineStr">
        <is>
          <t>ASSUMPTION: 7.0 MMBtu/MWh, the same as panama_gas.xlsx (AES Colón combined cycle)</t>
        </is>
      </c>
      <c r="K490" t="n">
        <v>39490.61290322581</v>
      </c>
      <c r="L490" t="n">
        <v>39490.61290322581</v>
      </c>
      <c r="M490" t="inlineStr">
        <is>
          <t>estimated</t>
        </is>
      </c>
      <c r="N490" t="n">
        <v>36374</v>
      </c>
      <c r="O490" t="n">
        <v>1.085682435344637</v>
      </c>
      <c r="P490" t="n">
        <v>0.03834054949946523</v>
      </c>
    </row>
    <row r="491">
      <c r="A491" t="inlineStr">
        <is>
          <t>Panama</t>
        </is>
      </c>
      <c r="B491" t="inlineStr">
        <is>
          <t>PA</t>
        </is>
      </c>
      <c r="C491" s="4" t="n">
        <v>45505</v>
      </c>
      <c r="D491" t="n">
        <v>5984.012903225806</v>
      </c>
      <c r="G491" t="b">
        <v>0</v>
      </c>
      <c r="I491" t="n">
        <v>7</v>
      </c>
      <c r="J491" t="inlineStr">
        <is>
          <t>ASSUMPTION: 7.0 MMBtu/MWh, the same as panama_gas.xlsx (AES Colón combined cycle)</t>
        </is>
      </c>
      <c r="K491" t="n">
        <v>41888.09032258065</v>
      </c>
      <c r="L491" t="n">
        <v>41888.09032258065</v>
      </c>
      <c r="M491" t="inlineStr">
        <is>
          <t>estimated</t>
        </is>
      </c>
      <c r="N491" t="n">
        <v>36374</v>
      </c>
      <c r="O491" t="n">
        <v>1.15159427950131</v>
      </c>
      <c r="P491" t="n">
        <v>0.0406682065023049</v>
      </c>
    </row>
    <row r="492">
      <c r="A492" t="inlineStr">
        <is>
          <t>Panama</t>
        </is>
      </c>
      <c r="B492" t="inlineStr">
        <is>
          <t>PA</t>
        </is>
      </c>
      <c r="C492" s="4" t="n">
        <v>45536</v>
      </c>
      <c r="D492" t="n">
        <v>6047.86</v>
      </c>
      <c r="G492" t="b">
        <v>0</v>
      </c>
      <c r="I492" t="n">
        <v>7</v>
      </c>
      <c r="J492" t="inlineStr">
        <is>
          <t>ASSUMPTION: 7.0 MMBtu/MWh, the same as panama_gas.xlsx (AES Colón combined cycle)</t>
        </is>
      </c>
      <c r="K492" t="n">
        <v>42335.02</v>
      </c>
      <c r="L492" t="n">
        <v>42335.02</v>
      </c>
      <c r="M492" t="inlineStr">
        <is>
          <t>estimated</t>
        </is>
      </c>
      <c r="N492" t="n">
        <v>36374</v>
      </c>
      <c r="O492" t="n">
        <v>1.163881343817012</v>
      </c>
      <c r="P492" t="n">
        <v>0.04110212049249463</v>
      </c>
    </row>
    <row r="493">
      <c r="A493" t="inlineStr">
        <is>
          <t>Panama</t>
        </is>
      </c>
      <c r="B493" t="inlineStr">
        <is>
          <t>PA</t>
        </is>
      </c>
      <c r="C493" s="4" t="n">
        <v>45566</v>
      </c>
      <c r="D493" t="n">
        <v>6636.654838709677</v>
      </c>
      <c r="G493" t="b">
        <v>0</v>
      </c>
      <c r="I493" t="n">
        <v>7</v>
      </c>
      <c r="J493" t="inlineStr">
        <is>
          <t>ASSUMPTION: 7.0 MMBtu/MWh, the same as panama_gas.xlsx (AES Colón combined cycle)</t>
        </is>
      </c>
      <c r="K493" t="n">
        <v>46456.58387096774</v>
      </c>
      <c r="L493" t="n">
        <v>46456.58387096774</v>
      </c>
      <c r="M493" t="inlineStr">
        <is>
          <t>estimated</t>
        </is>
      </c>
      <c r="N493" t="n">
        <v>36374</v>
      </c>
      <c r="O493" t="n">
        <v>1.277192056715449</v>
      </c>
      <c r="P493" t="n">
        <v>0.04510365432528906</v>
      </c>
    </row>
    <row r="494">
      <c r="A494" t="inlineStr">
        <is>
          <t>Panama</t>
        </is>
      </c>
      <c r="B494" t="inlineStr">
        <is>
          <t>PA</t>
        </is>
      </c>
      <c r="C494" s="4" t="n">
        <v>45597</v>
      </c>
      <c r="D494" t="n">
        <v>1039.736666666667</v>
      </c>
      <c r="G494" t="b">
        <v>0</v>
      </c>
      <c r="I494" t="n">
        <v>7</v>
      </c>
      <c r="J494" t="inlineStr">
        <is>
          <t>ASSUMPTION: 7.0 MMBtu/MWh, the same as panama_gas.xlsx (AES Colón combined cycle)</t>
        </is>
      </c>
      <c r="K494" t="n">
        <v>7278.156666666667</v>
      </c>
      <c r="L494" t="n">
        <v>7278.156666666667</v>
      </c>
      <c r="M494" t="inlineStr">
        <is>
          <t>estimated</t>
        </is>
      </c>
      <c r="N494" t="n">
        <v>36374</v>
      </c>
      <c r="O494" t="n">
        <v>0.200092282032954</v>
      </c>
      <c r="P494" t="n">
        <v>0.007066198912309159</v>
      </c>
    </row>
    <row r="495">
      <c r="A495" t="inlineStr">
        <is>
          <t>Panama</t>
        </is>
      </c>
      <c r="B495" t="inlineStr">
        <is>
          <t>PA</t>
        </is>
      </c>
      <c r="C495" s="4" t="n">
        <v>45627</v>
      </c>
      <c r="D495" t="n">
        <v>1777.045161290323</v>
      </c>
      <c r="G495" t="b">
        <v>0</v>
      </c>
      <c r="I495" t="n">
        <v>7</v>
      </c>
      <c r="J495" t="inlineStr">
        <is>
          <t>ASSUMPTION: 7.0 MMBtu/MWh, the same as panama_gas.xlsx (AES Colón combined cycle)</t>
        </is>
      </c>
      <c r="K495" t="n">
        <v>12439.31612903226</v>
      </c>
      <c r="L495" t="n">
        <v>12439.31612903226</v>
      </c>
      <c r="M495" t="inlineStr">
        <is>
          <t>estimated</t>
        </is>
      </c>
      <c r="N495" t="n">
        <v>36374</v>
      </c>
      <c r="O495" t="n">
        <v>0.3419837281858541</v>
      </c>
      <c r="P495" t="n">
        <v>0.01207705276576498</v>
      </c>
    </row>
    <row r="496">
      <c r="A496" t="inlineStr">
        <is>
          <t>Panama</t>
        </is>
      </c>
      <c r="B496" t="inlineStr">
        <is>
          <t>PA</t>
        </is>
      </c>
      <c r="C496" s="4" t="n">
        <v>45658</v>
      </c>
      <c r="D496" t="n">
        <v>3830.051612903226</v>
      </c>
      <c r="G496" t="b">
        <v>0</v>
      </c>
      <c r="I496" t="n">
        <v>7</v>
      </c>
      <c r="J496" t="inlineStr">
        <is>
          <t>ASSUMPTION: 7.0 MMBtu/MWh, the same as panama_gas.xlsx (AES Colón combined cycle)</t>
        </is>
      </c>
      <c r="K496" t="n">
        <v>26810.36129032258</v>
      </c>
      <c r="L496" t="n">
        <v>26810.36129032258</v>
      </c>
      <c r="M496" t="inlineStr">
        <is>
          <t>estimated</t>
        </is>
      </c>
      <c r="N496" t="n">
        <v>36374</v>
      </c>
      <c r="O496" t="n">
        <v>0.7370748691461644</v>
      </c>
      <c r="P496" t="n">
        <v>0.02602957788143605</v>
      </c>
    </row>
    <row r="497">
      <c r="A497" t="inlineStr">
        <is>
          <t>Panama</t>
        </is>
      </c>
      <c r="B497" t="inlineStr">
        <is>
          <t>PA</t>
        </is>
      </c>
      <c r="C497" s="4" t="n">
        <v>45689</v>
      </c>
      <c r="D497" t="n">
        <v>9643.553571428569</v>
      </c>
      <c r="G497" t="b">
        <v>0</v>
      </c>
      <c r="I497" t="n">
        <v>7</v>
      </c>
      <c r="J497" t="inlineStr">
        <is>
          <t>ASSUMPTION: 7.0 MMBtu/MWh, the same as panama_gas.xlsx (AES Colón combined cycle)</t>
        </is>
      </c>
      <c r="K497" t="n">
        <v>67504.87499999999</v>
      </c>
      <c r="L497" t="n">
        <v>67504.87499999999</v>
      </c>
      <c r="M497" t="inlineStr">
        <is>
          <t>estimated</t>
        </is>
      </c>
      <c r="N497" t="n">
        <v>36374</v>
      </c>
      <c r="O497" t="n">
        <v>1.855855143784021</v>
      </c>
      <c r="P497" t="n">
        <v>0.06553896764618956</v>
      </c>
    </row>
    <row r="498">
      <c r="A498" t="inlineStr">
        <is>
          <t>Panama</t>
        </is>
      </c>
      <c r="B498" t="inlineStr">
        <is>
          <t>PA</t>
        </is>
      </c>
      <c r="C498" s="4" t="n">
        <v>45717</v>
      </c>
      <c r="D498" t="n">
        <v>12130.47419354839</v>
      </c>
      <c r="G498" t="b">
        <v>0</v>
      </c>
      <c r="I498" t="n">
        <v>7</v>
      </c>
      <c r="J498" t="inlineStr">
        <is>
          <t>ASSUMPTION: 7.0 MMBtu/MWh, the same as panama_gas.xlsx (AES Colón combined cycle)</t>
        </is>
      </c>
      <c r="K498" t="n">
        <v>84913.31935483872</v>
      </c>
      <c r="L498" t="n">
        <v>84913.31935483872</v>
      </c>
      <c r="M498" t="inlineStr">
        <is>
          <t>estimated</t>
        </is>
      </c>
      <c r="N498" t="n">
        <v>36374</v>
      </c>
      <c r="O498" t="n">
        <v>2.334450963733401</v>
      </c>
      <c r="P498" t="n">
        <v>0.08244043544895593</v>
      </c>
    </row>
    <row r="499">
      <c r="A499" t="inlineStr">
        <is>
          <t>Panama</t>
        </is>
      </c>
      <c r="B499" t="inlineStr">
        <is>
          <t>PA</t>
        </is>
      </c>
      <c r="C499" s="4" t="n">
        <v>45748</v>
      </c>
      <c r="D499" t="n">
        <v>12975.39333333333</v>
      </c>
      <c r="G499" t="b">
        <v>0</v>
      </c>
      <c r="I499" t="n">
        <v>7</v>
      </c>
      <c r="J499" t="inlineStr">
        <is>
          <t>ASSUMPTION: 7.0 MMBtu/MWh, the same as panama_gas.xlsx (AES Colón combined cycle)</t>
        </is>
      </c>
      <c r="K499" t="n">
        <v>90827.75333333333</v>
      </c>
      <c r="L499" t="n">
        <v>90827.75333333333</v>
      </c>
      <c r="M499" t="inlineStr">
        <is>
          <t>estimated</t>
        </is>
      </c>
      <c r="N499" t="n">
        <v>36374</v>
      </c>
      <c r="O499" t="n">
        <v>2.497051556972929</v>
      </c>
      <c r="P499" t="n">
        <v>0.0881826266190319</v>
      </c>
    </row>
    <row r="500">
      <c r="A500" t="inlineStr">
        <is>
          <t>Panama</t>
        </is>
      </c>
      <c r="B500" t="inlineStr">
        <is>
          <t>PA</t>
        </is>
      </c>
      <c r="C500" s="4" t="n">
        <v>45778</v>
      </c>
      <c r="D500" t="n">
        <v>8933.129032258066</v>
      </c>
      <c r="G500" t="b">
        <v>0</v>
      </c>
      <c r="I500" t="n">
        <v>7</v>
      </c>
      <c r="J500" t="inlineStr">
        <is>
          <t>ASSUMPTION: 7.0 MMBtu/MWh, the same as panama_gas.xlsx (AES Colón combined cycle)</t>
        </is>
      </c>
      <c r="K500" t="n">
        <v>62531.90322580646</v>
      </c>
      <c r="L500" t="n">
        <v>62531.90322580646</v>
      </c>
      <c r="M500" t="inlineStr">
        <is>
          <t>estimated</t>
        </is>
      </c>
      <c r="N500" t="n">
        <v>36374</v>
      </c>
      <c r="O500" t="n">
        <v>1.719137384555079</v>
      </c>
      <c r="P500" t="n">
        <v>0.06071082099434726</v>
      </c>
    </row>
    <row r="501">
      <c r="A501" t="inlineStr">
        <is>
          <t>Panama</t>
        </is>
      </c>
      <c r="B501" t="inlineStr">
        <is>
          <t>PA</t>
        </is>
      </c>
      <c r="C501" s="4" t="n">
        <v>45809</v>
      </c>
      <c r="D501" t="n">
        <v>10316.72333333333</v>
      </c>
      <c r="G501" t="b">
        <v>0</v>
      </c>
      <c r="I501" t="n">
        <v>7</v>
      </c>
      <c r="J501" t="inlineStr">
        <is>
          <t>ASSUMPTION: 7.0 MMBtu/MWh, the same as panama_gas.xlsx (AES Colón combined cycle)</t>
        </is>
      </c>
      <c r="K501" t="n">
        <v>72217.06333333334</v>
      </c>
      <c r="L501" t="n">
        <v>72217.06333333334</v>
      </c>
      <c r="M501" t="inlineStr">
        <is>
          <t>estimated</t>
        </is>
      </c>
      <c r="N501" t="n">
        <v>36374</v>
      </c>
      <c r="O501" t="n">
        <v>1.985403401697183</v>
      </c>
      <c r="P501" t="n">
        <v>0.07011392550991551</v>
      </c>
    </row>
    <row r="502">
      <c r="A502" t="inlineStr">
        <is>
          <t>Panama</t>
        </is>
      </c>
      <c r="B502" t="inlineStr">
        <is>
          <t>PA</t>
        </is>
      </c>
      <c r="C502" s="4" t="n">
        <v>45839</v>
      </c>
      <c r="D502" t="n">
        <v>6096.974193548387</v>
      </c>
      <c r="G502" t="b">
        <v>0</v>
      </c>
      <c r="I502" t="n">
        <v>7</v>
      </c>
      <c r="J502" t="inlineStr">
        <is>
          <t>ASSUMPTION: 7.0 MMBtu/MWh, the same as panama_gas.xlsx (AES Colón combined cycle)</t>
        </is>
      </c>
      <c r="K502" t="n">
        <v>42678.81935483871</v>
      </c>
      <c r="L502" t="n">
        <v>42678.81935483871</v>
      </c>
      <c r="M502" t="inlineStr">
        <is>
          <t>estimated</t>
        </is>
      </c>
      <c r="N502" t="n">
        <v>36374</v>
      </c>
      <c r="O502" t="n">
        <v>1.173333132315355</v>
      </c>
      <c r="P502" t="n">
        <v>0.04143590756777705</v>
      </c>
    </row>
    <row r="503">
      <c r="A503" t="inlineStr">
        <is>
          <t>Panama</t>
        </is>
      </c>
      <c r="B503" t="inlineStr">
        <is>
          <t>PA</t>
        </is>
      </c>
      <c r="C503" s="4" t="n">
        <v>45870</v>
      </c>
      <c r="D503" t="n">
        <v>7131.129032258064</v>
      </c>
      <c r="G503" t="b">
        <v>0</v>
      </c>
      <c r="I503" t="n">
        <v>7</v>
      </c>
      <c r="J503" t="inlineStr">
        <is>
          <t>ASSUMPTION: 7.0 MMBtu/MWh, the same as panama_gas.xlsx (AES Colón combined cycle)</t>
        </is>
      </c>
      <c r="K503" t="n">
        <v>49917.90322580645</v>
      </c>
      <c r="L503" t="n">
        <v>49917.90322580645</v>
      </c>
      <c r="M503" t="inlineStr">
        <is>
          <t>estimated</t>
        </is>
      </c>
      <c r="N503" t="n">
        <v>36374</v>
      </c>
      <c r="O503" t="n">
        <v>1.372351218612373</v>
      </c>
      <c r="P503" t="n">
        <v>0.04846417157993036</v>
      </c>
    </row>
    <row r="504">
      <c r="A504" t="inlineStr">
        <is>
          <t>Panama</t>
        </is>
      </c>
      <c r="B504" t="inlineStr">
        <is>
          <t>PA</t>
        </is>
      </c>
      <c r="C504" s="4" t="n">
        <v>45901</v>
      </c>
      <c r="D504" t="n">
        <v>8937.659999999998</v>
      </c>
      <c r="G504" t="b">
        <v>0</v>
      </c>
      <c r="I504" t="n">
        <v>7</v>
      </c>
      <c r="J504" t="inlineStr">
        <is>
          <t>ASSUMPTION: 7.0 MMBtu/MWh, the same as panama_gas.xlsx (AES Colón combined cycle)</t>
        </is>
      </c>
      <c r="K504" t="n">
        <v>62563.61999999999</v>
      </c>
      <c r="L504" t="n">
        <v>62563.61999999999</v>
      </c>
      <c r="M504" t="inlineStr">
        <is>
          <t>estimated</t>
        </is>
      </c>
      <c r="N504" t="n">
        <v>36374</v>
      </c>
      <c r="O504" t="n">
        <v>1.720009347336009</v>
      </c>
      <c r="P504" t="n">
        <v>0.06074161409836695</v>
      </c>
    </row>
    <row r="505">
      <c r="A505" t="inlineStr">
        <is>
          <t>Panama</t>
        </is>
      </c>
      <c r="B505" t="inlineStr">
        <is>
          <t>PA</t>
        </is>
      </c>
      <c r="C505" s="4" t="n">
        <v>45931</v>
      </c>
      <c r="D505" t="n">
        <v>6933.196774193549</v>
      </c>
      <c r="G505" t="b">
        <v>0</v>
      </c>
      <c r="I505" t="n">
        <v>7</v>
      </c>
      <c r="J505" t="inlineStr">
        <is>
          <t>ASSUMPTION: 7.0 MMBtu/MWh, the same as panama_gas.xlsx (AES Colón combined cycle)</t>
        </is>
      </c>
      <c r="K505" t="n">
        <v>48532.37741935484</v>
      </c>
      <c r="L505" t="n">
        <v>48532.37741935484</v>
      </c>
      <c r="M505" t="inlineStr">
        <is>
          <t>estimated</t>
        </is>
      </c>
      <c r="N505" t="n">
        <v>36374</v>
      </c>
      <c r="O505" t="n">
        <v>1.334260114899512</v>
      </c>
      <c r="P505" t="n">
        <v>0.04711899567964178</v>
      </c>
    </row>
    <row r="506">
      <c r="A506" t="inlineStr">
        <is>
          <t>Panama</t>
        </is>
      </c>
      <c r="B506" t="inlineStr">
        <is>
          <t>PA</t>
        </is>
      </c>
      <c r="C506" s="4" t="n">
        <v>45962</v>
      </c>
      <c r="D506" t="n">
        <v>6462.599999999999</v>
      </c>
      <c r="G506" t="b">
        <v>0</v>
      </c>
      <c r="I506" t="n">
        <v>7</v>
      </c>
      <c r="J506" t="inlineStr">
        <is>
          <t>ASSUMPTION: 7.0 MMBtu/MWh, the same as panama_gas.xlsx (AES Colón combined cycle)</t>
        </is>
      </c>
      <c r="K506" t="n">
        <v>45238.2</v>
      </c>
      <c r="L506" t="n">
        <v>45238.2</v>
      </c>
      <c r="M506" t="inlineStr">
        <is>
          <t>estimated</t>
        </is>
      </c>
      <c r="N506" t="n">
        <v>36374</v>
      </c>
      <c r="O506" t="n">
        <v>1.243696046626711</v>
      </c>
      <c r="P506" t="n">
        <v>0.04392075277780832</v>
      </c>
    </row>
    <row r="507">
      <c r="A507" t="inlineStr">
        <is>
          <t>Panama</t>
        </is>
      </c>
      <c r="B507" t="inlineStr">
        <is>
          <t>PA</t>
        </is>
      </c>
      <c r="C507" s="4" t="n">
        <v>45992</v>
      </c>
      <c r="D507" t="n">
        <v>6754.674193548388</v>
      </c>
      <c r="G507" t="b">
        <v>0</v>
      </c>
      <c r="I507" t="n">
        <v>7</v>
      </c>
      <c r="J507" t="inlineStr">
        <is>
          <t>ASSUMPTION: 7.0 MMBtu/MWh, the same as panama_gas.xlsx (AES Colón combined cycle)</t>
        </is>
      </c>
      <c r="K507" t="n">
        <v>47282.71935483871</v>
      </c>
      <c r="L507" t="n">
        <v>47282.71935483871</v>
      </c>
      <c r="M507" t="inlineStr">
        <is>
          <t>estimated</t>
        </is>
      </c>
      <c r="N507" t="n">
        <v>36374</v>
      </c>
      <c r="O507" t="n">
        <v>1.299904309529849</v>
      </c>
      <c r="P507" t="n">
        <v>0.04590573071975374</v>
      </c>
    </row>
    <row r="508">
      <c r="A508" t="inlineStr">
        <is>
          <t>Panama</t>
        </is>
      </c>
      <c r="B508" t="inlineStr">
        <is>
          <t>PA</t>
        </is>
      </c>
      <c r="C508" s="4" t="n">
        <v>46023</v>
      </c>
      <c r="D508" t="n">
        <v>6872.890322580645</v>
      </c>
      <c r="G508" t="b">
        <v>0</v>
      </c>
      <c r="I508" t="n">
        <v>7</v>
      </c>
      <c r="J508" t="inlineStr">
        <is>
          <t>ASSUMPTION: 7.0 MMBtu/MWh, the same as panama_gas.xlsx (AES Colón combined cycle)</t>
        </is>
      </c>
      <c r="K508" t="n">
        <v>48110.23225806452</v>
      </c>
      <c r="L508" t="n">
        <v>48110.23225806452</v>
      </c>
      <c r="M508" t="inlineStr">
        <is>
          <t>estimated</t>
        </is>
      </c>
      <c r="N508" t="n">
        <v>36374</v>
      </c>
      <c r="O508" t="n">
        <v>1.322654430584058</v>
      </c>
      <c r="P508" t="n">
        <v>0.04670914441974682</v>
      </c>
    </row>
    <row r="509">
      <c r="A509" t="inlineStr">
        <is>
          <t>Panama</t>
        </is>
      </c>
      <c r="B509" t="inlineStr">
        <is>
          <t>PA</t>
        </is>
      </c>
      <c r="C509" s="4" t="n">
        <v>46054</v>
      </c>
      <c r="D509" t="n">
        <v>3053.346428571429</v>
      </c>
      <c r="G509" t="b">
        <v>0</v>
      </c>
      <c r="I509" t="n">
        <v>7</v>
      </c>
      <c r="J509" t="inlineStr">
        <is>
          <t>ASSUMPTION: 7.0 MMBtu/MWh, the same as panama_gas.xlsx (AES Colón combined cycle)</t>
        </is>
      </c>
      <c r="K509" t="n">
        <v>21373.425</v>
      </c>
      <c r="L509" t="n">
        <v>21373.425</v>
      </c>
      <c r="M509" t="inlineStr">
        <is>
          <t>estimated</t>
        </is>
      </c>
      <c r="N509" t="n">
        <v>36374</v>
      </c>
      <c r="O509" t="n">
        <v>0.5876017210095124</v>
      </c>
      <c r="P509" t="n">
        <v>0.02075097849693463</v>
      </c>
    </row>
    <row r="510">
      <c r="A510" t="inlineStr">
        <is>
          <t>Panama</t>
        </is>
      </c>
      <c r="B510" t="inlineStr">
        <is>
          <t>PA</t>
        </is>
      </c>
      <c r="C510" s="4" t="n">
        <v>46082</v>
      </c>
      <c r="D510" t="n">
        <v>6582.322580645161</v>
      </c>
      <c r="G510" t="b">
        <v>0</v>
      </c>
      <c r="I510" t="n">
        <v>7</v>
      </c>
      <c r="J510" t="inlineStr">
        <is>
          <t>ASSUMPTION: 7.0 MMBtu/MWh, the same as panama_gas.xlsx (AES Colón combined cycle)</t>
        </is>
      </c>
      <c r="K510" t="n">
        <v>46076.25806451613</v>
      </c>
      <c r="L510" t="n">
        <v>46076.25806451613</v>
      </c>
      <c r="M510" t="inlineStr">
        <is>
          <t>estimated</t>
        </is>
      </c>
      <c r="N510" t="n">
        <v>36374</v>
      </c>
      <c r="O510" t="n">
        <v>1.266736076992251</v>
      </c>
      <c r="P510" t="n">
        <v>0.04473440453815823</v>
      </c>
    </row>
    <row r="511">
      <c r="A511" t="inlineStr">
        <is>
          <t>Panama</t>
        </is>
      </c>
      <c r="B511" t="inlineStr">
        <is>
          <t>PA</t>
        </is>
      </c>
      <c r="C511" s="4" t="n">
        <v>46113</v>
      </c>
      <c r="D511" t="n">
        <v>9710.826666666666</v>
      </c>
      <c r="G511" t="b">
        <v>0</v>
      </c>
      <c r="I511" t="n">
        <v>7</v>
      </c>
      <c r="J511" t="inlineStr">
        <is>
          <t>ASSUMPTION: 7.0 MMBtu/MWh, the same as panama_gas.xlsx (AES Colón combined cycle)</t>
        </is>
      </c>
      <c r="K511" t="n">
        <v>67975.78666666667</v>
      </c>
      <c r="L511" t="n">
        <v>67975.78666666667</v>
      </c>
      <c r="M511" t="inlineStr">
        <is>
          <t>estimated</t>
        </is>
      </c>
      <c r="N511" t="n">
        <v>36374</v>
      </c>
      <c r="O511" t="n">
        <v>1.868801524898737</v>
      </c>
      <c r="P511" t="n">
        <v>0.06599616521134144</v>
      </c>
    </row>
    <row r="512">
      <c r="A512" t="inlineStr">
        <is>
          <t>Panama</t>
        </is>
      </c>
      <c r="B512" t="inlineStr">
        <is>
          <t>PA</t>
        </is>
      </c>
      <c r="C512" s="4" t="n">
        <v>46143</v>
      </c>
      <c r="D512" t="n">
        <v>11181.66129032258</v>
      </c>
      <c r="G512" t="b">
        <v>0</v>
      </c>
      <c r="I512" t="n">
        <v>7</v>
      </c>
      <c r="J512" t="inlineStr">
        <is>
          <t>ASSUMPTION: 7.0 MMBtu/MWh, the same as panama_gas.xlsx (AES Colón combined cycle)</t>
        </is>
      </c>
      <c r="K512" t="n">
        <v>78271.62903225808</v>
      </c>
      <c r="L512" t="n">
        <v>78271.62903225808</v>
      </c>
      <c r="M512" t="inlineStr">
        <is>
          <t>estimated</t>
        </is>
      </c>
      <c r="N512" t="n">
        <v>36374</v>
      </c>
      <c r="O512" t="n">
        <v>2.151856519279102</v>
      </c>
      <c r="P512" t="n">
        <v>0.07599216742138572</v>
      </c>
    </row>
    <row r="513">
      <c r="A513" t="inlineStr">
        <is>
          <t>Panama</t>
        </is>
      </c>
      <c r="B513" t="inlineStr">
        <is>
          <t>PA</t>
        </is>
      </c>
      <c r="C513" s="4" t="n">
        <v>46174</v>
      </c>
      <c r="D513" t="n">
        <v>11240.93333333333</v>
      </c>
      <c r="G513" t="b">
        <v>0</v>
      </c>
      <c r="I513" t="n">
        <v>7</v>
      </c>
      <c r="J513" t="inlineStr">
        <is>
          <t>ASSUMPTION: 7.0 MMBtu/MWh, the same as panama_gas.xlsx (AES Colón combined cycle)</t>
        </is>
      </c>
      <c r="K513" t="n">
        <v>78686.5333333333</v>
      </c>
      <c r="L513" t="n">
        <v>78686.5333333333</v>
      </c>
      <c r="M513" t="inlineStr">
        <is>
          <t>estimated</t>
        </is>
      </c>
      <c r="N513" t="n">
        <v>36374</v>
      </c>
      <c r="O513" t="n">
        <v>2.163263136672714</v>
      </c>
      <c r="P513" t="n">
        <v>0.07639498869265587</v>
      </c>
    </row>
    <row r="514">
      <c r="A514" t="inlineStr">
        <is>
          <t>Panama</t>
        </is>
      </c>
      <c r="B514" t="inlineStr">
        <is>
          <t>PA</t>
        </is>
      </c>
      <c r="C514" s="4" t="n">
        <v>46204</v>
      </c>
      <c r="D514" t="n">
        <v>12469.8</v>
      </c>
      <c r="G514" t="b">
        <v>0</v>
      </c>
      <c r="I514" t="n">
        <v>7</v>
      </c>
      <c r="J514" t="inlineStr">
        <is>
          <t>ASSUMPTION: 7.0 MMBtu/MWh, the same as panama_gas.xlsx (AES Colón combined cycle)</t>
        </is>
      </c>
      <c r="K514" t="n">
        <v>87288.59999999999</v>
      </c>
      <c r="L514" t="n">
        <v>87288.59999999999</v>
      </c>
      <c r="M514" t="inlineStr">
        <is>
          <t>estimated</t>
        </is>
      </c>
      <c r="N514" t="n">
        <v>36374</v>
      </c>
      <c r="O514" t="n">
        <v>2.399752570517402</v>
      </c>
      <c r="P514" t="n">
        <v>0.08474654210205089</v>
      </c>
    </row>
    <row r="515">
      <c r="A515" t="inlineStr">
        <is>
          <t>Panama</t>
        </is>
      </c>
      <c r="B515" t="inlineStr">
        <is>
          <t>PA</t>
        </is>
      </c>
      <c r="C515" s="4" t="n">
        <v>46235</v>
      </c>
      <c r="D515" t="n">
        <v>12904.42258064516</v>
      </c>
      <c r="G515" t="b">
        <v>0</v>
      </c>
      <c r="I515" t="n">
        <v>7</v>
      </c>
      <c r="J515" t="inlineStr">
        <is>
          <t>ASSUMPTION: 7.0 MMBtu/MWh, the same as panama_gas.xlsx (AES Colón combined cycle)</t>
        </is>
      </c>
      <c r="K515" t="n">
        <v>90330.95806451615</v>
      </c>
      <c r="L515" t="n">
        <v>90330.95806451615</v>
      </c>
      <c r="M515" t="inlineStr">
        <is>
          <t>estimated</t>
        </is>
      </c>
      <c r="N515" t="n">
        <v>36374</v>
      </c>
      <c r="O515" t="n">
        <v>2.483393579604007</v>
      </c>
      <c r="P515" t="n">
        <v>0.08770029924564161</v>
      </c>
    </row>
    <row r="516">
      <c r="A516" t="inlineStr">
        <is>
          <t>Panama</t>
        </is>
      </c>
      <c r="B516" t="inlineStr">
        <is>
          <t>PA</t>
        </is>
      </c>
      <c r="C516" s="4" t="n">
        <v>46266</v>
      </c>
      <c r="D516" t="n">
        <v>10991.73</v>
      </c>
      <c r="G516" t="b">
        <v>0</v>
      </c>
      <c r="I516" t="n">
        <v>7</v>
      </c>
      <c r="J516" t="inlineStr">
        <is>
          <t>ASSUMPTION: 7.0 MMBtu/MWh, the same as panama_gas.xlsx (AES Colón combined cycle)</t>
        </is>
      </c>
      <c r="K516" t="n">
        <v>76942.11</v>
      </c>
      <c r="L516" t="n">
        <v>76942.11</v>
      </c>
      <c r="M516" t="inlineStr">
        <is>
          <t>estimated</t>
        </is>
      </c>
      <c r="N516" t="n">
        <v>36374</v>
      </c>
      <c r="O516" t="n">
        <v>2.115305163028537</v>
      </c>
      <c r="P516" t="n">
        <v>0.07470136724080385</v>
      </c>
    </row>
    <row r="517">
      <c r="A517" t="inlineStr">
        <is>
          <t>Panama</t>
        </is>
      </c>
      <c r="B517" t="inlineStr">
        <is>
          <t>PA</t>
        </is>
      </c>
      <c r="C517" s="4" t="n">
        <v>46296</v>
      </c>
      <c r="D517" t="n">
        <v>3909.334615384615</v>
      </c>
      <c r="G517" t="b">
        <v>0</v>
      </c>
      <c r="I517" t="n">
        <v>7</v>
      </c>
      <c r="J517" t="inlineStr">
        <is>
          <t>ASSUMPTION: 7.0 MMBtu/MWh, the same as panama_gas.xlsx (AES Colón combined cycle)</t>
        </is>
      </c>
      <c r="K517" t="n">
        <v>27365.34230769231</v>
      </c>
      <c r="L517" t="n">
        <v>27365.34230769231</v>
      </c>
      <c r="M517" t="inlineStr">
        <is>
          <t>estimated</t>
        </is>
      </c>
      <c r="N517" t="n">
        <v>36374</v>
      </c>
      <c r="O517" t="n">
        <v>0.7523324986994091</v>
      </c>
      <c r="P517" t="n">
        <v>0.02656839649182002</v>
      </c>
    </row>
    <row r="518">
      <c r="A518" t="inlineStr">
        <is>
          <t>El Salvador</t>
        </is>
      </c>
      <c r="B518" t="inlineStr">
        <is>
          <t>SV</t>
        </is>
      </c>
      <c r="C518" s="4" t="n">
        <v>44927</v>
      </c>
      <c r="D518" t="n">
        <v>4821.358064516129</v>
      </c>
      <c r="G518" t="b">
        <v>0</v>
      </c>
      <c r="I518" t="n">
        <v>8.199999999999999</v>
      </c>
      <c r="J518" t="inlineStr">
        <is>
          <t>ASSUMPTION: 8.2 MMBtu/MWh, the same as el_salvador_gas.xlsx (Energía del Pacífico engines)</t>
        </is>
      </c>
      <c r="K518" t="n">
        <v>39535.13612903225</v>
      </c>
      <c r="L518" t="n">
        <v>39535.13612903225</v>
      </c>
      <c r="M518" t="inlineStr">
        <is>
          <t>estimated</t>
        </is>
      </c>
      <c r="N518" t="n">
        <v>36374</v>
      </c>
      <c r="O518" t="n">
        <v>1.086906475202954</v>
      </c>
      <c r="P518" t="n">
        <v>0.03838377609984975</v>
      </c>
    </row>
    <row r="519">
      <c r="A519" t="inlineStr">
        <is>
          <t>El Salvador</t>
        </is>
      </c>
      <c r="B519" t="inlineStr">
        <is>
          <t>SV</t>
        </is>
      </c>
      <c r="C519" s="4" t="n">
        <v>44958</v>
      </c>
      <c r="D519" t="n">
        <v>5334.814285714286</v>
      </c>
      <c r="G519" t="b">
        <v>0</v>
      </c>
      <c r="I519" t="n">
        <v>8.199999999999999</v>
      </c>
      <c r="J519" t="inlineStr">
        <is>
          <t>ASSUMPTION: 8.2 MMBtu/MWh, the same as el_salvador_gas.xlsx (Energía del Pacífico engines)</t>
        </is>
      </c>
      <c r="K519" t="n">
        <v>43745.47714285714</v>
      </c>
      <c r="L519" t="n">
        <v>43745.47714285714</v>
      </c>
      <c r="M519" t="inlineStr">
        <is>
          <t>estimated</t>
        </is>
      </c>
      <c r="N519" t="n">
        <v>36374</v>
      </c>
      <c r="O519" t="n">
        <v>1.202657863937349</v>
      </c>
      <c r="P519" t="n">
        <v>0.04247150166758831</v>
      </c>
    </row>
    <row r="520">
      <c r="A520" t="inlineStr">
        <is>
          <t>El Salvador</t>
        </is>
      </c>
      <c r="B520" t="inlineStr">
        <is>
          <t>SV</t>
        </is>
      </c>
      <c r="C520" s="4" t="n">
        <v>44986</v>
      </c>
      <c r="D520" t="n">
        <v>7386.525806451613</v>
      </c>
      <c r="G520" t="b">
        <v>0</v>
      </c>
      <c r="I520" t="n">
        <v>8.199999999999999</v>
      </c>
      <c r="J520" t="inlineStr">
        <is>
          <t>ASSUMPTION: 8.2 MMBtu/MWh, the same as el_salvador_gas.xlsx (Energía del Pacífico engines)</t>
        </is>
      </c>
      <c r="K520" t="n">
        <v>60569.51161290322</v>
      </c>
      <c r="L520" t="n">
        <v>60569.51161290322</v>
      </c>
      <c r="M520" t="inlineStr">
        <is>
          <t>estimated</t>
        </is>
      </c>
      <c r="N520" t="n">
        <v>36374</v>
      </c>
      <c r="O520" t="n">
        <v>1.665186991062386</v>
      </c>
      <c r="P520" t="n">
        <v>0.05880557903327083</v>
      </c>
    </row>
    <row r="521">
      <c r="A521" t="inlineStr">
        <is>
          <t>El Salvador</t>
        </is>
      </c>
      <c r="B521" t="inlineStr">
        <is>
          <t>SV</t>
        </is>
      </c>
      <c r="C521" s="4" t="n">
        <v>45017</v>
      </c>
      <c r="D521" t="n">
        <v>7310.936666666666</v>
      </c>
      <c r="G521" t="b">
        <v>0</v>
      </c>
      <c r="I521" t="n">
        <v>8.199999999999999</v>
      </c>
      <c r="J521" t="inlineStr">
        <is>
          <t>ASSUMPTION: 8.2 MMBtu/MWh, the same as el_salvador_gas.xlsx (Energía del Pacífico engines)</t>
        </is>
      </c>
      <c r="K521" t="n">
        <v>59949.68066666666</v>
      </c>
      <c r="L521" t="n">
        <v>59949.68066666666</v>
      </c>
      <c r="M521" t="inlineStr">
        <is>
          <t>estimated</t>
        </is>
      </c>
      <c r="N521" t="n">
        <v>36374</v>
      </c>
      <c r="O521" t="n">
        <v>1.648146496581807</v>
      </c>
      <c r="P521" t="n">
        <v>0.05820379908283755</v>
      </c>
    </row>
    <row r="522">
      <c r="A522" t="inlineStr">
        <is>
          <t>El Salvador</t>
        </is>
      </c>
      <c r="B522" t="inlineStr">
        <is>
          <t>SV</t>
        </is>
      </c>
      <c r="C522" s="4" t="n">
        <v>45047</v>
      </c>
      <c r="D522" t="n">
        <v>8367.990322580645</v>
      </c>
      <c r="G522" t="b">
        <v>0</v>
      </c>
      <c r="I522" t="n">
        <v>8.199999999999999</v>
      </c>
      <c r="J522" t="inlineStr">
        <is>
          <t>ASSUMPTION: 8.2 MMBtu/MWh, the same as el_salvador_gas.xlsx (Energía del Pacífico engines)</t>
        </is>
      </c>
      <c r="K522" t="n">
        <v>68617.52064516128</v>
      </c>
      <c r="L522" t="n">
        <v>68617.52064516128</v>
      </c>
      <c r="M522" t="inlineStr">
        <is>
          <t>estimated</t>
        </is>
      </c>
      <c r="N522" t="n">
        <v>36374</v>
      </c>
      <c r="O522" t="n">
        <v>1.886444181150307</v>
      </c>
      <c r="P522" t="n">
        <v>0.06661921032406876</v>
      </c>
    </row>
    <row r="523">
      <c r="A523" t="inlineStr">
        <is>
          <t>El Salvador</t>
        </is>
      </c>
      <c r="B523" t="inlineStr">
        <is>
          <t>SV</t>
        </is>
      </c>
      <c r="C523" s="4" t="n">
        <v>45078</v>
      </c>
      <c r="D523" t="n">
        <v>7797.276666666667</v>
      </c>
      <c r="G523" t="b">
        <v>0</v>
      </c>
      <c r="I523" t="n">
        <v>8.199999999999999</v>
      </c>
      <c r="J523" t="inlineStr">
        <is>
          <t>ASSUMPTION: 8.2 MMBtu/MWh, the same as el_salvador_gas.xlsx (Energía del Pacífico engines)</t>
        </is>
      </c>
      <c r="K523" t="n">
        <v>63937.66866666666</v>
      </c>
      <c r="L523" t="n">
        <v>63937.66866666666</v>
      </c>
      <c r="M523" t="inlineStr">
        <is>
          <t>estimated</t>
        </is>
      </c>
      <c r="N523" t="n">
        <v>36374</v>
      </c>
      <c r="O523" t="n">
        <v>1.757784919631238</v>
      </c>
      <c r="P523" t="n">
        <v>0.06207564710130128</v>
      </c>
    </row>
    <row r="524">
      <c r="A524" t="inlineStr">
        <is>
          <t>El Salvador</t>
        </is>
      </c>
      <c r="B524" t="inlineStr">
        <is>
          <t>SV</t>
        </is>
      </c>
      <c r="C524" s="4" t="n">
        <v>45108</v>
      </c>
      <c r="D524" t="n">
        <v>8138.696774193549</v>
      </c>
      <c r="G524" t="b">
        <v>0</v>
      </c>
      <c r="I524" t="n">
        <v>8.199999999999999</v>
      </c>
      <c r="J524" t="inlineStr">
        <is>
          <t>ASSUMPTION: 8.2 MMBtu/MWh, the same as el_salvador_gas.xlsx (Energía del Pacífico engines)</t>
        </is>
      </c>
      <c r="K524" t="n">
        <v>66737.31354838709</v>
      </c>
      <c r="L524" t="n">
        <v>66737.31354838709</v>
      </c>
      <c r="M524" t="inlineStr">
        <is>
          <t>estimated</t>
        </is>
      </c>
      <c r="N524" t="n">
        <v>36374</v>
      </c>
      <c r="O524" t="n">
        <v>1.83475321791354</v>
      </c>
      <c r="P524" t="n">
        <v>0.06479375946465127</v>
      </c>
    </row>
    <row r="525">
      <c r="A525" t="inlineStr">
        <is>
          <t>El Salvador</t>
        </is>
      </c>
      <c r="B525" t="inlineStr">
        <is>
          <t>SV</t>
        </is>
      </c>
      <c r="C525" s="4" t="n">
        <v>45139</v>
      </c>
      <c r="D525" t="n">
        <v>8149</v>
      </c>
      <c r="G525" t="b">
        <v>0</v>
      </c>
      <c r="I525" t="n">
        <v>8.199999999999999</v>
      </c>
      <c r="J525" t="inlineStr">
        <is>
          <t>ASSUMPTION: 8.2 MMBtu/MWh, the same as el_salvador_gas.xlsx (Energía del Pacífico engines)</t>
        </is>
      </c>
      <c r="K525" t="n">
        <v>66821.79999999999</v>
      </c>
      <c r="L525" t="n">
        <v>66821.79999999999</v>
      </c>
      <c r="M525" t="inlineStr">
        <is>
          <t>estimated</t>
        </is>
      </c>
      <c r="N525" t="n">
        <v>36374</v>
      </c>
      <c r="O525" t="n">
        <v>1.837075933358992</v>
      </c>
      <c r="P525" t="n">
        <v>0.0648757854637928</v>
      </c>
    </row>
    <row r="526">
      <c r="A526" t="inlineStr">
        <is>
          <t>El Salvador</t>
        </is>
      </c>
      <c r="B526" t="inlineStr">
        <is>
          <t>SV</t>
        </is>
      </c>
      <c r="C526" s="4" t="n">
        <v>45170</v>
      </c>
      <c r="D526" t="n">
        <v>6907</v>
      </c>
      <c r="G526" t="b">
        <v>0</v>
      </c>
      <c r="I526" t="n">
        <v>8.199999999999999</v>
      </c>
      <c r="J526" t="inlineStr">
        <is>
          <t>ASSUMPTION: 8.2 MMBtu/MWh, the same as el_salvador_gas.xlsx (Energía del Pacífico engines)</t>
        </is>
      </c>
      <c r="K526" t="n">
        <v>56637.39999999999</v>
      </c>
      <c r="L526" t="n">
        <v>56637.39999999999</v>
      </c>
      <c r="M526" t="inlineStr">
        <is>
          <t>estimated</t>
        </is>
      </c>
      <c r="N526" t="n">
        <v>36374</v>
      </c>
      <c r="O526" t="n">
        <v>1.557084730851707</v>
      </c>
      <c r="P526" t="n">
        <v>0.05498798014460878</v>
      </c>
    </row>
    <row r="527">
      <c r="A527" t="inlineStr">
        <is>
          <t>El Salvador</t>
        </is>
      </c>
      <c r="B527" t="inlineStr">
        <is>
          <t>SV</t>
        </is>
      </c>
      <c r="C527" s="4" t="n">
        <v>45200</v>
      </c>
      <c r="D527" t="n">
        <v>5988.341935483872</v>
      </c>
      <c r="G527" t="b">
        <v>0</v>
      </c>
      <c r="I527" t="n">
        <v>8.199999999999999</v>
      </c>
      <c r="J527" t="inlineStr">
        <is>
          <t>ASSUMPTION: 8.2 MMBtu/MWh, the same as el_salvador_gas.xlsx (Energía del Pacífico engines)</t>
        </is>
      </c>
      <c r="K527" t="n">
        <v>49104.40387096774</v>
      </c>
      <c r="L527" t="n">
        <v>49104.40387096774</v>
      </c>
      <c r="M527" t="inlineStr">
        <is>
          <t>estimated</t>
        </is>
      </c>
      <c r="N527" t="n">
        <v>36374</v>
      </c>
      <c r="O527" t="n">
        <v>1.349986360338916</v>
      </c>
      <c r="P527" t="n">
        <v>0.04767436331946072</v>
      </c>
    </row>
    <row r="528">
      <c r="A528" t="inlineStr">
        <is>
          <t>El Salvador</t>
        </is>
      </c>
      <c r="B528" t="inlineStr">
        <is>
          <t>SV</t>
        </is>
      </c>
      <c r="C528" s="4" t="n">
        <v>45231</v>
      </c>
      <c r="D528" t="n">
        <v>6013.240000000001</v>
      </c>
      <c r="G528" t="b">
        <v>0</v>
      </c>
      <c r="I528" t="n">
        <v>8.199999999999999</v>
      </c>
      <c r="J528" t="inlineStr">
        <is>
          <t>ASSUMPTION: 8.2 MMBtu/MWh, the same as el_salvador_gas.xlsx (Energía del Pacífico engines)</t>
        </is>
      </c>
      <c r="K528" t="n">
        <v>49308.568</v>
      </c>
      <c r="L528" t="n">
        <v>49308.568</v>
      </c>
      <c r="M528" t="inlineStr">
        <is>
          <t>estimated</t>
        </is>
      </c>
      <c r="N528" t="n">
        <v>36374</v>
      </c>
      <c r="O528" t="n">
        <v>1.355599274206851</v>
      </c>
      <c r="P528" t="n">
        <v>0.04787258168883268</v>
      </c>
    </row>
    <row r="529">
      <c r="A529" t="inlineStr">
        <is>
          <t>El Salvador</t>
        </is>
      </c>
      <c r="B529" t="inlineStr">
        <is>
          <t>SV</t>
        </is>
      </c>
      <c r="C529" s="4" t="n">
        <v>45261</v>
      </c>
      <c r="D529" t="n">
        <v>5224.448387096774</v>
      </c>
      <c r="G529" t="b">
        <v>0</v>
      </c>
      <c r="I529" t="n">
        <v>8.199999999999999</v>
      </c>
      <c r="J529" t="inlineStr">
        <is>
          <t>ASSUMPTION: 8.2 MMBtu/MWh, the same as el_salvador_gas.xlsx (Energía del Pacífico engines)</t>
        </is>
      </c>
      <c r="K529" t="n">
        <v>42840.47677419354</v>
      </c>
      <c r="L529" t="n">
        <v>42840.47677419354</v>
      </c>
      <c r="M529" t="inlineStr">
        <is>
          <t>estimated</t>
        </is>
      </c>
      <c r="N529" t="n">
        <v>36374</v>
      </c>
      <c r="O529" t="n">
        <v>1.177777444718578</v>
      </c>
      <c r="P529" t="n">
        <v>0.04159285712700315</v>
      </c>
    </row>
    <row r="530">
      <c r="A530" t="inlineStr">
        <is>
          <t>El Salvador</t>
        </is>
      </c>
      <c r="B530" t="inlineStr">
        <is>
          <t>SV</t>
        </is>
      </c>
      <c r="C530" s="4" t="n">
        <v>45292</v>
      </c>
      <c r="D530" t="n">
        <v>6402.283870967742</v>
      </c>
      <c r="G530" t="b">
        <v>0</v>
      </c>
      <c r="I530" t="n">
        <v>8.199999999999999</v>
      </c>
      <c r="J530" t="inlineStr">
        <is>
          <t>ASSUMPTION: 8.2 MMBtu/MWh, the same as el_salvador_gas.xlsx (Energía del Pacífico engines)</t>
        </is>
      </c>
      <c r="K530" t="n">
        <v>52498.72774193548</v>
      </c>
      <c r="L530" t="n">
        <v>52498.72774193548</v>
      </c>
      <c r="M530" t="inlineStr">
        <is>
          <t>estimated</t>
        </is>
      </c>
      <c r="N530" t="n">
        <v>36374</v>
      </c>
      <c r="O530" t="n">
        <v>1.443303671356889</v>
      </c>
      <c r="P530" t="n">
        <v>0.05096983616286712</v>
      </c>
    </row>
    <row r="531">
      <c r="A531" t="inlineStr">
        <is>
          <t>El Salvador</t>
        </is>
      </c>
      <c r="B531" t="inlineStr">
        <is>
          <t>SV</t>
        </is>
      </c>
      <c r="C531" s="4" t="n">
        <v>45323</v>
      </c>
      <c r="D531" t="n">
        <v>7096.820689655172</v>
      </c>
      <c r="G531" t="b">
        <v>0</v>
      </c>
      <c r="I531" t="n">
        <v>8.199999999999999</v>
      </c>
      <c r="J531" t="inlineStr">
        <is>
          <t>ASSUMPTION: 8.2 MMBtu/MWh, the same as el_salvador_gas.xlsx (Energía del Pacífico engines)</t>
        </is>
      </c>
      <c r="K531" t="n">
        <v>58193.9296551724</v>
      </c>
      <c r="L531" t="n">
        <v>58193.9296551724</v>
      </c>
      <c r="M531" t="inlineStr">
        <is>
          <t>estimated</t>
        </is>
      </c>
      <c r="N531" t="n">
        <v>36374</v>
      </c>
      <c r="O531" t="n">
        <v>1.599877100543586</v>
      </c>
      <c r="P531" t="n">
        <v>0.05649917984256658</v>
      </c>
    </row>
    <row r="532">
      <c r="A532" t="inlineStr">
        <is>
          <t>El Salvador</t>
        </is>
      </c>
      <c r="B532" t="inlineStr">
        <is>
          <t>SV</t>
        </is>
      </c>
      <c r="C532" s="4" t="n">
        <v>45352</v>
      </c>
      <c r="D532" t="n">
        <v>7239.474193548387</v>
      </c>
      <c r="G532" t="b">
        <v>0</v>
      </c>
      <c r="I532" t="n">
        <v>8.199999999999999</v>
      </c>
      <c r="J532" t="inlineStr">
        <is>
          <t>ASSUMPTION: 8.2 MMBtu/MWh, the same as el_salvador_gas.xlsx (Energía del Pacífico engines)</t>
        </is>
      </c>
      <c r="K532" t="n">
        <v>59363.68838709677</v>
      </c>
      <c r="L532" t="n">
        <v>59363.68838709677</v>
      </c>
      <c r="M532" t="inlineStr">
        <is>
          <t>estimated</t>
        </is>
      </c>
      <c r="N532" t="n">
        <v>36374</v>
      </c>
      <c r="O532" t="n">
        <v>1.632036300299576</v>
      </c>
      <c r="P532" t="n">
        <v>0.05763487233418943</v>
      </c>
    </row>
    <row r="533">
      <c r="A533" t="inlineStr">
        <is>
          <t>El Salvador</t>
        </is>
      </c>
      <c r="B533" t="inlineStr">
        <is>
          <t>SV</t>
        </is>
      </c>
      <c r="C533" s="4" t="n">
        <v>45383</v>
      </c>
      <c r="D533" t="n">
        <v>7789.62</v>
      </c>
      <c r="G533" t="b">
        <v>0</v>
      </c>
      <c r="I533" t="n">
        <v>8.199999999999999</v>
      </c>
      <c r="J533" t="inlineStr">
        <is>
          <t>ASSUMPTION: 8.2 MMBtu/MWh, the same as el_salvador_gas.xlsx (Energía del Pacífico engines)</t>
        </is>
      </c>
      <c r="K533" t="n">
        <v>63874.88399999999</v>
      </c>
      <c r="L533" t="n">
        <v>63874.88399999999</v>
      </c>
      <c r="M533" t="inlineStr">
        <is>
          <t>estimated</t>
        </is>
      </c>
      <c r="N533" t="n">
        <v>36374</v>
      </c>
      <c r="O533" t="n">
        <v>1.756058833232528</v>
      </c>
      <c r="P533" t="n">
        <v>0.06201469087795677</v>
      </c>
    </row>
    <row r="534">
      <c r="A534" t="inlineStr">
        <is>
          <t>El Salvador</t>
        </is>
      </c>
      <c r="B534" t="inlineStr">
        <is>
          <t>SV</t>
        </is>
      </c>
      <c r="C534" s="4" t="n">
        <v>45413</v>
      </c>
      <c r="D534" t="n">
        <v>7349.574193548387</v>
      </c>
      <c r="G534" t="b">
        <v>0</v>
      </c>
      <c r="I534" t="n">
        <v>8.199999999999999</v>
      </c>
      <c r="J534" t="inlineStr">
        <is>
          <t>ASSUMPTION: 8.2 MMBtu/MWh, the same as el_salvador_gas.xlsx (Energía del Pacífico engines)</t>
        </is>
      </c>
      <c r="K534" t="n">
        <v>60266.50838709676</v>
      </c>
      <c r="L534" t="n">
        <v>60266.50838709676</v>
      </c>
      <c r="M534" t="inlineStr">
        <is>
          <t>estimated</t>
        </is>
      </c>
      <c r="N534" t="n">
        <v>36374</v>
      </c>
      <c r="O534" t="n">
        <v>1.656856776463869</v>
      </c>
      <c r="P534" t="n">
        <v>0.05851140000378859</v>
      </c>
    </row>
    <row r="535">
      <c r="A535" t="inlineStr">
        <is>
          <t>El Salvador</t>
        </is>
      </c>
      <c r="B535" t="inlineStr">
        <is>
          <t>SV</t>
        </is>
      </c>
      <c r="C535" s="4" t="n">
        <v>45444</v>
      </c>
      <c r="D535" t="n">
        <v>6488.093333333333</v>
      </c>
      <c r="G535" t="b">
        <v>0</v>
      </c>
      <c r="I535" t="n">
        <v>8.199999999999999</v>
      </c>
      <c r="J535" t="inlineStr">
        <is>
          <t>ASSUMPTION: 8.2 MMBtu/MWh, the same as el_salvador_gas.xlsx (Energía del Pacífico engines)</t>
        </is>
      </c>
      <c r="K535" t="n">
        <v>53202.36533333333</v>
      </c>
      <c r="L535" t="n">
        <v>53202.36533333333</v>
      </c>
      <c r="M535" t="inlineStr">
        <is>
          <t>estimated</t>
        </is>
      </c>
      <c r="N535" t="n">
        <v>36374</v>
      </c>
      <c r="O535" t="n">
        <v>1.462648191931966</v>
      </c>
      <c r="P535" t="n">
        <v>0.05165298210361979</v>
      </c>
    </row>
    <row r="536">
      <c r="A536" t="inlineStr">
        <is>
          <t>El Salvador</t>
        </is>
      </c>
      <c r="B536" t="inlineStr">
        <is>
          <t>SV</t>
        </is>
      </c>
      <c r="C536" s="4" t="n">
        <v>45474</v>
      </c>
      <c r="D536" t="n">
        <v>4803.035483870968</v>
      </c>
      <c r="G536" t="b">
        <v>0</v>
      </c>
      <c r="I536" t="n">
        <v>8.199999999999999</v>
      </c>
      <c r="J536" t="inlineStr">
        <is>
          <t>ASSUMPTION: 8.2 MMBtu/MWh, the same as el_salvador_gas.xlsx (Energía del Pacífico engines)</t>
        </is>
      </c>
      <c r="K536" t="n">
        <v>39384.89096774194</v>
      </c>
      <c r="L536" t="n">
        <v>39384.89096774194</v>
      </c>
      <c r="M536" t="inlineStr">
        <is>
          <t>estimated</t>
        </is>
      </c>
      <c r="N536" t="n">
        <v>36374</v>
      </c>
      <c r="O536" t="n">
        <v>1.082775910478417</v>
      </c>
      <c r="P536" t="n">
        <v>0.03823790644577215</v>
      </c>
    </row>
    <row r="537">
      <c r="A537" t="inlineStr">
        <is>
          <t>El Salvador</t>
        </is>
      </c>
      <c r="B537" t="inlineStr">
        <is>
          <t>SV</t>
        </is>
      </c>
      <c r="C537" s="4" t="n">
        <v>45505</v>
      </c>
      <c r="D537" t="n">
        <v>3553.487096774194</v>
      </c>
      <c r="G537" t="b">
        <v>0</v>
      </c>
      <c r="I537" t="n">
        <v>8.199999999999999</v>
      </c>
      <c r="J537" t="inlineStr">
        <is>
          <t>ASSUMPTION: 8.2 MMBtu/MWh, the same as el_salvador_gas.xlsx (Energía del Pacífico engines)</t>
        </is>
      </c>
      <c r="K537" t="n">
        <v>29138.59419354839</v>
      </c>
      <c r="L537" t="n">
        <v>29138.59419354839</v>
      </c>
      <c r="M537" t="inlineStr">
        <is>
          <t>estimated</t>
        </is>
      </c>
      <c r="N537" t="n">
        <v>36374</v>
      </c>
      <c r="O537" t="n">
        <v>0.8010830316585579</v>
      </c>
      <c r="P537" t="n">
        <v>0.02829000693811247</v>
      </c>
    </row>
    <row r="538">
      <c r="A538" t="inlineStr">
        <is>
          <t>El Salvador</t>
        </is>
      </c>
      <c r="B538" t="inlineStr">
        <is>
          <t>SV</t>
        </is>
      </c>
      <c r="C538" s="4" t="n">
        <v>45536</v>
      </c>
      <c r="D538" t="n">
        <v>2775.326666666667</v>
      </c>
      <c r="G538" t="b">
        <v>0</v>
      </c>
      <c r="I538" t="n">
        <v>8.199999999999999</v>
      </c>
      <c r="J538" t="inlineStr">
        <is>
          <t>ASSUMPTION: 8.2 MMBtu/MWh, the same as el_salvador_gas.xlsx (Energía del Pacífico engines)</t>
        </is>
      </c>
      <c r="K538" t="n">
        <v>22757.67866666667</v>
      </c>
      <c r="L538" t="n">
        <v>22757.67866666667</v>
      </c>
      <c r="M538" t="inlineStr">
        <is>
          <t>estimated</t>
        </is>
      </c>
      <c r="N538" t="n">
        <v>36374</v>
      </c>
      <c r="O538" t="n">
        <v>0.6256578508458422</v>
      </c>
      <c r="P538" t="n">
        <v>0.02209491930526566</v>
      </c>
    </row>
    <row r="539">
      <c r="A539" t="inlineStr">
        <is>
          <t>El Salvador</t>
        </is>
      </c>
      <c r="B539" t="inlineStr">
        <is>
          <t>SV</t>
        </is>
      </c>
      <c r="C539" s="4" t="n">
        <v>45566</v>
      </c>
      <c r="D539" t="n">
        <v>6135.777419354838</v>
      </c>
      <c r="G539" t="b">
        <v>0</v>
      </c>
      <c r="I539" t="n">
        <v>8.199999999999999</v>
      </c>
      <c r="J539" t="inlineStr">
        <is>
          <t>ASSUMPTION: 8.2 MMBtu/MWh, the same as el_salvador_gas.xlsx (Energía del Pacífico engines)</t>
        </is>
      </c>
      <c r="K539" t="n">
        <v>50313.37483870967</v>
      </c>
      <c r="L539" t="n">
        <v>50313.37483870967</v>
      </c>
      <c r="M539" t="inlineStr">
        <is>
          <t>estimated</t>
        </is>
      </c>
      <c r="N539" t="n">
        <v>36374</v>
      </c>
      <c r="O539" t="n">
        <v>1.383223589341554</v>
      </c>
      <c r="P539" t="n">
        <v>0.04884812609052016</v>
      </c>
    </row>
    <row r="540">
      <c r="A540" t="inlineStr">
        <is>
          <t>El Salvador</t>
        </is>
      </c>
      <c r="B540" t="inlineStr">
        <is>
          <t>SV</t>
        </is>
      </c>
      <c r="C540" s="4" t="n">
        <v>45597</v>
      </c>
      <c r="D540" t="n">
        <v>5648.223333333333</v>
      </c>
      <c r="G540" t="b">
        <v>0</v>
      </c>
      <c r="I540" t="n">
        <v>8.199999999999999</v>
      </c>
      <c r="J540" t="inlineStr">
        <is>
          <t>ASSUMPTION: 8.2 MMBtu/MWh, the same as el_salvador_gas.xlsx (Energía del Pacífico engines)</t>
        </is>
      </c>
      <c r="K540" t="n">
        <v>46315.43133333333</v>
      </c>
      <c r="L540" t="n">
        <v>46315.43133333333</v>
      </c>
      <c r="M540" t="inlineStr">
        <is>
          <t>estimated</t>
        </is>
      </c>
      <c r="N540" t="n">
        <v>36374</v>
      </c>
      <c r="O540" t="n">
        <v>1.273311467898316</v>
      </c>
      <c r="P540" t="n">
        <v>0.04496661249538864</v>
      </c>
    </row>
    <row r="541">
      <c r="A541" t="inlineStr">
        <is>
          <t>El Salvador</t>
        </is>
      </c>
      <c r="B541" t="inlineStr">
        <is>
          <t>SV</t>
        </is>
      </c>
      <c r="C541" s="4" t="n">
        <v>45627</v>
      </c>
      <c r="D541" t="n">
        <v>4511.81935483871</v>
      </c>
      <c r="G541" t="b">
        <v>0</v>
      </c>
      <c r="I541" t="n">
        <v>8.199999999999999</v>
      </c>
      <c r="J541" t="inlineStr">
        <is>
          <t>ASSUMPTION: 8.2 MMBtu/MWh, the same as el_salvador_gas.xlsx (Energía del Pacífico engines)</t>
        </is>
      </c>
      <c r="K541" t="n">
        <v>36996.91870967742</v>
      </c>
      <c r="L541" t="n">
        <v>36996.91870967742</v>
      </c>
      <c r="M541" t="inlineStr">
        <is>
          <t>estimated</t>
        </is>
      </c>
      <c r="N541" t="n">
        <v>36374</v>
      </c>
      <c r="O541" t="n">
        <v>1.017125383781751</v>
      </c>
      <c r="P541" t="n">
        <v>0.0359194777906374</v>
      </c>
    </row>
    <row r="542">
      <c r="A542" t="inlineStr">
        <is>
          <t>El Salvador</t>
        </is>
      </c>
      <c r="B542" t="inlineStr">
        <is>
          <t>SV</t>
        </is>
      </c>
      <c r="C542" s="4" t="n">
        <v>45658</v>
      </c>
      <c r="D542" t="n">
        <v>4741.4</v>
      </c>
      <c r="G542" t="b">
        <v>0</v>
      </c>
      <c r="I542" t="n">
        <v>8.199999999999999</v>
      </c>
      <c r="J542" t="inlineStr">
        <is>
          <t>ASSUMPTION: 8.2 MMBtu/MWh, the same as el_salvador_gas.xlsx (Energía del Pacífico engines)</t>
        </is>
      </c>
      <c r="K542" t="n">
        <v>38879.48</v>
      </c>
      <c r="L542" t="n">
        <v>38879.48</v>
      </c>
      <c r="M542" t="inlineStr">
        <is>
          <t>estimated</t>
        </is>
      </c>
      <c r="N542" t="n">
        <v>36374</v>
      </c>
      <c r="O542" t="n">
        <v>1.068881068895365</v>
      </c>
      <c r="P542" t="n">
        <v>0.03774721428371913</v>
      </c>
    </row>
    <row r="543">
      <c r="A543" t="inlineStr">
        <is>
          <t>El Salvador</t>
        </is>
      </c>
      <c r="B543" t="inlineStr">
        <is>
          <t>SV</t>
        </is>
      </c>
      <c r="C543" s="4" t="n">
        <v>45689</v>
      </c>
      <c r="D543" t="n">
        <v>6092.985714285714</v>
      </c>
      <c r="G543" t="b">
        <v>0</v>
      </c>
      <c r="I543" t="n">
        <v>8.199999999999999</v>
      </c>
      <c r="J543" t="inlineStr">
        <is>
          <t>ASSUMPTION: 8.2 MMBtu/MWh, the same as el_salvador_gas.xlsx (Energía del Pacífico engines)</t>
        </is>
      </c>
      <c r="K543" t="n">
        <v>49962.48285714285</v>
      </c>
      <c r="L543" t="n">
        <v>49962.48285714285</v>
      </c>
      <c r="M543" t="inlineStr">
        <is>
          <t>estimated</t>
        </is>
      </c>
      <c r="N543" t="n">
        <v>36374</v>
      </c>
      <c r="O543" t="n">
        <v>1.373576809180812</v>
      </c>
      <c r="P543" t="n">
        <v>0.04850745294317761</v>
      </c>
    </row>
    <row r="544">
      <c r="A544" t="inlineStr">
        <is>
          <t>El Salvador</t>
        </is>
      </c>
      <c r="B544" t="inlineStr">
        <is>
          <t>SV</t>
        </is>
      </c>
      <c r="C544" s="4" t="n">
        <v>45717</v>
      </c>
      <c r="D544" t="n">
        <v>7403.529032258064</v>
      </c>
      <c r="G544" t="b">
        <v>0</v>
      </c>
      <c r="I544" t="n">
        <v>8.199999999999999</v>
      </c>
      <c r="J544" t="inlineStr">
        <is>
          <t>ASSUMPTION: 8.2 MMBtu/MWh, the same as el_salvador_gas.xlsx (Energía del Pacífico engines)</t>
        </is>
      </c>
      <c r="K544" t="n">
        <v>60708.93806451612</v>
      </c>
      <c r="L544" t="n">
        <v>60708.93806451612</v>
      </c>
      <c r="M544" t="inlineStr">
        <is>
          <t>estimated</t>
        </is>
      </c>
      <c r="N544" t="n">
        <v>36374</v>
      </c>
      <c r="O544" t="n">
        <v>1.669020126038272</v>
      </c>
      <c r="P544" t="n">
        <v>0.05894094504500377</v>
      </c>
    </row>
    <row r="545">
      <c r="A545" t="inlineStr">
        <is>
          <t>El Salvador</t>
        </is>
      </c>
      <c r="B545" t="inlineStr">
        <is>
          <t>SV</t>
        </is>
      </c>
      <c r="C545" s="4" t="n">
        <v>45748</v>
      </c>
      <c r="D545" t="n">
        <v>7100.433333333333</v>
      </c>
      <c r="G545" t="b">
        <v>0</v>
      </c>
      <c r="I545" t="n">
        <v>8.199999999999999</v>
      </c>
      <c r="J545" t="inlineStr">
        <is>
          <t>ASSUMPTION: 8.2 MMBtu/MWh, the same as el_salvador_gas.xlsx (Energía del Pacífico engines)</t>
        </is>
      </c>
      <c r="K545" t="n">
        <v>58223.55333333333</v>
      </c>
      <c r="L545" t="n">
        <v>58223.55333333333</v>
      </c>
      <c r="M545" t="inlineStr">
        <is>
          <t>estimated</t>
        </is>
      </c>
      <c r="N545" t="n">
        <v>36374</v>
      </c>
      <c r="O545" t="n">
        <v>1.600691519583585</v>
      </c>
      <c r="P545" t="n">
        <v>0.05652794080663844</v>
      </c>
    </row>
    <row r="546">
      <c r="A546" t="inlineStr">
        <is>
          <t>El Salvador</t>
        </is>
      </c>
      <c r="B546" t="inlineStr">
        <is>
          <t>SV</t>
        </is>
      </c>
      <c r="C546" s="4" t="n">
        <v>45778</v>
      </c>
      <c r="D546" t="n">
        <v>7725.183870967742</v>
      </c>
      <c r="G546" t="b">
        <v>0</v>
      </c>
      <c r="I546" t="n">
        <v>8.199999999999999</v>
      </c>
      <c r="J546" t="inlineStr">
        <is>
          <t>ASSUMPTION: 8.2 MMBtu/MWh, the same as el_salvador_gas.xlsx (Energía del Pacífico engines)</t>
        </is>
      </c>
      <c r="K546" t="n">
        <v>63346.50774193548</v>
      </c>
      <c r="L546" t="n">
        <v>63346.50774193548</v>
      </c>
      <c r="M546" t="inlineStr">
        <is>
          <t>estimated</t>
        </is>
      </c>
      <c r="N546" t="n">
        <v>36374</v>
      </c>
      <c r="O546" t="n">
        <v>1.741532626104786</v>
      </c>
      <c r="P546" t="n">
        <v>0.06150170223110268</v>
      </c>
    </row>
    <row r="547">
      <c r="A547" t="inlineStr">
        <is>
          <t>El Salvador</t>
        </is>
      </c>
      <c r="B547" t="inlineStr">
        <is>
          <t>SV</t>
        </is>
      </c>
      <c r="C547" s="4" t="n">
        <v>45809</v>
      </c>
      <c r="D547" t="n">
        <v>6172.803333333333</v>
      </c>
      <c r="G547" t="b">
        <v>0</v>
      </c>
      <c r="I547" t="n">
        <v>8.199999999999999</v>
      </c>
      <c r="J547" t="inlineStr">
        <is>
          <t>ASSUMPTION: 8.2 MMBtu/MWh, the same as el_salvador_gas.xlsx (Energía del Pacífico engines)</t>
        </is>
      </c>
      <c r="K547" t="n">
        <v>50616.98733333333</v>
      </c>
      <c r="L547" t="n">
        <v>50616.98733333333</v>
      </c>
      <c r="M547" t="inlineStr">
        <is>
          <t>estimated</t>
        </is>
      </c>
      <c r="N547" t="n">
        <v>36374</v>
      </c>
      <c r="O547" t="n">
        <v>1.39157055405876</v>
      </c>
      <c r="P547" t="n">
        <v>0.04914289664541888</v>
      </c>
    </row>
    <row r="548">
      <c r="A548" t="inlineStr">
        <is>
          <t>El Salvador</t>
        </is>
      </c>
      <c r="B548" t="inlineStr">
        <is>
          <t>SV</t>
        </is>
      </c>
      <c r="C548" s="4" t="n">
        <v>45839</v>
      </c>
      <c r="D548" t="n">
        <v>7008.719354838709</v>
      </c>
      <c r="G548" t="b">
        <v>0</v>
      </c>
      <c r="I548" t="n">
        <v>8.199999999999999</v>
      </c>
      <c r="J548" t="inlineStr">
        <is>
          <t>ASSUMPTION: 8.2 MMBtu/MWh, the same as el_salvador_gas.xlsx (Energía del Pacífico engines)</t>
        </is>
      </c>
      <c r="K548" t="n">
        <v>57471.49870967741</v>
      </c>
      <c r="L548" t="n">
        <v>57471.49870967741</v>
      </c>
      <c r="M548" t="inlineStr">
        <is>
          <t>estimated</t>
        </is>
      </c>
      <c r="N548" t="n">
        <v>36374</v>
      </c>
      <c r="O548" t="n">
        <v>1.580015909981784</v>
      </c>
      <c r="P548" t="n">
        <v>0.0557977878562337</v>
      </c>
    </row>
    <row r="549">
      <c r="A549" t="inlineStr">
        <is>
          <t>El Salvador</t>
        </is>
      </c>
      <c r="B549" t="inlineStr">
        <is>
          <t>SV</t>
        </is>
      </c>
      <c r="C549" s="4" t="n">
        <v>45870</v>
      </c>
      <c r="D549" t="n">
        <v>6105.093548387096</v>
      </c>
      <c r="G549" t="b">
        <v>0</v>
      </c>
      <c r="I549" t="n">
        <v>8.199999999999999</v>
      </c>
      <c r="J549" t="inlineStr">
        <is>
          <t>ASSUMPTION: 8.2 MMBtu/MWh, the same as el_salvador_gas.xlsx (Energía del Pacífico engines)</t>
        </is>
      </c>
      <c r="K549" t="n">
        <v>50061.76709677419</v>
      </c>
      <c r="L549" t="n">
        <v>50061.76709677419</v>
      </c>
      <c r="M549" t="inlineStr">
        <is>
          <t>estimated</t>
        </is>
      </c>
      <c r="N549" t="n">
        <v>36374</v>
      </c>
      <c r="O549" t="n">
        <v>1.376306347852152</v>
      </c>
      <c r="P549" t="n">
        <v>0.0486038457824944</v>
      </c>
    </row>
    <row r="550">
      <c r="A550" t="inlineStr">
        <is>
          <t>El Salvador</t>
        </is>
      </c>
      <c r="B550" t="inlineStr">
        <is>
          <t>SV</t>
        </is>
      </c>
      <c r="C550" s="4" t="n">
        <v>45901</v>
      </c>
      <c r="D550" t="n">
        <v>4698.17</v>
      </c>
      <c r="G550" t="b">
        <v>0</v>
      </c>
      <c r="I550" t="n">
        <v>8.199999999999999</v>
      </c>
      <c r="J550" t="inlineStr">
        <is>
          <t>ASSUMPTION: 8.2 MMBtu/MWh, the same as el_salvador_gas.xlsx (Energía del Pacífico engines)</t>
        </is>
      </c>
      <c r="K550" t="n">
        <v>38524.994</v>
      </c>
      <c r="L550" t="n">
        <v>38524.994</v>
      </c>
      <c r="M550" t="inlineStr">
        <is>
          <t>estimated</t>
        </is>
      </c>
      <c r="N550" t="n">
        <v>36374</v>
      </c>
      <c r="O550" t="n">
        <v>1.059135481387804</v>
      </c>
      <c r="P550" t="n">
        <v>0.0374030517845659</v>
      </c>
    </row>
    <row r="551">
      <c r="A551" t="inlineStr">
        <is>
          <t>El Salvador</t>
        </is>
      </c>
      <c r="B551" t="inlineStr">
        <is>
          <t>SV</t>
        </is>
      </c>
      <c r="C551" s="4" t="n">
        <v>45931</v>
      </c>
      <c r="D551" t="n">
        <v>3900.674193548387</v>
      </c>
      <c r="G551" t="b">
        <v>0</v>
      </c>
      <c r="I551" t="n">
        <v>8.199999999999999</v>
      </c>
      <c r="J551" t="inlineStr">
        <is>
          <t>ASSUMPTION: 8.2 MMBtu/MWh, the same as el_salvador_gas.xlsx (Energía del Pacífico engines)</t>
        </is>
      </c>
      <c r="K551" t="n">
        <v>31985.52838709677</v>
      </c>
      <c r="L551" t="n">
        <v>31985.52838709677</v>
      </c>
      <c r="M551" t="inlineStr">
        <is>
          <t>estimated</t>
        </is>
      </c>
      <c r="N551" t="n">
        <v>36374</v>
      </c>
      <c r="O551" t="n">
        <v>0.879351415491746</v>
      </c>
      <c r="P551" t="n">
        <v>0.03105403143266636</v>
      </c>
    </row>
    <row r="552">
      <c r="A552" t="inlineStr">
        <is>
          <t>El Salvador</t>
        </is>
      </c>
      <c r="B552" t="inlineStr">
        <is>
          <t>SV</t>
        </is>
      </c>
      <c r="C552" s="4" t="n">
        <v>45962</v>
      </c>
      <c r="D552" t="n">
        <v>6728.493333333333</v>
      </c>
      <c r="G552" t="b">
        <v>0</v>
      </c>
      <c r="I552" t="n">
        <v>8.199999999999999</v>
      </c>
      <c r="J552" t="inlineStr">
        <is>
          <t>ASSUMPTION: 8.2 MMBtu/MWh, the same as el_salvador_gas.xlsx (Energía del Pacífico engines)</t>
        </is>
      </c>
      <c r="K552" t="n">
        <v>55173.64533333333</v>
      </c>
      <c r="L552" t="n">
        <v>55173.64533333333</v>
      </c>
      <c r="M552" t="inlineStr">
        <is>
          <t>estimated</t>
        </is>
      </c>
      <c r="N552" t="n">
        <v>36374</v>
      </c>
      <c r="O552" t="n">
        <v>1.516842946426935</v>
      </c>
      <c r="P552" t="n">
        <v>0.05356685360018327</v>
      </c>
    </row>
    <row r="553">
      <c r="A553" t="inlineStr">
        <is>
          <t>El Salvador</t>
        </is>
      </c>
      <c r="B553" t="inlineStr">
        <is>
          <t>SV</t>
        </is>
      </c>
      <c r="C553" s="4" t="n">
        <v>45992</v>
      </c>
      <c r="D553" t="n">
        <v>5534.922580645161</v>
      </c>
      <c r="G553" t="b">
        <v>0</v>
      </c>
      <c r="I553" t="n">
        <v>8.199999999999999</v>
      </c>
      <c r="J553" t="inlineStr">
        <is>
          <t>ASSUMPTION: 8.2 MMBtu/MWh, the same as el_salvador_gas.xlsx (Energía del Pacífico engines)</t>
        </is>
      </c>
      <c r="K553" t="n">
        <v>45386.36516129032</v>
      </c>
      <c r="L553" t="n">
        <v>45386.36516129032</v>
      </c>
      <c r="M553" t="inlineStr">
        <is>
          <t>estimated</t>
        </is>
      </c>
      <c r="N553" t="n">
        <v>36374</v>
      </c>
      <c r="O553" t="n">
        <v>1.247769427648604</v>
      </c>
      <c r="P553" t="n">
        <v>0.04406460300658215</v>
      </c>
    </row>
    <row r="554">
      <c r="A554" t="inlineStr">
        <is>
          <t>Dominican Republic</t>
        </is>
      </c>
      <c r="B554" t="inlineStr">
        <is>
          <t>DO</t>
        </is>
      </c>
      <c r="C554" s="4" t="n">
        <v>44197</v>
      </c>
      <c r="D554" t="n">
        <v>20991.64516129033</v>
      </c>
      <c r="E554" t="n">
        <v>134327</v>
      </c>
      <c r="F554" t="n">
        <v>6.399069675954027</v>
      </c>
      <c r="G554" t="b">
        <v>1</v>
      </c>
      <c r="I554" t="n">
        <v>7.672310960099254</v>
      </c>
      <c r="J554" t="inlineStr">
        <is>
          <t>first 12 calibrated months (Jan/21-Dec/21)</t>
        </is>
      </c>
      <c r="K554" t="n">
        <v>161054.4292414822</v>
      </c>
      <c r="L554" t="n">
        <v>134327</v>
      </c>
      <c r="M554" t="inlineStr">
        <is>
          <t>published</t>
        </is>
      </c>
      <c r="N554" t="n">
        <v>36621</v>
      </c>
      <c r="O554" t="n">
        <v>3.668032003495262</v>
      </c>
      <c r="P554" t="n">
        <v>0.1295354497938341</v>
      </c>
    </row>
    <row r="555">
      <c r="A555" t="inlineStr">
        <is>
          <t>Dominican Republic</t>
        </is>
      </c>
      <c r="B555" t="inlineStr">
        <is>
          <t>DO</t>
        </is>
      </c>
      <c r="C555" s="4" t="n">
        <v>44228</v>
      </c>
      <c r="D555" t="n">
        <v>25758.14285714286</v>
      </c>
      <c r="E555" t="n">
        <v>201140</v>
      </c>
      <c r="F555" t="n">
        <v>7.808792781200951</v>
      </c>
      <c r="G555" t="b">
        <v>1</v>
      </c>
      <c r="I555" t="n">
        <v>7.672310960099254</v>
      </c>
      <c r="J555" t="inlineStr">
        <is>
          <t>first 12 calibrated months (Jan/21-Dec/21)</t>
        </is>
      </c>
      <c r="K555" t="n">
        <v>197624.4817546595</v>
      </c>
      <c r="L555" t="n">
        <v>201140</v>
      </c>
      <c r="M555" t="inlineStr">
        <is>
          <t>published</t>
        </is>
      </c>
      <c r="N555" t="n">
        <v>36621</v>
      </c>
      <c r="O555" t="n">
        <v>5.492476994074438</v>
      </c>
      <c r="P555" t="n">
        <v>0.1939651773026405</v>
      </c>
    </row>
    <row r="556">
      <c r="A556" t="inlineStr">
        <is>
          <t>Dominican Republic</t>
        </is>
      </c>
      <c r="B556" t="inlineStr">
        <is>
          <t>DO</t>
        </is>
      </c>
      <c r="C556" s="4" t="n">
        <v>44256</v>
      </c>
      <c r="D556" t="n">
        <v>25255.90000000001</v>
      </c>
      <c r="E556" t="n">
        <v>197352</v>
      </c>
      <c r="F556" t="n">
        <v>7.814094924354307</v>
      </c>
      <c r="G556" t="b">
        <v>1</v>
      </c>
      <c r="I556" t="n">
        <v>7.672310960099254</v>
      </c>
      <c r="J556" t="inlineStr">
        <is>
          <t>first 12 calibrated months (Jan/21-Dec/21)</t>
        </is>
      </c>
      <c r="K556" t="n">
        <v>193771.1183771708</v>
      </c>
      <c r="L556" t="n">
        <v>197352</v>
      </c>
      <c r="M556" t="inlineStr">
        <is>
          <t>published</t>
        </is>
      </c>
      <c r="N556" t="n">
        <v>36621</v>
      </c>
      <c r="O556" t="n">
        <v>5.389039075940034</v>
      </c>
      <c r="P556" t="n">
        <v>0.1903122982550995</v>
      </c>
    </row>
    <row r="557">
      <c r="A557" t="inlineStr">
        <is>
          <t>Dominican Republic</t>
        </is>
      </c>
      <c r="B557" t="inlineStr">
        <is>
          <t>DO</t>
        </is>
      </c>
      <c r="C557" s="4" t="n">
        <v>44287</v>
      </c>
      <c r="D557" t="n">
        <v>24094.64</v>
      </c>
      <c r="E557" t="n">
        <v>190666</v>
      </c>
      <c r="F557" t="n">
        <v>7.913212233094167</v>
      </c>
      <c r="G557" t="b">
        <v>1</v>
      </c>
      <c r="I557" t="n">
        <v>7.672310960099254</v>
      </c>
      <c r="J557" t="inlineStr">
        <is>
          <t>first 12 calibrated months (Jan/21-Dec/21)</t>
        </is>
      </c>
      <c r="K557" t="n">
        <v>184861.5705516459</v>
      </c>
      <c r="L557" t="n">
        <v>190666</v>
      </c>
      <c r="M557" t="inlineStr">
        <is>
          <t>published</t>
        </is>
      </c>
      <c r="N557" t="n">
        <v>36621</v>
      </c>
      <c r="O557" t="n">
        <v>5.206466235220229</v>
      </c>
      <c r="P557" t="n">
        <v>0.1838647931569318</v>
      </c>
    </row>
    <row r="558">
      <c r="A558" t="inlineStr">
        <is>
          <t>Dominican Republic</t>
        </is>
      </c>
      <c r="B558" t="inlineStr">
        <is>
          <t>DO</t>
        </is>
      </c>
      <c r="C558" s="4" t="n">
        <v>44317</v>
      </c>
      <c r="D558" t="n">
        <v>25255.25483870968</v>
      </c>
      <c r="E558" t="n">
        <v>201475</v>
      </c>
      <c r="F558" t="n">
        <v>7.977547694002744</v>
      </c>
      <c r="G558" t="b">
        <v>1</v>
      </c>
      <c r="I558" t="n">
        <v>7.672310960099254</v>
      </c>
      <c r="J558" t="inlineStr">
        <is>
          <t>first 12 calibrated months (Jan/21-Dec/21)</t>
        </is>
      </c>
      <c r="K558" t="n">
        <v>193766.1684991319</v>
      </c>
      <c r="L558" t="n">
        <v>201475</v>
      </c>
      <c r="M558" t="inlineStr">
        <is>
          <t>published</t>
        </is>
      </c>
      <c r="N558" t="n">
        <v>36621</v>
      </c>
      <c r="O558" t="n">
        <v>5.501624750826029</v>
      </c>
      <c r="P558" t="n">
        <v>0.1942882275879959</v>
      </c>
    </row>
    <row r="559">
      <c r="A559" t="inlineStr">
        <is>
          <t>Dominican Republic</t>
        </is>
      </c>
      <c r="B559" t="inlineStr">
        <is>
          <t>DO</t>
        </is>
      </c>
      <c r="C559" s="4" t="n">
        <v>44348</v>
      </c>
      <c r="D559" t="n">
        <v>22935.64666666667</v>
      </c>
      <c r="E559" t="n">
        <v>180667</v>
      </c>
      <c r="F559" t="n">
        <v>7.877126929347534</v>
      </c>
      <c r="G559" t="b">
        <v>1</v>
      </c>
      <c r="I559" t="n">
        <v>7.672310960099254</v>
      </c>
      <c r="J559" t="inlineStr">
        <is>
          <t>first 12 calibrated months (Jan/21-Dec/21)</t>
        </is>
      </c>
      <c r="K559" t="n">
        <v>175969.4132976306</v>
      </c>
      <c r="L559" t="n">
        <v>180667</v>
      </c>
      <c r="M559" t="inlineStr">
        <is>
          <t>published</t>
        </is>
      </c>
      <c r="N559" t="n">
        <v>36621</v>
      </c>
      <c r="O559" t="n">
        <v>4.933426176237678</v>
      </c>
      <c r="P559" t="n">
        <v>0.1742224653859807</v>
      </c>
    </row>
    <row r="560">
      <c r="A560" t="inlineStr">
        <is>
          <t>Dominican Republic</t>
        </is>
      </c>
      <c r="B560" t="inlineStr">
        <is>
          <t>DO</t>
        </is>
      </c>
      <c r="C560" s="4" t="n">
        <v>44378</v>
      </c>
      <c r="D560" t="n">
        <v>23554.98064516129</v>
      </c>
      <c r="E560" t="n">
        <v>185390</v>
      </c>
      <c r="F560" t="n">
        <v>7.870522281158536</v>
      </c>
      <c r="G560" t="b">
        <v>1</v>
      </c>
      <c r="I560" t="n">
        <v>7.662468492705997</v>
      </c>
      <c r="J560" t="inlineStr">
        <is>
          <t>trailing 6 calibrated months (Jan/21-Jun/21)</t>
        </is>
      </c>
      <c r="K560" t="n">
        <v>180489.297039848</v>
      </c>
      <c r="L560" t="n">
        <v>185390</v>
      </c>
      <c r="M560" t="inlineStr">
        <is>
          <t>published</t>
        </is>
      </c>
      <c r="N560" t="n">
        <v>36621</v>
      </c>
      <c r="O560" t="n">
        <v>5.062395893066819</v>
      </c>
      <c r="P560" t="n">
        <v>0.1787769922448868</v>
      </c>
    </row>
    <row r="561">
      <c r="A561" t="inlineStr">
        <is>
          <t>Dominican Republic</t>
        </is>
      </c>
      <c r="B561" t="inlineStr">
        <is>
          <t>DO</t>
        </is>
      </c>
      <c r="C561" s="4" t="n">
        <v>44409</v>
      </c>
      <c r="D561" t="n">
        <v>20937.46129032258</v>
      </c>
      <c r="E561" t="n">
        <v>163841</v>
      </c>
      <c r="F561" t="n">
        <v>7.825256258538292</v>
      </c>
      <c r="G561" t="b">
        <v>1</v>
      </c>
      <c r="I561" t="n">
        <v>7.691666071580245</v>
      </c>
      <c r="J561" t="inlineStr">
        <is>
          <t>trailing 7 calibrated months (Jan/21-Jul/21)</t>
        </is>
      </c>
      <c r="K561" t="n">
        <v>161043.9606317989</v>
      </c>
      <c r="L561" t="n">
        <v>163841</v>
      </c>
      <c r="M561" t="inlineStr">
        <is>
          <t>published</t>
        </is>
      </c>
      <c r="N561" t="n">
        <v>36621</v>
      </c>
      <c r="O561" t="n">
        <v>4.473963026678682</v>
      </c>
      <c r="P561" t="n">
        <v>0.1579966620982496</v>
      </c>
    </row>
    <row r="562">
      <c r="A562" t="inlineStr">
        <is>
          <t>Dominican Republic</t>
        </is>
      </c>
      <c r="B562" t="inlineStr">
        <is>
          <t>DO</t>
        </is>
      </c>
      <c r="C562" s="4" t="n">
        <v>44440</v>
      </c>
      <c r="D562" t="n">
        <v>24509.90666666667</v>
      </c>
      <c r="E562" t="n">
        <v>187988</v>
      </c>
      <c r="F562" t="n">
        <v>7.669878247870384</v>
      </c>
      <c r="G562" t="b">
        <v>1</v>
      </c>
      <c r="I562" t="n">
        <v>7.706482180127028</v>
      </c>
      <c r="J562" t="inlineStr">
        <is>
          <t>trailing 8 calibrated months (Jan/21-Aug/21)</t>
        </is>
      </c>
      <c r="K562" t="n">
        <v>188885.1589632433</v>
      </c>
      <c r="L562" t="n">
        <v>187988</v>
      </c>
      <c r="M562" t="inlineStr">
        <is>
          <t>published</t>
        </is>
      </c>
      <c r="N562" t="n">
        <v>36621</v>
      </c>
      <c r="O562" t="n">
        <v>5.133338794680648</v>
      </c>
      <c r="P562" t="n">
        <v>0.1812823195325086</v>
      </c>
    </row>
    <row r="563">
      <c r="A563" t="inlineStr">
        <is>
          <t>Dominican Republic</t>
        </is>
      </c>
      <c r="B563" t="inlineStr">
        <is>
          <t>DO</t>
        </is>
      </c>
      <c r="C563" s="4" t="n">
        <v>44470</v>
      </c>
      <c r="D563" t="n">
        <v>22721.61935483872</v>
      </c>
      <c r="E563" t="n">
        <v>176544</v>
      </c>
      <c r="F563" t="n">
        <v>7.769868742317603</v>
      </c>
      <c r="G563" t="b">
        <v>1</v>
      </c>
      <c r="I563" t="n">
        <v>7.702275963647723</v>
      </c>
      <c r="J563" t="inlineStr">
        <is>
          <t>trailing 9 calibrated months (Jan/21-Sep/21)</t>
        </is>
      </c>
      <c r="K563" t="n">
        <v>175008.1826119271</v>
      </c>
      <c r="L563" t="n">
        <v>176544</v>
      </c>
      <c r="M563" t="inlineStr">
        <is>
          <t>published</t>
        </is>
      </c>
      <c r="N563" t="n">
        <v>36621</v>
      </c>
      <c r="O563" t="n">
        <v>4.820840501351683</v>
      </c>
      <c r="P563" t="n">
        <v>0.1702465360530843</v>
      </c>
    </row>
    <row r="564">
      <c r="A564" t="inlineStr">
        <is>
          <t>Dominican Republic</t>
        </is>
      </c>
      <c r="B564" t="inlineStr">
        <is>
          <t>DO</t>
        </is>
      </c>
      <c r="C564" s="4" t="n">
        <v>44501</v>
      </c>
      <c r="D564" t="n">
        <v>24155.53666666667</v>
      </c>
      <c r="E564" t="n">
        <v>181452</v>
      </c>
      <c r="F564" t="n">
        <v>7.511818201513773</v>
      </c>
      <c r="G564" t="b">
        <v>1</v>
      </c>
      <c r="I564" t="n">
        <v>7.708783245401042</v>
      </c>
      <c r="J564" t="inlineStr">
        <is>
          <t>trailing 10 calibrated months (Jan/21-Oct/21)</t>
        </is>
      </c>
      <c r="K564" t="n">
        <v>186209.7963396705</v>
      </c>
      <c r="L564" t="n">
        <v>181452</v>
      </c>
      <c r="M564" t="inlineStr">
        <is>
          <t>published</t>
        </is>
      </c>
      <c r="N564" t="n">
        <v>36621</v>
      </c>
      <c r="O564" t="n">
        <v>4.954861964446629</v>
      </c>
      <c r="P564" t="n">
        <v>0.1749794638158434</v>
      </c>
    </row>
    <row r="565">
      <c r="A565" t="inlineStr">
        <is>
          <t>Dominican Republic</t>
        </is>
      </c>
      <c r="B565" t="inlineStr">
        <is>
          <t>DO</t>
        </is>
      </c>
      <c r="C565" s="4" t="n">
        <v>44531</v>
      </c>
      <c r="D565" t="n">
        <v>22665.03870967742</v>
      </c>
      <c r="E565" t="n">
        <v>169162</v>
      </c>
      <c r="F565" t="n">
        <v>7.463565457215475</v>
      </c>
      <c r="G565" t="b">
        <v>1</v>
      </c>
      <c r="I565" t="n">
        <v>7.690496037367207</v>
      </c>
      <c r="J565" t="inlineStr">
        <is>
          <t>trailing 11 calibrated months (Jan/21-Nov/21)</t>
        </is>
      </c>
      <c r="K565" t="n">
        <v>174305.3903835485</v>
      </c>
      <c r="L565" t="n">
        <v>169162</v>
      </c>
      <c r="M565" t="inlineStr">
        <is>
          <t>published</t>
        </is>
      </c>
      <c r="N565" t="n">
        <v>36621</v>
      </c>
      <c r="O565" t="n">
        <v>4.619262171977827</v>
      </c>
      <c r="P565" t="n">
        <v>0.1631278578247453</v>
      </c>
    </row>
    <row r="566">
      <c r="A566" t="inlineStr">
        <is>
          <t>Dominican Republic</t>
        </is>
      </c>
      <c r="B566" t="inlineStr">
        <is>
          <t>DO</t>
        </is>
      </c>
      <c r="C566" s="4" t="n">
        <v>44562</v>
      </c>
      <c r="D566" t="n">
        <v>19343.97096774193</v>
      </c>
      <c r="E566" t="n">
        <v>145189</v>
      </c>
      <c r="F566" t="n">
        <v>7.505646086944487</v>
      </c>
      <c r="G566" t="b">
        <v>1</v>
      </c>
      <c r="I566" t="n">
        <v>7.672310960099254</v>
      </c>
      <c r="J566" t="inlineStr">
        <is>
          <t>trailing 12 calibrated months (Jan/21-Dec/21)</t>
        </is>
      </c>
      <c r="K566" t="n">
        <v>148412.9604676482</v>
      </c>
      <c r="L566" t="n">
        <v>145189</v>
      </c>
      <c r="M566" t="inlineStr">
        <is>
          <t>published</t>
        </is>
      </c>
      <c r="N566" t="n">
        <v>36621</v>
      </c>
      <c r="O566" t="n">
        <v>3.964637776139373</v>
      </c>
      <c r="P566" t="n">
        <v>0.1400099936730291</v>
      </c>
    </row>
    <row r="567">
      <c r="A567" t="inlineStr">
        <is>
          <t>Dominican Republic</t>
        </is>
      </c>
      <c r="B567" t="inlineStr">
        <is>
          <t>DO</t>
        </is>
      </c>
      <c r="C567" s="4" t="n">
        <v>44593</v>
      </c>
      <c r="D567" t="n">
        <v>19198.62142857143</v>
      </c>
      <c r="E567" t="n">
        <v>150207</v>
      </c>
      <c r="F567" t="n">
        <v>7.823843006584921</v>
      </c>
      <c r="G567" t="b">
        <v>1</v>
      </c>
      <c r="I567" t="n">
        <v>7.755897245882823</v>
      </c>
      <c r="J567" t="inlineStr">
        <is>
          <t>trailing 12 calibrated months (Feb/21-Jan/22)</t>
        </is>
      </c>
      <c r="K567" t="n">
        <v>148902.5350626041</v>
      </c>
      <c r="L567" t="n">
        <v>150207</v>
      </c>
      <c r="M567" t="inlineStr">
        <is>
          <t>published</t>
        </is>
      </c>
      <c r="N567" t="n">
        <v>36621</v>
      </c>
      <c r="O567" t="n">
        <v>4.101662980257229</v>
      </c>
      <c r="P567" t="n">
        <v>0.14484899764889</v>
      </c>
    </row>
    <row r="568">
      <c r="A568" t="inlineStr">
        <is>
          <t>Dominican Republic</t>
        </is>
      </c>
      <c r="B568" t="inlineStr">
        <is>
          <t>DO</t>
        </is>
      </c>
      <c r="C568" s="4" t="n">
        <v>44621</v>
      </c>
      <c r="D568" t="n">
        <v>23414.09677419355</v>
      </c>
      <c r="E568" t="n">
        <v>181884</v>
      </c>
      <c r="F568" t="n">
        <v>7.76814078091913</v>
      </c>
      <c r="G568" t="b">
        <v>1</v>
      </c>
      <c r="I568" t="n">
        <v>7.755685957536876</v>
      </c>
      <c r="J568" t="inlineStr">
        <is>
          <t>trailing 12 calibrated months (Mar/21-Feb/22)</t>
        </is>
      </c>
      <c r="K568" t="n">
        <v>181592.3815600224</v>
      </c>
      <c r="L568" t="n">
        <v>181884</v>
      </c>
      <c r="M568" t="inlineStr">
        <is>
          <t>published</t>
        </is>
      </c>
      <c r="N568" t="n">
        <v>36621</v>
      </c>
      <c r="O568" t="n">
        <v>4.966658474645695</v>
      </c>
      <c r="P568" t="n">
        <v>0.1753960540345703</v>
      </c>
    </row>
    <row r="569">
      <c r="A569" t="inlineStr">
        <is>
          <t>Dominican Republic</t>
        </is>
      </c>
      <c r="B569" t="inlineStr">
        <is>
          <t>DO</t>
        </is>
      </c>
      <c r="C569" s="4" t="n">
        <v>44652</v>
      </c>
      <c r="D569" t="n">
        <v>24908.26</v>
      </c>
      <c r="E569" t="n">
        <v>194811</v>
      </c>
      <c r="F569" t="n">
        <v>7.821140457021084</v>
      </c>
      <c r="G569" t="b">
        <v>1</v>
      </c>
      <c r="I569" t="n">
        <v>7.751347211315159</v>
      </c>
      <c r="J569" t="inlineStr">
        <is>
          <t>trailing 12 calibrated months (Apr/21-Mar/22)</t>
        </is>
      </c>
      <c r="K569" t="n">
        <v>193072.5716897129</v>
      </c>
      <c r="L569" t="n">
        <v>194811</v>
      </c>
      <c r="M569" t="inlineStr">
        <is>
          <t>published</t>
        </is>
      </c>
      <c r="N569" t="n">
        <v>36621</v>
      </c>
      <c r="O569" t="n">
        <v>5.319652658310805</v>
      </c>
      <c r="P569" t="n">
        <v>0.1878619377324486</v>
      </c>
    </row>
    <row r="570">
      <c r="A570" t="inlineStr">
        <is>
          <t>Dominican Republic</t>
        </is>
      </c>
      <c r="B570" t="inlineStr">
        <is>
          <t>DO</t>
        </is>
      </c>
      <c r="C570" s="4" t="n">
        <v>44682</v>
      </c>
      <c r="D570" t="n">
        <v>23068.57741935484</v>
      </c>
      <c r="E570" t="n">
        <v>183371</v>
      </c>
      <c r="F570" t="n">
        <v>7.948951366465681</v>
      </c>
      <c r="G570" t="b">
        <v>1</v>
      </c>
      <c r="I570" t="n">
        <v>7.743446451062609</v>
      </c>
      <c r="J570" t="inlineStr">
        <is>
          <t>trailing 12 calibrated months (May/21-Apr/22)</t>
        </is>
      </c>
      <c r="K570" t="n">
        <v>178630.2939489663</v>
      </c>
      <c r="L570" t="n">
        <v>183371</v>
      </c>
      <c r="M570" t="inlineStr">
        <is>
          <t>published</t>
        </is>
      </c>
      <c r="N570" t="n">
        <v>36621</v>
      </c>
      <c r="O570" t="n">
        <v>5.007263591928129</v>
      </c>
      <c r="P570" t="n">
        <v>0.1768300115698643</v>
      </c>
    </row>
    <row r="571">
      <c r="A571" t="inlineStr">
        <is>
          <t>Dominican Republic</t>
        </is>
      </c>
      <c r="B571" t="inlineStr">
        <is>
          <t>DO</t>
        </is>
      </c>
      <c r="C571" s="4" t="n">
        <v>44713</v>
      </c>
      <c r="D571" t="n">
        <v>28464.81</v>
      </c>
      <c r="E571" t="n">
        <v>197338</v>
      </c>
      <c r="F571" t="n">
        <v>6.932700411490537</v>
      </c>
      <c r="G571" t="b">
        <v>1</v>
      </c>
      <c r="I571" t="n">
        <v>7.739129865621762</v>
      </c>
      <c r="J571" t="inlineStr">
        <is>
          <t>trailing 12 calibrated months (Jun/21-May/22)</t>
        </is>
      </c>
      <c r="K571" t="n">
        <v>220292.861190249</v>
      </c>
      <c r="L571" t="n">
        <v>197338</v>
      </c>
      <c r="M571" t="inlineStr">
        <is>
          <t>published</t>
        </is>
      </c>
      <c r="N571" t="n">
        <v>36621</v>
      </c>
      <c r="O571" t="n">
        <v>5.388656781628027</v>
      </c>
      <c r="P571" t="n">
        <v>0.1902987976461593</v>
      </c>
    </row>
    <row r="572">
      <c r="A572" t="inlineStr">
        <is>
          <t>Dominican Republic</t>
        </is>
      </c>
      <c r="B572" t="inlineStr">
        <is>
          <t>DO</t>
        </is>
      </c>
      <c r="C572" s="4" t="n">
        <v>44743</v>
      </c>
      <c r="D572" t="n">
        <v>27008.02580645161</v>
      </c>
      <c r="E572" t="n">
        <v>209191</v>
      </c>
      <c r="F572" t="n">
        <v>7.745512445046204</v>
      </c>
      <c r="G572" t="b">
        <v>1</v>
      </c>
      <c r="I572" t="n">
        <v>7.64481470181562</v>
      </c>
      <c r="J572" t="inlineStr">
        <is>
          <t>trailing 12 calibrated months (Jul/21-Jun/22)</t>
        </is>
      </c>
      <c r="K572" t="n">
        <v>206471.352752177</v>
      </c>
      <c r="L572" t="n">
        <v>209191</v>
      </c>
      <c r="M572" t="inlineStr">
        <is>
          <t>published</t>
        </is>
      </c>
      <c r="N572" t="n">
        <v>36621</v>
      </c>
      <c r="O572" t="n">
        <v>5.712323530214904</v>
      </c>
      <c r="P572" t="n">
        <v>0.2017289917724802</v>
      </c>
    </row>
    <row r="573">
      <c r="A573" t="inlineStr">
        <is>
          <t>Dominican Republic</t>
        </is>
      </c>
      <c r="B573" t="inlineStr">
        <is>
          <t>DO</t>
        </is>
      </c>
      <c r="C573" s="4" t="n">
        <v>44774</v>
      </c>
      <c r="D573" t="n">
        <v>26559.87419354839</v>
      </c>
      <c r="E573" t="n">
        <v>206037</v>
      </c>
      <c r="F573" t="n">
        <v>7.757453913318914</v>
      </c>
      <c r="G573" t="b">
        <v>1</v>
      </c>
      <c r="I573" t="n">
        <v>7.635553189137491</v>
      </c>
      <c r="J573" t="inlineStr">
        <is>
          <t>trailing 12 calibrated months (Aug/21-Jul/22)</t>
        </is>
      </c>
      <c r="K573" t="n">
        <v>202799.332101639</v>
      </c>
      <c r="L573" t="n">
        <v>206037</v>
      </c>
      <c r="M573" t="inlineStr">
        <is>
          <t>published</t>
        </is>
      </c>
      <c r="N573" t="n">
        <v>36621</v>
      </c>
      <c r="O573" t="n">
        <v>5.626198083067092</v>
      </c>
      <c r="P573" t="n">
        <v>0.1986874974440894</v>
      </c>
    </row>
    <row r="574">
      <c r="A574" t="inlineStr">
        <is>
          <t>Dominican Republic</t>
        </is>
      </c>
      <c r="B574" t="inlineStr">
        <is>
          <t>DO</t>
        </is>
      </c>
      <c r="C574" s="4" t="n">
        <v>44805</v>
      </c>
      <c r="D574" t="n">
        <v>21765.43333333334</v>
      </c>
      <c r="E574" t="n">
        <v>167690</v>
      </c>
      <c r="F574" t="n">
        <v>7.704418167645025</v>
      </c>
      <c r="G574" t="b">
        <v>1</v>
      </c>
      <c r="I574" t="n">
        <v>7.632986106274766</v>
      </c>
      <c r="J574" t="inlineStr">
        <is>
          <t>trailing 12 calibrated months (Sep/21-Aug/22)</t>
        </is>
      </c>
      <c r="K574" t="n">
        <v>166135.2502303831</v>
      </c>
      <c r="L574" t="n">
        <v>167690</v>
      </c>
      <c r="M574" t="inlineStr">
        <is>
          <t>published</t>
        </is>
      </c>
      <c r="N574" t="n">
        <v>36621</v>
      </c>
      <c r="O574" t="n">
        <v>4.579066655743972</v>
      </c>
      <c r="P574" t="n">
        <v>0.1617083652276017</v>
      </c>
    </row>
    <row r="575">
      <c r="A575" t="inlineStr">
        <is>
          <t>Dominican Republic</t>
        </is>
      </c>
      <c r="B575" t="inlineStr">
        <is>
          <t>DO</t>
        </is>
      </c>
      <c r="C575" s="4" t="n">
        <v>44835</v>
      </c>
      <c r="D575" t="n">
        <v>23073.17741935484</v>
      </c>
      <c r="E575" t="n">
        <v>174956</v>
      </c>
      <c r="F575" t="n">
        <v>7.582657421653547</v>
      </c>
      <c r="G575" t="b">
        <v>1</v>
      </c>
      <c r="I575" t="n">
        <v>7.635282565297445</v>
      </c>
      <c r="J575" t="inlineStr">
        <is>
          <t>trailing 12 calibrated months (Oct/21-Sep/22)</t>
        </is>
      </c>
      <c r="K575" t="n">
        <v>176170.2292760147</v>
      </c>
      <c r="L575" t="n">
        <v>174956</v>
      </c>
      <c r="M575" t="inlineStr">
        <is>
          <t>published</t>
        </is>
      </c>
      <c r="N575" t="n">
        <v>36621</v>
      </c>
      <c r="O575" t="n">
        <v>4.777477403675487</v>
      </c>
      <c r="P575" t="n">
        <v>0.1687151812675787</v>
      </c>
    </row>
    <row r="576">
      <c r="A576" t="inlineStr">
        <is>
          <t>Dominican Republic</t>
        </is>
      </c>
      <c r="B576" t="inlineStr">
        <is>
          <t>DO</t>
        </is>
      </c>
      <c r="C576" s="4" t="n">
        <v>44866</v>
      </c>
      <c r="D576" t="n">
        <v>19026.40666666667</v>
      </c>
      <c r="E576" t="n">
        <v>150507</v>
      </c>
      <c r="F576" t="n">
        <v>7.910426946969493</v>
      </c>
      <c r="G576" t="b">
        <v>1</v>
      </c>
      <c r="I576" t="n">
        <v>7.620219581451585</v>
      </c>
      <c r="J576" t="inlineStr">
        <is>
          <t>trailing 12 calibrated months (Nov/21-Oct/22)</t>
        </is>
      </c>
      <c r="K576" t="n">
        <v>144985.3966459943</v>
      </c>
      <c r="L576" t="n">
        <v>150507</v>
      </c>
      <c r="M576" t="inlineStr">
        <is>
          <t>published</t>
        </is>
      </c>
      <c r="N576" t="n">
        <v>36621</v>
      </c>
      <c r="O576" t="n">
        <v>4.109855001228803</v>
      </c>
      <c r="P576" t="n">
        <v>0.1451382964118948</v>
      </c>
    </row>
    <row r="577">
      <c r="A577" t="inlineStr">
        <is>
          <t>Dominican Republic</t>
        </is>
      </c>
      <c r="B577" t="inlineStr">
        <is>
          <t>DO</t>
        </is>
      </c>
      <c r="C577" s="4" t="n">
        <v>44896</v>
      </c>
      <c r="D577" t="n">
        <v>19201.73225806452</v>
      </c>
      <c r="E577" t="n">
        <v>148195</v>
      </c>
      <c r="F577" t="n">
        <v>7.717793270331623</v>
      </c>
      <c r="G577" t="b">
        <v>1</v>
      </c>
      <c r="I577" t="n">
        <v>7.64944832551256</v>
      </c>
      <c r="J577" t="inlineStr">
        <is>
          <t>trailing 12 calibrated months (Dec/21-Nov/22)</t>
        </is>
      </c>
      <c r="K577" t="n">
        <v>146882.6586683921</v>
      </c>
      <c r="L577" t="n">
        <v>148195</v>
      </c>
      <c r="M577" t="inlineStr">
        <is>
          <t>published</t>
        </is>
      </c>
      <c r="N577" t="n">
        <v>36621</v>
      </c>
      <c r="O577" t="n">
        <v>4.046721826274542</v>
      </c>
      <c r="P577" t="n">
        <v>0.1429087672783376</v>
      </c>
    </row>
    <row r="578">
      <c r="A578" t="inlineStr">
        <is>
          <t>Dominican Republic</t>
        </is>
      </c>
      <c r="B578" t="inlineStr">
        <is>
          <t>DO</t>
        </is>
      </c>
      <c r="C578" s="4" t="n">
        <v>44927</v>
      </c>
      <c r="D578" t="n">
        <v>15188.44516129032</v>
      </c>
      <c r="E578" t="n">
        <v>118342</v>
      </c>
      <c r="F578" t="n">
        <v>7.791580951393867</v>
      </c>
      <c r="G578" t="b">
        <v>1</v>
      </c>
      <c r="I578" t="n">
        <v>7.669538220226707</v>
      </c>
      <c r="J578" t="inlineStr">
        <is>
          <t>trailing 12 calibrated months (Jan/22-Dec/22)</t>
        </is>
      </c>
      <c r="K578" t="n">
        <v>116488.3606703335</v>
      </c>
      <c r="L578" t="n">
        <v>118342</v>
      </c>
      <c r="M578" t="inlineStr">
        <is>
          <t>published</t>
        </is>
      </c>
      <c r="N578" t="n">
        <v>36621</v>
      </c>
      <c r="O578" t="n">
        <v>3.231533819393244</v>
      </c>
      <c r="P578" t="n">
        <v>0.1141206473717266</v>
      </c>
    </row>
    <row r="579">
      <c r="A579" t="inlineStr">
        <is>
          <t>Dominican Republic</t>
        </is>
      </c>
      <c r="B579" t="inlineStr">
        <is>
          <t>DO</t>
        </is>
      </c>
      <c r="C579" s="4" t="n">
        <v>44958</v>
      </c>
      <c r="D579" t="n">
        <v>19375.93571428572</v>
      </c>
      <c r="E579" t="n">
        <v>149259</v>
      </c>
      <c r="F579" t="n">
        <v>7.703318291356251</v>
      </c>
      <c r="G579" t="b">
        <v>1</v>
      </c>
      <c r="I579" t="n">
        <v>7.688085219261518</v>
      </c>
      <c r="J579" t="inlineStr">
        <is>
          <t>trailing 12 calibrated months (Feb/22-Jan/23)</t>
        </is>
      </c>
      <c r="K579" t="n">
        <v>148963.8449743614</v>
      </c>
      <c r="L579" t="n">
        <v>149259</v>
      </c>
      <c r="M579" t="inlineStr">
        <is>
          <t>published</t>
        </is>
      </c>
      <c r="N579" t="n">
        <v>36621</v>
      </c>
      <c r="O579" t="n">
        <v>4.075776193987057</v>
      </c>
      <c r="P579" t="n">
        <v>0.1439348135577947</v>
      </c>
    </row>
    <row r="580">
      <c r="A580" t="inlineStr">
        <is>
          <t>Dominican Republic</t>
        </is>
      </c>
      <c r="B580" t="inlineStr">
        <is>
          <t>DO</t>
        </is>
      </c>
      <c r="C580" s="4" t="n">
        <v>44986</v>
      </c>
      <c r="D580" t="n">
        <v>26318.53870967741</v>
      </c>
      <c r="E580" t="n">
        <v>203161</v>
      </c>
      <c r="F580" t="n">
        <v>7.71931155605144</v>
      </c>
      <c r="G580" t="b">
        <v>1</v>
      </c>
      <c r="I580" t="n">
        <v>7.679558502322755</v>
      </c>
      <c r="J580" t="inlineStr">
        <is>
          <t>trailing 12 calibrated months (Mar/22-Feb/23)</t>
        </is>
      </c>
      <c r="K580" t="n">
        <v>202114.7577166137</v>
      </c>
      <c r="L580" t="n">
        <v>203161</v>
      </c>
      <c r="M580" t="inlineStr">
        <is>
          <t>published</t>
        </is>
      </c>
      <c r="N580" t="n">
        <v>36621</v>
      </c>
      <c r="O580" t="n">
        <v>5.547663908686273</v>
      </c>
      <c r="P580" t="n">
        <v>0.1959140866360831</v>
      </c>
    </row>
    <row r="581">
      <c r="A581" t="inlineStr">
        <is>
          <t>Dominican Republic</t>
        </is>
      </c>
      <c r="B581" t="inlineStr">
        <is>
          <t>DO</t>
        </is>
      </c>
      <c r="C581" s="4" t="n">
        <v>45017</v>
      </c>
      <c r="D581" t="n">
        <v>25605.69333333334</v>
      </c>
      <c r="E581" t="n">
        <v>197377</v>
      </c>
      <c r="F581" t="n">
        <v>7.708324763190685</v>
      </c>
      <c r="G581" t="b">
        <v>1</v>
      </c>
      <c r="I581" t="n">
        <v>7.675806733090108</v>
      </c>
      <c r="J581" t="inlineStr">
        <is>
          <t>trailing 12 calibrated months (Apr/22-Mar/23)</t>
        </is>
      </c>
      <c r="K581" t="n">
        <v>196544.3532934405</v>
      </c>
      <c r="L581" t="n">
        <v>197377</v>
      </c>
      <c r="M581" t="inlineStr">
        <is>
          <t>published</t>
        </is>
      </c>
      <c r="N581" t="n">
        <v>36621</v>
      </c>
      <c r="O581" t="n">
        <v>5.389721744354333</v>
      </c>
      <c r="P581" t="n">
        <v>0.1903364064853499</v>
      </c>
    </row>
    <row r="582">
      <c r="A582" t="inlineStr">
        <is>
          <t>Dominican Republic</t>
        </is>
      </c>
      <c r="B582" t="inlineStr">
        <is>
          <t>DO</t>
        </is>
      </c>
      <c r="C582" s="4" t="n">
        <v>45047</v>
      </c>
      <c r="D582" t="n">
        <v>28344.45483870968</v>
      </c>
      <c r="E582" t="n">
        <v>221114</v>
      </c>
      <c r="F582" t="n">
        <v>7.800961467003672</v>
      </c>
      <c r="G582" t="b">
        <v>1</v>
      </c>
      <c r="I582" t="n">
        <v>7.665658194994544</v>
      </c>
      <c r="J582" t="inlineStr">
        <is>
          <t>trailing 12 calibrated months (May/22-Apr/23)</t>
        </is>
      </c>
      <c r="K582" t="n">
        <v>217278.9025170076</v>
      </c>
      <c r="L582" t="n">
        <v>221114</v>
      </c>
      <c r="M582" t="inlineStr">
        <is>
          <t>published</t>
        </is>
      </c>
      <c r="N582" t="n">
        <v>36621</v>
      </c>
      <c r="O582" t="n">
        <v>6.037901750361814</v>
      </c>
      <c r="P582" t="n">
        <v>0.2132266889435024</v>
      </c>
    </row>
    <row r="583">
      <c r="A583" t="inlineStr">
        <is>
          <t>Dominican Republic</t>
        </is>
      </c>
      <c r="B583" t="inlineStr">
        <is>
          <t>DO</t>
        </is>
      </c>
      <c r="C583" s="4" t="n">
        <v>45078</v>
      </c>
      <c r="D583" t="n">
        <v>27809.19</v>
      </c>
      <c r="E583" t="n">
        <v>220426</v>
      </c>
      <c r="F583" t="n">
        <v>7.926372540875875</v>
      </c>
      <c r="G583" t="b">
        <v>1</v>
      </c>
      <c r="I583" t="n">
        <v>7.656012752929602</v>
      </c>
      <c r="J583" t="inlineStr">
        <is>
          <t>trailing 12 calibrated months (Jun/22-May/23)</t>
        </is>
      </c>
      <c r="K583" t="n">
        <v>212907.5132886424</v>
      </c>
      <c r="L583" t="n">
        <v>220426</v>
      </c>
      <c r="M583" t="inlineStr">
        <is>
          <t>published</t>
        </is>
      </c>
      <c r="N583" t="n">
        <v>36621</v>
      </c>
      <c r="O583" t="n">
        <v>6.019114715600338</v>
      </c>
      <c r="P583" t="n">
        <v>0.2125632304470113</v>
      </c>
    </row>
    <row r="584">
      <c r="A584" t="inlineStr">
        <is>
          <t>Dominican Republic</t>
        </is>
      </c>
      <c r="B584" t="inlineStr">
        <is>
          <t>DO</t>
        </is>
      </c>
      <c r="C584" s="4" t="n">
        <v>45108</v>
      </c>
      <c r="D584" t="n">
        <v>27520.25161290323</v>
      </c>
      <c r="E584" t="n">
        <v>212820</v>
      </c>
      <c r="F584" t="n">
        <v>7.733214179634047</v>
      </c>
      <c r="G584" t="b">
        <v>1</v>
      </c>
      <c r="I584" t="n">
        <v>7.756656359088289</v>
      </c>
      <c r="J584" t="inlineStr">
        <is>
          <t>trailing 12 calibrated months (Jul/22-Jun/23)</t>
        </is>
      </c>
      <c r="K584" t="n">
        <v>213465.1346769356</v>
      </c>
      <c r="L584" t="n">
        <v>212820</v>
      </c>
      <c r="M584" t="inlineStr">
        <is>
          <t>published</t>
        </is>
      </c>
      <c r="N584" t="n">
        <v>36621</v>
      </c>
      <c r="O584" t="n">
        <v>5.811419677234373</v>
      </c>
      <c r="P584" t="n">
        <v>0.2052285424756287</v>
      </c>
    </row>
    <row r="585">
      <c r="A585" t="inlineStr">
        <is>
          <t>Dominican Republic</t>
        </is>
      </c>
      <c r="B585" t="inlineStr">
        <is>
          <t>DO</t>
        </is>
      </c>
      <c r="C585" s="4" t="n">
        <v>45139</v>
      </c>
      <c r="D585" t="n">
        <v>27827.97419354839</v>
      </c>
      <c r="E585" t="n">
        <v>216084</v>
      </c>
      <c r="F585" t="n">
        <v>7.764992108196533</v>
      </c>
      <c r="G585" t="b">
        <v>1</v>
      </c>
      <c r="I585" t="n">
        <v>7.75542629144801</v>
      </c>
      <c r="J585" t="inlineStr">
        <is>
          <t>trailing 12 calibrated months (Aug/22-Jul/23)</t>
        </is>
      </c>
      <c r="K585" t="n">
        <v>215817.8026983819</v>
      </c>
      <c r="L585" t="n">
        <v>216084</v>
      </c>
      <c r="M585" t="inlineStr">
        <is>
          <t>published</t>
        </is>
      </c>
      <c r="N585" t="n">
        <v>36621</v>
      </c>
      <c r="O585" t="n">
        <v>5.900548865405096</v>
      </c>
      <c r="P585" t="n">
        <v>0.2083761130171213</v>
      </c>
    </row>
    <row r="586">
      <c r="A586" t="inlineStr">
        <is>
          <t>Dominican Republic</t>
        </is>
      </c>
      <c r="B586" t="inlineStr">
        <is>
          <t>DO</t>
        </is>
      </c>
      <c r="C586" s="4" t="n">
        <v>45170</v>
      </c>
      <c r="D586" t="n">
        <v>26468.71666666667</v>
      </c>
      <c r="E586" t="n">
        <v>208952</v>
      </c>
      <c r="F586" t="n">
        <v>7.894300378497132</v>
      </c>
      <c r="G586" t="b">
        <v>1</v>
      </c>
      <c r="I586" t="n">
        <v>7.756181809878778</v>
      </c>
      <c r="J586" t="inlineStr">
        <is>
          <t>trailing 12 calibrated months (Sep/22-Aug/23)</t>
        </is>
      </c>
      <c r="K586" t="n">
        <v>205296.1787408353</v>
      </c>
      <c r="L586" t="n">
        <v>208952</v>
      </c>
      <c r="M586" t="inlineStr">
        <is>
          <t>published</t>
        </is>
      </c>
      <c r="N586" t="n">
        <v>36621</v>
      </c>
      <c r="O586" t="n">
        <v>5.705797220174217</v>
      </c>
      <c r="P586" t="n">
        <v>0.2014985170912864</v>
      </c>
    </row>
    <row r="587">
      <c r="A587" t="inlineStr">
        <is>
          <t>Dominican Republic</t>
        </is>
      </c>
      <c r="B587" t="inlineStr">
        <is>
          <t>DO</t>
        </is>
      </c>
      <c r="C587" s="4" t="n">
        <v>45200</v>
      </c>
      <c r="D587" t="n">
        <v>29388.92580645161</v>
      </c>
      <c r="E587" t="n">
        <v>235654</v>
      </c>
      <c r="F587" t="n">
        <v>8.018462517206668</v>
      </c>
      <c r="G587" t="b">
        <v>1</v>
      </c>
      <c r="I587" t="n">
        <v>7.772917779636333</v>
      </c>
      <c r="J587" t="inlineStr">
        <is>
          <t>trailing 12 calibrated months (Oct/22-Sep/23)</t>
        </is>
      </c>
      <c r="K587" t="n">
        <v>228437.7039253808</v>
      </c>
      <c r="L587" t="n">
        <v>235654</v>
      </c>
      <c r="M587" t="inlineStr">
        <is>
          <t>published</t>
        </is>
      </c>
      <c r="N587" t="n">
        <v>36621</v>
      </c>
      <c r="O587" t="n">
        <v>6.434941700117419</v>
      </c>
      <c r="P587" t="n">
        <v>0.2272480356571366</v>
      </c>
    </row>
    <row r="588">
      <c r="A588" t="inlineStr">
        <is>
          <t>Dominican Republic</t>
        </is>
      </c>
      <c r="B588" t="inlineStr">
        <is>
          <t>DO</t>
        </is>
      </c>
      <c r="C588" s="4" t="n">
        <v>45231</v>
      </c>
      <c r="D588" t="n">
        <v>25957.45333333333</v>
      </c>
      <c r="E588" t="n">
        <v>205589</v>
      </c>
      <c r="F588" t="n">
        <v>7.920229976335634</v>
      </c>
      <c r="G588" t="b">
        <v>1</v>
      </c>
      <c r="I588" t="n">
        <v>7.812654685583662</v>
      </c>
      <c r="J588" t="inlineStr">
        <is>
          <t>trailing 12 calibrated months (Nov/22-Oct/23)</t>
        </is>
      </c>
      <c r="K588" t="n">
        <v>202796.6194104859</v>
      </c>
      <c r="L588" t="n">
        <v>205589</v>
      </c>
      <c r="M588" t="inlineStr">
        <is>
          <t>published</t>
        </is>
      </c>
      <c r="N588" t="n">
        <v>36621</v>
      </c>
      <c r="O588" t="n">
        <v>5.613964665082876</v>
      </c>
      <c r="P588" t="n">
        <v>0.1982554779580022</v>
      </c>
    </row>
    <row r="589">
      <c r="A589" t="inlineStr">
        <is>
          <t>Dominican Republic</t>
        </is>
      </c>
      <c r="B589" t="inlineStr">
        <is>
          <t>DO</t>
        </is>
      </c>
      <c r="C589" s="4" t="n">
        <v>45261</v>
      </c>
      <c r="D589" t="n">
        <v>24019.22580645161</v>
      </c>
      <c r="E589" t="n">
        <v>191824</v>
      </c>
      <c r="F589" t="n">
        <v>7.986269064029353</v>
      </c>
      <c r="G589" t="b">
        <v>1</v>
      </c>
      <c r="I589" t="n">
        <v>7.815772086889309</v>
      </c>
      <c r="J589" t="inlineStr">
        <is>
          <t>trailing 12 calibrated months (Dec/22-Nov/23)</t>
        </is>
      </c>
      <c r="K589" t="n">
        <v>187728.7946067558</v>
      </c>
      <c r="L589" t="n">
        <v>191824</v>
      </c>
      <c r="M589" t="inlineStr">
        <is>
          <t>published</t>
        </is>
      </c>
      <c r="N589" t="n">
        <v>36621</v>
      </c>
      <c r="O589" t="n">
        <v>5.238087436170503</v>
      </c>
      <c r="P589" t="n">
        <v>0.1849814863821305</v>
      </c>
    </row>
    <row r="590">
      <c r="A590" t="inlineStr">
        <is>
          <t>Dominican Republic</t>
        </is>
      </c>
      <c r="B590" t="inlineStr">
        <is>
          <t>DO</t>
        </is>
      </c>
      <c r="C590" s="4" t="n">
        <v>45292</v>
      </c>
      <c r="D590" t="n">
        <v>24673.88387096774</v>
      </c>
      <c r="E590" t="n">
        <v>193259</v>
      </c>
      <c r="F590" t="n">
        <v>7.832532608593335</v>
      </c>
      <c r="G590" t="b">
        <v>1</v>
      </c>
      <c r="I590" t="n">
        <v>7.835443187780071</v>
      </c>
      <c r="J590" t="inlineStr">
        <is>
          <t>trailing 12 calibrated months (Jan/23-Dec/23)</t>
        </is>
      </c>
      <c r="K590" t="n">
        <v>193330.8152928508</v>
      </c>
      <c r="L590" t="n">
        <v>193259</v>
      </c>
      <c r="M590" t="inlineStr">
        <is>
          <t>published</t>
        </is>
      </c>
      <c r="N590" t="n">
        <v>36621</v>
      </c>
      <c r="O590" t="n">
        <v>5.277272603151197</v>
      </c>
      <c r="P590" t="n">
        <v>0.1863652987985036</v>
      </c>
    </row>
    <row r="591">
      <c r="A591" t="inlineStr">
        <is>
          <t>Dominican Republic</t>
        </is>
      </c>
      <c r="B591" t="inlineStr">
        <is>
          <t>DO</t>
        </is>
      </c>
      <c r="C591" s="4" t="n">
        <v>45323</v>
      </c>
      <c r="D591" t="n">
        <v>28381.90344827587</v>
      </c>
      <c r="E591" t="n">
        <v>218408</v>
      </c>
      <c r="F591" t="n">
        <v>7.695326016383436</v>
      </c>
      <c r="G591" t="b">
        <v>1</v>
      </c>
      <c r="I591" t="n">
        <v>7.837340297404641</v>
      </c>
      <c r="J591" t="inlineStr">
        <is>
          <t>trailing 12 calibrated months (Feb/23-Jan/24)</t>
        </is>
      </c>
      <c r="K591" t="n">
        <v>222438.6356122202</v>
      </c>
      <c r="L591" t="n">
        <v>218408</v>
      </c>
      <c r="M591" t="inlineStr">
        <is>
          <t>published</t>
        </is>
      </c>
      <c r="N591" t="n">
        <v>36621</v>
      </c>
      <c r="O591" t="n">
        <v>5.964009721198219</v>
      </c>
      <c r="P591" t="n">
        <v>0.2106172141011987</v>
      </c>
    </row>
    <row r="592">
      <c r="A592" t="inlineStr">
        <is>
          <t>Dominican Republic</t>
        </is>
      </c>
      <c r="B592" t="inlineStr">
        <is>
          <t>DO</t>
        </is>
      </c>
      <c r="C592" s="4" t="n">
        <v>45352</v>
      </c>
      <c r="D592" t="n">
        <v>28008.84516129032</v>
      </c>
      <c r="E592" t="n">
        <v>219162</v>
      </c>
      <c r="F592" t="n">
        <v>7.824742460388665</v>
      </c>
      <c r="G592" t="b">
        <v>1</v>
      </c>
      <c r="I592" t="n">
        <v>7.832891765847636</v>
      </c>
      <c r="J592" t="inlineStr">
        <is>
          <t>trailing 12 calibrated months (Mar/23-Feb/24)</t>
        </is>
      </c>
      <c r="K592" t="n">
        <v>219390.2526347724</v>
      </c>
      <c r="L592" t="n">
        <v>219162</v>
      </c>
      <c r="M592" t="inlineStr">
        <is>
          <t>published</t>
        </is>
      </c>
      <c r="N592" t="n">
        <v>36621</v>
      </c>
      <c r="O592" t="n">
        <v>5.984599000573441</v>
      </c>
      <c r="P592" t="n">
        <v>0.2113443183255509</v>
      </c>
    </row>
    <row r="593">
      <c r="A593" t="inlineStr">
        <is>
          <t>Dominican Republic</t>
        </is>
      </c>
      <c r="B593" t="inlineStr">
        <is>
          <t>DO</t>
        </is>
      </c>
      <c r="C593" s="4" t="n">
        <v>45383</v>
      </c>
      <c r="D593" t="n">
        <v>27598.27666666666</v>
      </c>
      <c r="E593" t="n">
        <v>217318</v>
      </c>
      <c r="F593" t="n">
        <v>7.874332249972613</v>
      </c>
      <c r="G593" t="b">
        <v>1</v>
      </c>
      <c r="I593" t="n">
        <v>7.841413237976753</v>
      </c>
      <c r="J593" t="inlineStr">
        <is>
          <t>trailing 12 calibrated months (Apr/23-Mar/24)</t>
        </is>
      </c>
      <c r="K593" t="n">
        <v>216409.4919993449</v>
      </c>
      <c r="L593" t="n">
        <v>217318</v>
      </c>
      <c r="M593" t="inlineStr">
        <is>
          <t>published</t>
        </is>
      </c>
      <c r="N593" t="n">
        <v>36621</v>
      </c>
      <c r="O593" t="n">
        <v>5.934245378334835</v>
      </c>
      <c r="P593" t="n">
        <v>0.2095660952622812</v>
      </c>
    </row>
    <row r="594">
      <c r="A594" t="inlineStr">
        <is>
          <t>Dominican Republic</t>
        </is>
      </c>
      <c r="B594" t="inlineStr">
        <is>
          <t>DO</t>
        </is>
      </c>
      <c r="C594" s="4" t="n">
        <v>45413</v>
      </c>
      <c r="D594" t="n">
        <v>27425.40967741936</v>
      </c>
      <c r="E594" t="n">
        <v>214579</v>
      </c>
      <c r="F594" t="n">
        <v>7.824094608755218</v>
      </c>
      <c r="G594" t="b">
        <v>1</v>
      </c>
      <c r="I594" t="n">
        <v>7.854653552608364</v>
      </c>
      <c r="J594" t="inlineStr">
        <is>
          <t>trailing 12 calibrated months (May/23-Apr/24)</t>
        </is>
      </c>
      <c r="K594" t="n">
        <v>215417.0915544818</v>
      </c>
      <c r="L594" t="n">
        <v>214579</v>
      </c>
      <c r="M594" t="inlineStr">
        <is>
          <t>published</t>
        </is>
      </c>
      <c r="N594" t="n">
        <v>36621</v>
      </c>
      <c r="O594" t="n">
        <v>5.859452226864367</v>
      </c>
      <c r="P594" t="n">
        <v>0.2069247975560471</v>
      </c>
    </row>
    <row r="595">
      <c r="A595" t="inlineStr">
        <is>
          <t>Dominican Republic</t>
        </is>
      </c>
      <c r="B595" t="inlineStr">
        <is>
          <t>DO</t>
        </is>
      </c>
      <c r="C595" s="4" t="n">
        <v>45444</v>
      </c>
      <c r="D595" t="n">
        <v>30543.90666666667</v>
      </c>
      <c r="E595" t="n">
        <v>241953</v>
      </c>
      <c r="F595" t="n">
        <v>7.921481775088364</v>
      </c>
      <c r="G595" t="b">
        <v>1</v>
      </c>
      <c r="I595" t="n">
        <v>7.85675697706644</v>
      </c>
      <c r="J595" t="inlineStr">
        <is>
          <t>trailing 12 calibrated months (Jun/23-May/24)</t>
        </is>
      </c>
      <c r="K595" t="n">
        <v>239976.0518101995</v>
      </c>
      <c r="L595" t="n">
        <v>241953</v>
      </c>
      <c r="M595" t="inlineStr">
        <is>
          <t>published</t>
        </is>
      </c>
      <c r="N595" t="n">
        <v>36621</v>
      </c>
      <c r="O595" t="n">
        <v>6.606946833783894</v>
      </c>
      <c r="P595" t="n">
        <v>0.2333223453510281</v>
      </c>
    </row>
    <row r="596">
      <c r="A596" t="inlineStr">
        <is>
          <t>Dominican Republic</t>
        </is>
      </c>
      <c r="B596" t="inlineStr">
        <is>
          <t>DO</t>
        </is>
      </c>
      <c r="C596" s="4" t="n">
        <v>45474</v>
      </c>
      <c r="D596" t="n">
        <v>29864.58064516129</v>
      </c>
      <c r="E596" t="n">
        <v>235811</v>
      </c>
      <c r="F596" t="n">
        <v>7.896009081855516</v>
      </c>
      <c r="G596" t="b">
        <v>1</v>
      </c>
      <c r="I596" t="n">
        <v>7.856882034727824</v>
      </c>
      <c r="J596" t="inlineStr">
        <is>
          <t>trailing 12 calibrated months (Jul/23-Jun/24)</t>
        </is>
      </c>
      <c r="K596" t="n">
        <v>234642.487145648</v>
      </c>
      <c r="L596" t="n">
        <v>235811</v>
      </c>
      <c r="M596" t="inlineStr">
        <is>
          <t>published</t>
        </is>
      </c>
      <c r="N596" t="n">
        <v>36621</v>
      </c>
      <c r="O596" t="n">
        <v>6.439228857759209</v>
      </c>
      <c r="P596" t="n">
        <v>0.2273994353431091</v>
      </c>
    </row>
    <row r="597">
      <c r="A597" t="inlineStr">
        <is>
          <t>Dominican Republic</t>
        </is>
      </c>
      <c r="B597" t="inlineStr">
        <is>
          <t>DO</t>
        </is>
      </c>
      <c r="C597" s="4" t="n">
        <v>45505</v>
      </c>
      <c r="D597" t="n">
        <v>30962.17419354839</v>
      </c>
      <c r="E597" t="n">
        <v>246300</v>
      </c>
      <c r="F597" t="n">
        <v>7.954867718925298</v>
      </c>
      <c r="G597" t="b">
        <v>1</v>
      </c>
      <c r="I597" t="n">
        <v>7.870729550413614</v>
      </c>
      <c r="J597" t="inlineStr">
        <is>
          <t>trailing 12 calibrated months (Aug/23-Jul/24)</t>
        </is>
      </c>
      <c r="K597" t="n">
        <v>243694.8993702151</v>
      </c>
      <c r="L597" t="n">
        <v>246300</v>
      </c>
      <c r="M597" t="inlineStr">
        <is>
          <t>published</t>
        </is>
      </c>
      <c r="N597" t="n">
        <v>36621</v>
      </c>
      <c r="O597" t="n">
        <v>6.725649217661998</v>
      </c>
      <c r="P597" t="n">
        <v>0.2375142844269681</v>
      </c>
    </row>
    <row r="598">
      <c r="A598" t="inlineStr">
        <is>
          <t>Dominican Republic</t>
        </is>
      </c>
      <c r="B598" t="inlineStr">
        <is>
          <t>DO</t>
        </is>
      </c>
      <c r="C598" s="4" t="n">
        <v>45536</v>
      </c>
      <c r="D598" t="n">
        <v>27779.51333333333</v>
      </c>
      <c r="E598" t="n">
        <v>221527</v>
      </c>
      <c r="F598" t="n">
        <v>7.974473754879796</v>
      </c>
      <c r="G598" t="b">
        <v>1</v>
      </c>
      <c r="I598" t="n">
        <v>7.887374227671616</v>
      </c>
      <c r="J598" t="inlineStr">
        <is>
          <t>trailing 12 calibrated months (Sep/23-Aug/24)</t>
        </is>
      </c>
      <c r="K598" t="n">
        <v>219107.4175225933</v>
      </c>
      <c r="L598" t="n">
        <v>221527</v>
      </c>
      <c r="M598" t="inlineStr">
        <is>
          <t>published</t>
        </is>
      </c>
      <c r="N598" t="n">
        <v>36621</v>
      </c>
      <c r="O598" t="n">
        <v>6.049179432566014</v>
      </c>
      <c r="P598" t="n">
        <v>0.213624956907239</v>
      </c>
    </row>
    <row r="599">
      <c r="A599" t="inlineStr">
        <is>
          <t>Dominican Republic</t>
        </is>
      </c>
      <c r="B599" t="inlineStr">
        <is>
          <t>DO</t>
        </is>
      </c>
      <c r="C599" s="4" t="n">
        <v>45566</v>
      </c>
      <c r="D599" t="n">
        <v>30940.54516129032</v>
      </c>
      <c r="E599" t="n">
        <v>242960</v>
      </c>
      <c r="F599" t="n">
        <v>7.852479609957453</v>
      </c>
      <c r="G599" t="b">
        <v>1</v>
      </c>
      <c r="I599" t="n">
        <v>7.894057517454701</v>
      </c>
      <c r="J599" t="inlineStr">
        <is>
          <t>trailing 12 calibrated months (Oct/23-Sep/24)</t>
        </is>
      </c>
      <c r="K599" t="n">
        <v>244246.4431246306</v>
      </c>
      <c r="L599" t="n">
        <v>242960</v>
      </c>
      <c r="M599" t="inlineStr">
        <is>
          <t>published</t>
        </is>
      </c>
      <c r="N599" t="n">
        <v>36621</v>
      </c>
      <c r="O599" t="n">
        <v>6.63444471751181</v>
      </c>
      <c r="P599" t="n">
        <v>0.2342934248655143</v>
      </c>
    </row>
    <row r="600">
      <c r="A600" t="inlineStr">
        <is>
          <t>Dominican Republic</t>
        </is>
      </c>
      <c r="B600" t="inlineStr">
        <is>
          <t>DO</t>
        </is>
      </c>
      <c r="C600" s="4" t="n">
        <v>45597</v>
      </c>
      <c r="D600" t="n">
        <v>28436.98333333333</v>
      </c>
      <c r="E600" t="n">
        <v>223736</v>
      </c>
      <c r="F600" t="n">
        <v>7.867782506231615</v>
      </c>
      <c r="G600" t="b">
        <v>1</v>
      </c>
      <c r="I600" t="n">
        <v>7.87935429460839</v>
      </c>
      <c r="J600" t="inlineStr">
        <is>
          <t>trailing 12 calibrated months (Nov/23-Oct/24)</t>
        </is>
      </c>
      <c r="K600" t="n">
        <v>224065.0667532072</v>
      </c>
      <c r="L600" t="n">
        <v>223736</v>
      </c>
      <c r="M600" t="inlineStr">
        <is>
          <t>published</t>
        </is>
      </c>
      <c r="N600" t="n">
        <v>36621</v>
      </c>
      <c r="O600" t="n">
        <v>6.109500013653368</v>
      </c>
      <c r="P600" t="n">
        <v>0.2157551601321646</v>
      </c>
    </row>
    <row r="601">
      <c r="A601" t="inlineStr">
        <is>
          <t>Dominican Republic</t>
        </is>
      </c>
      <c r="B601" t="inlineStr">
        <is>
          <t>DO</t>
        </is>
      </c>
      <c r="C601" s="4" t="n">
        <v>45627</v>
      </c>
      <c r="D601" t="n">
        <v>26665.68064516129</v>
      </c>
      <c r="E601" t="n">
        <v>209862</v>
      </c>
      <c r="F601" t="n">
        <v>7.870116003886111</v>
      </c>
      <c r="G601" t="b">
        <v>1</v>
      </c>
      <c r="I601" t="n">
        <v>7.875249301514885</v>
      </c>
      <c r="J601" t="inlineStr">
        <is>
          <t>trailing 12 calibrated months (Dec/23-Nov/24)</t>
        </is>
      </c>
      <c r="K601" t="n">
        <v>209998.8828752254</v>
      </c>
      <c r="L601" t="n">
        <v>209862</v>
      </c>
      <c r="M601" t="inlineStr">
        <is>
          <t>published</t>
        </is>
      </c>
      <c r="N601" t="n">
        <v>36621</v>
      </c>
      <c r="O601" t="n">
        <v>5.730646350454657</v>
      </c>
      <c r="P601" t="n">
        <v>0.2023760566724011</v>
      </c>
    </row>
    <row r="602">
      <c r="A602" t="inlineStr">
        <is>
          <t>Dominican Republic</t>
        </is>
      </c>
      <c r="B602" t="inlineStr">
        <is>
          <t>DO</t>
        </is>
      </c>
      <c r="C602" s="4" t="n">
        <v>45658</v>
      </c>
      <c r="D602" t="n">
        <v>23810.24516129032</v>
      </c>
      <c r="E602" t="n">
        <v>188179</v>
      </c>
      <c r="F602" t="n">
        <v>7.903278556154196</v>
      </c>
      <c r="G602" t="b">
        <v>1</v>
      </c>
      <c r="I602" t="n">
        <v>7.867034704608539</v>
      </c>
      <c r="J602" t="inlineStr">
        <is>
          <t>trailing 12 calibrated months (Jan/24-Dec/24)</t>
        </is>
      </c>
      <c r="K602" t="n">
        <v>187316.0250091085</v>
      </c>
      <c r="L602" t="n">
        <v>188179</v>
      </c>
      <c r="M602" t="inlineStr">
        <is>
          <t>published</t>
        </is>
      </c>
      <c r="N602" t="n">
        <v>36621</v>
      </c>
      <c r="O602" t="n">
        <v>5.138554381365883</v>
      </c>
      <c r="P602" t="n">
        <v>0.1814665064116217</v>
      </c>
    </row>
    <row r="603">
      <c r="A603" t="inlineStr">
        <is>
          <t>Dominican Republic</t>
        </is>
      </c>
      <c r="B603" t="inlineStr">
        <is>
          <t>DO</t>
        </is>
      </c>
      <c r="C603" s="4" t="n">
        <v>45689</v>
      </c>
      <c r="D603" t="n">
        <v>26461.125</v>
      </c>
      <c r="E603" t="n">
        <v>208550</v>
      </c>
      <c r="F603" t="n">
        <v>7.881373146455413</v>
      </c>
      <c r="G603" t="b">
        <v>1</v>
      </c>
      <c r="I603" t="n">
        <v>7.872070499949896</v>
      </c>
      <c r="J603" t="inlineStr">
        <is>
          <t>trailing 12 calibrated months (Feb/24-Jan/25)</t>
        </is>
      </c>
      <c r="K603" t="n">
        <v>208303.8415079867</v>
      </c>
      <c r="L603" t="n">
        <v>208550</v>
      </c>
      <c r="M603" t="inlineStr">
        <is>
          <t>published</t>
        </is>
      </c>
      <c r="N603" t="n">
        <v>36621</v>
      </c>
      <c r="O603" t="n">
        <v>5.694819912072308</v>
      </c>
      <c r="P603" t="n">
        <v>0.2011108567488599</v>
      </c>
    </row>
    <row r="604">
      <c r="A604" t="inlineStr">
        <is>
          <t>Dominican Republic</t>
        </is>
      </c>
      <c r="B604" t="inlineStr">
        <is>
          <t>DO</t>
        </is>
      </c>
      <c r="C604" s="4" t="n">
        <v>45717</v>
      </c>
      <c r="D604" t="n">
        <v>27436.39677419354</v>
      </c>
      <c r="E604" t="n">
        <v>217577</v>
      </c>
      <c r="F604" t="n">
        <v>7.930232303851619</v>
      </c>
      <c r="G604" t="b">
        <v>1</v>
      </c>
      <c r="I604" t="n">
        <v>7.887617163343614</v>
      </c>
      <c r="J604" t="inlineStr">
        <is>
          <t>trailing 12 calibrated months (Mar/24-Feb/25)</t>
        </is>
      </c>
      <c r="K604" t="n">
        <v>216407.7940964344</v>
      </c>
      <c r="L604" t="n">
        <v>217577</v>
      </c>
      <c r="M604" t="inlineStr">
        <is>
          <t>published</t>
        </is>
      </c>
      <c r="N604" t="n">
        <v>36621</v>
      </c>
      <c r="O604" t="n">
        <v>5.94131782310696</v>
      </c>
      <c r="P604" t="n">
        <v>0.2098158565276753</v>
      </c>
    </row>
    <row r="605">
      <c r="A605" t="inlineStr">
        <is>
          <t>Dominican Republic</t>
        </is>
      </c>
      <c r="B605" t="inlineStr">
        <is>
          <t>DO</t>
        </is>
      </c>
      <c r="C605" s="4" t="n">
        <v>45748</v>
      </c>
      <c r="D605" t="n">
        <v>28772.27666666667</v>
      </c>
      <c r="E605" t="n">
        <v>228700</v>
      </c>
      <c r="F605" t="n">
        <v>7.948623692505852</v>
      </c>
      <c r="G605" t="b">
        <v>1</v>
      </c>
      <c r="I605" t="n">
        <v>7.896288481341334</v>
      </c>
      <c r="J605" t="inlineStr">
        <is>
          <t>trailing 12 calibrated months (Apr/24-Mar/25)</t>
        </is>
      </c>
      <c r="K605" t="n">
        <v>227194.1968249661</v>
      </c>
      <c r="L605" t="n">
        <v>228700</v>
      </c>
      <c r="M605" t="inlineStr">
        <is>
          <t>published</t>
        </is>
      </c>
      <c r="N605" t="n">
        <v>36621</v>
      </c>
      <c r="O605" t="n">
        <v>6.245050653996341</v>
      </c>
      <c r="P605" t="n">
        <v>0.2205420903306846</v>
      </c>
    </row>
    <row r="606">
      <c r="A606" t="inlineStr">
        <is>
          <t>Dominican Republic</t>
        </is>
      </c>
      <c r="B606" t="inlineStr">
        <is>
          <t>DO</t>
        </is>
      </c>
      <c r="C606" s="4" t="n">
        <v>45778</v>
      </c>
      <c r="D606" t="n">
        <v>27739.89354838709</v>
      </c>
      <c r="E606" t="n">
        <v>219578</v>
      </c>
      <c r="F606" t="n">
        <v>7.915603555471004</v>
      </c>
      <c r="G606" t="b">
        <v>1</v>
      </c>
      <c r="I606" t="n">
        <v>7.902516038297827</v>
      </c>
      <c r="J606" t="inlineStr">
        <is>
          <t>trailing 12 calibrated months (May/24-Apr/25)</t>
        </is>
      </c>
      <c r="K606" t="n">
        <v>219214.9536668034</v>
      </c>
      <c r="L606" t="n">
        <v>219578</v>
      </c>
      <c r="M606" t="inlineStr">
        <is>
          <t>published</t>
        </is>
      </c>
      <c r="N606" t="n">
        <v>36621</v>
      </c>
      <c r="O606" t="n">
        <v>5.995958602987357</v>
      </c>
      <c r="P606" t="n">
        <v>0.2117454792769176</v>
      </c>
    </row>
    <row r="607">
      <c r="A607" t="inlineStr">
        <is>
          <t>Dominican Republic</t>
        </is>
      </c>
      <c r="B607" t="inlineStr">
        <is>
          <t>DO</t>
        </is>
      </c>
      <c r="C607" s="4" t="n">
        <v>45809</v>
      </c>
      <c r="D607" t="n">
        <v>27431.52666666667</v>
      </c>
      <c r="E607" t="n">
        <v>215726</v>
      </c>
      <c r="F607" t="n">
        <v>7.864163107704055</v>
      </c>
      <c r="G607" t="b">
        <v>1</v>
      </c>
      <c r="I607" t="n">
        <v>7.909922306730455</v>
      </c>
      <c r="J607" t="inlineStr">
        <is>
          <t>trailing 12 calibrated months (Jun/24-May/25)</t>
        </is>
      </c>
      <c r="K607" t="n">
        <v>216981.244688338</v>
      </c>
      <c r="L607" t="n">
        <v>215726</v>
      </c>
      <c r="M607" t="inlineStr">
        <is>
          <t>published</t>
        </is>
      </c>
      <c r="N607" t="n">
        <v>36621</v>
      </c>
      <c r="O607" t="n">
        <v>5.890773053712351</v>
      </c>
      <c r="P607" t="n">
        <v>0.2080308831599356</v>
      </c>
    </row>
    <row r="608">
      <c r="A608" t="inlineStr">
        <is>
          <t>Dominican Republic</t>
        </is>
      </c>
      <c r="B608" t="inlineStr">
        <is>
          <t>DO</t>
        </is>
      </c>
      <c r="C608" s="4" t="n">
        <v>45839</v>
      </c>
      <c r="D608" t="n">
        <v>28794.28064516129</v>
      </c>
      <c r="E608" t="n">
        <v>228455</v>
      </c>
      <c r="F608" t="n">
        <v>7.934040888720396</v>
      </c>
      <c r="G608" t="b">
        <v>1</v>
      </c>
      <c r="I608" t="n">
        <v>7.905139935305688</v>
      </c>
      <c r="J608" t="inlineStr">
        <is>
          <t>trailing 12 calibrated months (Jul/24-Jun/25)</t>
        </is>
      </c>
      <c r="K608" t="n">
        <v>227622.8178364642</v>
      </c>
      <c r="L608" t="n">
        <v>228455</v>
      </c>
      <c r="M608" t="inlineStr">
        <is>
          <t>published</t>
        </is>
      </c>
      <c r="N608" t="n">
        <v>36621</v>
      </c>
      <c r="O608" t="n">
        <v>6.238360503536223</v>
      </c>
      <c r="P608" t="n">
        <v>0.2203058296742306</v>
      </c>
    </row>
    <row r="609">
      <c r="A609" t="inlineStr">
        <is>
          <t>Dominican Republic</t>
        </is>
      </c>
      <c r="B609" t="inlineStr">
        <is>
          <t>DO</t>
        </is>
      </c>
      <c r="C609" s="4" t="n">
        <v>45870</v>
      </c>
      <c r="D609" t="n">
        <v>29417.3</v>
      </c>
      <c r="E609" t="n">
        <v>232790</v>
      </c>
      <c r="F609" t="n">
        <v>7.913370703633577</v>
      </c>
      <c r="G609" t="b">
        <v>1</v>
      </c>
      <c r="I609" t="n">
        <v>7.908435789375103</v>
      </c>
      <c r="J609" t="inlineStr">
        <is>
          <t>trailing 12 calibrated months (Aug/24-Jul/25)</t>
        </is>
      </c>
      <c r="K609" t="n">
        <v>232644.8281467842</v>
      </c>
      <c r="L609" t="n">
        <v>232790</v>
      </c>
      <c r="M609" t="inlineStr">
        <is>
          <t>published</t>
        </is>
      </c>
      <c r="N609" t="n">
        <v>36621</v>
      </c>
      <c r="O609" t="n">
        <v>6.356735206575462</v>
      </c>
      <c r="P609" t="n">
        <v>0.2244861967996505</v>
      </c>
    </row>
    <row r="610">
      <c r="A610" t="inlineStr">
        <is>
          <t>Dominican Republic</t>
        </is>
      </c>
      <c r="B610" t="inlineStr">
        <is>
          <t>DO</t>
        </is>
      </c>
      <c r="C610" s="4" t="n">
        <v>45901</v>
      </c>
      <c r="D610" t="n">
        <v>29278.20666666667</v>
      </c>
      <c r="E610" t="n">
        <v>236866</v>
      </c>
      <c r="F610" t="n">
        <v>8.090181297533935</v>
      </c>
      <c r="G610" t="b">
        <v>1</v>
      </c>
      <c r="I610" t="n">
        <v>7.904562499694427</v>
      </c>
      <c r="J610" t="inlineStr">
        <is>
          <t>trailing 12 calibrated months (Sep/24-Aug/25)</t>
        </is>
      </c>
      <c r="K610" t="n">
        <v>231431.4144756367</v>
      </c>
      <c r="L610" t="n">
        <v>236866</v>
      </c>
      <c r="M610" t="inlineStr">
        <is>
          <t>published</t>
        </is>
      </c>
      <c r="N610" t="n">
        <v>36621</v>
      </c>
      <c r="O610" t="n">
        <v>6.468037464842577</v>
      </c>
      <c r="P610" t="n">
        <v>0.2284168026596761</v>
      </c>
    </row>
    <row r="611">
      <c r="A611" t="inlineStr">
        <is>
          <t>Dominican Republic</t>
        </is>
      </c>
      <c r="B611" t="inlineStr">
        <is>
          <t>DO</t>
        </is>
      </c>
      <c r="C611" s="4" t="n">
        <v>45931</v>
      </c>
      <c r="D611" t="n">
        <v>26672.73870967741</v>
      </c>
      <c r="E611" t="n">
        <v>213235</v>
      </c>
      <c r="F611" t="n">
        <v>7.994492141245098</v>
      </c>
      <c r="G611" t="b">
        <v>1</v>
      </c>
      <c r="I611" t="n">
        <v>7.914982090375898</v>
      </c>
      <c r="J611" t="inlineStr">
        <is>
          <t>trailing 12 calibrated months (Oct/24-Sep/25)</t>
        </is>
      </c>
      <c r="K611" t="n">
        <v>211114.2491883727</v>
      </c>
      <c r="L611" t="n">
        <v>213235</v>
      </c>
      <c r="M611" t="inlineStr">
        <is>
          <t>published</t>
        </is>
      </c>
      <c r="N611" t="n">
        <v>36621</v>
      </c>
      <c r="O611" t="n">
        <v>5.822751972911718</v>
      </c>
      <c r="P611" t="n">
        <v>0.2056287390977854</v>
      </c>
    </row>
    <row r="612">
      <c r="A612" t="inlineStr">
        <is>
          <t>Dominican Republic</t>
        </is>
      </c>
      <c r="B612" t="inlineStr">
        <is>
          <t>DO</t>
        </is>
      </c>
      <c r="C612" s="4" t="n">
        <v>45962</v>
      </c>
      <c r="D612" t="n">
        <v>30395.03333333333</v>
      </c>
      <c r="E612" t="n">
        <v>240581</v>
      </c>
      <c r="F612" t="n">
        <v>7.915141837866055</v>
      </c>
      <c r="G612" t="b">
        <v>1</v>
      </c>
      <c r="I612" t="n">
        <v>7.92723475757453</v>
      </c>
      <c r="J612" t="inlineStr">
        <is>
          <t>trailing 12 calibrated months (Nov/24-Oct/25)</t>
        </is>
      </c>
      <c r="K612" t="n">
        <v>240948.5646976364</v>
      </c>
      <c r="L612" t="n">
        <v>240581</v>
      </c>
      <c r="M612" t="inlineStr">
        <is>
          <t>published</t>
        </is>
      </c>
      <c r="N612" t="n">
        <v>36621</v>
      </c>
      <c r="O612" t="n">
        <v>6.569481991207231</v>
      </c>
      <c r="P612" t="n">
        <v>0.231999285674886</v>
      </c>
    </row>
    <row r="613">
      <c r="A613" t="inlineStr">
        <is>
          <t>Dominican Republic</t>
        </is>
      </c>
      <c r="B613" t="inlineStr">
        <is>
          <t>DO</t>
        </is>
      </c>
      <c r="C613" s="4" t="n">
        <v>45992</v>
      </c>
      <c r="D613" t="n">
        <v>29269.80322580645</v>
      </c>
      <c r="E613" t="n">
        <v>223980</v>
      </c>
      <c r="F613" t="n">
        <v>7.652255065470426</v>
      </c>
      <c r="G613" t="b">
        <v>1</v>
      </c>
      <c r="I613" t="n">
        <v>7.931209460271247</v>
      </c>
      <c r="J613" t="inlineStr">
        <is>
          <t>trailing 12 calibrated months (Dec/24-Nov/25)</t>
        </is>
      </c>
      <c r="K613" t="n">
        <v>232144.940244794</v>
      </c>
      <c r="L613" t="n">
        <v>223980</v>
      </c>
      <c r="M613" t="inlineStr">
        <is>
          <t>published</t>
        </is>
      </c>
      <c r="N613" t="n">
        <v>36621</v>
      </c>
      <c r="O613" t="n">
        <v>6.116162857376914</v>
      </c>
      <c r="P613" t="n">
        <v>0.2159904564594085</v>
      </c>
    </row>
    <row r="614">
      <c r="A614" t="inlineStr">
        <is>
          <t>Dominican Republic</t>
        </is>
      </c>
      <c r="B614" t="inlineStr">
        <is>
          <t>DO</t>
        </is>
      </c>
      <c r="C614" s="4" t="n">
        <v>46023</v>
      </c>
      <c r="D614" t="n">
        <v>22017.89032258065</v>
      </c>
      <c r="E614" t="n">
        <v>173419</v>
      </c>
      <c r="F614" t="n">
        <v>7.876276857558355</v>
      </c>
      <c r="G614" t="b">
        <v>1</v>
      </c>
      <c r="I614" t="n">
        <v>7.91172733164484</v>
      </c>
      <c r="J614" t="inlineStr">
        <is>
          <t>trailing 12 calibrated months (Jan/25-Dec/25)</t>
        </is>
      </c>
      <c r="K614" t="n">
        <v>174199.5446503197</v>
      </c>
      <c r="L614" t="n">
        <v>173419</v>
      </c>
      <c r="M614" t="inlineStr">
        <is>
          <t>published</t>
        </is>
      </c>
      <c r="N614" t="n">
        <v>36621</v>
      </c>
      <c r="O614" t="n">
        <v>4.735506949564457</v>
      </c>
      <c r="P614" t="n">
        <v>0.1672330072717839</v>
      </c>
    </row>
    <row r="615">
      <c r="A615" t="inlineStr">
        <is>
          <t>Dominican Republic</t>
        </is>
      </c>
      <c r="B615" t="inlineStr">
        <is>
          <t>DO</t>
        </is>
      </c>
      <c r="C615" s="4" t="n">
        <v>46054</v>
      </c>
      <c r="D615" t="n">
        <v>26051.65</v>
      </c>
      <c r="E615" t="n">
        <v>204303</v>
      </c>
      <c r="F615" t="n">
        <v>7.842228803166018</v>
      </c>
      <c r="G615" t="b">
        <v>1</v>
      </c>
      <c r="I615" t="n">
        <v>7.90999103939461</v>
      </c>
      <c r="J615" t="inlineStr">
        <is>
          <t>trailing 12 calibrated months (Feb/25-Jan/26)</t>
        </is>
      </c>
      <c r="K615" t="n">
        <v>206068.3180614446</v>
      </c>
      <c r="L615" t="n">
        <v>204303</v>
      </c>
      <c r="M615" t="inlineStr">
        <is>
          <t>published</t>
        </is>
      </c>
      <c r="N615" t="n">
        <v>36621</v>
      </c>
      <c r="O615" t="n">
        <v>5.578848201851397</v>
      </c>
      <c r="P615" t="n">
        <v>0.1970153505939215</v>
      </c>
    </row>
    <row r="616">
      <c r="A616" t="inlineStr">
        <is>
          <t>Dominican Republic</t>
        </is>
      </c>
      <c r="B616" t="inlineStr">
        <is>
          <t>DO</t>
        </is>
      </c>
      <c r="C616" s="4" t="n">
        <v>46082</v>
      </c>
      <c r="D616" t="n">
        <v>23304.93870967742</v>
      </c>
      <c r="E616" t="n">
        <v>169637</v>
      </c>
      <c r="F616" t="n">
        <v>7.279015066860396</v>
      </c>
      <c r="G616" t="b">
        <v>1</v>
      </c>
      <c r="I616" t="n">
        <v>7.906966358934957</v>
      </c>
      <c r="J616" t="inlineStr">
        <is>
          <t>trailing 12 calibrated months (Mar/25-Feb/26)</t>
        </is>
      </c>
      <c r="K616" t="n">
        <v>184271.3663744604</v>
      </c>
      <c r="L616" t="n">
        <v>169637</v>
      </c>
      <c r="M616" t="inlineStr">
        <is>
          <t>published</t>
        </is>
      </c>
      <c r="N616" t="n">
        <v>36621</v>
      </c>
      <c r="O616" t="n">
        <v>4.632232871849485</v>
      </c>
      <c r="P616" t="n">
        <v>0.163585914199503</v>
      </c>
    </row>
    <row r="617">
      <c r="A617" t="inlineStr">
        <is>
          <t>Dominican Republic</t>
        </is>
      </c>
      <c r="B617" t="inlineStr">
        <is>
          <t>DO</t>
        </is>
      </c>
      <c r="C617" s="4" t="n">
        <v>46113</v>
      </c>
      <c r="D617" t="n">
        <v>29624.65</v>
      </c>
      <c r="E617" t="n">
        <v>219202</v>
      </c>
      <c r="F617" t="n">
        <v>7.399311046712788</v>
      </c>
      <c r="G617" t="b">
        <v>1</v>
      </c>
      <c r="I617" t="n">
        <v>7.860565304433743</v>
      </c>
      <c r="J617" t="inlineStr">
        <is>
          <t>trailing 12 calibrated months (Apr/25-Mar/26)</t>
        </is>
      </c>
      <c r="K617" t="n">
        <v>232866.4959459931</v>
      </c>
      <c r="L617" t="n">
        <v>219202</v>
      </c>
      <c r="M617" t="inlineStr">
        <is>
          <t>published</t>
        </is>
      </c>
      <c r="N617" t="n">
        <v>36621</v>
      </c>
      <c r="O617" t="n">
        <v>5.985691270036318</v>
      </c>
      <c r="P617" t="n">
        <v>0.2113828914939515</v>
      </c>
    </row>
    <row r="618">
      <c r="A618" t="inlineStr">
        <is>
          <t>Dominican Republic</t>
        </is>
      </c>
      <c r="B618" t="inlineStr">
        <is>
          <t>DO</t>
        </is>
      </c>
      <c r="C618" s="4" t="n">
        <v>46143</v>
      </c>
      <c r="D618" t="n">
        <v>32183.0935483871</v>
      </c>
      <c r="E618" t="n">
        <v>247517</v>
      </c>
      <c r="F618" t="n">
        <v>7.690901423999517</v>
      </c>
      <c r="G618" t="b">
        <v>1</v>
      </c>
      <c r="I618" t="n">
        <v>7.811479732465429</v>
      </c>
      <c r="J618" t="inlineStr">
        <is>
          <t>trailing 12 calibrated months (May/25-Apr/26)</t>
        </is>
      </c>
      <c r="K618" t="n">
        <v>251397.5829812647</v>
      </c>
      <c r="L618" t="n">
        <v>247517</v>
      </c>
      <c r="M618" t="inlineStr">
        <is>
          <t>published</t>
        </is>
      </c>
      <c r="N618" t="n">
        <v>36621</v>
      </c>
      <c r="O618" t="n">
        <v>6.758881516070015</v>
      </c>
      <c r="P618" t="n">
        <v>0.2386878730755577</v>
      </c>
    </row>
    <row r="619">
      <c r="A619" t="inlineStr">
        <is>
          <t>Dominican Republic</t>
        </is>
      </c>
      <c r="B619" t="inlineStr">
        <is>
          <t>DO</t>
        </is>
      </c>
      <c r="C619" s="4" t="n">
        <v>46174</v>
      </c>
      <c r="D619" t="n">
        <v>34374.05666666667</v>
      </c>
      <c r="G619" t="b">
        <v>0</v>
      </c>
      <c r="I619" t="n">
        <v>7.791240095327839</v>
      </c>
      <c r="J619" t="inlineStr">
        <is>
          <t>trailing 12 calibrated months (Jun/25-May/26)</t>
        </is>
      </c>
      <c r="K619" t="n">
        <v>267816.5285404046</v>
      </c>
      <c r="L619" t="n">
        <v>267816.5285404046</v>
      </c>
      <c r="M619" t="inlineStr">
        <is>
          <t>estimated</t>
        </is>
      </c>
      <c r="N619" t="n">
        <v>36621</v>
      </c>
      <c r="O619" t="n">
        <v>7.313195394456858</v>
      </c>
      <c r="P619" t="n">
        <v>0.2582633013966256</v>
      </c>
    </row>
    <row r="620">
      <c r="A620" t="inlineStr">
        <is>
          <t>Dominican Republic</t>
        </is>
      </c>
      <c r="B620" t="inlineStr">
        <is>
          <t>DO</t>
        </is>
      </c>
      <c r="C620" s="4" t="n">
        <v>46204</v>
      </c>
      <c r="D620" t="n">
        <v>32417.09032258065</v>
      </c>
      <c r="G620" t="b">
        <v>0</v>
      </c>
      <c r="I620" t="n">
        <v>7.791240095327839</v>
      </c>
      <c r="J620" t="inlineStr">
        <is>
          <t>trailing 12 calibrated months (Jun/25-May/26)</t>
        </is>
      </c>
      <c r="K620" t="n">
        <v>252569.3338951544</v>
      </c>
      <c r="L620" t="n">
        <v>252569.3338951544</v>
      </c>
      <c r="M620" t="inlineStr">
        <is>
          <t>estimated</t>
        </is>
      </c>
      <c r="N620" t="n">
        <v>36621</v>
      </c>
      <c r="O620" t="n">
        <v>6.89684426681834</v>
      </c>
      <c r="P620" t="n">
        <v>0.2435599862294096</v>
      </c>
    </row>
    <row r="621">
      <c r="A621" t="inlineStr">
        <is>
          <t>Dominican Republic</t>
        </is>
      </c>
      <c r="B621" t="inlineStr">
        <is>
          <t>DO</t>
        </is>
      </c>
      <c r="C621" s="4" t="n">
        <v>46235</v>
      </c>
      <c r="D621" t="n">
        <v>32451.26451612903</v>
      </c>
      <c r="G621" t="b">
        <v>0</v>
      </c>
      <c r="I621" t="n">
        <v>7.791240095327839</v>
      </c>
      <c r="J621" t="inlineStr">
        <is>
          <t>trailing 12 calibrated months (Jun/25-May/26)</t>
        </is>
      </c>
      <c r="K621" t="n">
        <v>252835.5932421541</v>
      </c>
      <c r="L621" t="n">
        <v>252835.5932421541</v>
      </c>
      <c r="M621" t="inlineStr">
        <is>
          <t>estimated</t>
        </is>
      </c>
      <c r="N621" t="n">
        <v>36621</v>
      </c>
      <c r="O621" t="n">
        <v>6.90411494066667</v>
      </c>
      <c r="P621" t="n">
        <v>0.2438167478951612</v>
      </c>
    </row>
    <row r="622">
      <c r="A622" t="inlineStr">
        <is>
          <t>Dominican Republic</t>
        </is>
      </c>
      <c r="B622" t="inlineStr">
        <is>
          <t>DO</t>
        </is>
      </c>
      <c r="C622" s="4" t="n">
        <v>46266</v>
      </c>
      <c r="D622" t="n">
        <v>33233.66</v>
      </c>
      <c r="G622" t="b">
        <v>0</v>
      </c>
      <c r="I622" t="n">
        <v>7.791240095327839</v>
      </c>
      <c r="J622" t="inlineStr">
        <is>
          <t>trailing 12 calibrated months (Jun/25-May/26)</t>
        </is>
      </c>
      <c r="K622" t="n">
        <v>258931.424306493</v>
      </c>
      <c r="L622" t="n">
        <v>258931.424306493</v>
      </c>
      <c r="M622" t="inlineStr">
        <is>
          <t>estimated</t>
        </is>
      </c>
      <c r="N622" t="n">
        <v>36621</v>
      </c>
      <c r="O622" t="n">
        <v>7.07057219372745</v>
      </c>
      <c r="P622" t="n">
        <v>0.2496951358498268</v>
      </c>
    </row>
    <row r="623">
      <c r="A623" t="inlineStr">
        <is>
          <t>Dominican Republic</t>
        </is>
      </c>
      <c r="B623" t="inlineStr">
        <is>
          <t>DO</t>
        </is>
      </c>
      <c r="C623" s="4" t="n">
        <v>46296</v>
      </c>
      <c r="D623" t="n">
        <v>31081.40384615385</v>
      </c>
      <c r="G623" t="b">
        <v>0</v>
      </c>
      <c r="I623" t="n">
        <v>7.791240095327839</v>
      </c>
      <c r="J623" t="inlineStr">
        <is>
          <t>trailing 12 calibrated months (Jun/25-May/26)</t>
        </is>
      </c>
      <c r="K623" t="n">
        <v>242162.6798652308</v>
      </c>
      <c r="L623" t="n">
        <v>242162.6798652308</v>
      </c>
      <c r="M623" t="inlineStr">
        <is>
          <t>estimated</t>
        </is>
      </c>
      <c r="N623" t="n">
        <v>36621</v>
      </c>
      <c r="O623" t="n">
        <v>6.612672506628186</v>
      </c>
      <c r="P623" t="n">
        <v>0.2335245457698224</v>
      </c>
    </row>
    <row r="624">
      <c r="A624" t="inlineStr">
        <is>
          <t>Puerto Rico</t>
        </is>
      </c>
      <c r="B624" t="inlineStr">
        <is>
          <t>PR</t>
        </is>
      </c>
      <c r="C624" s="4" t="n">
        <v>44197</v>
      </c>
      <c r="D624" t="n">
        <v>21809.92580645161</v>
      </c>
      <c r="E624" t="n">
        <v>210156.9327</v>
      </c>
      <c r="F624" t="n">
        <v>9.635838955391279</v>
      </c>
      <c r="G624" t="b">
        <v>1</v>
      </c>
      <c r="I624" t="n">
        <v>9.290266693050706</v>
      </c>
      <c r="J624" t="inlineStr">
        <is>
          <t>first 12 calibrated months (Jan/21-Dec/21)</t>
        </is>
      </c>
      <c r="K624" t="n">
        <v>202620.0272975845</v>
      </c>
      <c r="L624" t="n">
        <v>210156.9327</v>
      </c>
      <c r="M624" t="inlineStr">
        <is>
          <t>published</t>
        </is>
      </c>
      <c r="N624" t="n">
        <v>36621</v>
      </c>
      <c r="O624" t="n">
        <v>5.7387</v>
      </c>
      <c r="P624" t="n">
        <v>0.20266046889</v>
      </c>
    </row>
    <row r="625">
      <c r="A625" t="inlineStr">
        <is>
          <t>Puerto Rico</t>
        </is>
      </c>
      <c r="B625" t="inlineStr">
        <is>
          <t>PR</t>
        </is>
      </c>
      <c r="C625" s="4" t="n">
        <v>44228</v>
      </c>
      <c r="D625" t="n">
        <v>23196.11428571428</v>
      </c>
      <c r="E625" t="n">
        <v>216701.1054</v>
      </c>
      <c r="F625" t="n">
        <v>9.342129579584759</v>
      </c>
      <c r="G625" t="b">
        <v>1</v>
      </c>
      <c r="I625" t="n">
        <v>9.290266693050706</v>
      </c>
      <c r="J625" t="inlineStr">
        <is>
          <t>first 12 calibrated months (Jan/21-Dec/21)</t>
        </is>
      </c>
      <c r="K625" t="n">
        <v>215498.0879567691</v>
      </c>
      <c r="L625" t="n">
        <v>216701.1054</v>
      </c>
      <c r="M625" t="inlineStr">
        <is>
          <t>published</t>
        </is>
      </c>
      <c r="N625" t="n">
        <v>36621</v>
      </c>
      <c r="O625" t="n">
        <v>5.9174</v>
      </c>
      <c r="P625" t="n">
        <v>0.20897120578</v>
      </c>
    </row>
    <row r="626">
      <c r="A626" t="inlineStr">
        <is>
          <t>Puerto Rico</t>
        </is>
      </c>
      <c r="B626" t="inlineStr">
        <is>
          <t>PR</t>
        </is>
      </c>
      <c r="C626" s="4" t="n">
        <v>44256</v>
      </c>
      <c r="D626" t="n">
        <v>22586.5</v>
      </c>
      <c r="E626" t="n">
        <v>219810.2283</v>
      </c>
      <c r="F626" t="n">
        <v>9.731929617249239</v>
      </c>
      <c r="G626" t="b">
        <v>1</v>
      </c>
      <c r="I626" t="n">
        <v>9.290266693050706</v>
      </c>
      <c r="J626" t="inlineStr">
        <is>
          <t>first 12 calibrated months (Jan/21-Dec/21)</t>
        </is>
      </c>
      <c r="K626" t="n">
        <v>209834.6086625898</v>
      </c>
      <c r="L626" t="n">
        <v>219810.2283</v>
      </c>
      <c r="M626" t="inlineStr">
        <is>
          <t>published</t>
        </is>
      </c>
      <c r="N626" t="n">
        <v>36621</v>
      </c>
      <c r="O626" t="n">
        <v>6.002299999999999</v>
      </c>
      <c r="P626" t="n">
        <v>0.2119694238099999</v>
      </c>
    </row>
    <row r="627">
      <c r="A627" t="inlineStr">
        <is>
          <t>Puerto Rico</t>
        </is>
      </c>
      <c r="B627" t="inlineStr">
        <is>
          <t>PR</t>
        </is>
      </c>
      <c r="C627" s="4" t="n">
        <v>44287</v>
      </c>
      <c r="D627" t="n">
        <v>20839.53333333333</v>
      </c>
      <c r="E627" t="n">
        <v>188847.1728</v>
      </c>
      <c r="F627" t="n">
        <v>9.061967452886023</v>
      </c>
      <c r="G627" t="b">
        <v>1</v>
      </c>
      <c r="I627" t="n">
        <v>9.290266693050706</v>
      </c>
      <c r="J627" t="inlineStr">
        <is>
          <t>first 12 calibrated months (Jan/21-Dec/21)</t>
        </is>
      </c>
      <c r="K627" t="n">
        <v>193604.8224253866</v>
      </c>
      <c r="L627" t="n">
        <v>188847.1728</v>
      </c>
      <c r="M627" t="inlineStr">
        <is>
          <t>published</t>
        </is>
      </c>
      <c r="N627" t="n">
        <v>36621</v>
      </c>
      <c r="O627" t="n">
        <v>5.1568</v>
      </c>
      <c r="P627" t="n">
        <v>0.18211084496</v>
      </c>
    </row>
    <row r="628">
      <c r="A628" t="inlineStr">
        <is>
          <t>Puerto Rico</t>
        </is>
      </c>
      <c r="B628" t="inlineStr">
        <is>
          <t>PR</t>
        </is>
      </c>
      <c r="C628" s="4" t="n">
        <v>44317</v>
      </c>
      <c r="D628" t="n">
        <v>22802.29677419355</v>
      </c>
      <c r="E628" t="n">
        <v>214258.4847</v>
      </c>
      <c r="F628" t="n">
        <v>9.396355411990193</v>
      </c>
      <c r="G628" t="b">
        <v>1</v>
      </c>
      <c r="I628" t="n">
        <v>9.290266693050706</v>
      </c>
      <c r="J628" t="inlineStr">
        <is>
          <t>first 12 calibrated months (Jan/21-Dec/21)</t>
        </is>
      </c>
      <c r="K628" t="n">
        <v>211839.4182463478</v>
      </c>
      <c r="L628" t="n">
        <v>214258.4847</v>
      </c>
      <c r="M628" t="inlineStr">
        <is>
          <t>published</t>
        </is>
      </c>
      <c r="N628" t="n">
        <v>36621</v>
      </c>
      <c r="O628" t="n">
        <v>5.850700000000001</v>
      </c>
      <c r="P628" t="n">
        <v>0.20661571529</v>
      </c>
    </row>
    <row r="629">
      <c r="A629" t="inlineStr">
        <is>
          <t>Puerto Rico</t>
        </is>
      </c>
      <c r="B629" t="inlineStr">
        <is>
          <t>PR</t>
        </is>
      </c>
      <c r="C629" s="4" t="n">
        <v>44348</v>
      </c>
      <c r="D629" t="n">
        <v>28800.25333333333</v>
      </c>
      <c r="E629" t="n">
        <v>276477.5637</v>
      </c>
      <c r="F629" t="n">
        <v>9.599830963292453</v>
      </c>
      <c r="G629" t="b">
        <v>1</v>
      </c>
      <c r="I629" t="n">
        <v>9.290266693050706</v>
      </c>
      <c r="J629" t="inlineStr">
        <is>
          <t>first 12 calibrated months (Jan/21-Dec/21)</t>
        </is>
      </c>
      <c r="K629" t="n">
        <v>267562.0342940892</v>
      </c>
      <c r="L629" t="n">
        <v>276477.5637</v>
      </c>
      <c r="M629" t="inlineStr">
        <is>
          <t>published</t>
        </is>
      </c>
      <c r="N629" t="n">
        <v>36621</v>
      </c>
      <c r="O629" t="n">
        <v>7.5497</v>
      </c>
      <c r="P629" t="n">
        <v>0.2666153905899999</v>
      </c>
    </row>
    <row r="630">
      <c r="A630" t="inlineStr">
        <is>
          <t>Puerto Rico</t>
        </is>
      </c>
      <c r="B630" t="inlineStr">
        <is>
          <t>PR</t>
        </is>
      </c>
      <c r="C630" s="4" t="n">
        <v>44378</v>
      </c>
      <c r="D630" t="n">
        <v>30410.43548387097</v>
      </c>
      <c r="E630" t="n">
        <v>288723.6261</v>
      </c>
      <c r="F630" t="n">
        <v>9.494228593113464</v>
      </c>
      <c r="G630" t="b">
        <v>1</v>
      </c>
      <c r="I630" t="n">
        <v>9.470882658439209</v>
      </c>
      <c r="J630" t="inlineStr">
        <is>
          <t>trailing 6 calibrated months (Jan/21-Jun/21)</t>
        </is>
      </c>
      <c r="K630" t="n">
        <v>288013.6660597779</v>
      </c>
      <c r="L630" t="n">
        <v>288723.6261</v>
      </c>
      <c r="M630" t="inlineStr">
        <is>
          <t>published</t>
        </is>
      </c>
      <c r="N630" t="n">
        <v>36621</v>
      </c>
      <c r="O630" t="n">
        <v>7.8841</v>
      </c>
      <c r="P630" t="n">
        <v>0.27842462627</v>
      </c>
    </row>
    <row r="631">
      <c r="A631" t="inlineStr">
        <is>
          <t>Puerto Rico</t>
        </is>
      </c>
      <c r="B631" t="inlineStr">
        <is>
          <t>PR</t>
        </is>
      </c>
      <c r="C631" s="4" t="n">
        <v>44409</v>
      </c>
      <c r="D631" t="n">
        <v>28039.10322580645</v>
      </c>
      <c r="E631" t="n">
        <v>256229.8128</v>
      </c>
      <c r="F631" t="n">
        <v>9.138302703068366</v>
      </c>
      <c r="G631" t="b">
        <v>1</v>
      </c>
      <c r="I631" t="n">
        <v>9.475047989158192</v>
      </c>
      <c r="J631" t="inlineStr">
        <is>
          <t>trailing 7 calibrated months (Jan/21-Jul/21)</t>
        </is>
      </c>
      <c r="K631" t="n">
        <v>265671.8486374764</v>
      </c>
      <c r="L631" t="n">
        <v>256229.8128</v>
      </c>
      <c r="M631" t="inlineStr">
        <is>
          <t>published</t>
        </is>
      </c>
      <c r="N631" t="n">
        <v>36621</v>
      </c>
      <c r="O631" t="n">
        <v>6.9968</v>
      </c>
      <c r="P631" t="n">
        <v>0.24708989296</v>
      </c>
    </row>
    <row r="632">
      <c r="A632" t="inlineStr">
        <is>
          <t>Puerto Rico</t>
        </is>
      </c>
      <c r="B632" t="inlineStr">
        <is>
          <t>PR</t>
        </is>
      </c>
      <c r="C632" s="4" t="n">
        <v>44440</v>
      </c>
      <c r="D632" t="n">
        <v>21207.69</v>
      </c>
      <c r="E632" t="n">
        <v>178747.101</v>
      </c>
      <c r="F632" t="n">
        <v>8.428409741937948</v>
      </c>
      <c r="G632" t="b">
        <v>1</v>
      </c>
      <c r="I632" t="n">
        <v>9.427477262452395</v>
      </c>
      <c r="J632" t="inlineStr">
        <is>
          <t>trailing 8 calibrated months (Jan/21-Aug/21)</t>
        </is>
      </c>
      <c r="K632" t="n">
        <v>199935.015264139</v>
      </c>
      <c r="L632" t="n">
        <v>178747.101</v>
      </c>
      <c r="M632" t="inlineStr">
        <is>
          <t>published</t>
        </is>
      </c>
      <c r="N632" t="n">
        <v>36621</v>
      </c>
      <c r="O632" t="n">
        <v>4.881</v>
      </c>
      <c r="P632" t="n">
        <v>0.1723710507</v>
      </c>
    </row>
    <row r="633">
      <c r="A633" t="inlineStr">
        <is>
          <t>Puerto Rico</t>
        </is>
      </c>
      <c r="B633" t="inlineStr">
        <is>
          <t>PR</t>
        </is>
      </c>
      <c r="C633" s="4" t="n">
        <v>44470</v>
      </c>
      <c r="D633" t="n">
        <v>19755.94838709677</v>
      </c>
      <c r="E633" t="n">
        <v>178845.9777</v>
      </c>
      <c r="F633" t="n">
        <v>9.052765992080133</v>
      </c>
      <c r="G633" t="b">
        <v>1</v>
      </c>
      <c r="I633" t="n">
        <v>9.331033475175607</v>
      </c>
      <c r="J633" t="inlineStr">
        <is>
          <t>trailing 9 calibrated months (Jan/21-Sep/21)</t>
        </is>
      </c>
      <c r="K633" t="n">
        <v>184343.4157338415</v>
      </c>
      <c r="L633" t="n">
        <v>178845.9777</v>
      </c>
      <c r="M633" t="inlineStr">
        <is>
          <t>published</t>
        </is>
      </c>
      <c r="N633" t="n">
        <v>36621</v>
      </c>
      <c r="O633" t="n">
        <v>4.8837</v>
      </c>
      <c r="P633" t="n">
        <v>0.17246640039</v>
      </c>
    </row>
    <row r="634">
      <c r="A634" t="inlineStr">
        <is>
          <t>Puerto Rico</t>
        </is>
      </c>
      <c r="B634" t="inlineStr">
        <is>
          <t>PR</t>
        </is>
      </c>
      <c r="C634" s="4" t="n">
        <v>44501</v>
      </c>
      <c r="D634" t="n">
        <v>9383.926666666666</v>
      </c>
      <c r="E634" t="n">
        <v>81053.25930000001</v>
      </c>
      <c r="F634" t="n">
        <v>8.637456597771083</v>
      </c>
      <c r="G634" t="b">
        <v>1</v>
      </c>
      <c r="I634" t="n">
        <v>9.308074659018674</v>
      </c>
      <c r="J634" t="inlineStr">
        <is>
          <t>trailing 10 calibrated months (Jan/21-Oct/21)</t>
        </is>
      </c>
      <c r="K634" t="n">
        <v>87346.29000808956</v>
      </c>
      <c r="L634" t="n">
        <v>81053.25930000001</v>
      </c>
      <c r="M634" t="inlineStr">
        <is>
          <t>published</t>
        </is>
      </c>
      <c r="N634" t="n">
        <v>36621</v>
      </c>
      <c r="O634" t="n">
        <v>2.2133</v>
      </c>
      <c r="P634" t="n">
        <v>0.07816202551000001</v>
      </c>
    </row>
    <row r="635">
      <c r="A635" t="inlineStr">
        <is>
          <t>Puerto Rico</t>
        </is>
      </c>
      <c r="B635" t="inlineStr">
        <is>
          <t>PR</t>
        </is>
      </c>
      <c r="C635" s="4" t="n">
        <v>44531</v>
      </c>
      <c r="D635" t="n">
        <v>12272.05483870968</v>
      </c>
      <c r="E635" t="n">
        <v>115872.5061</v>
      </c>
      <c r="F635" t="n">
        <v>9.441980794813919</v>
      </c>
      <c r="G635" t="b">
        <v>1</v>
      </c>
      <c r="I635" t="n">
        <v>9.282784352286237</v>
      </c>
      <c r="J635" t="inlineStr">
        <is>
          <t>trailing 11 calibrated months (Jan/21-Nov/21)</t>
        </is>
      </c>
      <c r="K635" t="n">
        <v>113918.8386271728</v>
      </c>
      <c r="L635" t="n">
        <v>115872.5061</v>
      </c>
      <c r="M635" t="inlineStr">
        <is>
          <t>published</t>
        </is>
      </c>
      <c r="N635" t="n">
        <v>36621</v>
      </c>
      <c r="O635" t="n">
        <v>3.1641</v>
      </c>
      <c r="P635" t="n">
        <v>0.11173924227</v>
      </c>
    </row>
    <row r="636">
      <c r="A636" t="inlineStr">
        <is>
          <t>Puerto Rico</t>
        </is>
      </c>
      <c r="B636" t="inlineStr">
        <is>
          <t>PR</t>
        </is>
      </c>
      <c r="C636" s="4" t="n">
        <v>44562</v>
      </c>
      <c r="D636" t="n">
        <v>11461.7935483871</v>
      </c>
      <c r="E636" t="n">
        <v>99609.12000000001</v>
      </c>
      <c r="F636" t="n">
        <v>8.690535174926181</v>
      </c>
      <c r="G636" t="b">
        <v>1</v>
      </c>
      <c r="I636" t="n">
        <v>9.290266693050706</v>
      </c>
      <c r="J636" t="inlineStr">
        <is>
          <t>trailing 12 calibrated months (Jan/21-Dec/21)</t>
        </is>
      </c>
      <c r="K636" t="n">
        <v>106483.1188452041</v>
      </c>
      <c r="L636" t="n">
        <v>99609.12000000001</v>
      </c>
      <c r="M636" t="inlineStr">
        <is>
          <t>published</t>
        </is>
      </c>
      <c r="N636" t="n">
        <v>36621</v>
      </c>
      <c r="O636" t="n">
        <v>2.72</v>
      </c>
      <c r="P636" t="n">
        <v>0.096055984</v>
      </c>
    </row>
    <row r="637">
      <c r="A637" t="inlineStr">
        <is>
          <t>Puerto Rico</t>
        </is>
      </c>
      <c r="B637" t="inlineStr">
        <is>
          <t>PR</t>
        </is>
      </c>
      <c r="C637" s="4" t="n">
        <v>44593</v>
      </c>
      <c r="D637" t="n">
        <v>13482.95</v>
      </c>
      <c r="E637" t="n">
        <v>110987.2647</v>
      </c>
      <c r="F637" t="n">
        <v>8.231675167526395</v>
      </c>
      <c r="G637" t="b">
        <v>1</v>
      </c>
      <c r="I637" t="n">
        <v>9.232796784577332</v>
      </c>
      <c r="J637" t="inlineStr">
        <is>
          <t>trailing 12 calibrated months (Feb/21-Jan/22)</t>
        </is>
      </c>
      <c r="K637" t="n">
        <v>124485.3374066169</v>
      </c>
      <c r="L637" t="n">
        <v>110987.2647</v>
      </c>
      <c r="M637" t="inlineStr">
        <is>
          <t>published</t>
        </is>
      </c>
      <c r="N637" t="n">
        <v>36621</v>
      </c>
      <c r="O637" t="n">
        <v>3.0307</v>
      </c>
      <c r="P637" t="n">
        <v>0.10702826129</v>
      </c>
    </row>
    <row r="638">
      <c r="A638" t="inlineStr">
        <is>
          <t>Puerto Rico</t>
        </is>
      </c>
      <c r="B638" t="inlineStr">
        <is>
          <t>PR</t>
        </is>
      </c>
      <c r="C638" s="4" t="n">
        <v>44621</v>
      </c>
      <c r="D638" t="n">
        <v>17616.49032258064</v>
      </c>
      <c r="E638" t="n">
        <v>154320.894</v>
      </c>
      <c r="F638" t="n">
        <v>8.760024907015277</v>
      </c>
      <c r="G638" t="b">
        <v>1</v>
      </c>
      <c r="I638" t="n">
        <v>9.166276690928919</v>
      </c>
      <c r="J638" t="inlineStr">
        <is>
          <t>trailing 12 calibrated months (Mar/21-Feb/22)</t>
        </is>
      </c>
      <c r="K638" t="n">
        <v>161477.6246198459</v>
      </c>
      <c r="L638" t="n">
        <v>154320.894</v>
      </c>
      <c r="M638" t="inlineStr">
        <is>
          <t>published</t>
        </is>
      </c>
      <c r="N638" t="n">
        <v>36621</v>
      </c>
      <c r="O638" t="n">
        <v>4.214</v>
      </c>
      <c r="P638" t="n">
        <v>0.1488161458</v>
      </c>
    </row>
    <row r="639">
      <c r="A639" t="inlineStr">
        <is>
          <t>Puerto Rico</t>
        </is>
      </c>
      <c r="B639" t="inlineStr">
        <is>
          <t>PR</t>
        </is>
      </c>
      <c r="C639" s="4" t="n">
        <v>44652</v>
      </c>
      <c r="D639" t="n">
        <v>14345.61</v>
      </c>
      <c r="E639" t="n">
        <v>117326.3598</v>
      </c>
      <c r="F639" t="n">
        <v>8.178554958624975</v>
      </c>
      <c r="G639" t="b">
        <v>1</v>
      </c>
      <c r="I639" t="n">
        <v>9.081841390443305</v>
      </c>
      <c r="J639" t="inlineStr">
        <is>
          <t>trailing 12 calibrated months (Apr/21-Mar/22)</t>
        </is>
      </c>
      <c r="K639" t="n">
        <v>130284.5546691574</v>
      </c>
      <c r="L639" t="n">
        <v>117326.3598</v>
      </c>
      <c r="M639" t="inlineStr">
        <is>
          <t>published</t>
        </is>
      </c>
      <c r="N639" t="n">
        <v>36621</v>
      </c>
      <c r="O639" t="n">
        <v>3.2038</v>
      </c>
      <c r="P639" t="n">
        <v>0.11314123586</v>
      </c>
    </row>
    <row r="640">
      <c r="A640" t="inlineStr">
        <is>
          <t>Puerto Rico</t>
        </is>
      </c>
      <c r="B640" t="inlineStr">
        <is>
          <t>PR</t>
        </is>
      </c>
      <c r="C640" s="4" t="n">
        <v>44682</v>
      </c>
      <c r="D640" t="n">
        <v>15552.29032258065</v>
      </c>
      <c r="E640" t="n">
        <v>142228.6398</v>
      </c>
      <c r="F640" t="n">
        <v>9.145189348317123</v>
      </c>
      <c r="G640" t="b">
        <v>1</v>
      </c>
      <c r="I640" t="n">
        <v>9.027202003863144</v>
      </c>
      <c r="J640" t="inlineStr">
        <is>
          <t>trailing 12 calibrated months (May/21-Apr/22)</t>
        </is>
      </c>
      <c r="K640" t="n">
        <v>140393.6663646614</v>
      </c>
      <c r="L640" t="n">
        <v>142228.6398</v>
      </c>
      <c r="M640" t="inlineStr">
        <is>
          <t>published</t>
        </is>
      </c>
      <c r="N640" t="n">
        <v>36621</v>
      </c>
      <c r="O640" t="n">
        <v>3.8838</v>
      </c>
      <c r="P640" t="n">
        <v>0.13715523186</v>
      </c>
    </row>
    <row r="641">
      <c r="A641" t="inlineStr">
        <is>
          <t>Puerto Rico</t>
        </is>
      </c>
      <c r="B641" t="inlineStr">
        <is>
          <t>PR</t>
        </is>
      </c>
      <c r="C641" s="4" t="n">
        <v>44713</v>
      </c>
      <c r="D641" t="n">
        <v>18682.02666666667</v>
      </c>
      <c r="E641" t="n">
        <v>168035.4585</v>
      </c>
      <c r="F641" t="n">
        <v>8.994498375265497</v>
      </c>
      <c r="G641" t="b">
        <v>1</v>
      </c>
      <c r="I641" t="n">
        <v>8.997594595158375</v>
      </c>
      <c r="J641" t="inlineStr">
        <is>
          <t>trailing 12 calibrated months (Jun/21-May/22)</t>
        </is>
      </c>
      <c r="K641" t="n">
        <v>168093.3021626047</v>
      </c>
      <c r="L641" t="n">
        <v>168035.4585</v>
      </c>
      <c r="M641" t="inlineStr">
        <is>
          <t>published</t>
        </is>
      </c>
      <c r="N641" t="n">
        <v>36621</v>
      </c>
      <c r="O641" t="n">
        <v>4.588500000000001</v>
      </c>
      <c r="P641" t="n">
        <v>0.16204150095</v>
      </c>
    </row>
    <row r="642">
      <c r="A642" t="inlineStr">
        <is>
          <t>Puerto Rico</t>
        </is>
      </c>
      <c r="B642" t="inlineStr">
        <is>
          <t>PR</t>
        </is>
      </c>
      <c r="C642" s="4" t="n">
        <v>44743</v>
      </c>
      <c r="D642" t="n">
        <v>19459.81935483871</v>
      </c>
      <c r="E642" t="n">
        <v>167456.8467</v>
      </c>
      <c r="F642" t="n">
        <v>8.605262137665303</v>
      </c>
      <c r="G642" t="b">
        <v>1</v>
      </c>
      <c r="I642" t="n">
        <v>8.915589140967921</v>
      </c>
      <c r="J642" t="inlineStr">
        <is>
          <t>trailing 12 calibrated months (Jul/21-Jun/22)</t>
        </is>
      </c>
      <c r="K642" t="n">
        <v>173495.7541251974</v>
      </c>
      <c r="L642" t="n">
        <v>167456.8467</v>
      </c>
      <c r="M642" t="inlineStr">
        <is>
          <t>published</t>
        </is>
      </c>
      <c r="N642" t="n">
        <v>36621</v>
      </c>
      <c r="O642" t="n">
        <v>4.5727</v>
      </c>
      <c r="P642" t="n">
        <v>0.16148352869</v>
      </c>
    </row>
    <row r="643">
      <c r="A643" t="inlineStr">
        <is>
          <t>Puerto Rico</t>
        </is>
      </c>
      <c r="B643" t="inlineStr">
        <is>
          <t>PR</t>
        </is>
      </c>
      <c r="C643" s="4" t="n">
        <v>44774</v>
      </c>
      <c r="D643" t="n">
        <v>20917.17419354839</v>
      </c>
      <c r="E643" t="n">
        <v>182453.1462</v>
      </c>
      <c r="F643" t="n">
        <v>8.722647930917702</v>
      </c>
      <c r="G643" t="b">
        <v>1</v>
      </c>
      <c r="I643" t="n">
        <v>8.798150901908482</v>
      </c>
      <c r="J643" t="inlineStr">
        <is>
          <t>trailing 12 calibrated months (Aug/21-Jul/22)</t>
        </is>
      </c>
      <c r="K643" t="n">
        <v>184032.4549963446</v>
      </c>
      <c r="L643" t="n">
        <v>182453.1462</v>
      </c>
      <c r="M643" t="inlineStr">
        <is>
          <t>published</t>
        </is>
      </c>
      <c r="N643" t="n">
        <v>36621</v>
      </c>
      <c r="O643" t="n">
        <v>4.982200000000001</v>
      </c>
      <c r="P643" t="n">
        <v>0.17594489834</v>
      </c>
    </row>
    <row r="644">
      <c r="A644" t="inlineStr">
        <is>
          <t>Puerto Rico</t>
        </is>
      </c>
      <c r="B644" t="inlineStr">
        <is>
          <t>PR</t>
        </is>
      </c>
      <c r="C644" s="4" t="n">
        <v>44805</v>
      </c>
      <c r="D644" t="n">
        <v>15199.10666666667</v>
      </c>
      <c r="E644" t="n">
        <v>159246.4185</v>
      </c>
      <c r="F644" t="n">
        <v>10.47735383351477</v>
      </c>
      <c r="G644" t="b">
        <v>1</v>
      </c>
      <c r="I644" t="n">
        <v>8.740888165166327</v>
      </c>
      <c r="J644" t="inlineStr">
        <is>
          <t>trailing 12 calibrated months (Sep/21-Aug/22)</t>
        </is>
      </c>
      <c r="K644" t="n">
        <v>132853.6915837673</v>
      </c>
      <c r="L644" t="n">
        <v>159246.4185</v>
      </c>
      <c r="M644" t="inlineStr">
        <is>
          <t>published</t>
        </is>
      </c>
      <c r="N644" t="n">
        <v>36621</v>
      </c>
      <c r="O644" t="n">
        <v>4.3485</v>
      </c>
      <c r="P644" t="n">
        <v>0.15356597295</v>
      </c>
    </row>
    <row r="645">
      <c r="A645" t="inlineStr">
        <is>
          <t>Puerto Rico</t>
        </is>
      </c>
      <c r="B645" t="inlineStr">
        <is>
          <t>PR</t>
        </is>
      </c>
      <c r="C645" s="4" t="n">
        <v>44835</v>
      </c>
      <c r="D645" t="n">
        <v>14448.90967741935</v>
      </c>
      <c r="E645" t="n">
        <v>131154.4494</v>
      </c>
      <c r="F645" t="n">
        <v>9.077117396959519</v>
      </c>
      <c r="G645" t="b">
        <v>1</v>
      </c>
      <c r="I645" t="n">
        <v>8.916404108640565</v>
      </c>
      <c r="J645" t="inlineStr">
        <is>
          <t>trailing 12 calibrated months (Oct/21-Sep/22)</t>
        </is>
      </c>
      <c r="K645" t="n">
        <v>128832.3176131184</v>
      </c>
      <c r="L645" t="n">
        <v>131154.4494</v>
      </c>
      <c r="M645" t="inlineStr">
        <is>
          <t>published</t>
        </is>
      </c>
      <c r="N645" t="n">
        <v>36621</v>
      </c>
      <c r="O645" t="n">
        <v>3.581399999999999</v>
      </c>
      <c r="P645" t="n">
        <v>0.12647606658</v>
      </c>
    </row>
    <row r="646">
      <c r="A646" t="inlineStr">
        <is>
          <t>Puerto Rico</t>
        </is>
      </c>
      <c r="B646" t="inlineStr">
        <is>
          <t>PR</t>
        </is>
      </c>
      <c r="C646" s="4" t="n">
        <v>44866</v>
      </c>
      <c r="D646" t="n">
        <v>16869.25666666667</v>
      </c>
      <c r="E646" t="n">
        <v>149984.9676</v>
      </c>
      <c r="F646" t="n">
        <v>8.891024101634986</v>
      </c>
      <c r="G646" t="b">
        <v>1</v>
      </c>
      <c r="I646" t="n">
        <v>8.914370293045875</v>
      </c>
      <c r="J646" t="inlineStr">
        <is>
          <t>trailing 12 calibrated months (Nov/21-Oct/22)</t>
        </is>
      </c>
      <c r="K646" t="n">
        <v>150378.8004950994</v>
      </c>
      <c r="L646" t="n">
        <v>149984.9676</v>
      </c>
      <c r="M646" t="inlineStr">
        <is>
          <t>published</t>
        </is>
      </c>
      <c r="N646" t="n">
        <v>36621</v>
      </c>
      <c r="O646" t="n">
        <v>4.0956</v>
      </c>
      <c r="P646" t="n">
        <v>0.14463488532</v>
      </c>
    </row>
    <row r="647">
      <c r="A647" t="inlineStr">
        <is>
          <t>Puerto Rico</t>
        </is>
      </c>
      <c r="B647" t="inlineStr">
        <is>
          <t>PR</t>
        </is>
      </c>
      <c r="C647" s="4" t="n">
        <v>44896</v>
      </c>
      <c r="D647" t="n">
        <v>11893.62903225806</v>
      </c>
      <c r="E647" t="n">
        <v>99316.152</v>
      </c>
      <c r="F647" t="n">
        <v>8.350365706769008</v>
      </c>
      <c r="G647" t="b">
        <v>1</v>
      </c>
      <c r="I647" t="n">
        <v>8.925955254857126</v>
      </c>
      <c r="J647" t="inlineStr">
        <is>
          <t>trailing 12 calibrated months (Dec/21-Nov/22)</t>
        </is>
      </c>
      <c r="K647" t="n">
        <v>106162.0005598051</v>
      </c>
      <c r="L647" t="n">
        <v>99316.152</v>
      </c>
      <c r="M647" t="inlineStr">
        <is>
          <t>published</t>
        </is>
      </c>
      <c r="N647" t="n">
        <v>36621</v>
      </c>
      <c r="O647" t="n">
        <v>2.712</v>
      </c>
      <c r="P647" t="n">
        <v>0.09577346639999999</v>
      </c>
    </row>
    <row r="648">
      <c r="A648" t="inlineStr">
        <is>
          <t>Puerto Rico</t>
        </is>
      </c>
      <c r="B648" t="inlineStr">
        <is>
          <t>PR</t>
        </is>
      </c>
      <c r="C648" s="4" t="n">
        <v>44927</v>
      </c>
      <c r="D648" t="n">
        <v>16119.63548387097</v>
      </c>
      <c r="E648" t="n">
        <v>143664.183</v>
      </c>
      <c r="F648" t="n">
        <v>8.912371693748778</v>
      </c>
      <c r="G648" t="b">
        <v>1</v>
      </c>
      <c r="I648" t="n">
        <v>8.85656859790984</v>
      </c>
      <c r="J648" t="inlineStr">
        <is>
          <t>trailing 12 calibrated months (Jan/22-Dec/22)</t>
        </is>
      </c>
      <c r="K648" t="n">
        <v>142764.6574362048</v>
      </c>
      <c r="L648" t="n">
        <v>143664.183</v>
      </c>
      <c r="M648" t="inlineStr">
        <is>
          <t>published</t>
        </is>
      </c>
      <c r="N648" t="n">
        <v>36621</v>
      </c>
      <c r="O648" t="n">
        <v>3.923</v>
      </c>
      <c r="P648" t="n">
        <v>0.1385395681</v>
      </c>
    </row>
    <row r="649">
      <c r="A649" t="inlineStr">
        <is>
          <t>Puerto Rico</t>
        </is>
      </c>
      <c r="B649" t="inlineStr">
        <is>
          <t>PR</t>
        </is>
      </c>
      <c r="C649" s="4" t="n">
        <v>44958</v>
      </c>
      <c r="D649" t="n">
        <v>21616.83928571429</v>
      </c>
      <c r="E649" t="n">
        <v>194278.0671</v>
      </c>
      <c r="F649" t="n">
        <v>8.987348452388721</v>
      </c>
      <c r="G649" t="b">
        <v>1</v>
      </c>
      <c r="I649" t="n">
        <v>8.870971244765286</v>
      </c>
      <c r="J649" t="inlineStr">
        <is>
          <t>trailing 12 calibrated months (Feb/22-Jan/23)</t>
        </is>
      </c>
      <c r="K649" t="n">
        <v>191762.359706284</v>
      </c>
      <c r="L649" t="n">
        <v>194278.0671</v>
      </c>
      <c r="M649" t="inlineStr">
        <is>
          <t>published</t>
        </is>
      </c>
      <c r="N649" t="n">
        <v>36621</v>
      </c>
      <c r="O649" t="n">
        <v>5.305099999999999</v>
      </c>
      <c r="P649" t="n">
        <v>0.18734801497</v>
      </c>
    </row>
    <row r="650">
      <c r="A650" t="inlineStr">
        <is>
          <t>Puerto Rico</t>
        </is>
      </c>
      <c r="B650" t="inlineStr">
        <is>
          <t>PR</t>
        </is>
      </c>
      <c r="C650" s="4" t="n">
        <v>44986</v>
      </c>
      <c r="D650" t="n">
        <v>18329.5064516129</v>
      </c>
      <c r="E650" t="n">
        <v>163029.3678</v>
      </c>
      <c r="F650" t="n">
        <v>8.894367572327855</v>
      </c>
      <c r="G650" t="b">
        <v>1</v>
      </c>
      <c r="I650" t="n">
        <v>8.925900512583132</v>
      </c>
      <c r="J650" t="inlineStr">
        <is>
          <t>trailing 12 calibrated months (Mar/22-Feb/23)</t>
        </is>
      </c>
      <c r="K650" t="n">
        <v>163607.3510318474</v>
      </c>
      <c r="L650" t="n">
        <v>163029.3678</v>
      </c>
      <c r="M650" t="inlineStr">
        <is>
          <t>published</t>
        </is>
      </c>
      <c r="N650" t="n">
        <v>36621</v>
      </c>
      <c r="O650" t="n">
        <v>4.4518</v>
      </c>
      <c r="P650" t="n">
        <v>0.15721398146</v>
      </c>
    </row>
    <row r="651">
      <c r="A651" t="inlineStr">
        <is>
          <t>Puerto Rico</t>
        </is>
      </c>
      <c r="B651" t="inlineStr">
        <is>
          <t>PR</t>
        </is>
      </c>
      <c r="C651" s="4" t="n">
        <v>45017</v>
      </c>
      <c r="D651" t="n">
        <v>20366.30333333333</v>
      </c>
      <c r="E651" t="n">
        <v>195277.8204</v>
      </c>
      <c r="F651" t="n">
        <v>9.588280072426825</v>
      </c>
      <c r="G651" t="b">
        <v>1</v>
      </c>
      <c r="I651" t="n">
        <v>8.937423488237041</v>
      </c>
      <c r="J651" t="inlineStr">
        <is>
          <t>trailing 12 calibrated months (Apr/22-Mar/23)</t>
        </is>
      </c>
      <c r="K651" t="n">
        <v>182022.2777798937</v>
      </c>
      <c r="L651" t="n">
        <v>195277.8204</v>
      </c>
      <c r="M651" t="inlineStr">
        <is>
          <t>published</t>
        </is>
      </c>
      <c r="N651" t="n">
        <v>36621</v>
      </c>
      <c r="O651" t="n">
        <v>5.3324</v>
      </c>
      <c r="P651" t="n">
        <v>0.18831210628</v>
      </c>
    </row>
    <row r="652">
      <c r="A652" t="inlineStr">
        <is>
          <t>Puerto Rico</t>
        </is>
      </c>
      <c r="B652" t="inlineStr">
        <is>
          <t>PR</t>
        </is>
      </c>
      <c r="C652" s="4" t="n">
        <v>45047</v>
      </c>
      <c r="D652" t="n">
        <v>19646.31612903226</v>
      </c>
      <c r="E652" t="n">
        <v>161447.3406</v>
      </c>
      <c r="F652" t="n">
        <v>8.217690254989936</v>
      </c>
      <c r="G652" t="b">
        <v>1</v>
      </c>
      <c r="I652" t="n">
        <v>9.052684678220531</v>
      </c>
      <c r="J652" t="inlineStr">
        <is>
          <t>trailing 12 calibrated months (May/22-Apr/23)</t>
        </is>
      </c>
      <c r="K652" t="n">
        <v>177851.9050047672</v>
      </c>
      <c r="L652" t="n">
        <v>161447.3406</v>
      </c>
      <c r="M652" t="inlineStr">
        <is>
          <t>published</t>
        </is>
      </c>
      <c r="N652" t="n">
        <v>36621</v>
      </c>
      <c r="O652" t="n">
        <v>4.4086</v>
      </c>
      <c r="P652" t="n">
        <v>0.15568838642</v>
      </c>
    </row>
    <row r="653">
      <c r="A653" t="inlineStr">
        <is>
          <t>Puerto Rico</t>
        </is>
      </c>
      <c r="B653" t="inlineStr">
        <is>
          <t>PR</t>
        </is>
      </c>
      <c r="C653" s="4" t="n">
        <v>45078</v>
      </c>
      <c r="D653" t="n">
        <v>22903.04333333333</v>
      </c>
      <c r="E653" t="n">
        <v>193582.2681</v>
      </c>
      <c r="F653" t="n">
        <v>8.452250876994077</v>
      </c>
      <c r="G653" t="b">
        <v>1</v>
      </c>
      <c r="I653" t="n">
        <v>8.969128849107255</v>
      </c>
      <c r="J653" t="inlineStr">
        <is>
          <t>trailing 12 calibrated months (Jun/22-May/23)</t>
        </is>
      </c>
      <c r="K653" t="n">
        <v>205420.3466933536</v>
      </c>
      <c r="L653" t="n">
        <v>193582.2681</v>
      </c>
      <c r="M653" t="inlineStr">
        <is>
          <t>published</t>
        </is>
      </c>
      <c r="N653" t="n">
        <v>36621</v>
      </c>
      <c r="O653" t="n">
        <v>5.2861</v>
      </c>
      <c r="P653" t="n">
        <v>0.18667703567</v>
      </c>
    </row>
    <row r="654">
      <c r="A654" t="inlineStr">
        <is>
          <t>Puerto Rico</t>
        </is>
      </c>
      <c r="B654" t="inlineStr">
        <is>
          <t>PR</t>
        </is>
      </c>
      <c r="C654" s="4" t="n">
        <v>45108</v>
      </c>
      <c r="D654" t="n">
        <v>22757.94193548387</v>
      </c>
      <c r="E654" t="n">
        <v>198720.1944</v>
      </c>
      <c r="F654" t="n">
        <v>8.731905326208704</v>
      </c>
      <c r="G654" t="b">
        <v>1</v>
      </c>
      <c r="I654" t="n">
        <v>8.912591866112713</v>
      </c>
      <c r="J654" t="inlineStr">
        <is>
          <t>trailing 12 calibrated months (Jul/22-Jun/23)</t>
        </is>
      </c>
      <c r="K654" t="n">
        <v>202832.2481836589</v>
      </c>
      <c r="L654" t="n">
        <v>198720.1944</v>
      </c>
      <c r="M654" t="inlineStr">
        <is>
          <t>published</t>
        </is>
      </c>
      <c r="N654" t="n">
        <v>36621</v>
      </c>
      <c r="O654" t="n">
        <v>5.4264</v>
      </c>
      <c r="P654" t="n">
        <v>0.19163168808</v>
      </c>
    </row>
    <row r="655">
      <c r="A655" t="inlineStr">
        <is>
          <t>Puerto Rico</t>
        </is>
      </c>
      <c r="B655" t="inlineStr">
        <is>
          <t>PR</t>
        </is>
      </c>
      <c r="C655" s="4" t="n">
        <v>45139</v>
      </c>
      <c r="D655" t="n">
        <v>23915.6064516129</v>
      </c>
      <c r="E655" t="n">
        <v>206084.6775</v>
      </c>
      <c r="F655" t="n">
        <v>8.617162935715616</v>
      </c>
      <c r="G655" t="b">
        <v>1</v>
      </c>
      <c r="I655" t="n">
        <v>8.921044152601826</v>
      </c>
      <c r="J655" t="inlineStr">
        <is>
          <t>trailing 12 calibrated months (Aug/22-Jul/23)</t>
        </is>
      </c>
      <c r="K655" t="n">
        <v>213352.1810910878</v>
      </c>
      <c r="L655" t="n">
        <v>206084.6775</v>
      </c>
      <c r="M655" t="inlineStr">
        <is>
          <t>published</t>
        </is>
      </c>
      <c r="N655" t="n">
        <v>36621</v>
      </c>
      <c r="O655" t="n">
        <v>5.6275</v>
      </c>
      <c r="P655" t="n">
        <v>0.19873347425</v>
      </c>
    </row>
    <row r="656">
      <c r="A656" t="inlineStr">
        <is>
          <t>Puerto Rico</t>
        </is>
      </c>
      <c r="B656" t="inlineStr">
        <is>
          <t>PR</t>
        </is>
      </c>
      <c r="C656" s="4" t="n">
        <v>45170</v>
      </c>
      <c r="D656" t="n">
        <v>24702.29</v>
      </c>
      <c r="E656" t="n">
        <v>213152.5305</v>
      </c>
      <c r="F656" t="n">
        <v>8.628857101912415</v>
      </c>
      <c r="G656" t="b">
        <v>1</v>
      </c>
      <c r="I656" t="n">
        <v>8.907130332795784</v>
      </c>
      <c r="J656" t="inlineStr">
        <is>
          <t>trailing 12 calibrated months (Sep/22-Aug/23)</t>
        </is>
      </c>
      <c r="K656" t="n">
        <v>220026.5165485179</v>
      </c>
      <c r="L656" t="n">
        <v>213152.5305</v>
      </c>
      <c r="M656" t="inlineStr">
        <is>
          <t>published</t>
        </is>
      </c>
      <c r="N656" t="n">
        <v>36621</v>
      </c>
      <c r="O656" t="n">
        <v>5.8205</v>
      </c>
      <c r="P656" t="n">
        <v>0.20554921135</v>
      </c>
    </row>
    <row r="657">
      <c r="A657" t="inlineStr">
        <is>
          <t>Puerto Rico</t>
        </is>
      </c>
      <c r="B657" t="inlineStr">
        <is>
          <t>PR</t>
        </is>
      </c>
      <c r="C657" s="4" t="n">
        <v>45200</v>
      </c>
      <c r="D657" t="n">
        <v>19552.72258064516</v>
      </c>
      <c r="E657" t="n">
        <v>175934.6082</v>
      </c>
      <c r="F657" t="n">
        <v>8.997959617866929</v>
      </c>
      <c r="G657" t="b">
        <v>1</v>
      </c>
      <c r="I657" t="n">
        <v>8.775520641578764</v>
      </c>
      <c r="J657" t="inlineStr">
        <is>
          <t>trailing 12 calibrated months (Oct/22-Sep/23)</t>
        </is>
      </c>
      <c r="K657" t="n">
        <v>171585.3206055148</v>
      </c>
      <c r="L657" t="n">
        <v>175934.6082</v>
      </c>
      <c r="M657" t="inlineStr">
        <is>
          <t>published</t>
        </is>
      </c>
      <c r="N657" t="n">
        <v>36621</v>
      </c>
      <c r="O657" t="n">
        <v>4.8042</v>
      </c>
      <c r="P657" t="n">
        <v>0.16965888174</v>
      </c>
    </row>
    <row r="658">
      <c r="A658" t="inlineStr">
        <is>
          <t>Puerto Rico</t>
        </is>
      </c>
      <c r="B658" t="inlineStr">
        <is>
          <t>PR</t>
        </is>
      </c>
      <c r="C658" s="4" t="n">
        <v>45231</v>
      </c>
      <c r="D658" t="n">
        <v>20581.48666666667</v>
      </c>
      <c r="E658" t="n">
        <v>187829.109</v>
      </c>
      <c r="F658" t="n">
        <v>9.126119606520163</v>
      </c>
      <c r="G658" t="b">
        <v>1</v>
      </c>
      <c r="I658" t="n">
        <v>8.775485209503074</v>
      </c>
      <c r="J658" t="inlineStr">
        <is>
          <t>trailing 12 calibrated months (Nov/22-Oct/23)</t>
        </is>
      </c>
      <c r="K658" t="n">
        <v>180612.5318329181</v>
      </c>
      <c r="L658" t="n">
        <v>187829.109</v>
      </c>
      <c r="M658" t="inlineStr">
        <is>
          <t>published</t>
        </is>
      </c>
      <c r="N658" t="n">
        <v>36621</v>
      </c>
      <c r="O658" t="n">
        <v>5.129</v>
      </c>
      <c r="P658" t="n">
        <v>0.1811290963</v>
      </c>
    </row>
    <row r="659">
      <c r="A659" t="inlineStr">
        <is>
          <t>Puerto Rico</t>
        </is>
      </c>
      <c r="B659" t="inlineStr">
        <is>
          <t>PR</t>
        </is>
      </c>
      <c r="C659" s="4" t="n">
        <v>45261</v>
      </c>
      <c r="D659" t="n">
        <v>20372.63870967742</v>
      </c>
      <c r="E659" t="n">
        <v>174022.992</v>
      </c>
      <c r="F659" t="n">
        <v>8.541995687447965</v>
      </c>
      <c r="G659" t="b">
        <v>1</v>
      </c>
      <c r="I659" t="n">
        <v>8.797217226631304</v>
      </c>
      <c r="J659" t="inlineStr">
        <is>
          <t>trailing 12 calibrated months (Dec/22-Nov/23)</t>
        </is>
      </c>
      <c r="K659" t="n">
        <v>179222.5282087099</v>
      </c>
      <c r="L659" t="n">
        <v>174022.992</v>
      </c>
      <c r="M659" t="inlineStr">
        <is>
          <t>published</t>
        </is>
      </c>
      <c r="N659" t="n">
        <v>36621</v>
      </c>
      <c r="O659" t="n">
        <v>4.752</v>
      </c>
      <c r="P659" t="n">
        <v>0.1678154544</v>
      </c>
    </row>
    <row r="660">
      <c r="A660" t="inlineStr">
        <is>
          <t>Puerto Rico</t>
        </is>
      </c>
      <c r="B660" t="inlineStr">
        <is>
          <t>PR</t>
        </is>
      </c>
      <c r="C660" s="4" t="n">
        <v>45292</v>
      </c>
      <c r="D660" t="n">
        <v>18754.31612903226</v>
      </c>
      <c r="E660" t="n">
        <v>151435.1592</v>
      </c>
      <c r="F660" t="n">
        <v>8.074683084048781</v>
      </c>
      <c r="G660" t="b">
        <v>1</v>
      </c>
      <c r="I660" t="n">
        <v>8.797676239679779</v>
      </c>
      <c r="J660" t="inlineStr">
        <is>
          <t>trailing 12 calibrated months (Jan/23-Dec/23)</t>
        </is>
      </c>
      <c r="K660" t="n">
        <v>164994.4013998304</v>
      </c>
      <c r="L660" t="n">
        <v>151435.1592</v>
      </c>
      <c r="M660" t="inlineStr">
        <is>
          <t>published</t>
        </is>
      </c>
      <c r="N660" t="n">
        <v>36621</v>
      </c>
      <c r="O660" t="n">
        <v>4.1352</v>
      </c>
      <c r="P660" t="n">
        <v>0.14603334744</v>
      </c>
    </row>
    <row r="661">
      <c r="A661" t="inlineStr">
        <is>
          <t>Puerto Rico</t>
        </is>
      </c>
      <c r="B661" t="inlineStr">
        <is>
          <t>PR</t>
        </is>
      </c>
      <c r="C661" s="4" t="n">
        <v>45323</v>
      </c>
      <c r="D661" t="n">
        <v>16622.28620689655</v>
      </c>
      <c r="E661" t="n">
        <v>138328.5033</v>
      </c>
      <c r="F661" t="n">
        <v>8.321869902745858</v>
      </c>
      <c r="G661" t="b">
        <v>1</v>
      </c>
      <c r="I661" t="n">
        <v>8.736894578047554</v>
      </c>
      <c r="J661" t="inlineStr">
        <is>
          <t>trailing 12 calibrated months (Feb/23-Jan/24)</t>
        </is>
      </c>
      <c r="K661" t="n">
        <v>145227.1622357891</v>
      </c>
      <c r="L661" t="n">
        <v>138328.5033</v>
      </c>
      <c r="M661" t="inlineStr">
        <is>
          <t>published</t>
        </is>
      </c>
      <c r="N661" t="n">
        <v>36621</v>
      </c>
      <c r="O661" t="n">
        <v>3.7773</v>
      </c>
      <c r="P661" t="n">
        <v>0.13339421631</v>
      </c>
    </row>
    <row r="662">
      <c r="A662" t="inlineStr">
        <is>
          <t>Puerto Rico</t>
        </is>
      </c>
      <c r="B662" t="inlineStr">
        <is>
          <t>PR</t>
        </is>
      </c>
      <c r="C662" s="4" t="n">
        <v>45352</v>
      </c>
      <c r="D662" t="n">
        <v>19084.17741935484</v>
      </c>
      <c r="E662" t="n">
        <v>162344.5551</v>
      </c>
      <c r="F662" t="n">
        <v>8.506761990975466</v>
      </c>
      <c r="G662" t="b">
        <v>1</v>
      </c>
      <c r="I662" t="n">
        <v>8.687347458496452</v>
      </c>
      <c r="J662" t="inlineStr">
        <is>
          <t>trailing 12 calibrated months (Mar/23-Feb/24)</t>
        </is>
      </c>
      <c r="K662" t="n">
        <v>165790.8802015276</v>
      </c>
      <c r="L662" t="n">
        <v>162344.5551</v>
      </c>
      <c r="M662" t="inlineStr">
        <is>
          <t>published</t>
        </is>
      </c>
      <c r="N662" t="n">
        <v>36621</v>
      </c>
      <c r="O662" t="n">
        <v>4.4331</v>
      </c>
      <c r="P662" t="n">
        <v>0.15655359657</v>
      </c>
    </row>
    <row r="663">
      <c r="A663" t="inlineStr">
        <is>
          <t>Puerto Rico</t>
        </is>
      </c>
      <c r="B663" t="inlineStr">
        <is>
          <t>PR</t>
        </is>
      </c>
      <c r="C663" s="4" t="n">
        <v>45383</v>
      </c>
      <c r="D663" t="n">
        <v>19682.57</v>
      </c>
      <c r="E663" t="n">
        <v>169925.1021</v>
      </c>
      <c r="F663" t="n">
        <v>8.633278179627967</v>
      </c>
      <c r="G663" t="b">
        <v>1</v>
      </c>
      <c r="I663" t="n">
        <v>8.658297763724139</v>
      </c>
      <c r="J663" t="inlineStr">
        <is>
          <t>trailing 12 calibrated months (Apr/23-Mar/24)</t>
        </is>
      </c>
      <c r="K663" t="n">
        <v>170417.5518153438</v>
      </c>
      <c r="L663" t="n">
        <v>169925.1021</v>
      </c>
      <c r="M663" t="inlineStr">
        <is>
          <t>published</t>
        </is>
      </c>
      <c r="N663" t="n">
        <v>36621</v>
      </c>
      <c r="O663" t="n">
        <v>4.6401</v>
      </c>
      <c r="P663" t="n">
        <v>0.16386373947</v>
      </c>
    </row>
    <row r="664">
      <c r="A664" t="inlineStr">
        <is>
          <t>Puerto Rico</t>
        </is>
      </c>
      <c r="B664" t="inlineStr">
        <is>
          <t>PR</t>
        </is>
      </c>
      <c r="C664" s="4" t="n">
        <v>45413</v>
      </c>
      <c r="D664" t="n">
        <v>15727.0064516129</v>
      </c>
      <c r="E664" t="n">
        <v>130927.3992</v>
      </c>
      <c r="F664" t="n">
        <v>8.325004482119517</v>
      </c>
      <c r="G664" t="b">
        <v>1</v>
      </c>
      <c r="I664" t="n">
        <v>8.580121275399133</v>
      </c>
      <c r="J664" t="inlineStr">
        <is>
          <t>trailing 12 calibrated months (May/23-Apr/24)</t>
        </is>
      </c>
      <c r="K664" t="n">
        <v>134939.6226538233</v>
      </c>
      <c r="L664" t="n">
        <v>130927.3992</v>
      </c>
      <c r="M664" t="inlineStr">
        <is>
          <t>published</t>
        </is>
      </c>
      <c r="N664" t="n">
        <v>36621</v>
      </c>
      <c r="O664" t="n">
        <v>3.5752</v>
      </c>
      <c r="P664" t="n">
        <v>0.12625711544</v>
      </c>
    </row>
    <row r="665">
      <c r="A665" t="inlineStr">
        <is>
          <t>Puerto Rico</t>
        </is>
      </c>
      <c r="B665" t="inlineStr">
        <is>
          <t>PR</t>
        </is>
      </c>
      <c r="C665" s="4" t="n">
        <v>45444</v>
      </c>
      <c r="D665" t="n">
        <v>19406.38</v>
      </c>
      <c r="E665" t="n">
        <v>173199.0195</v>
      </c>
      <c r="F665" t="n">
        <v>8.924849430960332</v>
      </c>
      <c r="G665" t="b">
        <v>1</v>
      </c>
      <c r="I665" t="n">
        <v>8.592825684271158</v>
      </c>
      <c r="J665" t="inlineStr">
        <is>
          <t>trailing 12 calibrated months (Jun/23-May/24)</t>
        </is>
      </c>
      <c r="K665" t="n">
        <v>166755.6405027261</v>
      </c>
      <c r="L665" t="n">
        <v>173199.0195</v>
      </c>
      <c r="M665" t="inlineStr">
        <is>
          <t>published</t>
        </is>
      </c>
      <c r="N665" t="n">
        <v>36621</v>
      </c>
      <c r="O665" t="n">
        <v>4.7295</v>
      </c>
      <c r="P665" t="n">
        <v>0.16702087365</v>
      </c>
    </row>
    <row r="666">
      <c r="A666" t="inlineStr">
        <is>
          <t>Puerto Rico</t>
        </is>
      </c>
      <c r="B666" t="inlineStr">
        <is>
          <t>PR</t>
        </is>
      </c>
      <c r="C666" s="4" t="n">
        <v>45474</v>
      </c>
      <c r="D666" t="n">
        <v>17448.55483870968</v>
      </c>
      <c r="E666" t="n">
        <v>158678.793</v>
      </c>
      <c r="F666" t="n">
        <v>9.094093721043912</v>
      </c>
      <c r="G666" t="b">
        <v>1</v>
      </c>
      <c r="I666" t="n">
        <v>8.63289448936988</v>
      </c>
      <c r="J666" t="inlineStr">
        <is>
          <t>trailing 12 calibrated months (Jul/23-Jun/24)</t>
        </is>
      </c>
      <c r="K666" t="n">
        <v>150631.5329145649</v>
      </c>
      <c r="L666" t="n">
        <v>158678.793</v>
      </c>
      <c r="M666" t="inlineStr">
        <is>
          <t>published</t>
        </is>
      </c>
      <c r="N666" t="n">
        <v>36621</v>
      </c>
      <c r="O666" t="n">
        <v>4.333</v>
      </c>
      <c r="P666" t="n">
        <v>0.1530185951</v>
      </c>
    </row>
    <row r="667">
      <c r="A667" t="inlineStr">
        <is>
          <t>Puerto Rico</t>
        </is>
      </c>
      <c r="B667" t="inlineStr">
        <is>
          <t>PR</t>
        </is>
      </c>
      <c r="C667" s="4" t="n">
        <v>45505</v>
      </c>
      <c r="D667" t="n">
        <v>14103.34193548387</v>
      </c>
      <c r="E667" t="n">
        <v>143514.0369</v>
      </c>
      <c r="F667" t="n">
        <v>10.17588863380814</v>
      </c>
      <c r="G667" t="b">
        <v>1</v>
      </c>
      <c r="I667" t="n">
        <v>8.65746085078049</v>
      </c>
      <c r="J667" t="inlineStr">
        <is>
          <t>trailing 12 calibrated months (Aug/23-Jul/24)</t>
        </is>
      </c>
      <c r="K667" t="n">
        <v>122099.1306716223</v>
      </c>
      <c r="L667" t="n">
        <v>143514.0369</v>
      </c>
      <c r="M667" t="inlineStr">
        <is>
          <t>published</t>
        </is>
      </c>
      <c r="N667" t="n">
        <v>36621</v>
      </c>
      <c r="O667" t="n">
        <v>3.9189</v>
      </c>
      <c r="P667" t="n">
        <v>0.13839477783</v>
      </c>
    </row>
    <row r="668">
      <c r="A668" t="inlineStr">
        <is>
          <t>Puerto Rico</t>
        </is>
      </c>
      <c r="B668" t="inlineStr">
        <is>
          <t>PR</t>
        </is>
      </c>
      <c r="C668" s="4" t="n">
        <v>45536</v>
      </c>
      <c r="D668" t="n">
        <v>16650.45</v>
      </c>
      <c r="E668" t="n">
        <v>147461.7807</v>
      </c>
      <c r="F668" t="n">
        <v>8.856324045296073</v>
      </c>
      <c r="G668" t="b">
        <v>1</v>
      </c>
      <c r="I668" t="n">
        <v>8.756464903125442</v>
      </c>
      <c r="J668" t="inlineStr">
        <is>
          <t>trailing 12 calibrated months (Sep/23-Aug/24)</t>
        </is>
      </c>
      <c r="K668" t="n">
        <v>145799.081046245</v>
      </c>
      <c r="L668" t="n">
        <v>147461.7807</v>
      </c>
      <c r="M668" t="inlineStr">
        <is>
          <t>published</t>
        </is>
      </c>
      <c r="N668" t="n">
        <v>36621</v>
      </c>
      <c r="O668" t="n">
        <v>4.0267</v>
      </c>
      <c r="P668" t="n">
        <v>0.14220170249</v>
      </c>
    </row>
    <row r="669">
      <c r="A669" t="inlineStr">
        <is>
          <t>Puerto Rico</t>
        </is>
      </c>
      <c r="B669" t="inlineStr">
        <is>
          <t>PR</t>
        </is>
      </c>
      <c r="C669" s="4" t="n">
        <v>45566</v>
      </c>
      <c r="D669" t="n">
        <v>19546.7064516129</v>
      </c>
      <c r="E669" t="n">
        <v>181134.7902</v>
      </c>
      <c r="F669" t="n">
        <v>9.266767813206384</v>
      </c>
      <c r="G669" t="b">
        <v>1</v>
      </c>
      <c r="I669" t="n">
        <v>8.778553046818299</v>
      </c>
      <c r="J669" t="inlineStr">
        <is>
          <t>trailing 12 calibrated months (Oct/23-Sep/24)</t>
        </is>
      </c>
      <c r="K669" t="n">
        <v>171591.7994760693</v>
      </c>
      <c r="L669" t="n">
        <v>181134.7902</v>
      </c>
      <c r="M669" t="inlineStr">
        <is>
          <t>published</t>
        </is>
      </c>
      <c r="N669" t="n">
        <v>36621</v>
      </c>
      <c r="O669" t="n">
        <v>4.9462</v>
      </c>
      <c r="P669" t="n">
        <v>0.17467356914</v>
      </c>
    </row>
    <row r="670">
      <c r="A670" t="inlineStr">
        <is>
          <t>Puerto Rico</t>
        </is>
      </c>
      <c r="B670" t="inlineStr">
        <is>
          <t>PR</t>
        </is>
      </c>
      <c r="C670" s="4" t="n">
        <v>45597</v>
      </c>
      <c r="D670" t="n">
        <v>22048.44666666667</v>
      </c>
      <c r="E670" t="n">
        <v>212449.4073</v>
      </c>
      <c r="F670" t="n">
        <v>9.635572542222929</v>
      </c>
      <c r="G670" t="b">
        <v>1</v>
      </c>
      <c r="I670" t="n">
        <v>8.802651574026404</v>
      </c>
      <c r="J670" t="inlineStr">
        <is>
          <t>trailing 12 calibrated months (Nov/23-Oct/24)</t>
        </is>
      </c>
      <c r="K670" t="n">
        <v>194084.7937551706</v>
      </c>
      <c r="L670" t="n">
        <v>212449.4073</v>
      </c>
      <c r="M670" t="inlineStr">
        <is>
          <t>published</t>
        </is>
      </c>
      <c r="N670" t="n">
        <v>36621</v>
      </c>
      <c r="O670" t="n">
        <v>5.8013</v>
      </c>
      <c r="P670" t="n">
        <v>0.20487116911</v>
      </c>
    </row>
    <row r="671">
      <c r="A671" t="inlineStr">
        <is>
          <t>Puerto Rico</t>
        </is>
      </c>
      <c r="B671" t="inlineStr">
        <is>
          <t>PR</t>
        </is>
      </c>
      <c r="C671" s="4" t="n">
        <v>45627</v>
      </c>
      <c r="D671" t="n">
        <v>18584.62903225806</v>
      </c>
      <c r="E671" t="n">
        <v>170100.8829</v>
      </c>
      <c r="F671" t="n">
        <v>9.152772573762396</v>
      </c>
      <c r="G671" t="b">
        <v>1</v>
      </c>
      <c r="I671" t="n">
        <v>8.856000069224404</v>
      </c>
      <c r="J671" t="inlineStr">
        <is>
          <t>trailing 12 calibrated months (Dec/23-Nov/24)</t>
        </is>
      </c>
      <c r="K671" t="n">
        <v>164585.4759961873</v>
      </c>
      <c r="L671" t="n">
        <v>170100.8829</v>
      </c>
      <c r="M671" t="inlineStr">
        <is>
          <t>published</t>
        </is>
      </c>
      <c r="N671" t="n">
        <v>36621</v>
      </c>
      <c r="O671" t="n">
        <v>4.6449</v>
      </c>
      <c r="P671" t="n">
        <v>0.16403325003</v>
      </c>
    </row>
    <row r="672">
      <c r="A672" t="inlineStr">
        <is>
          <t>Puerto Rico</t>
        </is>
      </c>
      <c r="B672" t="inlineStr">
        <is>
          <t>PR</t>
        </is>
      </c>
      <c r="C672" s="4" t="n">
        <v>45658</v>
      </c>
      <c r="D672" t="n">
        <v>17914.65483870968</v>
      </c>
      <c r="E672" t="n">
        <v>172840.1337</v>
      </c>
      <c r="F672" t="n">
        <v>9.647974535715308</v>
      </c>
      <c r="G672" t="b">
        <v>1</v>
      </c>
      <c r="I672" t="n">
        <v>8.910730230202665</v>
      </c>
      <c r="J672" t="inlineStr">
        <is>
          <t>trailing 12 calibrated months (Jan/24-Dec/24)</t>
        </is>
      </c>
      <c r="K672" t="n">
        <v>159632.6564349368</v>
      </c>
      <c r="L672" t="n">
        <v>172840.1337</v>
      </c>
      <c r="M672" t="inlineStr">
        <is>
          <t>published</t>
        </is>
      </c>
      <c r="N672" t="n">
        <v>36621</v>
      </c>
      <c r="O672" t="n">
        <v>4.7197</v>
      </c>
      <c r="P672" t="n">
        <v>0.16667478959</v>
      </c>
    </row>
    <row r="673">
      <c r="A673" t="inlineStr">
        <is>
          <t>Puerto Rico</t>
        </is>
      </c>
      <c r="B673" t="inlineStr">
        <is>
          <t>PR</t>
        </is>
      </c>
      <c r="C673" s="4" t="n">
        <v>45689</v>
      </c>
      <c r="D673" t="n">
        <v>15887.32857142857</v>
      </c>
      <c r="E673" t="n">
        <v>150083.8443</v>
      </c>
      <c r="F673" t="n">
        <v>9.446764043761739</v>
      </c>
      <c r="G673" t="b">
        <v>1</v>
      </c>
      <c r="I673" t="n">
        <v>9.043960909178644</v>
      </c>
      <c r="J673" t="inlineStr">
        <is>
          <t>trailing 12 calibrated months (Feb/24-Jan/25)</t>
        </is>
      </c>
      <c r="K673" t="n">
        <v>143684.378551277</v>
      </c>
      <c r="L673" t="n">
        <v>150083.8443</v>
      </c>
      <c r="M673" t="inlineStr">
        <is>
          <t>published</t>
        </is>
      </c>
      <c r="N673" t="n">
        <v>36621</v>
      </c>
      <c r="O673" t="n">
        <v>4.0983</v>
      </c>
      <c r="P673" t="n">
        <v>0.14473023501</v>
      </c>
    </row>
    <row r="674">
      <c r="A674" t="inlineStr">
        <is>
          <t>Puerto Rico</t>
        </is>
      </c>
      <c r="B674" t="inlineStr">
        <is>
          <t>PR</t>
        </is>
      </c>
      <c r="C674" s="4" t="n">
        <v>45717</v>
      </c>
      <c r="D674" t="n">
        <v>14602.00322580645</v>
      </c>
      <c r="E674" t="n">
        <v>134186.6682</v>
      </c>
      <c r="F674" t="n">
        <v>9.18960680428072</v>
      </c>
      <c r="G674" t="b">
        <v>1</v>
      </c>
      <c r="I674" t="n">
        <v>9.129123383760644</v>
      </c>
      <c r="J674" t="inlineStr">
        <is>
          <t>trailing 12 calibrated months (Mar/24-Feb/25)</t>
        </is>
      </c>
      <c r="K674" t="n">
        <v>133303.489098458</v>
      </c>
      <c r="L674" t="n">
        <v>134186.6682</v>
      </c>
      <c r="M674" t="inlineStr">
        <is>
          <t>published</t>
        </is>
      </c>
      <c r="N674" t="n">
        <v>36621</v>
      </c>
      <c r="O674" t="n">
        <v>3.6642</v>
      </c>
      <c r="P674" t="n">
        <v>0.12940012374</v>
      </c>
    </row>
    <row r="675">
      <c r="A675" t="inlineStr">
        <is>
          <t>Puerto Rico</t>
        </is>
      </c>
      <c r="B675" t="inlineStr">
        <is>
          <t>PR</t>
        </is>
      </c>
      <c r="C675" s="4" t="n">
        <v>45748</v>
      </c>
      <c r="D675" t="n">
        <v>15287.84333333333</v>
      </c>
      <c r="E675" t="n">
        <v>140163.2154</v>
      </c>
      <c r="F675" t="n">
        <v>9.168279157753449</v>
      </c>
      <c r="G675" t="b">
        <v>1</v>
      </c>
      <c r="I675" t="n">
        <v>9.189427303372875</v>
      </c>
      <c r="J675" t="inlineStr">
        <is>
          <t>trailing 12 calibrated months (Apr/24-Mar/25)</t>
        </is>
      </c>
      <c r="K675" t="n">
        <v>140486.5249370203</v>
      </c>
      <c r="L675" t="n">
        <v>140163.2154</v>
      </c>
      <c r="M675" t="inlineStr">
        <is>
          <t>published</t>
        </is>
      </c>
      <c r="N675" t="n">
        <v>36621</v>
      </c>
      <c r="O675" t="n">
        <v>3.8274</v>
      </c>
      <c r="P675" t="n">
        <v>0.13516348278</v>
      </c>
    </row>
    <row r="676">
      <c r="A676" t="inlineStr">
        <is>
          <t>Puerto Rico</t>
        </is>
      </c>
      <c r="B676" t="inlineStr">
        <is>
          <t>PR</t>
        </is>
      </c>
      <c r="C676" s="4" t="n">
        <v>45778</v>
      </c>
      <c r="D676" t="n">
        <v>19465.95161290323</v>
      </c>
      <c r="E676" t="n">
        <v>183430.9269</v>
      </c>
      <c r="F676" t="n">
        <v>9.423167721140883</v>
      </c>
      <c r="G676" t="b">
        <v>1</v>
      </c>
      <c r="I676" t="n">
        <v>9.240695440145769</v>
      </c>
      <c r="J676" t="inlineStr">
        <is>
          <t>trailing 12 calibrated months (May/24-Apr/25)</t>
        </is>
      </c>
      <c r="K676" t="n">
        <v>179878.930307453</v>
      </c>
      <c r="L676" t="n">
        <v>183430.9269</v>
      </c>
      <c r="M676" t="inlineStr">
        <is>
          <t>published</t>
        </is>
      </c>
      <c r="N676" t="n">
        <v>36621</v>
      </c>
      <c r="O676" t="n">
        <v>5.008900000000001</v>
      </c>
      <c r="P676" t="n">
        <v>0.17688780083</v>
      </c>
    </row>
    <row r="677">
      <c r="A677" t="inlineStr">
        <is>
          <t>Puerto Rico</t>
        </is>
      </c>
      <c r="B677" t="inlineStr">
        <is>
          <t>PR</t>
        </is>
      </c>
      <c r="C677" s="4" t="n">
        <v>45809</v>
      </c>
      <c r="D677" t="n">
        <v>17814.96666666667</v>
      </c>
      <c r="E677" t="n">
        <v>165801.5775</v>
      </c>
      <c r="F677" t="n">
        <v>9.306869925848863</v>
      </c>
      <c r="G677" t="b">
        <v>1</v>
      </c>
      <c r="I677" t="n">
        <v>9.325802763692286</v>
      </c>
      <c r="J677" t="inlineStr">
        <is>
          <t>trailing 12 calibrated months (Jun/24-May/25)</t>
        </is>
      </c>
      <c r="K677" t="n">
        <v>166138.865375086</v>
      </c>
      <c r="L677" t="n">
        <v>165801.5775</v>
      </c>
      <c r="M677" t="inlineStr">
        <is>
          <t>published</t>
        </is>
      </c>
      <c r="N677" t="n">
        <v>36621</v>
      </c>
      <c r="O677" t="n">
        <v>4.5275</v>
      </c>
      <c r="P677" t="n">
        <v>0.15988730425</v>
      </c>
    </row>
    <row r="678">
      <c r="A678" t="inlineStr">
        <is>
          <t>Puerto Rico</t>
        </is>
      </c>
      <c r="B678" t="inlineStr">
        <is>
          <t>PR</t>
        </is>
      </c>
      <c r="C678" s="4" t="n">
        <v>45839</v>
      </c>
      <c r="D678" t="n">
        <v>19822.8</v>
      </c>
      <c r="E678" t="n">
        <v>186660.8991</v>
      </c>
      <c r="F678" t="n">
        <v>9.41647492281615</v>
      </c>
      <c r="G678" t="b">
        <v>1</v>
      </c>
      <c r="I678" t="n">
        <v>9.361358490707929</v>
      </c>
      <c r="J678" t="inlineStr">
        <is>
          <t>trailing 12 calibrated months (Jul/24-Jun/25)</t>
        </is>
      </c>
      <c r="K678" t="n">
        <v>185568.3370896052</v>
      </c>
      <c r="L678" t="n">
        <v>186660.8991</v>
      </c>
      <c r="M678" t="inlineStr">
        <is>
          <t>published</t>
        </is>
      </c>
      <c r="N678" t="n">
        <v>36621</v>
      </c>
      <c r="O678" t="n">
        <v>5.0971</v>
      </c>
      <c r="P678" t="n">
        <v>0.18000255737</v>
      </c>
    </row>
    <row r="679">
      <c r="A679" t="inlineStr">
        <is>
          <t>Puerto Rico</t>
        </is>
      </c>
      <c r="B679" t="inlineStr">
        <is>
          <t>PR</t>
        </is>
      </c>
      <c r="C679" s="4" t="n">
        <v>45870</v>
      </c>
      <c r="D679" t="n">
        <v>25350.42258064516</v>
      </c>
      <c r="E679" t="n">
        <v>247583.5947</v>
      </c>
      <c r="F679" t="n">
        <v>9.766448425559108</v>
      </c>
      <c r="G679" t="b">
        <v>1</v>
      </c>
      <c r="I679" t="n">
        <v>9.388543914880373</v>
      </c>
      <c r="J679" t="inlineStr">
        <is>
          <t>trailing 12 calibrated months (Aug/24-Jul/25)</t>
        </is>
      </c>
      <c r="K679" t="n">
        <v>238003.5556591621</v>
      </c>
      <c r="L679" t="n">
        <v>247583.5947</v>
      </c>
      <c r="M679" t="inlineStr">
        <is>
          <t>published</t>
        </is>
      </c>
      <c r="N679" t="n">
        <v>36621</v>
      </c>
      <c r="O679" t="n">
        <v>6.7607</v>
      </c>
      <c r="P679" t="n">
        <v>0.23875209229</v>
      </c>
    </row>
    <row r="680">
      <c r="A680" t="inlineStr">
        <is>
          <t>Puerto Rico</t>
        </is>
      </c>
      <c r="B680" t="inlineStr">
        <is>
          <t>PR</t>
        </is>
      </c>
      <c r="C680" s="4" t="n">
        <v>45901</v>
      </c>
      <c r="D680" t="n">
        <v>26074.34</v>
      </c>
      <c r="E680" t="n">
        <v>258503.9769</v>
      </c>
      <c r="F680" t="n">
        <v>9.91411391045756</v>
      </c>
      <c r="G680" t="b">
        <v>1</v>
      </c>
      <c r="I680" t="n">
        <v>9.381708419742649</v>
      </c>
      <c r="J680" t="inlineStr">
        <is>
          <t>trailing 12 calibrated months (Sep/24-Aug/25)</t>
        </is>
      </c>
      <c r="K680" t="n">
        <v>244621.8551172325</v>
      </c>
      <c r="L680" t="n">
        <v>258503.9769</v>
      </c>
      <c r="M680" t="inlineStr">
        <is>
          <t>published</t>
        </is>
      </c>
      <c r="N680" t="n">
        <v>36621</v>
      </c>
      <c r="O680" t="n">
        <v>7.0589</v>
      </c>
      <c r="P680" t="n">
        <v>0.24928293583</v>
      </c>
    </row>
    <row r="681">
      <c r="A681" t="inlineStr">
        <is>
          <t>Puerto Rico</t>
        </is>
      </c>
      <c r="B681" t="inlineStr">
        <is>
          <t>PR</t>
        </is>
      </c>
      <c r="C681" s="4" t="n">
        <v>45931</v>
      </c>
      <c r="D681" t="n">
        <v>21923.17741935484</v>
      </c>
      <c r="E681" t="n">
        <v>212141.7909</v>
      </c>
      <c r="F681" t="n">
        <v>9.676598735761315</v>
      </c>
      <c r="G681" t="b">
        <v>1</v>
      </c>
      <c r="I681" t="n">
        <v>9.479083630527164</v>
      </c>
      <c r="J681" t="inlineStr">
        <is>
          <t>trailing 12 calibrated months (Oct/24-Sep/25)</t>
        </is>
      </c>
      <c r="K681" t="n">
        <v>207811.6322049492</v>
      </c>
      <c r="L681" t="n">
        <v>212141.7909</v>
      </c>
      <c r="M681" t="inlineStr">
        <is>
          <t>published</t>
        </is>
      </c>
      <c r="N681" t="n">
        <v>36621</v>
      </c>
      <c r="O681" t="n">
        <v>5.7929</v>
      </c>
      <c r="P681" t="n">
        <v>0.20457452563</v>
      </c>
    </row>
    <row r="682">
      <c r="A682" t="inlineStr">
        <is>
          <t>Puerto Rico</t>
        </is>
      </c>
      <c r="B682" t="inlineStr">
        <is>
          <t>PR</t>
        </is>
      </c>
      <c r="C682" s="4" t="n">
        <v>45962</v>
      </c>
      <c r="D682" t="n">
        <v>20091.54666666667</v>
      </c>
      <c r="E682" t="n">
        <v>199701.6372</v>
      </c>
      <c r="F682" t="n">
        <v>9.939585065958086</v>
      </c>
      <c r="G682" t="b">
        <v>1</v>
      </c>
      <c r="I682" t="n">
        <v>9.515204074189253</v>
      </c>
      <c r="J682" t="inlineStr">
        <is>
          <t>trailing 12 calibrated months (Nov/24-Oct/25)</t>
        </is>
      </c>
      <c r="K682" t="n">
        <v>191175.1666994302</v>
      </c>
      <c r="L682" t="n">
        <v>199701.6372</v>
      </c>
      <c r="M682" t="inlineStr">
        <is>
          <t>published</t>
        </is>
      </c>
      <c r="N682" t="n">
        <v>36621</v>
      </c>
      <c r="O682" t="n">
        <v>5.4532</v>
      </c>
      <c r="P682" t="n">
        <v>0.19257812204</v>
      </c>
    </row>
    <row r="683">
      <c r="A683" t="inlineStr">
        <is>
          <t>Puerto Rico</t>
        </is>
      </c>
      <c r="B683" t="inlineStr">
        <is>
          <t>PR</t>
        </is>
      </c>
      <c r="C683" s="4" t="n">
        <v>45992</v>
      </c>
      <c r="D683" t="n">
        <v>15678.88064516129</v>
      </c>
      <c r="E683" t="n">
        <v>144202.5117</v>
      </c>
      <c r="F683" t="n">
        <v>9.197245324046955</v>
      </c>
      <c r="G683" t="b">
        <v>1</v>
      </c>
      <c r="I683" t="n">
        <v>9.540427599785001</v>
      </c>
      <c r="J683" t="inlineStr">
        <is>
          <t>trailing 12 calibrated months (Dec/24-Nov/25)</t>
        </is>
      </c>
      <c r="K683" t="n">
        <v>149583.2256408316</v>
      </c>
      <c r="L683" t="n">
        <v>144202.5117</v>
      </c>
      <c r="M683" t="inlineStr">
        <is>
          <t>published</t>
        </is>
      </c>
      <c r="N683" t="n">
        <v>36621</v>
      </c>
      <c r="O683" t="n">
        <v>3.937699999999999</v>
      </c>
      <c r="P683" t="n">
        <v>0.13905869419</v>
      </c>
    </row>
    <row r="684">
      <c r="A684" t="inlineStr">
        <is>
          <t>Puerto Rico</t>
        </is>
      </c>
      <c r="B684" t="inlineStr">
        <is>
          <t>PR</t>
        </is>
      </c>
      <c r="C684" s="4" t="n">
        <v>46023</v>
      </c>
      <c r="D684" t="n">
        <v>18320.11935483871</v>
      </c>
      <c r="E684" t="n">
        <v>172111.3758</v>
      </c>
      <c r="F684" t="n">
        <v>9.394664547015735</v>
      </c>
      <c r="G684" t="b">
        <v>1</v>
      </c>
      <c r="I684" t="n">
        <v>9.548359746501053</v>
      </c>
      <c r="J684" t="inlineStr">
        <is>
          <t>trailing 12 calibrated months (Jan/25-Dec/25)</t>
        </is>
      </c>
      <c r="K684" t="n">
        <v>174927.0901988368</v>
      </c>
      <c r="L684" t="n">
        <v>172111.3758</v>
      </c>
      <c r="M684" t="inlineStr">
        <is>
          <t>published</t>
        </is>
      </c>
      <c r="N684" t="n">
        <v>36621</v>
      </c>
      <c r="O684" t="n">
        <v>4.6998</v>
      </c>
      <c r="P684" t="n">
        <v>0.16597202706</v>
      </c>
    </row>
    <row r="685">
      <c r="A685" t="inlineStr">
        <is>
          <t>Puerto Rico</t>
        </is>
      </c>
      <c r="B685" t="inlineStr">
        <is>
          <t>PR</t>
        </is>
      </c>
      <c r="C685" s="4" t="n">
        <v>46054</v>
      </c>
      <c r="D685" t="n">
        <v>19860.35357142857</v>
      </c>
      <c r="E685" t="n">
        <v>187810.7985</v>
      </c>
      <c r="F685" t="n">
        <v>9.456568727466548</v>
      </c>
      <c r="G685" t="b">
        <v>1</v>
      </c>
      <c r="I685" t="n">
        <v>9.528386268963441</v>
      </c>
      <c r="J685" t="inlineStr">
        <is>
          <t>trailing 12 calibrated months (Feb/25-Jan/26)</t>
        </is>
      </c>
      <c r="K685" t="n">
        <v>189237.120266759</v>
      </c>
      <c r="L685" t="n">
        <v>187810.7985</v>
      </c>
      <c r="M685" t="inlineStr">
        <is>
          <t>published</t>
        </is>
      </c>
      <c r="N685" t="n">
        <v>36621</v>
      </c>
      <c r="O685" t="n">
        <v>5.1285</v>
      </c>
      <c r="P685" t="n">
        <v>0.18111143895</v>
      </c>
    </row>
    <row r="686">
      <c r="A686" t="inlineStr">
        <is>
          <t>Puerto Rico</t>
        </is>
      </c>
      <c r="B686" t="inlineStr">
        <is>
          <t>PR</t>
        </is>
      </c>
      <c r="C686" s="4" t="n">
        <v>46082</v>
      </c>
      <c r="D686" t="n">
        <v>21146.2</v>
      </c>
      <c r="E686" t="n">
        <v>207842.4855</v>
      </c>
      <c r="F686" t="n">
        <v>9.828833809384193</v>
      </c>
      <c r="G686" t="b">
        <v>1</v>
      </c>
      <c r="I686" t="n">
        <v>9.527833273418384</v>
      </c>
      <c r="J686" t="inlineStr">
        <is>
          <t>trailing 12 calibrated months (Mar/25-Feb/26)</t>
        </is>
      </c>
      <c r="K686" t="n">
        <v>201477.4679663598</v>
      </c>
      <c r="L686" t="n">
        <v>207842.4855</v>
      </c>
      <c r="M686" t="inlineStr">
        <is>
          <t>published</t>
        </is>
      </c>
      <c r="N686" t="n">
        <v>36621</v>
      </c>
      <c r="O686" t="n">
        <v>5.6755</v>
      </c>
      <c r="P686" t="n">
        <v>0.20042857985</v>
      </c>
    </row>
    <row r="687">
      <c r="A687" t="inlineStr">
        <is>
          <t>Puerto Rico</t>
        </is>
      </c>
      <c r="B687" t="inlineStr">
        <is>
          <t>PR</t>
        </is>
      </c>
      <c r="C687" s="4" t="n">
        <v>46113</v>
      </c>
      <c r="D687" t="n">
        <v>20523.71</v>
      </c>
      <c r="E687" t="n">
        <v>200694.0663</v>
      </c>
      <c r="F687" t="n">
        <v>9.778644616397328</v>
      </c>
      <c r="G687" t="b">
        <v>1</v>
      </c>
      <c r="I687" t="n">
        <v>9.5747688365353</v>
      </c>
      <c r="J687" t="inlineStr">
        <is>
          <t>trailing 12 calibrated months (Apr/25-Mar/26)</t>
        </is>
      </c>
      <c r="K687" t="n">
        <v>196509.7789180879</v>
      </c>
      <c r="L687" t="n">
        <v>200694.0663</v>
      </c>
      <c r="M687" t="inlineStr">
        <is>
          <t>published</t>
        </is>
      </c>
      <c r="N687" t="n">
        <v>36621</v>
      </c>
      <c r="O687" t="n">
        <v>5.480300000000001</v>
      </c>
      <c r="P687" t="n">
        <v>0.19353515041</v>
      </c>
    </row>
    <row r="688">
      <c r="A688" t="inlineStr">
        <is>
          <t>Puerto Rico</t>
        </is>
      </c>
      <c r="B688" t="inlineStr">
        <is>
          <t>PR</t>
        </is>
      </c>
      <c r="C688" s="4" t="n">
        <v>46143</v>
      </c>
      <c r="D688" t="n">
        <v>20771.62903225806</v>
      </c>
      <c r="E688" t="n">
        <v>201646.2123</v>
      </c>
      <c r="F688" t="n">
        <v>9.707770728374076</v>
      </c>
      <c r="G688" t="b">
        <v>1</v>
      </c>
      <c r="I688" t="n">
        <v>9.617027273533099</v>
      </c>
      <c r="J688" t="inlineStr">
        <is>
          <t>trailing 12 calibrated months (May/25-Apr/26)</t>
        </is>
      </c>
      <c r="K688" t="n">
        <v>199761.3229189377</v>
      </c>
      <c r="L688" t="n">
        <v>201646.2123</v>
      </c>
      <c r="M688" t="inlineStr">
        <is>
          <t>published</t>
        </is>
      </c>
      <c r="N688" t="n">
        <v>36621</v>
      </c>
      <c r="O688" t="n">
        <v>5.5063</v>
      </c>
      <c r="P688" t="n">
        <v>0.19445333261</v>
      </c>
    </row>
    <row r="689">
      <c r="A689" t="inlineStr">
        <is>
          <t>Puerto Rico</t>
        </is>
      </c>
      <c r="B689" t="inlineStr">
        <is>
          <t>PR</t>
        </is>
      </c>
      <c r="C689" s="4" t="n">
        <v>46174</v>
      </c>
      <c r="D689" t="n">
        <v>24637.16666666667</v>
      </c>
      <c r="E689" t="n">
        <v>243775.0107</v>
      </c>
      <c r="F689" t="n">
        <v>9.894604115733005</v>
      </c>
      <c r="G689" t="b">
        <v>1</v>
      </c>
      <c r="I689" t="n">
        <v>9.639901363829935</v>
      </c>
      <c r="J689" t="inlineStr">
        <is>
          <t>trailing 12 calibrated months (Jun/25-May/26)</t>
        </is>
      </c>
      <c r="K689" t="n">
        <v>237499.8565509054</v>
      </c>
      <c r="L689" t="n">
        <v>243775.0107</v>
      </c>
      <c r="M689" t="inlineStr">
        <is>
          <t>published</t>
        </is>
      </c>
      <c r="N689" t="n">
        <v>36621</v>
      </c>
      <c r="O689" t="n">
        <v>6.6567</v>
      </c>
      <c r="P689" t="n">
        <v>0.23507936349</v>
      </c>
    </row>
    <row r="690">
      <c r="A690" t="inlineStr">
        <is>
          <t>Puerto Rico</t>
        </is>
      </c>
      <c r="B690" t="inlineStr">
        <is>
          <t>PR</t>
        </is>
      </c>
      <c r="C690" s="4" t="n">
        <v>46204</v>
      </c>
      <c r="D690" t="n">
        <v>20923.76129032258</v>
      </c>
      <c r="E690" t="n">
        <v>200470.6782</v>
      </c>
      <c r="F690" t="n">
        <v>9.581005796157665</v>
      </c>
      <c r="G690" t="b">
        <v>1</v>
      </c>
      <c r="I690" t="n">
        <v>9.687926861476996</v>
      </c>
      <c r="J690" t="inlineStr">
        <is>
          <t>trailing 12 calibrated months (Jul/25-Jun/26)</t>
        </is>
      </c>
      <c r="K690" t="n">
        <v>202707.8690476487</v>
      </c>
      <c r="L690" t="n">
        <v>200470.6782</v>
      </c>
      <c r="M690" t="inlineStr">
        <is>
          <t>published</t>
        </is>
      </c>
      <c r="N690" t="n">
        <v>36621</v>
      </c>
      <c r="O690" t="n">
        <v>5.474200000000001</v>
      </c>
      <c r="P690" t="n">
        <v>0.19331973074</v>
      </c>
    </row>
    <row r="691">
      <c r="A691" t="inlineStr">
        <is>
          <t>Puerto Rico</t>
        </is>
      </c>
      <c r="B691" t="inlineStr">
        <is>
          <t>PR</t>
        </is>
      </c>
      <c r="C691" s="4" t="n">
        <v>46235</v>
      </c>
      <c r="D691" t="n">
        <v>23123.21935483871</v>
      </c>
      <c r="E691" t="n">
        <v>226471.5882</v>
      </c>
      <c r="F691" t="n">
        <v>9.794120132005283</v>
      </c>
      <c r="G691" t="b">
        <v>1</v>
      </c>
      <c r="I691" t="n">
        <v>9.700240729651741</v>
      </c>
      <c r="J691" t="inlineStr">
        <is>
          <t>trailing 12 calibrated months (Aug/25-Jul/26)</t>
        </is>
      </c>
      <c r="K691" t="n">
        <v>224300.7941864779</v>
      </c>
      <c r="L691" t="n">
        <v>226471.5882</v>
      </c>
      <c r="M691" t="inlineStr">
        <is>
          <t>published</t>
        </is>
      </c>
      <c r="N691" t="n">
        <v>36621</v>
      </c>
      <c r="O691" t="n">
        <v>6.184200000000001</v>
      </c>
      <c r="P691" t="n">
        <v>0.21839316774</v>
      </c>
    </row>
    <row r="692">
      <c r="A692" t="inlineStr">
        <is>
          <t>Guatemala</t>
        </is>
      </c>
      <c r="B692" t="inlineStr">
        <is>
          <t>GT</t>
        </is>
      </c>
      <c r="C692" s="4" t="n">
        <v>44197</v>
      </c>
      <c r="D692" t="n">
        <v>13.54516129032258</v>
      </c>
      <c r="G692" t="b">
        <v>0</v>
      </c>
      <c r="I692" t="n">
        <v>7.5</v>
      </c>
      <c r="J692" t="inlineStr">
        <is>
          <t>ASSUMPTION: flat 7.5 MMBtu/MWh</t>
        </is>
      </c>
      <c r="K692" t="n">
        <v>101.5887096774193</v>
      </c>
      <c r="L692" t="n">
        <v>101.5887096774193</v>
      </c>
      <c r="M692" t="inlineStr">
        <is>
          <t>estimated</t>
        </is>
      </c>
      <c r="N692" t="n">
        <v>36374</v>
      </c>
      <c r="O692" t="n">
        <v>0.002792893541469713</v>
      </c>
      <c r="P692" t="n">
        <v>9.863019754894047e-05</v>
      </c>
    </row>
    <row r="693">
      <c r="A693" t="inlineStr">
        <is>
          <t>Guatemala</t>
        </is>
      </c>
      <c r="B693" t="inlineStr">
        <is>
          <t>GT</t>
        </is>
      </c>
      <c r="C693" s="4" t="n">
        <v>44228</v>
      </c>
      <c r="D693" t="n">
        <v>42.11785714285714</v>
      </c>
      <c r="G693" t="b">
        <v>0</v>
      </c>
      <c r="I693" t="n">
        <v>7.5</v>
      </c>
      <c r="J693" t="inlineStr">
        <is>
          <t>ASSUMPTION: flat 7.5 MMBtu/MWh</t>
        </is>
      </c>
      <c r="K693" t="n">
        <v>315.8839285714286</v>
      </c>
      <c r="L693" t="n">
        <v>315.8839285714286</v>
      </c>
      <c r="M693" t="inlineStr">
        <is>
          <t>estimated</t>
        </is>
      </c>
      <c r="N693" t="n">
        <v>36374</v>
      </c>
      <c r="O693" t="n">
        <v>0.008684333000809055</v>
      </c>
      <c r="P693" t="n">
        <v>0.0003066846146236715</v>
      </c>
    </row>
    <row r="694">
      <c r="A694" t="inlineStr">
        <is>
          <t>Guatemala</t>
        </is>
      </c>
      <c r="B694" t="inlineStr">
        <is>
          <t>GT</t>
        </is>
      </c>
      <c r="C694" s="4" t="n">
        <v>44256</v>
      </c>
      <c r="D694" t="n">
        <v>41.08387096774194</v>
      </c>
      <c r="G694" t="b">
        <v>0</v>
      </c>
      <c r="I694" t="n">
        <v>7.5</v>
      </c>
      <c r="J694" t="inlineStr">
        <is>
          <t>ASSUMPTION: flat 7.5 MMBtu/MWh</t>
        </is>
      </c>
      <c r="K694" t="n">
        <v>308.1290322580645</v>
      </c>
      <c r="L694" t="n">
        <v>308.1290322580645</v>
      </c>
      <c r="M694" t="inlineStr">
        <is>
          <t>estimated</t>
        </is>
      </c>
      <c r="N694" t="n">
        <v>36374</v>
      </c>
      <c r="O694" t="n">
        <v>0.00847113411387432</v>
      </c>
      <c r="P694" t="n">
        <v>0.0002991555598912374</v>
      </c>
    </row>
    <row r="695">
      <c r="A695" t="inlineStr">
        <is>
          <t>Guatemala</t>
        </is>
      </c>
      <c r="B695" t="inlineStr">
        <is>
          <t>GT</t>
        </is>
      </c>
      <c r="C695" s="4" t="n">
        <v>44287</v>
      </c>
      <c r="D695" t="n">
        <v>44.80333333333333</v>
      </c>
      <c r="G695" t="b">
        <v>0</v>
      </c>
      <c r="I695" t="n">
        <v>7.5</v>
      </c>
      <c r="J695" t="inlineStr">
        <is>
          <t>ASSUMPTION: flat 7.5 MMBtu/MWh</t>
        </is>
      </c>
      <c r="K695" t="n">
        <v>336.025</v>
      </c>
      <c r="L695" t="n">
        <v>336.025</v>
      </c>
      <c r="M695" t="inlineStr">
        <is>
          <t>estimated</t>
        </is>
      </c>
      <c r="N695" t="n">
        <v>36374</v>
      </c>
      <c r="O695" t="n">
        <v>0.009238054654423488</v>
      </c>
      <c r="P695" t="n">
        <v>0.0003262391287045691</v>
      </c>
    </row>
    <row r="696">
      <c r="A696" t="inlineStr">
        <is>
          <t>Guatemala</t>
        </is>
      </c>
      <c r="B696" t="inlineStr">
        <is>
          <t>GT</t>
        </is>
      </c>
      <c r="C696" s="4" t="n">
        <v>44317</v>
      </c>
      <c r="D696" t="n">
        <v>45.82580645161291</v>
      </c>
      <c r="G696" t="b">
        <v>0</v>
      </c>
      <c r="I696" t="n">
        <v>7.5</v>
      </c>
      <c r="J696" t="inlineStr">
        <is>
          <t>ASSUMPTION: flat 7.5 MMBtu/MWh</t>
        </is>
      </c>
      <c r="K696" t="n">
        <v>343.6935483870968</v>
      </c>
      <c r="L696" t="n">
        <v>343.6935483870968</v>
      </c>
      <c r="M696" t="inlineStr">
        <is>
          <t>estimated</t>
        </is>
      </c>
      <c r="N696" t="n">
        <v>36374</v>
      </c>
      <c r="O696" t="n">
        <v>0.009448879649944926</v>
      </c>
      <c r="P696" t="n">
        <v>0.00033368435017391</v>
      </c>
    </row>
    <row r="697">
      <c r="A697" t="inlineStr">
        <is>
          <t>Guatemala</t>
        </is>
      </c>
      <c r="B697" t="inlineStr">
        <is>
          <t>GT</t>
        </is>
      </c>
      <c r="C697" s="4" t="n">
        <v>44348</v>
      </c>
      <c r="D697" t="n">
        <v>30.64666666666666</v>
      </c>
      <c r="G697" t="b">
        <v>0</v>
      </c>
      <c r="I697" t="n">
        <v>7.5</v>
      </c>
      <c r="J697" t="inlineStr">
        <is>
          <t>ASSUMPTION: flat 7.5 MMBtu/MWh</t>
        </is>
      </c>
      <c r="K697" t="n">
        <v>229.85</v>
      </c>
      <c r="L697" t="n">
        <v>229.85</v>
      </c>
      <c r="M697" t="inlineStr">
        <is>
          <t>estimated</t>
        </is>
      </c>
      <c r="N697" t="n">
        <v>36374</v>
      </c>
      <c r="O697" t="n">
        <v>0.00631907406389179</v>
      </c>
      <c r="P697" t="n">
        <v>0.0002231562048441194</v>
      </c>
    </row>
    <row r="698">
      <c r="A698" t="inlineStr">
        <is>
          <t>Guatemala</t>
        </is>
      </c>
      <c r="B698" t="inlineStr">
        <is>
          <t>GT</t>
        </is>
      </c>
      <c r="C698" s="4" t="n">
        <v>44378</v>
      </c>
      <c r="D698" t="n">
        <v>14.29354838709677</v>
      </c>
      <c r="G698" t="b">
        <v>0</v>
      </c>
      <c r="I698" t="n">
        <v>7.5</v>
      </c>
      <c r="J698" t="inlineStr">
        <is>
          <t>ASSUMPTION: flat 7.5 MMBtu/MWh</t>
        </is>
      </c>
      <c r="K698" t="n">
        <v>107.2016129032258</v>
      </c>
      <c r="L698" t="n">
        <v>107.2016129032258</v>
      </c>
      <c r="M698" t="inlineStr">
        <is>
          <t>estimated</t>
        </is>
      </c>
      <c r="N698" t="n">
        <v>36374</v>
      </c>
      <c r="O698" t="n">
        <v>0.002947204401584258</v>
      </c>
      <c r="P698" t="n">
        <v>0.0001040796392806276</v>
      </c>
    </row>
    <row r="699">
      <c r="A699" t="inlineStr">
        <is>
          <t>Guatemala</t>
        </is>
      </c>
      <c r="B699" t="inlineStr">
        <is>
          <t>GT</t>
        </is>
      </c>
      <c r="C699" s="4" t="n">
        <v>44409</v>
      </c>
      <c r="D699" t="n">
        <v>41.70967741935484</v>
      </c>
      <c r="G699" t="b">
        <v>0</v>
      </c>
      <c r="I699" t="n">
        <v>7.5</v>
      </c>
      <c r="J699" t="inlineStr">
        <is>
          <t>ASSUMPTION: flat 7.5 MMBtu/MWh</t>
        </is>
      </c>
      <c r="K699" t="n">
        <v>312.8225806451613</v>
      </c>
      <c r="L699" t="n">
        <v>312.8225806451613</v>
      </c>
      <c r="M699" t="inlineStr">
        <is>
          <t>estimated</t>
        </is>
      </c>
      <c r="N699" t="n">
        <v>36374</v>
      </c>
      <c r="O699" t="n">
        <v>0.008600169919314931</v>
      </c>
      <c r="P699" t="n">
        <v>0.000303712420649631</v>
      </c>
    </row>
    <row r="700">
      <c r="A700" t="inlineStr">
        <is>
          <t>Guatemala</t>
        </is>
      </c>
      <c r="B700" t="inlineStr">
        <is>
          <t>GT</t>
        </is>
      </c>
      <c r="C700" s="4" t="n">
        <v>44440</v>
      </c>
      <c r="D700" t="n">
        <v>32.23999999999999</v>
      </c>
      <c r="G700" t="b">
        <v>0</v>
      </c>
      <c r="I700" t="n">
        <v>7.5</v>
      </c>
      <c r="J700" t="inlineStr">
        <is>
          <t>ASSUMPTION: flat 7.5 MMBtu/MWh</t>
        </is>
      </c>
      <c r="K700" t="n">
        <v>241.8</v>
      </c>
      <c r="L700" t="n">
        <v>241.8</v>
      </c>
      <c r="M700" t="inlineStr">
        <is>
          <t>estimated</t>
        </is>
      </c>
      <c r="N700" t="n">
        <v>36374</v>
      </c>
      <c r="O700" t="n">
        <v>0.00664760543245175</v>
      </c>
      <c r="P700" t="n">
        <v>0.0002347581915654038</v>
      </c>
    </row>
    <row r="701">
      <c r="A701" t="inlineStr">
        <is>
          <t>Guatemala</t>
        </is>
      </c>
      <c r="B701" t="inlineStr">
        <is>
          <t>GT</t>
        </is>
      </c>
      <c r="C701" s="4" t="n">
        <v>44470</v>
      </c>
      <c r="D701" t="n">
        <v>49.94193548387096</v>
      </c>
      <c r="G701" t="b">
        <v>0</v>
      </c>
      <c r="I701" t="n">
        <v>7.5</v>
      </c>
      <c r="J701" t="inlineStr">
        <is>
          <t>ASSUMPTION: flat 7.5 MMBtu/MWh</t>
        </is>
      </c>
      <c r="K701" t="n">
        <v>374.5645161290322</v>
      </c>
      <c r="L701" t="n">
        <v>374.5645161290322</v>
      </c>
      <c r="M701" t="inlineStr">
        <is>
          <t>estimated</t>
        </is>
      </c>
      <c r="N701" t="n">
        <v>36374</v>
      </c>
      <c r="O701" t="n">
        <v>0.01029758938057492</v>
      </c>
      <c r="P701" t="n">
        <v>0.0003636562796981892</v>
      </c>
    </row>
    <row r="702">
      <c r="A702" t="inlineStr">
        <is>
          <t>Guatemala</t>
        </is>
      </c>
      <c r="B702" t="inlineStr">
        <is>
          <t>GT</t>
        </is>
      </c>
      <c r="C702" s="4" t="n">
        <v>44501</v>
      </c>
      <c r="D702" t="n">
        <v>53</v>
      </c>
      <c r="G702" t="b">
        <v>0</v>
      </c>
      <c r="I702" t="n">
        <v>7.5</v>
      </c>
      <c r="J702" t="inlineStr">
        <is>
          <t>ASSUMPTION: flat 7.5 MMBtu/MWh</t>
        </is>
      </c>
      <c r="K702" t="n">
        <v>397.5</v>
      </c>
      <c r="L702" t="n">
        <v>397.5</v>
      </c>
      <c r="M702" t="inlineStr">
        <is>
          <t>estimated</t>
        </is>
      </c>
      <c r="N702" t="n">
        <v>36374</v>
      </c>
      <c r="O702" t="n">
        <v>0.0109281354813878</v>
      </c>
      <c r="P702" t="n">
        <v>0.0003859238260845659</v>
      </c>
    </row>
    <row r="703">
      <c r="A703" t="inlineStr">
        <is>
          <t>Guatemala</t>
        </is>
      </c>
      <c r="B703" t="inlineStr">
        <is>
          <t>GT</t>
        </is>
      </c>
      <c r="C703" s="4" t="n">
        <v>44531</v>
      </c>
      <c r="D703" t="n">
        <v>49.03870967741936</v>
      </c>
      <c r="G703" t="b">
        <v>0</v>
      </c>
      <c r="I703" t="n">
        <v>7.5</v>
      </c>
      <c r="J703" t="inlineStr">
        <is>
          <t>ASSUMPTION: flat 7.5 MMBtu/MWh</t>
        </is>
      </c>
      <c r="K703" t="n">
        <v>367.7903225806452</v>
      </c>
      <c r="L703" t="n">
        <v>367.7903225806452</v>
      </c>
      <c r="M703" t="inlineStr">
        <is>
          <t>estimated</t>
        </is>
      </c>
      <c r="N703" t="n">
        <v>36374</v>
      </c>
      <c r="O703" t="n">
        <v>0.01011135213560909</v>
      </c>
      <c r="P703" t="n">
        <v>0.0003570793672633944</v>
      </c>
    </row>
    <row r="704">
      <c r="A704" t="inlineStr">
        <is>
          <t>Guatemala</t>
        </is>
      </c>
      <c r="B704" t="inlineStr">
        <is>
          <t>GT</t>
        </is>
      </c>
      <c r="C704" s="4" t="n">
        <v>44562</v>
      </c>
      <c r="D704" t="n">
        <v>45.58709677419354</v>
      </c>
      <c r="G704" t="b">
        <v>0</v>
      </c>
      <c r="I704" t="n">
        <v>7.5</v>
      </c>
      <c r="J704" t="inlineStr">
        <is>
          <t>ASSUMPTION: flat 7.5 MMBtu/MWh</t>
        </is>
      </c>
      <c r="K704" t="n">
        <v>341.9032258064515</v>
      </c>
      <c r="L704" t="n">
        <v>341.9032258064515</v>
      </c>
      <c r="M704" t="inlineStr">
        <is>
          <t>estimated</t>
        </is>
      </c>
      <c r="N704" t="n">
        <v>36374</v>
      </c>
      <c r="O704" t="n">
        <v>0.009399659806632528</v>
      </c>
      <c r="P704" t="n">
        <v>0.0003319461661732857</v>
      </c>
    </row>
    <row r="705">
      <c r="A705" t="inlineStr">
        <is>
          <t>Guatemala</t>
        </is>
      </c>
      <c r="B705" t="inlineStr">
        <is>
          <t>GT</t>
        </is>
      </c>
      <c r="C705" s="4" t="n">
        <v>44593</v>
      </c>
      <c r="D705" t="n">
        <v>50.76785714285715</v>
      </c>
      <c r="G705" t="b">
        <v>0</v>
      </c>
      <c r="I705" t="n">
        <v>7.5</v>
      </c>
      <c r="J705" t="inlineStr">
        <is>
          <t>ASSUMPTION: flat 7.5 MMBtu/MWh</t>
        </is>
      </c>
      <c r="K705" t="n">
        <v>380.7589285714286</v>
      </c>
      <c r="L705" t="n">
        <v>380.7589285714286</v>
      </c>
      <c r="M705" t="inlineStr">
        <is>
          <t>estimated</t>
        </is>
      </c>
      <c r="N705" t="n">
        <v>36374</v>
      </c>
      <c r="O705" t="n">
        <v>0.01046788718786575</v>
      </c>
      <c r="P705" t="n">
        <v>0.0003696702956733224</v>
      </c>
    </row>
    <row r="706">
      <c r="A706" t="inlineStr">
        <is>
          <t>Guatemala</t>
        </is>
      </c>
      <c r="B706" t="inlineStr">
        <is>
          <t>GT</t>
        </is>
      </c>
      <c r="C706" s="4" t="n">
        <v>44621</v>
      </c>
      <c r="D706" t="n">
        <v>50.25161290322581</v>
      </c>
      <c r="G706" t="b">
        <v>0</v>
      </c>
      <c r="I706" t="n">
        <v>7.5</v>
      </c>
      <c r="J706" t="inlineStr">
        <is>
          <t>ASSUMPTION: flat 7.5 MMBtu/MWh</t>
        </is>
      </c>
      <c r="K706" t="n">
        <v>376.8870967741936</v>
      </c>
      <c r="L706" t="n">
        <v>376.8870967741936</v>
      </c>
      <c r="M706" t="inlineStr">
        <is>
          <t>estimated</t>
        </is>
      </c>
      <c r="N706" t="n">
        <v>36374</v>
      </c>
      <c r="O706" t="n">
        <v>0.0103614421502775</v>
      </c>
      <c r="P706" t="n">
        <v>0.0003659112211044047</v>
      </c>
    </row>
    <row r="707">
      <c r="A707" t="inlineStr">
        <is>
          <t>Guatemala</t>
        </is>
      </c>
      <c r="B707" t="inlineStr">
        <is>
          <t>GT</t>
        </is>
      </c>
      <c r="C707" s="4" t="n">
        <v>44652</v>
      </c>
      <c r="D707" t="n">
        <v>50.16333333333333</v>
      </c>
      <c r="G707" t="b">
        <v>0</v>
      </c>
      <c r="I707" t="n">
        <v>7.5</v>
      </c>
      <c r="J707" t="inlineStr">
        <is>
          <t>ASSUMPTION: flat 7.5 MMBtu/MWh</t>
        </is>
      </c>
      <c r="K707" t="n">
        <v>376.225</v>
      </c>
      <c r="L707" t="n">
        <v>376.225</v>
      </c>
      <c r="M707" t="inlineStr">
        <is>
          <t>estimated</t>
        </is>
      </c>
      <c r="N707" t="n">
        <v>36374</v>
      </c>
      <c r="O707" t="n">
        <v>0.01034323967669214</v>
      </c>
      <c r="P707" t="n">
        <v>0.00036526840621048</v>
      </c>
    </row>
    <row r="708">
      <c r="A708" t="inlineStr">
        <is>
          <t>Guatemala</t>
        </is>
      </c>
      <c r="B708" t="inlineStr">
        <is>
          <t>GT</t>
        </is>
      </c>
      <c r="C708" s="4" t="n">
        <v>44682</v>
      </c>
      <c r="D708" t="n">
        <v>20.90322580645161</v>
      </c>
      <c r="G708" t="b">
        <v>0</v>
      </c>
      <c r="I708" t="n">
        <v>7.5</v>
      </c>
      <c r="J708" t="inlineStr">
        <is>
          <t>ASSUMPTION: flat 7.5 MMBtu/MWh</t>
        </is>
      </c>
      <c r="K708" t="n">
        <v>156.7741935483871</v>
      </c>
      <c r="L708" t="n">
        <v>156.7741935483871</v>
      </c>
      <c r="M708" t="inlineStr">
        <is>
          <t>estimated</t>
        </is>
      </c>
      <c r="N708" t="n">
        <v>36374</v>
      </c>
      <c r="O708" t="n">
        <v>0.004310061954923492</v>
      </c>
      <c r="P708" t="n">
        <v>0.0001522085449195366</v>
      </c>
    </row>
    <row r="709">
      <c r="A709" t="inlineStr">
        <is>
          <t>Guatemala</t>
        </is>
      </c>
      <c r="B709" t="inlineStr">
        <is>
          <t>GT</t>
        </is>
      </c>
      <c r="C709" s="4" t="n">
        <v>44713</v>
      </c>
      <c r="D709" t="n">
        <v>26.80333333333334</v>
      </c>
      <c r="G709" t="b">
        <v>0</v>
      </c>
      <c r="I709" t="n">
        <v>7.5</v>
      </c>
      <c r="J709" t="inlineStr">
        <is>
          <t>ASSUMPTION: flat 7.5 MMBtu/MWh</t>
        </is>
      </c>
      <c r="K709" t="n">
        <v>201.025</v>
      </c>
      <c r="L709" t="n">
        <v>201.025</v>
      </c>
      <c r="M709" t="inlineStr">
        <is>
          <t>estimated</t>
        </is>
      </c>
      <c r="N709" t="n">
        <v>36374</v>
      </c>
      <c r="O709" t="n">
        <v>0.005526612415461594</v>
      </c>
      <c r="P709" t="n">
        <v>0.0001951706594683015</v>
      </c>
    </row>
    <row r="710">
      <c r="A710" t="inlineStr">
        <is>
          <t>Guatemala</t>
        </is>
      </c>
      <c r="B710" t="inlineStr">
        <is>
          <t>GT</t>
        </is>
      </c>
      <c r="C710" s="4" t="n">
        <v>44743</v>
      </c>
      <c r="D710" t="n">
        <v>6.309677419354838</v>
      </c>
      <c r="G710" t="b">
        <v>0</v>
      </c>
      <c r="I710" t="n">
        <v>7.5</v>
      </c>
      <c r="J710" t="inlineStr">
        <is>
          <t>ASSUMPTION: flat 7.5 MMBtu/MWh</t>
        </is>
      </c>
      <c r="K710" t="n">
        <v>47.32258064516128</v>
      </c>
      <c r="L710" t="n">
        <v>47.32258064516128</v>
      </c>
      <c r="M710" t="inlineStr">
        <is>
          <t>estimated</t>
        </is>
      </c>
      <c r="N710" t="n">
        <v>36374</v>
      </c>
      <c r="O710" t="n">
        <v>0.001301000182689869</v>
      </c>
      <c r="P710" t="n">
        <v>4.59444311516379e-05</v>
      </c>
    </row>
    <row r="711">
      <c r="A711" t="inlineStr">
        <is>
          <t>Guatemala</t>
        </is>
      </c>
      <c r="B711" t="inlineStr">
        <is>
          <t>GT</t>
        </is>
      </c>
      <c r="C711" s="4" t="n">
        <v>44774</v>
      </c>
      <c r="D711" t="n">
        <v>6.058064516129032</v>
      </c>
      <c r="G711" t="b">
        <v>0</v>
      </c>
      <c r="I711" t="n">
        <v>7.5</v>
      </c>
      <c r="J711" t="inlineStr">
        <is>
          <t>ASSUMPTION: flat 7.5 MMBtu/MWh</t>
        </is>
      </c>
      <c r="K711" t="n">
        <v>45.43548387096774</v>
      </c>
      <c r="L711" t="n">
        <v>45.43548387096774</v>
      </c>
      <c r="M711" t="inlineStr">
        <is>
          <t>estimated</t>
        </is>
      </c>
      <c r="N711" t="n">
        <v>36374</v>
      </c>
      <c r="O711" t="n">
        <v>0.00124911980730653</v>
      </c>
      <c r="P711" t="n">
        <v>4.411229125908793e-05</v>
      </c>
    </row>
    <row r="712">
      <c r="A712" t="inlineStr">
        <is>
          <t>Guatemala</t>
        </is>
      </c>
      <c r="B712" t="inlineStr">
        <is>
          <t>GT</t>
        </is>
      </c>
      <c r="C712" s="4" t="n">
        <v>44805</v>
      </c>
      <c r="D712" t="n">
        <v>19.81333333333333</v>
      </c>
      <c r="G712" t="b">
        <v>0</v>
      </c>
      <c r="I712" t="n">
        <v>7.5</v>
      </c>
      <c r="J712" t="inlineStr">
        <is>
          <t>ASSUMPTION: flat 7.5 MMBtu/MWh</t>
        </is>
      </c>
      <c r="K712" t="n">
        <v>148.6</v>
      </c>
      <c r="L712" t="n">
        <v>148.6</v>
      </c>
      <c r="M712" t="inlineStr">
        <is>
          <t>estimated</t>
        </is>
      </c>
      <c r="N712" t="n">
        <v>36374</v>
      </c>
      <c r="O712" t="n">
        <v>0.00408533567933139</v>
      </c>
      <c r="P712" t="n">
        <v>0.0001442724039148842</v>
      </c>
    </row>
    <row r="713">
      <c r="A713" t="inlineStr">
        <is>
          <t>Guatemala</t>
        </is>
      </c>
      <c r="B713" t="inlineStr">
        <is>
          <t>GT</t>
        </is>
      </c>
      <c r="C713" s="4" t="n">
        <v>44835</v>
      </c>
      <c r="D713" t="n">
        <v>2.470967741935485</v>
      </c>
      <c r="G713" t="b">
        <v>0</v>
      </c>
      <c r="I713" t="n">
        <v>7.5</v>
      </c>
      <c r="J713" t="inlineStr">
        <is>
          <t>ASSUMPTION: flat 7.5 MMBtu/MWh</t>
        </is>
      </c>
      <c r="K713" t="n">
        <v>18.53225806451614</v>
      </c>
      <c r="L713" t="n">
        <v>18.53225806451614</v>
      </c>
      <c r="M713" t="inlineStr">
        <is>
          <t>estimated</t>
        </is>
      </c>
      <c r="N713" t="n">
        <v>36374</v>
      </c>
      <c r="O713" t="n">
        <v>0.0005094918915850919</v>
      </c>
      <c r="P713" t="n">
        <v>1.799255330376004e-05</v>
      </c>
    </row>
    <row r="714">
      <c r="A714" t="inlineStr">
        <is>
          <t>Guatemala</t>
        </is>
      </c>
      <c r="B714" t="inlineStr">
        <is>
          <t>GT</t>
        </is>
      </c>
      <c r="C714" s="4" t="n">
        <v>44866</v>
      </c>
      <c r="D714" t="n">
        <v>14.00666666666667</v>
      </c>
      <c r="G714" t="b">
        <v>0</v>
      </c>
      <c r="I714" t="n">
        <v>7.5</v>
      </c>
      <c r="J714" t="inlineStr">
        <is>
          <t>ASSUMPTION: flat 7.5 MMBtu/MWh</t>
        </is>
      </c>
      <c r="K714" t="n">
        <v>105.05</v>
      </c>
      <c r="L714" t="n">
        <v>105.05</v>
      </c>
      <c r="M714" t="inlineStr">
        <is>
          <t>estimated</t>
        </is>
      </c>
      <c r="N714" t="n">
        <v>36374</v>
      </c>
      <c r="O714" t="n">
        <v>0.002888051905207016</v>
      </c>
      <c r="P714" t="n">
        <v>0.0001019906866168142</v>
      </c>
    </row>
    <row r="715">
      <c r="A715" t="inlineStr">
        <is>
          <t>Guatemala</t>
        </is>
      </c>
      <c r="B715" t="inlineStr">
        <is>
          <t>GT</t>
        </is>
      </c>
      <c r="C715" s="4" t="n">
        <v>44896</v>
      </c>
      <c r="D715" t="n">
        <v>13.99032258064516</v>
      </c>
      <c r="G715" t="b">
        <v>0</v>
      </c>
      <c r="I715" t="n">
        <v>7.5</v>
      </c>
      <c r="J715" t="inlineStr">
        <is>
          <t>ASSUMPTION: flat 7.5 MMBtu/MWh</t>
        </is>
      </c>
      <c r="K715" t="n">
        <v>104.9274193548387</v>
      </c>
      <c r="L715" t="n">
        <v>104.9274193548387</v>
      </c>
      <c r="M715" t="inlineStr">
        <is>
          <t>estimated</t>
        </is>
      </c>
      <c r="N715" t="n">
        <v>36374</v>
      </c>
      <c r="O715" t="n">
        <v>0.002884681897917158</v>
      </c>
      <c r="P715" t="n">
        <v>0.0001018716758203751</v>
      </c>
    </row>
    <row r="716">
      <c r="A716" t="inlineStr">
        <is>
          <t>Guatemala</t>
        </is>
      </c>
      <c r="B716" t="inlineStr">
        <is>
          <t>GT</t>
        </is>
      </c>
      <c r="C716" s="4" t="n">
        <v>44927</v>
      </c>
      <c r="D716" t="n">
        <v>0</v>
      </c>
      <c r="G716" t="b">
        <v>0</v>
      </c>
      <c r="I716" t="n">
        <v>7.5</v>
      </c>
      <c r="J716" t="inlineStr">
        <is>
          <t>ASSUMPTION: flat 7.5 MMBtu/MWh</t>
        </is>
      </c>
      <c r="K716" t="n">
        <v>0</v>
      </c>
      <c r="L716" t="n">
        <v>0</v>
      </c>
      <c r="M716" t="inlineStr">
        <is>
          <t>estimated</t>
        </is>
      </c>
      <c r="N716" t="n">
        <v>36374</v>
      </c>
      <c r="O716" t="n">
        <v>0</v>
      </c>
      <c r="P716" t="n">
        <v>0</v>
      </c>
    </row>
    <row r="717">
      <c r="A717" t="inlineStr">
        <is>
          <t>Guatemala</t>
        </is>
      </c>
      <c r="B717" t="inlineStr">
        <is>
          <t>GT</t>
        </is>
      </c>
      <c r="C717" s="4" t="n">
        <v>44958</v>
      </c>
      <c r="D717" t="n">
        <v>0</v>
      </c>
      <c r="G717" t="b">
        <v>0</v>
      </c>
      <c r="I717" t="n">
        <v>7.5</v>
      </c>
      <c r="J717" t="inlineStr">
        <is>
          <t>ASSUMPTION: flat 7.5 MMBtu/MWh</t>
        </is>
      </c>
      <c r="K717" t="n">
        <v>0</v>
      </c>
      <c r="L717" t="n">
        <v>0</v>
      </c>
      <c r="M717" t="inlineStr">
        <is>
          <t>estimated</t>
        </is>
      </c>
      <c r="N717" t="n">
        <v>36374</v>
      </c>
      <c r="O717" t="n">
        <v>0</v>
      </c>
      <c r="P717" t="n">
        <v>0</v>
      </c>
    </row>
    <row r="718">
      <c r="A718" t="inlineStr">
        <is>
          <t>Guatemala</t>
        </is>
      </c>
      <c r="B718" t="inlineStr">
        <is>
          <t>GT</t>
        </is>
      </c>
      <c r="C718" s="4" t="n">
        <v>44986</v>
      </c>
      <c r="D718" t="n">
        <v>0</v>
      </c>
      <c r="G718" t="b">
        <v>0</v>
      </c>
      <c r="I718" t="n">
        <v>7.5</v>
      </c>
      <c r="J718" t="inlineStr">
        <is>
          <t>ASSUMPTION: flat 7.5 MMBtu/MWh</t>
        </is>
      </c>
      <c r="K718" t="n">
        <v>0</v>
      </c>
      <c r="L718" t="n">
        <v>0</v>
      </c>
      <c r="M718" t="inlineStr">
        <is>
          <t>estimated</t>
        </is>
      </c>
      <c r="N718" t="n">
        <v>36374</v>
      </c>
      <c r="O718" t="n">
        <v>0</v>
      </c>
      <c r="P718" t="n">
        <v>0</v>
      </c>
    </row>
    <row r="719">
      <c r="A719" t="inlineStr">
        <is>
          <t>Guatemala</t>
        </is>
      </c>
      <c r="B719" t="inlineStr">
        <is>
          <t>GT</t>
        </is>
      </c>
      <c r="C719" s="4" t="n">
        <v>45017</v>
      </c>
      <c r="D719" t="n">
        <v>0</v>
      </c>
      <c r="G719" t="b">
        <v>0</v>
      </c>
      <c r="I719" t="n">
        <v>7.5</v>
      </c>
      <c r="J719" t="inlineStr">
        <is>
          <t>ASSUMPTION: flat 7.5 MMBtu/MWh</t>
        </is>
      </c>
      <c r="K719" t="n">
        <v>0</v>
      </c>
      <c r="L719" t="n">
        <v>0</v>
      </c>
      <c r="M719" t="inlineStr">
        <is>
          <t>estimated</t>
        </is>
      </c>
      <c r="N719" t="n">
        <v>36374</v>
      </c>
      <c r="O719" t="n">
        <v>0</v>
      </c>
      <c r="P719" t="n">
        <v>0</v>
      </c>
    </row>
    <row r="720">
      <c r="A720" t="inlineStr">
        <is>
          <t>Guatemala</t>
        </is>
      </c>
      <c r="B720" t="inlineStr">
        <is>
          <t>GT</t>
        </is>
      </c>
      <c r="C720" s="4" t="n">
        <v>45047</v>
      </c>
      <c r="D720" t="n">
        <v>0</v>
      </c>
      <c r="G720" t="b">
        <v>0</v>
      </c>
      <c r="I720" t="n">
        <v>7.5</v>
      </c>
      <c r="J720" t="inlineStr">
        <is>
          <t>ASSUMPTION: flat 7.5 MMBtu/MWh</t>
        </is>
      </c>
      <c r="K720" t="n">
        <v>0</v>
      </c>
      <c r="L720" t="n">
        <v>0</v>
      </c>
      <c r="M720" t="inlineStr">
        <is>
          <t>estimated</t>
        </is>
      </c>
      <c r="N720" t="n">
        <v>36374</v>
      </c>
      <c r="O720" t="n">
        <v>0</v>
      </c>
      <c r="P720" t="n">
        <v>0</v>
      </c>
    </row>
    <row r="721">
      <c r="A721" t="inlineStr">
        <is>
          <t>Guatemala</t>
        </is>
      </c>
      <c r="B721" t="inlineStr">
        <is>
          <t>GT</t>
        </is>
      </c>
      <c r="C721" s="4" t="n">
        <v>45078</v>
      </c>
      <c r="D721" t="n">
        <v>0</v>
      </c>
      <c r="G721" t="b">
        <v>0</v>
      </c>
      <c r="I721" t="n">
        <v>7.5</v>
      </c>
      <c r="J721" t="inlineStr">
        <is>
          <t>ASSUMPTION: flat 7.5 MMBtu/MWh</t>
        </is>
      </c>
      <c r="K721" t="n">
        <v>0</v>
      </c>
      <c r="L721" t="n">
        <v>0</v>
      </c>
      <c r="M721" t="inlineStr">
        <is>
          <t>estimated</t>
        </is>
      </c>
      <c r="N721" t="n">
        <v>36374</v>
      </c>
      <c r="O721" t="n">
        <v>0</v>
      </c>
      <c r="P721" t="n">
        <v>0</v>
      </c>
    </row>
    <row r="722">
      <c r="A722" t="inlineStr">
        <is>
          <t>Guatemala</t>
        </is>
      </c>
      <c r="B722" t="inlineStr">
        <is>
          <t>GT</t>
        </is>
      </c>
      <c r="C722" s="4" t="n">
        <v>45108</v>
      </c>
      <c r="D722" t="n">
        <v>0</v>
      </c>
      <c r="G722" t="b">
        <v>0</v>
      </c>
      <c r="I722" t="n">
        <v>7.5</v>
      </c>
      <c r="J722" t="inlineStr">
        <is>
          <t>ASSUMPTION: flat 7.5 MMBtu/MWh</t>
        </is>
      </c>
      <c r="K722" t="n">
        <v>0</v>
      </c>
      <c r="L722" t="n">
        <v>0</v>
      </c>
      <c r="M722" t="inlineStr">
        <is>
          <t>estimated</t>
        </is>
      </c>
      <c r="N722" t="n">
        <v>36374</v>
      </c>
      <c r="O722" t="n">
        <v>0</v>
      </c>
      <c r="P722" t="n">
        <v>0</v>
      </c>
    </row>
    <row r="723">
      <c r="A723" t="inlineStr">
        <is>
          <t>Guatemala</t>
        </is>
      </c>
      <c r="B723" t="inlineStr">
        <is>
          <t>GT</t>
        </is>
      </c>
      <c r="C723" s="4" t="n">
        <v>45139</v>
      </c>
      <c r="D723" t="n">
        <v>0</v>
      </c>
      <c r="G723" t="b">
        <v>0</v>
      </c>
      <c r="I723" t="n">
        <v>7.5</v>
      </c>
      <c r="J723" t="inlineStr">
        <is>
          <t>ASSUMPTION: flat 7.5 MMBtu/MWh</t>
        </is>
      </c>
      <c r="K723" t="n">
        <v>0</v>
      </c>
      <c r="L723" t="n">
        <v>0</v>
      </c>
      <c r="M723" t="inlineStr">
        <is>
          <t>estimated</t>
        </is>
      </c>
      <c r="N723" t="n">
        <v>36374</v>
      </c>
      <c r="O723" t="n">
        <v>0</v>
      </c>
      <c r="P723" t="n">
        <v>0</v>
      </c>
    </row>
    <row r="724">
      <c r="A724" t="inlineStr">
        <is>
          <t>Guatemala</t>
        </is>
      </c>
      <c r="B724" t="inlineStr">
        <is>
          <t>GT</t>
        </is>
      </c>
      <c r="C724" s="4" t="n">
        <v>45170</v>
      </c>
      <c r="D724" t="n">
        <v>0</v>
      </c>
      <c r="G724" t="b">
        <v>0</v>
      </c>
      <c r="I724" t="n">
        <v>7.5</v>
      </c>
      <c r="J724" t="inlineStr">
        <is>
          <t>ASSUMPTION: flat 7.5 MMBtu/MWh</t>
        </is>
      </c>
      <c r="K724" t="n">
        <v>0</v>
      </c>
      <c r="L724" t="n">
        <v>0</v>
      </c>
      <c r="M724" t="inlineStr">
        <is>
          <t>estimated</t>
        </is>
      </c>
      <c r="N724" t="n">
        <v>36374</v>
      </c>
      <c r="O724" t="n">
        <v>0</v>
      </c>
      <c r="P724" t="n">
        <v>0</v>
      </c>
    </row>
    <row r="725">
      <c r="A725" t="inlineStr">
        <is>
          <t>Guatemala</t>
        </is>
      </c>
      <c r="B725" t="inlineStr">
        <is>
          <t>GT</t>
        </is>
      </c>
      <c r="C725" s="4" t="n">
        <v>45200</v>
      </c>
      <c r="D725" t="n">
        <v>0</v>
      </c>
      <c r="G725" t="b">
        <v>0</v>
      </c>
      <c r="I725" t="n">
        <v>7.5</v>
      </c>
      <c r="J725" t="inlineStr">
        <is>
          <t>ASSUMPTION: flat 7.5 MMBtu/MWh</t>
        </is>
      </c>
      <c r="K725" t="n">
        <v>0</v>
      </c>
      <c r="L725" t="n">
        <v>0</v>
      </c>
      <c r="M725" t="inlineStr">
        <is>
          <t>estimated</t>
        </is>
      </c>
      <c r="N725" t="n">
        <v>36374</v>
      </c>
      <c r="O725" t="n">
        <v>0</v>
      </c>
      <c r="P725" t="n">
        <v>0</v>
      </c>
    </row>
    <row r="726">
      <c r="A726" t="inlineStr">
        <is>
          <t>Guatemala</t>
        </is>
      </c>
      <c r="B726" t="inlineStr">
        <is>
          <t>GT</t>
        </is>
      </c>
      <c r="C726" s="4" t="n">
        <v>45231</v>
      </c>
      <c r="D726" t="n">
        <v>0</v>
      </c>
      <c r="G726" t="b">
        <v>0</v>
      </c>
      <c r="I726" t="n">
        <v>7.5</v>
      </c>
      <c r="J726" t="inlineStr">
        <is>
          <t>ASSUMPTION: flat 7.5 MMBtu/MWh</t>
        </is>
      </c>
      <c r="K726" t="n">
        <v>0</v>
      </c>
      <c r="L726" t="n">
        <v>0</v>
      </c>
      <c r="M726" t="inlineStr">
        <is>
          <t>estimated</t>
        </is>
      </c>
      <c r="N726" t="n">
        <v>36374</v>
      </c>
      <c r="O726" t="n">
        <v>0</v>
      </c>
      <c r="P726" t="n">
        <v>0</v>
      </c>
    </row>
    <row r="727">
      <c r="A727" t="inlineStr">
        <is>
          <t>Guatemala</t>
        </is>
      </c>
      <c r="B727" t="inlineStr">
        <is>
          <t>GT</t>
        </is>
      </c>
      <c r="C727" s="4" t="n">
        <v>45261</v>
      </c>
      <c r="D727" t="n">
        <v>0</v>
      </c>
      <c r="G727" t="b">
        <v>0</v>
      </c>
      <c r="I727" t="n">
        <v>7.5</v>
      </c>
      <c r="J727" t="inlineStr">
        <is>
          <t>ASSUMPTION: flat 7.5 MMBtu/MWh</t>
        </is>
      </c>
      <c r="K727" t="n">
        <v>0</v>
      </c>
      <c r="L727" t="n">
        <v>0</v>
      </c>
      <c r="M727" t="inlineStr">
        <is>
          <t>estimated</t>
        </is>
      </c>
      <c r="N727" t="n">
        <v>36374</v>
      </c>
      <c r="O727" t="n">
        <v>0</v>
      </c>
      <c r="P727" t="n">
        <v>0</v>
      </c>
    </row>
    <row r="728">
      <c r="A728" t="inlineStr">
        <is>
          <t>Guatemala</t>
        </is>
      </c>
      <c r="B728" t="inlineStr">
        <is>
          <t>GT</t>
        </is>
      </c>
      <c r="C728" s="4" t="n">
        <v>45292</v>
      </c>
      <c r="D728" t="n">
        <v>1.412903225806452</v>
      </c>
      <c r="G728" t="b">
        <v>0</v>
      </c>
      <c r="I728" t="n">
        <v>7.5</v>
      </c>
      <c r="J728" t="inlineStr">
        <is>
          <t>ASSUMPTION: flat 7.5 MMBtu/MWh</t>
        </is>
      </c>
      <c r="K728" t="n">
        <v>10.59677419354839</v>
      </c>
      <c r="L728" t="n">
        <v>10.59677419354839</v>
      </c>
      <c r="M728" t="inlineStr">
        <is>
          <t>estimated</t>
        </is>
      </c>
      <c r="N728" t="n">
        <v>36374</v>
      </c>
      <c r="O728" t="n">
        <v>0.0002913282617679768</v>
      </c>
      <c r="P728" t="n">
        <v>1.028817016585757e-05</v>
      </c>
    </row>
    <row r="729">
      <c r="A729" t="inlineStr">
        <is>
          <t>Guatemala</t>
        </is>
      </c>
      <c r="B729" t="inlineStr">
        <is>
          <t>GT</t>
        </is>
      </c>
      <c r="C729" s="4" t="n">
        <v>45323</v>
      </c>
      <c r="D729" t="n">
        <v>19.83103448275862</v>
      </c>
      <c r="G729" t="b">
        <v>0</v>
      </c>
      <c r="I729" t="n">
        <v>7.5</v>
      </c>
      <c r="J729" t="inlineStr">
        <is>
          <t>ASSUMPTION: flat 7.5 MMBtu/MWh</t>
        </is>
      </c>
      <c r="K729" t="n">
        <v>148.7327586206897</v>
      </c>
      <c r="L729" t="n">
        <v>148.7327586206897</v>
      </c>
      <c r="M729" t="inlineStr">
        <is>
          <t>estimated</t>
        </is>
      </c>
      <c r="N729" t="n">
        <v>36374</v>
      </c>
      <c r="O729" t="n">
        <v>0.004088985501201123</v>
      </c>
      <c r="P729" t="n">
        <v>0.0001444012962792673</v>
      </c>
    </row>
    <row r="730">
      <c r="A730" t="inlineStr">
        <is>
          <t>Guatemala</t>
        </is>
      </c>
      <c r="B730" t="inlineStr">
        <is>
          <t>GT</t>
        </is>
      </c>
      <c r="C730" s="4" t="n">
        <v>45352</v>
      </c>
      <c r="D730" t="n">
        <v>166.3387096774194</v>
      </c>
      <c r="G730" t="b">
        <v>0</v>
      </c>
      <c r="I730" t="n">
        <v>7.5</v>
      </c>
      <c r="J730" t="inlineStr">
        <is>
          <t>ASSUMPTION: flat 7.5 MMBtu/MWh</t>
        </is>
      </c>
      <c r="K730" t="n">
        <v>1247.540322580645</v>
      </c>
      <c r="L730" t="n">
        <v>1247.540322580645</v>
      </c>
      <c r="M730" t="inlineStr">
        <is>
          <t>estimated</t>
        </is>
      </c>
      <c r="N730" t="n">
        <v>36374</v>
      </c>
      <c r="O730" t="n">
        <v>0.03429758405951078</v>
      </c>
      <c r="P730" t="n">
        <v>0.001211208891786405</v>
      </c>
    </row>
    <row r="731">
      <c r="A731" t="inlineStr">
        <is>
          <t>Guatemala</t>
        </is>
      </c>
      <c r="B731" t="inlineStr">
        <is>
          <t>GT</t>
        </is>
      </c>
      <c r="C731" s="4" t="n">
        <v>45383</v>
      </c>
      <c r="D731" t="n">
        <v>253.18</v>
      </c>
      <c r="G731" t="b">
        <v>0</v>
      </c>
      <c r="I731" t="n">
        <v>7.5</v>
      </c>
      <c r="J731" t="inlineStr">
        <is>
          <t>ASSUMPTION: flat 7.5 MMBtu/MWh</t>
        </is>
      </c>
      <c r="K731" t="n">
        <v>1898.85</v>
      </c>
      <c r="L731" t="n">
        <v>1898.85</v>
      </c>
      <c r="M731" t="inlineStr">
        <is>
          <t>estimated</t>
        </is>
      </c>
      <c r="N731" t="n">
        <v>36374</v>
      </c>
      <c r="O731" t="n">
        <v>0.05220349700335405</v>
      </c>
      <c r="P731" t="n">
        <v>0.001843550835624347</v>
      </c>
    </row>
    <row r="732">
      <c r="A732" t="inlineStr">
        <is>
          <t>Guatemala</t>
        </is>
      </c>
      <c r="B732" t="inlineStr">
        <is>
          <t>GT</t>
        </is>
      </c>
      <c r="C732" s="4" t="n">
        <v>45413</v>
      </c>
      <c r="D732" t="n">
        <v>288.6677419354838</v>
      </c>
      <c r="G732" t="b">
        <v>0</v>
      </c>
      <c r="I732" t="n">
        <v>7.5</v>
      </c>
      <c r="J732" t="inlineStr">
        <is>
          <t>ASSUMPTION: flat 7.5 MMBtu/MWh</t>
        </is>
      </c>
      <c r="K732" t="n">
        <v>2165.008064516129</v>
      </c>
      <c r="L732" t="n">
        <v>2165.008064516129</v>
      </c>
      <c r="M732" t="inlineStr">
        <is>
          <t>estimated</t>
        </is>
      </c>
      <c r="N732" t="n">
        <v>36374</v>
      </c>
      <c r="O732" t="n">
        <v>0.0595207583580615</v>
      </c>
      <c r="P732" t="n">
        <v>0.002101957725187434</v>
      </c>
    </row>
    <row r="733">
      <c r="A733" t="inlineStr">
        <is>
          <t>Guatemala</t>
        </is>
      </c>
      <c r="B733" t="inlineStr">
        <is>
          <t>GT</t>
        </is>
      </c>
      <c r="C733" s="4" t="n">
        <v>45444</v>
      </c>
      <c r="D733" t="n">
        <v>267.27</v>
      </c>
      <c r="G733" t="b">
        <v>0</v>
      </c>
      <c r="I733" t="n">
        <v>7.5</v>
      </c>
      <c r="J733" t="inlineStr">
        <is>
          <t>ASSUMPTION: flat 7.5 MMBtu/MWh</t>
        </is>
      </c>
      <c r="K733" t="n">
        <v>2004.525</v>
      </c>
      <c r="L733" t="n">
        <v>2004.525</v>
      </c>
      <c r="M733" t="inlineStr">
        <is>
          <t>estimated</t>
        </is>
      </c>
      <c r="N733" t="n">
        <v>36374</v>
      </c>
      <c r="O733" t="n">
        <v>0.05510873151151922</v>
      </c>
      <c r="P733" t="n">
        <v>0.001946148320709848</v>
      </c>
    </row>
    <row r="734">
      <c r="A734" t="inlineStr">
        <is>
          <t>Guatemala</t>
        </is>
      </c>
      <c r="B734" t="inlineStr">
        <is>
          <t>GT</t>
        </is>
      </c>
      <c r="C734" s="4" t="n">
        <v>45474</v>
      </c>
      <c r="D734" t="n">
        <v>231.0225806451613</v>
      </c>
      <c r="G734" t="b">
        <v>0</v>
      </c>
      <c r="I734" t="n">
        <v>7.5</v>
      </c>
      <c r="J734" t="inlineStr">
        <is>
          <t>ASSUMPTION: flat 7.5 MMBtu/MWh</t>
        </is>
      </c>
      <c r="K734" t="n">
        <v>1732.66935483871</v>
      </c>
      <c r="L734" t="n">
        <v>1732.66935483871</v>
      </c>
      <c r="M734" t="inlineStr">
        <is>
          <t>estimated</t>
        </is>
      </c>
      <c r="N734" t="n">
        <v>36374</v>
      </c>
      <c r="O734" t="n">
        <v>0.04763483133113515</v>
      </c>
      <c r="P734" t="n">
        <v>0.001682209778009638</v>
      </c>
    </row>
    <row r="735">
      <c r="A735" t="inlineStr">
        <is>
          <t>Guatemala</t>
        </is>
      </c>
      <c r="B735" t="inlineStr">
        <is>
          <t>GT</t>
        </is>
      </c>
      <c r="C735" s="4" t="n">
        <v>45505</v>
      </c>
      <c r="D735" t="n">
        <v>254.7935483870968</v>
      </c>
      <c r="G735" t="b">
        <v>0</v>
      </c>
      <c r="I735" t="n">
        <v>7.5</v>
      </c>
      <c r="J735" t="inlineStr">
        <is>
          <t>ASSUMPTION: flat 7.5 MMBtu/MWh</t>
        </is>
      </c>
      <c r="K735" t="n">
        <v>1910.951612903226</v>
      </c>
      <c r="L735" t="n">
        <v>1910.951612903226</v>
      </c>
      <c r="M735" t="inlineStr">
        <is>
          <t>estimated</t>
        </is>
      </c>
      <c r="N735" t="n">
        <v>36374</v>
      </c>
      <c r="O735" t="n">
        <v>0.05253619653882514</v>
      </c>
      <c r="P735" t="n">
        <v>0.001855300019909648</v>
      </c>
    </row>
    <row r="736">
      <c r="A736" t="inlineStr">
        <is>
          <t>Guatemala</t>
        </is>
      </c>
      <c r="B736" t="inlineStr">
        <is>
          <t>GT</t>
        </is>
      </c>
      <c r="C736" s="4" t="n">
        <v>45536</v>
      </c>
      <c r="D736" t="n">
        <v>261.8433333333334</v>
      </c>
      <c r="G736" t="b">
        <v>0</v>
      </c>
      <c r="I736" t="n">
        <v>7.5</v>
      </c>
      <c r="J736" t="inlineStr">
        <is>
          <t>ASSUMPTION: flat 7.5 MMBtu/MWh</t>
        </is>
      </c>
      <c r="K736" t="n">
        <v>1963.825</v>
      </c>
      <c r="L736" t="n">
        <v>1963.825</v>
      </c>
      <c r="M736" t="inlineStr">
        <is>
          <t>estimated</t>
        </is>
      </c>
      <c r="N736" t="n">
        <v>36374</v>
      </c>
      <c r="O736" t="n">
        <v>0.05398980040688404</v>
      </c>
      <c r="P736" t="n">
        <v>0.001906633604428988</v>
      </c>
    </row>
    <row r="737">
      <c r="A737" t="inlineStr">
        <is>
          <t>Guatemala</t>
        </is>
      </c>
      <c r="B737" t="inlineStr">
        <is>
          <t>GT</t>
        </is>
      </c>
      <c r="C737" s="4" t="n">
        <v>45566</v>
      </c>
      <c r="D737" t="n">
        <v>285.8870967741935</v>
      </c>
      <c r="G737" t="b">
        <v>0</v>
      </c>
      <c r="I737" t="n">
        <v>7.5</v>
      </c>
      <c r="J737" t="inlineStr">
        <is>
          <t>ASSUMPTION: flat 7.5 MMBtu/MWh</t>
        </is>
      </c>
      <c r="K737" t="n">
        <v>2144.153225806452</v>
      </c>
      <c r="L737" t="n">
        <v>2144.153225806452</v>
      </c>
      <c r="M737" t="inlineStr">
        <is>
          <t>estimated</t>
        </is>
      </c>
      <c r="N737" t="n">
        <v>36374</v>
      </c>
      <c r="O737" t="n">
        <v>0.05894741369677384</v>
      </c>
      <c r="P737" t="n">
        <v>0.002081710230477459</v>
      </c>
    </row>
    <row r="738">
      <c r="A738" t="inlineStr">
        <is>
          <t>Guatemala</t>
        </is>
      </c>
      <c r="B738" t="inlineStr">
        <is>
          <t>GT</t>
        </is>
      </c>
      <c r="C738" s="4" t="n">
        <v>45597</v>
      </c>
      <c r="D738" t="n">
        <v>192.3633333333333</v>
      </c>
      <c r="G738" t="b">
        <v>0</v>
      </c>
      <c r="I738" t="n">
        <v>7.5</v>
      </c>
      <c r="J738" t="inlineStr">
        <is>
          <t>ASSUMPTION: flat 7.5 MMBtu/MWh</t>
        </is>
      </c>
      <c r="K738" t="n">
        <v>1442.725</v>
      </c>
      <c r="L738" t="n">
        <v>1442.725</v>
      </c>
      <c r="M738" t="inlineStr">
        <is>
          <t>estimated</t>
        </is>
      </c>
      <c r="N738" t="n">
        <v>36374</v>
      </c>
      <c r="O738" t="n">
        <v>0.03966363336449111</v>
      </c>
      <c r="P738" t="n">
        <v>0.001400709313176994</v>
      </c>
    </row>
    <row r="739">
      <c r="A739" t="inlineStr">
        <is>
          <t>Guatemala</t>
        </is>
      </c>
      <c r="B739" t="inlineStr">
        <is>
          <t>GT</t>
        </is>
      </c>
      <c r="C739" s="4" t="n">
        <v>45627</v>
      </c>
      <c r="D739" t="n">
        <v>203.7645161290322</v>
      </c>
      <c r="G739" t="b">
        <v>0</v>
      </c>
      <c r="I739" t="n">
        <v>7.5</v>
      </c>
      <c r="J739" t="inlineStr">
        <is>
          <t>ASSUMPTION: flat 7.5 MMBtu/MWh</t>
        </is>
      </c>
      <c r="K739" t="n">
        <v>1528.233870967742</v>
      </c>
      <c r="L739" t="n">
        <v>1528.233870967742</v>
      </c>
      <c r="M739" t="inlineStr">
        <is>
          <t>estimated</t>
        </is>
      </c>
      <c r="N739" t="n">
        <v>36374</v>
      </c>
      <c r="O739" t="n">
        <v>0.04201445733127349</v>
      </c>
      <c r="P739" t="n">
        <v>0.001483727956316724</v>
      </c>
    </row>
    <row r="740">
      <c r="A740" t="inlineStr">
        <is>
          <t>Guatemala</t>
        </is>
      </c>
      <c r="B740" t="inlineStr">
        <is>
          <t>GT</t>
        </is>
      </c>
      <c r="C740" s="4" t="n">
        <v>45658</v>
      </c>
      <c r="D740" t="n">
        <v>215.3451612903226</v>
      </c>
      <c r="G740" t="b">
        <v>0</v>
      </c>
      <c r="I740" t="n">
        <v>7.5</v>
      </c>
      <c r="J740" t="inlineStr">
        <is>
          <t>ASSUMPTION: flat 7.5 MMBtu/MWh</t>
        </is>
      </c>
      <c r="K740" t="n">
        <v>1615.08870967742</v>
      </c>
      <c r="L740" t="n">
        <v>1615.08870967742</v>
      </c>
      <c r="M740" t="inlineStr">
        <is>
          <t>estimated</t>
        </is>
      </c>
      <c r="N740" t="n">
        <v>36374</v>
      </c>
      <c r="O740" t="n">
        <v>0.04440228486494253</v>
      </c>
      <c r="P740" t="n">
        <v>0.001568053369319986</v>
      </c>
    </row>
    <row r="741">
      <c r="A741" t="inlineStr">
        <is>
          <t>Guatemala</t>
        </is>
      </c>
      <c r="B741" t="inlineStr">
        <is>
          <t>GT</t>
        </is>
      </c>
      <c r="C741" s="4" t="n">
        <v>45689</v>
      </c>
      <c r="D741" t="n">
        <v>260.0857142857143</v>
      </c>
      <c r="G741" t="b">
        <v>0</v>
      </c>
      <c r="I741" t="n">
        <v>7.5</v>
      </c>
      <c r="J741" t="inlineStr">
        <is>
          <t>ASSUMPTION: flat 7.5 MMBtu/MWh</t>
        </is>
      </c>
      <c r="K741" t="n">
        <v>1950.642857142857</v>
      </c>
      <c r="L741" t="n">
        <v>1950.642857142857</v>
      </c>
      <c r="M741" t="inlineStr">
        <is>
          <t>estimated</t>
        </is>
      </c>
      <c r="N741" t="n">
        <v>36374</v>
      </c>
      <c r="O741" t="n">
        <v>0.05362739476392085</v>
      </c>
      <c r="P741" t="n">
        <v>0.001893835357869436</v>
      </c>
    </row>
    <row r="742">
      <c r="A742" t="inlineStr">
        <is>
          <t>Guatemala</t>
        </is>
      </c>
      <c r="B742" t="inlineStr">
        <is>
          <t>GT</t>
        </is>
      </c>
      <c r="C742" s="4" t="n">
        <v>45717</v>
      </c>
      <c r="D742" t="n">
        <v>262.4935483870968</v>
      </c>
      <c r="G742" t="b">
        <v>0</v>
      </c>
      <c r="I742" t="n">
        <v>7.5</v>
      </c>
      <c r="J742" t="inlineStr">
        <is>
          <t>ASSUMPTION: flat 7.5 MMBtu/MWh</t>
        </is>
      </c>
      <c r="K742" t="n">
        <v>1968.701612903226</v>
      </c>
      <c r="L742" t="n">
        <v>1968.701612903226</v>
      </c>
      <c r="M742" t="inlineStr">
        <is>
          <t>estimated</t>
        </is>
      </c>
      <c r="N742" t="n">
        <v>36374</v>
      </c>
      <c r="O742" t="n">
        <v>0.05412386905215884</v>
      </c>
      <c r="P742" t="n">
        <v>0.001911368198416274</v>
      </c>
    </row>
    <row r="743">
      <c r="A743" t="inlineStr">
        <is>
          <t>Guatemala</t>
        </is>
      </c>
      <c r="B743" t="inlineStr">
        <is>
          <t>GT</t>
        </is>
      </c>
      <c r="C743" s="4" t="n">
        <v>45748</v>
      </c>
      <c r="D743" t="n">
        <v>268.4766666666667</v>
      </c>
      <c r="G743" t="b">
        <v>0</v>
      </c>
      <c r="I743" t="n">
        <v>7.5</v>
      </c>
      <c r="J743" t="inlineStr">
        <is>
          <t>ASSUMPTION: flat 7.5 MMBtu/MWh</t>
        </is>
      </c>
      <c r="K743" t="n">
        <v>2013.575</v>
      </c>
      <c r="L743" t="n">
        <v>2013.575</v>
      </c>
      <c r="M743" t="inlineStr">
        <is>
          <t>estimated</t>
        </is>
      </c>
      <c r="N743" t="n">
        <v>36374</v>
      </c>
      <c r="O743" t="n">
        <v>0.05535753560235334</v>
      </c>
      <c r="P743" t="n">
        <v>0.001954934762536427</v>
      </c>
    </row>
    <row r="744">
      <c r="A744" t="inlineStr">
        <is>
          <t>Guatemala</t>
        </is>
      </c>
      <c r="B744" t="inlineStr">
        <is>
          <t>GT</t>
        </is>
      </c>
      <c r="C744" s="4" t="n">
        <v>45778</v>
      </c>
      <c r="D744" t="n">
        <v>262.7967741935484</v>
      </c>
      <c r="G744" t="b">
        <v>0</v>
      </c>
      <c r="I744" t="n">
        <v>7.5</v>
      </c>
      <c r="J744" t="inlineStr">
        <is>
          <t>ASSUMPTION: flat 7.5 MMBtu/MWh</t>
        </is>
      </c>
      <c r="K744" t="n">
        <v>1970.975806451613</v>
      </c>
      <c r="L744" t="n">
        <v>1970.975806451613</v>
      </c>
      <c r="M744" t="inlineStr">
        <is>
          <t>estimated</t>
        </is>
      </c>
      <c r="N744" t="n">
        <v>36374</v>
      </c>
      <c r="O744" t="n">
        <v>0.05418639155582595</v>
      </c>
      <c r="P744" t="n">
        <v>0.001913576161876526</v>
      </c>
    </row>
    <row r="745">
      <c r="A745" t="inlineStr">
        <is>
          <t>Guatemala</t>
        </is>
      </c>
      <c r="B745" t="inlineStr">
        <is>
          <t>GT</t>
        </is>
      </c>
      <c r="C745" s="4" t="n">
        <v>45809</v>
      </c>
      <c r="D745" t="n">
        <v>249.9066666666667</v>
      </c>
      <c r="G745" t="b">
        <v>0</v>
      </c>
      <c r="I745" t="n">
        <v>7.5</v>
      </c>
      <c r="J745" t="inlineStr">
        <is>
          <t>ASSUMPTION: flat 7.5 MMBtu/MWh</t>
        </is>
      </c>
      <c r="K745" t="n">
        <v>1874.3</v>
      </c>
      <c r="L745" t="n">
        <v>1874.3</v>
      </c>
      <c r="M745" t="inlineStr">
        <is>
          <t>estimated</t>
        </is>
      </c>
      <c r="N745" t="n">
        <v>36374</v>
      </c>
      <c r="O745" t="n">
        <v>0.05152856435915765</v>
      </c>
      <c r="P745" t="n">
        <v>0.001819715791774344</v>
      </c>
    </row>
    <row r="746">
      <c r="A746" t="inlineStr">
        <is>
          <t>Guatemala</t>
        </is>
      </c>
      <c r="B746" t="inlineStr">
        <is>
          <t>GT</t>
        </is>
      </c>
      <c r="C746" s="4" t="n">
        <v>45839</v>
      </c>
      <c r="D746" t="n">
        <v>266.2258064516129</v>
      </c>
      <c r="G746" t="b">
        <v>0</v>
      </c>
      <c r="I746" t="n">
        <v>7.5</v>
      </c>
      <c r="J746" t="inlineStr">
        <is>
          <t>ASSUMPTION: flat 7.5 MMBtu/MWh</t>
        </is>
      </c>
      <c r="K746" t="n">
        <v>1996.693548387097</v>
      </c>
      <c r="L746" t="n">
        <v>1996.693548387097</v>
      </c>
      <c r="M746" t="inlineStr">
        <is>
          <t>estimated</t>
        </is>
      </c>
      <c r="N746" t="n">
        <v>36374</v>
      </c>
      <c r="O746" t="n">
        <v>0.05489342795367837</v>
      </c>
      <c r="P746" t="n">
        <v>0.001938544940155765</v>
      </c>
    </row>
    <row r="747">
      <c r="A747" t="inlineStr">
        <is>
          <t>Guatemala</t>
        </is>
      </c>
      <c r="B747" t="inlineStr">
        <is>
          <t>GT</t>
        </is>
      </c>
      <c r="C747" s="4" t="n">
        <v>45870</v>
      </c>
      <c r="D747" t="n">
        <v>288.6387096774193</v>
      </c>
      <c r="G747" t="b">
        <v>0</v>
      </c>
      <c r="I747" t="n">
        <v>7.5</v>
      </c>
      <c r="J747" t="inlineStr">
        <is>
          <t>ASSUMPTION: flat 7.5 MMBtu/MWh</t>
        </is>
      </c>
      <c r="K747" t="n">
        <v>2164.790322580645</v>
      </c>
      <c r="L747" t="n">
        <v>2164.790322580645</v>
      </c>
      <c r="M747" t="inlineStr">
        <is>
          <t>estimated</t>
        </is>
      </c>
      <c r="N747" t="n">
        <v>36374</v>
      </c>
      <c r="O747" t="n">
        <v>0.05951477216090188</v>
      </c>
      <c r="P747" t="n">
        <v>0.002101746324430601</v>
      </c>
    </row>
    <row r="748">
      <c r="A748" t="inlineStr">
        <is>
          <t>Guatemala</t>
        </is>
      </c>
      <c r="B748" t="inlineStr">
        <is>
          <t>GT</t>
        </is>
      </c>
      <c r="C748" s="4" t="n">
        <v>45901</v>
      </c>
      <c r="D748" t="n">
        <v>267.5633333333333</v>
      </c>
      <c r="G748" t="b">
        <v>0</v>
      </c>
      <c r="I748" t="n">
        <v>7.5</v>
      </c>
      <c r="J748" t="inlineStr">
        <is>
          <t>ASSUMPTION: flat 7.5 MMBtu/MWh</t>
        </is>
      </c>
      <c r="K748" t="n">
        <v>2006.725</v>
      </c>
      <c r="L748" t="n">
        <v>2006.725</v>
      </c>
      <c r="M748" t="inlineStr">
        <is>
          <t>estimated</t>
        </is>
      </c>
      <c r="N748" t="n">
        <v>36374</v>
      </c>
      <c r="O748" t="n">
        <v>0.05516921427393193</v>
      </c>
      <c r="P748" t="n">
        <v>0.001948284251319624</v>
      </c>
    </row>
    <row r="749">
      <c r="A749" t="inlineStr">
        <is>
          <t>Guatemala</t>
        </is>
      </c>
      <c r="B749" t="inlineStr">
        <is>
          <t>GT</t>
        </is>
      </c>
      <c r="C749" s="4" t="n">
        <v>45931</v>
      </c>
      <c r="D749" t="n">
        <v>236.5774193548387</v>
      </c>
      <c r="G749" t="b">
        <v>0</v>
      </c>
      <c r="I749" t="n">
        <v>7.5</v>
      </c>
      <c r="J749" t="inlineStr">
        <is>
          <t>ASSUMPTION: flat 7.5 MMBtu/MWh</t>
        </is>
      </c>
      <c r="K749" t="n">
        <v>1774.33064516129</v>
      </c>
      <c r="L749" t="n">
        <v>1774.33064516129</v>
      </c>
      <c r="M749" t="inlineStr">
        <is>
          <t>estimated</t>
        </is>
      </c>
      <c r="N749" t="n">
        <v>36374</v>
      </c>
      <c r="O749" t="n">
        <v>0.048780190387675</v>
      </c>
      <c r="P749" t="n">
        <v>0.001722657789483626</v>
      </c>
    </row>
    <row r="750">
      <c r="A750" t="inlineStr">
        <is>
          <t>Guatemala</t>
        </is>
      </c>
      <c r="B750" t="inlineStr">
        <is>
          <t>GT</t>
        </is>
      </c>
      <c r="C750" s="4" t="n">
        <v>45962</v>
      </c>
      <c r="D750" t="n">
        <v>282.13</v>
      </c>
      <c r="G750" t="b">
        <v>0</v>
      </c>
      <c r="I750" t="n">
        <v>7.5</v>
      </c>
      <c r="J750" t="inlineStr">
        <is>
          <t>ASSUMPTION: flat 7.5 MMBtu/MWh</t>
        </is>
      </c>
      <c r="K750" t="n">
        <v>2115.975</v>
      </c>
      <c r="L750" t="n">
        <v>2115.975</v>
      </c>
      <c r="M750" t="inlineStr">
        <is>
          <t>estimated</t>
        </is>
      </c>
      <c r="N750" t="n">
        <v>36374</v>
      </c>
      <c r="O750" t="n">
        <v>0.05817273327101775</v>
      </c>
      <c r="P750" t="n">
        <v>0.00205435262364601</v>
      </c>
    </row>
    <row r="751">
      <c r="A751" t="inlineStr">
        <is>
          <t>Guatemala</t>
        </is>
      </c>
      <c r="B751" t="inlineStr">
        <is>
          <t>GT</t>
        </is>
      </c>
      <c r="C751" s="4" t="n">
        <v>45992</v>
      </c>
      <c r="D751" t="n">
        <v>271.4548387096774</v>
      </c>
      <c r="G751" t="b">
        <v>0</v>
      </c>
      <c r="I751" t="n">
        <v>7.5</v>
      </c>
      <c r="J751" t="inlineStr">
        <is>
          <t>ASSUMPTION: flat 7.5 MMBtu/MWh</t>
        </is>
      </c>
      <c r="K751" t="n">
        <v>2035.91129032258</v>
      </c>
      <c r="L751" t="n">
        <v>2035.91129032258</v>
      </c>
      <c r="M751" t="inlineStr">
        <is>
          <t>estimated</t>
        </is>
      </c>
      <c r="N751" t="n">
        <v>36374</v>
      </c>
      <c r="O751" t="n">
        <v>0.05597160857542697</v>
      </c>
      <c r="P751" t="n">
        <v>0.001976620565358631</v>
      </c>
    </row>
    <row r="752">
      <c r="A752" t="inlineStr">
        <is>
          <t>Guatemala</t>
        </is>
      </c>
      <c r="B752" t="inlineStr">
        <is>
          <t>GT</t>
        </is>
      </c>
      <c r="C752" s="4" t="n">
        <v>46023</v>
      </c>
      <c r="D752" t="n">
        <v>277.6290322580645</v>
      </c>
      <c r="G752" t="b">
        <v>0</v>
      </c>
      <c r="I752" t="n">
        <v>7.5</v>
      </c>
      <c r="J752" t="inlineStr">
        <is>
          <t>ASSUMPTION: flat 7.5 MMBtu/MWh</t>
        </is>
      </c>
      <c r="K752" t="n">
        <v>2082.217741935484</v>
      </c>
      <c r="L752" t="n">
        <v>2082.217741935484</v>
      </c>
      <c r="M752" t="inlineStr">
        <is>
          <t>estimated</t>
        </is>
      </c>
      <c r="N752" t="n">
        <v>36374</v>
      </c>
      <c r="O752" t="n">
        <v>0.05724467317137197</v>
      </c>
      <c r="P752" t="n">
        <v>0.002021578459645049</v>
      </c>
    </row>
    <row r="753">
      <c r="A753" t="inlineStr">
        <is>
          <t>Guatemala</t>
        </is>
      </c>
      <c r="B753" t="inlineStr">
        <is>
          <t>GT</t>
        </is>
      </c>
      <c r="C753" s="4" t="n">
        <v>46054</v>
      </c>
      <c r="D753" t="n">
        <v>300.5142857142857</v>
      </c>
      <c r="G753" t="b">
        <v>0</v>
      </c>
      <c r="I753" t="n">
        <v>7.5</v>
      </c>
      <c r="J753" t="inlineStr">
        <is>
          <t>ASSUMPTION: flat 7.5 MMBtu/MWh</t>
        </is>
      </c>
      <c r="K753" t="n">
        <v>2253.857142857143</v>
      </c>
      <c r="L753" t="n">
        <v>2253.857142857143</v>
      </c>
      <c r="M753" t="inlineStr">
        <is>
          <t>estimated</t>
        </is>
      </c>
      <c r="N753" t="n">
        <v>36374</v>
      </c>
      <c r="O753" t="n">
        <v>0.06196341185619241</v>
      </c>
      <c r="P753" t="n">
        <v>0.002188219300677878</v>
      </c>
    </row>
    <row r="754">
      <c r="A754" t="inlineStr">
        <is>
          <t>Guatemala</t>
        </is>
      </c>
      <c r="B754" t="inlineStr">
        <is>
          <t>GT</t>
        </is>
      </c>
      <c r="C754" s="4" t="n">
        <v>46082</v>
      </c>
      <c r="D754" t="n">
        <v>409.8903225806452</v>
      </c>
      <c r="G754" t="b">
        <v>0</v>
      </c>
      <c r="I754" t="n">
        <v>7.5</v>
      </c>
      <c r="J754" t="inlineStr">
        <is>
          <t>ASSUMPTION: flat 7.5 MMBtu/MWh</t>
        </is>
      </c>
      <c r="K754" t="n">
        <v>3074.177419354839</v>
      </c>
      <c r="L754" t="n">
        <v>3074.177419354839</v>
      </c>
      <c r="M754" t="inlineStr">
        <is>
          <t>estimated</t>
        </is>
      </c>
      <c r="N754" t="n">
        <v>36374</v>
      </c>
      <c r="O754" t="n">
        <v>0.08451579203152909</v>
      </c>
      <c r="P754" t="n">
        <v>0.00298464984085584</v>
      </c>
    </row>
    <row r="755">
      <c r="A755" t="inlineStr">
        <is>
          <t>Guatemala</t>
        </is>
      </c>
      <c r="B755" t="inlineStr">
        <is>
          <t>GT</t>
        </is>
      </c>
      <c r="C755" s="4" t="n">
        <v>46113</v>
      </c>
      <c r="D755" t="n">
        <v>462.6966666666667</v>
      </c>
      <c r="G755" t="b">
        <v>0</v>
      </c>
      <c r="I755" t="n">
        <v>7.5</v>
      </c>
      <c r="J755" t="inlineStr">
        <is>
          <t>ASSUMPTION: flat 7.5 MMBtu/MWh</t>
        </is>
      </c>
      <c r="K755" t="n">
        <v>3470.225</v>
      </c>
      <c r="L755" t="n">
        <v>3470.225</v>
      </c>
      <c r="M755" t="inlineStr">
        <is>
          <t>estimated</t>
        </is>
      </c>
      <c r="N755" t="n">
        <v>36374</v>
      </c>
      <c r="O755" t="n">
        <v>0.0954039973607522</v>
      </c>
      <c r="P755" t="n">
        <v>0.003369163545595755</v>
      </c>
    </row>
    <row r="756">
      <c r="A756" t="inlineStr">
        <is>
          <t>Guatemala</t>
        </is>
      </c>
      <c r="B756" t="inlineStr">
        <is>
          <t>GT</t>
        </is>
      </c>
      <c r="C756" s="4" t="n">
        <v>46143</v>
      </c>
      <c r="D756" t="n">
        <v>434.0129032258064</v>
      </c>
      <c r="G756" t="b">
        <v>0</v>
      </c>
      <c r="I756" t="n">
        <v>7.5</v>
      </c>
      <c r="J756" t="inlineStr">
        <is>
          <t>ASSUMPTION: flat 7.5 MMBtu/MWh</t>
        </is>
      </c>
      <c r="K756" t="n">
        <v>3255.096774193548</v>
      </c>
      <c r="L756" t="n">
        <v>3255.096774193548</v>
      </c>
      <c r="M756" t="inlineStr">
        <is>
          <t>estimated</t>
        </is>
      </c>
      <c r="N756" t="n">
        <v>36374</v>
      </c>
      <c r="O756" t="n">
        <v>0.08948965673815219</v>
      </c>
      <c r="P756" t="n">
        <v>0.003160300380810823</v>
      </c>
    </row>
    <row r="757">
      <c r="A757" t="inlineStr">
        <is>
          <t>Guatemala</t>
        </is>
      </c>
      <c r="B757" t="inlineStr">
        <is>
          <t>GT</t>
        </is>
      </c>
      <c r="C757" s="4" t="n">
        <v>46174</v>
      </c>
      <c r="D757" t="n">
        <v>458.1300000000001</v>
      </c>
      <c r="G757" t="b">
        <v>0</v>
      </c>
      <c r="I757" t="n">
        <v>7.5</v>
      </c>
      <c r="J757" t="inlineStr">
        <is>
          <t>ASSUMPTION: flat 7.5 MMBtu/MWh</t>
        </is>
      </c>
      <c r="K757" t="n">
        <v>3435.975000000001</v>
      </c>
      <c r="L757" t="n">
        <v>3435.975000000001</v>
      </c>
      <c r="M757" t="inlineStr">
        <is>
          <t>estimated</t>
        </is>
      </c>
      <c r="N757" t="n">
        <v>36374</v>
      </c>
      <c r="O757" t="n">
        <v>0.09446239071864521</v>
      </c>
      <c r="P757" t="n">
        <v>0.00333591098951174</v>
      </c>
    </row>
    <row r="758">
      <c r="A758" t="inlineStr">
        <is>
          <t>Guatemala</t>
        </is>
      </c>
      <c r="B758" t="inlineStr">
        <is>
          <t>GT</t>
        </is>
      </c>
      <c r="C758" s="4" t="n">
        <v>46204</v>
      </c>
      <c r="D758" t="n">
        <v>462.5354838709678</v>
      </c>
      <c r="G758" t="b">
        <v>0</v>
      </c>
      <c r="I758" t="n">
        <v>7.5</v>
      </c>
      <c r="J758" t="inlineStr">
        <is>
          <t>ASSUMPTION: flat 7.5 MMBtu/MWh</t>
        </is>
      </c>
      <c r="K758" t="n">
        <v>3469.016129032259</v>
      </c>
      <c r="L758" t="n">
        <v>3469.016129032259</v>
      </c>
      <c r="M758" t="inlineStr">
        <is>
          <t>estimated</t>
        </is>
      </c>
      <c r="N758" t="n">
        <v>36374</v>
      </c>
      <c r="O758" t="n">
        <v>0.09537076288096603</v>
      </c>
      <c r="P758" t="n">
        <v>0.003367989879912451</v>
      </c>
    </row>
    <row r="759">
      <c r="A759" t="inlineStr">
        <is>
          <t>Guatemala</t>
        </is>
      </c>
      <c r="B759" t="inlineStr">
        <is>
          <t>GT</t>
        </is>
      </c>
      <c r="C759" s="4" t="n">
        <v>46235</v>
      </c>
      <c r="D759" t="n">
        <v>378.9677419354838</v>
      </c>
      <c r="G759" t="b">
        <v>0</v>
      </c>
      <c r="I759" t="n">
        <v>7.5</v>
      </c>
      <c r="J759" t="inlineStr">
        <is>
          <t>ASSUMPTION: flat 7.5 MMBtu/MWh</t>
        </is>
      </c>
      <c r="K759" t="n">
        <v>2842.258064516129</v>
      </c>
      <c r="L759" t="n">
        <v>2842.258064516129</v>
      </c>
      <c r="M759" t="inlineStr">
        <is>
          <t>estimated</t>
        </is>
      </c>
      <c r="N759" t="n">
        <v>36374</v>
      </c>
      <c r="O759" t="n">
        <v>0.07813982692352034</v>
      </c>
      <c r="P759" t="n">
        <v>0.002759484545856044</v>
      </c>
    </row>
    <row r="760">
      <c r="A760" t="inlineStr">
        <is>
          <t>Guatemala</t>
        </is>
      </c>
      <c r="B760" t="inlineStr">
        <is>
          <t>GT</t>
        </is>
      </c>
      <c r="C760" s="4" t="n">
        <v>46266</v>
      </c>
      <c r="D760" t="n">
        <v>319.9200000000001</v>
      </c>
      <c r="G760" t="b">
        <v>0</v>
      </c>
      <c r="I760" t="n">
        <v>7.5</v>
      </c>
      <c r="J760" t="inlineStr">
        <is>
          <t>ASSUMPTION: flat 7.5 MMBtu/MWh</t>
        </is>
      </c>
      <c r="K760" t="n">
        <v>2399.400000000001</v>
      </c>
      <c r="L760" t="n">
        <v>2399.400000000001</v>
      </c>
      <c r="M760" t="inlineStr">
        <is>
          <t>estimated</t>
        </is>
      </c>
      <c r="N760" t="n">
        <v>36374</v>
      </c>
      <c r="O760" t="n">
        <v>0.06596470006048277</v>
      </c>
      <c r="P760" t="n">
        <v>0.002329523593225931</v>
      </c>
    </row>
    <row r="761">
      <c r="A761" t="inlineStr">
        <is>
          <t>Guatemala</t>
        </is>
      </c>
      <c r="B761" t="inlineStr">
        <is>
          <t>GT</t>
        </is>
      </c>
      <c r="C761" s="4" t="n">
        <v>46296</v>
      </c>
      <c r="D761" t="n">
        <v>482.5296296296297</v>
      </c>
      <c r="G761" t="b">
        <v>0</v>
      </c>
      <c r="I761" t="n">
        <v>7.5</v>
      </c>
      <c r="J761" t="inlineStr">
        <is>
          <t>ASSUMPTION: flat 7.5 MMBtu/MWh</t>
        </is>
      </c>
      <c r="K761" t="n">
        <v>3618.972222222223</v>
      </c>
      <c r="L761" t="n">
        <v>3618.972222222223</v>
      </c>
      <c r="M761" t="inlineStr">
        <is>
          <t>estimated</t>
        </is>
      </c>
      <c r="N761" t="n">
        <v>36374</v>
      </c>
      <c r="O761" t="n">
        <v>0.09949338049766929</v>
      </c>
      <c r="P761" t="n">
        <v>0.003513578884261041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Published power-sector series</t>
        </is>
      </c>
      <c r="C1" t="inlineStr">
        <is>
          <t>Heat rate basis</t>
        </is>
      </c>
      <c r="D1" t="inlineStr">
        <is>
          <t>Latest effective heat rate (12m)</t>
        </is>
      </c>
      <c r="E1" t="inlineStr">
        <is>
          <t>Heat content MMBtu per million m3</t>
        </is>
      </c>
      <c r="F1" t="inlineStr">
        <is>
          <t>Generation source</t>
        </is>
      </c>
      <c r="G1" t="inlineStr">
        <is>
          <t>First month</t>
        </is>
      </c>
      <c r="H1" t="inlineStr">
        <is>
          <t>Last published month</t>
        </is>
      </c>
      <c r="I1" t="inlineStr">
        <is>
          <t>Last generation month</t>
        </is>
      </c>
      <c r="J1" t="inlineStr">
        <is>
          <t>Months estimated ahead of publication</t>
        </is>
      </c>
    </row>
    <row r="2">
      <c r="A2" t="inlineStr">
        <is>
          <t>Argentina</t>
        </is>
      </c>
      <c r="B2" t="inlineStr">
        <is>
          <t>Secretaría de Energía / ENARGAS 'centrales eléctricas' (gas delivered to power plants)</t>
        </is>
      </c>
      <c r="C2" t="inlineStr">
        <is>
          <t>calibrated: 66 months</t>
        </is>
      </c>
      <c r="D2" t="n">
        <v>6.79</v>
      </c>
      <c r="E2" t="n">
        <v>36905</v>
      </c>
      <c r="F2" t="inlineStr">
        <is>
          <t>argentina_power_generation_daily.xlsx</t>
        </is>
      </c>
      <c r="G2" t="inlineStr">
        <is>
          <t>Jan/21</t>
        </is>
      </c>
      <c r="H2" t="inlineStr">
        <is>
          <t>Jun/26</t>
        </is>
      </c>
      <c r="I2" t="inlineStr">
        <is>
          <t>Oct/26</t>
        </is>
      </c>
      <c r="J2" t="n">
        <v>4</v>
      </c>
    </row>
    <row r="3">
      <c r="A3" t="inlineStr">
        <is>
          <t>Brazil</t>
        </is>
      </c>
      <c r="B3" t="inlineStr">
        <is>
          <t>MME gas bulletin 'Geração elétrica' (national, to Jun 2025 - nothing newer published)</t>
        </is>
      </c>
      <c r="C3" t="inlineStr">
        <is>
          <t>calibrated: 54 months</t>
        </is>
      </c>
      <c r="D3" t="n">
        <v>8.24</v>
      </c>
      <c r="E3" t="n">
        <v>36374</v>
      </c>
      <c r="F3" t="inlineStr">
        <is>
          <t>brazil_power_generation_daily.xlsx</t>
        </is>
      </c>
      <c r="G3" t="inlineStr">
        <is>
          <t>Jan/21</t>
        </is>
      </c>
      <c r="H3" t="inlineStr">
        <is>
          <t>Jun/25</t>
        </is>
      </c>
      <c r="I3" t="inlineStr">
        <is>
          <t>Oct/26</t>
        </is>
      </c>
      <c r="J3" t="n">
        <v>16</v>
      </c>
    </row>
    <row r="4">
      <c r="A4" t="inlineStr">
        <is>
          <t>Bolivia</t>
        </is>
      </c>
      <c r="B4" t="inlineStr">
        <is>
          <t>INE 'generadoras eléctricas'</t>
        </is>
      </c>
      <c r="C4" t="inlineStr">
        <is>
          <t>calibrated: 60 months</t>
        </is>
      </c>
      <c r="D4" t="n">
        <v>8.33</v>
      </c>
      <c r="E4" t="n">
        <v>36374</v>
      </c>
      <c r="F4" t="inlineStr">
        <is>
          <t>bolivia_power_generation_daily.xlsx</t>
        </is>
      </c>
      <c r="G4" t="inlineStr">
        <is>
          <t>Jan/21</t>
        </is>
      </c>
      <c r="H4" t="inlineStr">
        <is>
          <t>Dec/25</t>
        </is>
      </c>
      <c r="I4" t="inlineStr">
        <is>
          <t>Oct/26</t>
        </is>
      </c>
      <c r="J4" t="n">
        <v>10</v>
      </c>
    </row>
    <row r="5">
      <c r="A5" t="inlineStr">
        <is>
          <t>Chile</t>
        </is>
      </c>
      <c r="B5" t="inlineStr">
        <is>
          <t>none (flat heat rate)</t>
        </is>
      </c>
      <c r="C5" t="inlineStr">
        <is>
          <t>ASSUMPTION: 7.5 MMBtu/MWh (combined cycles at part load plus open-cycle units; no Chilean power-sector gas statistic is published monthly - CNE's import split is by region, not by use)</t>
        </is>
      </c>
      <c r="E5" t="n">
        <v>36374</v>
      </c>
      <c r="F5" t="inlineStr">
        <is>
          <t>chile_power_generation_daily.xlsx</t>
        </is>
      </c>
      <c r="G5" t="inlineStr">
        <is>
          <t>Jan/21</t>
        </is>
      </c>
      <c r="I5" t="inlineStr">
        <is>
          <t>Sep/26</t>
        </is>
      </c>
      <c r="J5" t="n">
        <v>0</v>
      </c>
    </row>
    <row r="6">
      <c r="A6" t="inlineStr">
        <is>
          <t>Colombia</t>
        </is>
      </c>
      <c r="B6" t="inlineStr">
        <is>
          <t>Gestor del Mercado (BMC) thermal demand</t>
        </is>
      </c>
      <c r="C6" t="inlineStr">
        <is>
          <t>calibrated: 69 months</t>
        </is>
      </c>
      <c r="D6" t="n">
        <v>8.800000000000001</v>
      </c>
      <c r="E6" t="n">
        <v>36374</v>
      </c>
      <c r="F6" t="inlineStr">
        <is>
          <t>colombia_power_generation_daily.xlsx</t>
        </is>
      </c>
      <c r="G6" t="inlineStr">
        <is>
          <t>Jan/21</t>
        </is>
      </c>
      <c r="H6" t="inlineStr">
        <is>
          <t>Sep/26</t>
        </is>
      </c>
      <c r="I6" t="inlineStr">
        <is>
          <t>Sep/26</t>
        </is>
      </c>
      <c r="J6" t="n">
        <v>0</v>
      </c>
    </row>
    <row r="7">
      <c r="A7" t="inlineStr">
        <is>
          <t>Ecuador</t>
        </is>
      </c>
      <c r="B7" t="inlineStr">
        <is>
          <t>Petroecuador gas to Termogas Machala + customs imports for power</t>
        </is>
      </c>
      <c r="C7" t="inlineStr">
        <is>
          <t>published months only (no gas-fired generation history yet)</t>
        </is>
      </c>
      <c r="E7" t="n">
        <v>36374</v>
      </c>
      <c r="F7" t="inlineStr">
        <is>
          <t>ecuador_power_generation_daily.xlsx</t>
        </is>
      </c>
      <c r="G7" t="inlineStr">
        <is>
          <t>Jan/21</t>
        </is>
      </c>
      <c r="H7" t="inlineStr">
        <is>
          <t>Mar/26</t>
        </is>
      </c>
      <c r="J7" t="n">
        <v>0</v>
      </c>
    </row>
    <row r="8">
      <c r="A8" t="inlineStr">
        <is>
          <t>Peru</t>
        </is>
      </c>
      <c r="B8" t="inlineStr">
        <is>
          <t>MINEM (DGH) power-sector gas</t>
        </is>
      </c>
      <c r="C8" t="inlineStr">
        <is>
          <t>calibrated: 69 months</t>
        </is>
      </c>
      <c r="D8" t="n">
        <v>7.35</v>
      </c>
      <c r="E8" t="n">
        <v>37610</v>
      </c>
      <c r="F8" t="inlineStr">
        <is>
          <t>peru_power_generation_daily.xlsx</t>
        </is>
      </c>
      <c r="G8" t="inlineStr">
        <is>
          <t>Jan/21</t>
        </is>
      </c>
      <c r="H8" t="inlineStr">
        <is>
          <t>Sep/26</t>
        </is>
      </c>
      <c r="I8" t="inlineStr">
        <is>
          <t>Oct/26</t>
        </is>
      </c>
      <c r="J8" t="n">
        <v>1</v>
      </c>
    </row>
    <row r="9">
      <c r="A9" t="inlineStr">
        <is>
          <t>Panama</t>
        </is>
      </c>
      <c r="B9" t="inlineStr">
        <is>
          <t>none (flat heat rate)</t>
        </is>
      </c>
      <c r="C9" t="inlineStr">
        <is>
          <t>ASSUMPTION: 7.0 MMBtu/MWh, the same as panama_gas.xlsx (AES Colón combined cycle)</t>
        </is>
      </c>
      <c r="E9" t="n">
        <v>36374</v>
      </c>
      <c r="F9" t="inlineStr">
        <is>
          <t>panama_power_generation_daily.xlsx</t>
        </is>
      </c>
      <c r="G9" t="inlineStr">
        <is>
          <t>Jan/21</t>
        </is>
      </c>
      <c r="I9" t="inlineStr">
        <is>
          <t>Oct/26</t>
        </is>
      </c>
      <c r="J9" t="n">
        <v>0</v>
      </c>
    </row>
    <row r="10">
      <c r="A10" t="inlineStr">
        <is>
          <t>El Salvador</t>
        </is>
      </c>
      <c r="B10" t="inlineStr">
        <is>
          <t>none (flat heat rate)</t>
        </is>
      </c>
      <c r="C10" t="inlineStr">
        <is>
          <t>ASSUMPTION: 8.2 MMBtu/MWh, the same as el_salvador_gas.xlsx (Energía del Pacífico engines)</t>
        </is>
      </c>
      <c r="E10" t="n">
        <v>36374</v>
      </c>
      <c r="F10" t="inlineStr">
        <is>
          <t>el_salvador_power_generation_daily.xlsx</t>
        </is>
      </c>
      <c r="G10" t="inlineStr">
        <is>
          <t>Jan/23</t>
        </is>
      </c>
      <c r="I10" t="inlineStr">
        <is>
          <t>Dec/25</t>
        </is>
      </c>
      <c r="J10" t="n">
        <v>0</v>
      </c>
    </row>
    <row r="11">
      <c r="A11" t="inlineStr">
        <is>
          <t>Dominican Republic</t>
        </is>
      </c>
      <c r="B11" t="inlineStr">
        <is>
          <t>SIE gas burned for power (SENI)</t>
        </is>
      </c>
      <c r="C11" t="inlineStr">
        <is>
          <t>calibrated: 65 months</t>
        </is>
      </c>
      <c r="D11" t="n">
        <v>7.79</v>
      </c>
      <c r="E11" t="n">
        <v>36621</v>
      </c>
      <c r="F11" t="inlineStr">
        <is>
          <t>dominican_republic_power_generation_daily.xlsx</t>
        </is>
      </c>
      <c r="G11" t="inlineStr">
        <is>
          <t>Jan/21</t>
        </is>
      </c>
      <c r="H11" t="inlineStr">
        <is>
          <t>May/26</t>
        </is>
      </c>
      <c r="I11" t="inlineStr">
        <is>
          <t>Oct/26</t>
        </is>
      </c>
      <c r="J11" t="n">
        <v>5</v>
      </c>
    </row>
    <row r="12">
      <c r="A12" t="inlineStr">
        <is>
          <t>Puerto Rico</t>
        </is>
      </c>
      <c r="B12" t="inlineStr">
        <is>
          <t>EIA-923 gas burned at the power plants</t>
        </is>
      </c>
      <c r="C12" t="inlineStr">
        <is>
          <t>calibrated: 68 months</t>
        </is>
      </c>
      <c r="D12" t="n">
        <v>9.699999999999999</v>
      </c>
      <c r="E12" t="n">
        <v>36621</v>
      </c>
      <c r="F12" t="inlineStr">
        <is>
          <t>puerto_rico_power_generation_daily.xlsx</t>
        </is>
      </c>
      <c r="G12" t="inlineStr">
        <is>
          <t>Jan/21</t>
        </is>
      </c>
      <c r="H12" t="inlineStr">
        <is>
          <t>Aug/26</t>
        </is>
      </c>
      <c r="I12" t="inlineStr">
        <is>
          <t>Aug/26</t>
        </is>
      </c>
      <c r="J12" t="n">
        <v>0</v>
      </c>
    </row>
    <row r="13">
      <c r="A13" t="inlineStr">
        <is>
          <t>Guatemala</t>
        </is>
      </c>
      <c r="B13" t="inlineStr">
        <is>
          <t>none (flat heat rate)</t>
        </is>
      </c>
      <c r="C13" t="inlineStr">
        <is>
          <t>ASSUMPTION: flat 7.5 MMBtu/MWh</t>
        </is>
      </c>
      <c r="E13" t="n">
        <v>36374</v>
      </c>
      <c r="F13" t="inlineStr">
        <is>
          <t>guatemala_power_generation_daily.xlsx</t>
        </is>
      </c>
      <c r="G13" t="inlineStr">
        <is>
          <t>Jan/21</t>
        </is>
      </c>
      <c r="I13" t="inlineStr">
        <is>
          <t>Oct/26</t>
        </is>
      </c>
      <c r="J1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Months tested</t>
        </is>
      </c>
      <c r="C1" t="inlineStr">
        <is>
          <t>From</t>
        </is>
      </c>
      <c r="D1" t="inlineStr">
        <is>
          <t>To</t>
        </is>
      </c>
      <c r="E1" t="inlineStr">
        <is>
          <t>Mean error %</t>
        </is>
      </c>
      <c r="F1" t="inlineStr">
        <is>
          <t>Mean absolute error %</t>
        </is>
      </c>
      <c r="G1" t="inlineStr">
        <is>
          <t>Mean absolute error %, latest 12</t>
        </is>
      </c>
      <c r="H1" t="inlineStr">
        <is>
          <t>Worst month</t>
        </is>
      </c>
    </row>
    <row r="2">
      <c r="A2" t="inlineStr">
        <is>
          <t>Argentina</t>
        </is>
      </c>
      <c r="B2" t="n">
        <v>60</v>
      </c>
      <c r="C2" t="inlineStr">
        <is>
          <t>Jul/21</t>
        </is>
      </c>
      <c r="D2" t="inlineStr">
        <is>
          <t>Jun/26</t>
        </is>
      </c>
      <c r="E2" t="n">
        <v>1.6</v>
      </c>
      <c r="F2" t="n">
        <v>7.4</v>
      </c>
      <c r="G2" t="n">
        <v>4.9</v>
      </c>
      <c r="H2" t="inlineStr">
        <is>
          <t>May/24 (+36%)</t>
        </is>
      </c>
    </row>
    <row r="3">
      <c r="A3" t="inlineStr">
        <is>
          <t>Brazil</t>
        </is>
      </c>
      <c r="B3" t="n">
        <v>48</v>
      </c>
      <c r="C3" t="inlineStr">
        <is>
          <t>Jul/21</t>
        </is>
      </c>
      <c r="D3" t="inlineStr">
        <is>
          <t>Jun/25</t>
        </is>
      </c>
      <c r="E3" t="n">
        <v>-0.7</v>
      </c>
      <c r="F3" t="n">
        <v>6.2</v>
      </c>
      <c r="G3" t="n">
        <v>9.4</v>
      </c>
      <c r="H3" t="inlineStr">
        <is>
          <t>Jan/25 (-18%)</t>
        </is>
      </c>
    </row>
    <row r="4">
      <c r="A4" t="inlineStr">
        <is>
          <t>Bolivia</t>
        </is>
      </c>
      <c r="B4" t="n">
        <v>54</v>
      </c>
      <c r="C4" t="inlineStr">
        <is>
          <t>Jul/21</t>
        </is>
      </c>
      <c r="D4" t="inlineStr">
        <is>
          <t>Dec/25</t>
        </is>
      </c>
      <c r="E4" t="n">
        <v>1.4</v>
      </c>
      <c r="F4" t="n">
        <v>5.5</v>
      </c>
      <c r="G4" t="n">
        <v>4.4</v>
      </c>
      <c r="H4" t="inlineStr">
        <is>
          <t>Jul/22 (+38%)</t>
        </is>
      </c>
    </row>
    <row r="5">
      <c r="A5" t="inlineStr">
        <is>
          <t>Colombia</t>
        </is>
      </c>
      <c r="B5" t="n">
        <v>63</v>
      </c>
      <c r="C5" t="inlineStr">
        <is>
          <t>Jul/21</t>
        </is>
      </c>
      <c r="D5" t="inlineStr">
        <is>
          <t>Sep/26</t>
        </is>
      </c>
      <c r="E5" t="n">
        <v>-1</v>
      </c>
      <c r="F5" t="n">
        <v>8.9</v>
      </c>
      <c r="G5" t="n">
        <v>9.1</v>
      </c>
      <c r="H5" t="inlineStr">
        <is>
          <t>Oct/23 (+26%)</t>
        </is>
      </c>
    </row>
    <row r="6">
      <c r="A6" t="inlineStr">
        <is>
          <t>Peru</t>
        </is>
      </c>
      <c r="B6" t="n">
        <v>63</v>
      </c>
      <c r="C6" t="inlineStr">
        <is>
          <t>Jul/21</t>
        </is>
      </c>
      <c r="D6" t="inlineStr">
        <is>
          <t>Sep/26</t>
        </is>
      </c>
      <c r="E6" t="n">
        <v>1</v>
      </c>
      <c r="F6" t="n">
        <v>4</v>
      </c>
      <c r="G6" t="n">
        <v>4.9</v>
      </c>
      <c r="H6" t="inlineStr">
        <is>
          <t>Mar/26 (+13%)</t>
        </is>
      </c>
    </row>
    <row r="7">
      <c r="A7" t="inlineStr">
        <is>
          <t>Dominican Republic</t>
        </is>
      </c>
      <c r="B7" t="n">
        <v>59</v>
      </c>
      <c r="C7" t="inlineStr">
        <is>
          <t>Jul/21</t>
        </is>
      </c>
      <c r="D7" t="inlineStr">
        <is>
          <t>May/26</t>
        </is>
      </c>
      <c r="E7" t="n">
        <v>0</v>
      </c>
      <c r="F7" t="n">
        <v>1.5</v>
      </c>
      <c r="G7" t="n">
        <v>2.2</v>
      </c>
      <c r="H7" t="inlineStr">
        <is>
          <t>Jun/22 (+12%)</t>
        </is>
      </c>
    </row>
    <row r="8">
      <c r="A8" t="inlineStr">
        <is>
          <t>Puerto Rico</t>
        </is>
      </c>
      <c r="B8" t="n">
        <v>62</v>
      </c>
      <c r="C8" t="inlineStr">
        <is>
          <t>Jul/21</t>
        </is>
      </c>
      <c r="D8" t="inlineStr">
        <is>
          <t>Aug/26</t>
        </is>
      </c>
      <c r="E8" t="n">
        <v>0.2</v>
      </c>
      <c r="F8" t="n">
        <v>4</v>
      </c>
      <c r="G8" t="n">
        <v>2.4</v>
      </c>
      <c r="H8" t="inlineStr">
        <is>
          <t>Sep/22 (-17%)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Argentina | Published</t>
        </is>
      </c>
      <c r="C1" t="inlineStr">
        <is>
          <t>Argentina | Estimate from gas-fired output</t>
        </is>
      </c>
      <c r="D1" t="inlineStr">
        <is>
          <t>Brazil | Published</t>
        </is>
      </c>
      <c r="E1" t="inlineStr">
        <is>
          <t>Brazil | Estimate from gas-fired output</t>
        </is>
      </c>
      <c r="F1" t="inlineStr">
        <is>
          <t>Bolivia | Published</t>
        </is>
      </c>
      <c r="G1" t="inlineStr">
        <is>
          <t>Bolivia | Estimate from gas-fired output</t>
        </is>
      </c>
      <c r="H1" t="inlineStr">
        <is>
          <t>Colombia | Published</t>
        </is>
      </c>
      <c r="I1" t="inlineStr">
        <is>
          <t>Colombia | Estimate from gas-fired output</t>
        </is>
      </c>
      <c r="J1" t="inlineStr">
        <is>
          <t>Peru | Published</t>
        </is>
      </c>
      <c r="K1" t="inlineStr">
        <is>
          <t>Peru | Estimate from gas-fired output</t>
        </is>
      </c>
      <c r="L1" t="inlineStr">
        <is>
          <t>Dominican Republic | Published</t>
        </is>
      </c>
      <c r="M1" t="inlineStr">
        <is>
          <t>Dominican Republic | Estimate from gas-fired output</t>
        </is>
      </c>
      <c r="N1" t="inlineStr">
        <is>
          <t>Puerto Rico | Published</t>
        </is>
      </c>
      <c r="O1" t="inlineStr">
        <is>
          <t>Puerto Rico | Estimate from gas-fired output</t>
        </is>
      </c>
    </row>
    <row r="2">
      <c r="A2" s="4" t="n">
        <v>44197</v>
      </c>
      <c r="B2" t="n">
        <v>1.770618681254839</v>
      </c>
      <c r="C2" t="n">
        <v>1.828623843633572</v>
      </c>
      <c r="D2" t="n">
        <v>1.559265144071726</v>
      </c>
      <c r="E2" t="n">
        <v>1.520025118298221</v>
      </c>
      <c r="F2" t="n">
        <v>0.1127951518</v>
      </c>
      <c r="G2" t="n">
        <v>0.1085723753018149</v>
      </c>
      <c r="H2" t="n">
        <v>0.1854376120305713</v>
      </c>
      <c r="I2" t="n">
        <v>0.1944853294951772</v>
      </c>
      <c r="J2" t="n">
        <v>0.2676221064893778</v>
      </c>
      <c r="K2" t="n">
        <v>0.2341666311435077</v>
      </c>
      <c r="L2" t="n">
        <v>0.1295354497938341</v>
      </c>
      <c r="M2" t="n">
        <v>0.1553094905200342</v>
      </c>
      <c r="N2" t="n">
        <v>0.20266046889</v>
      </c>
      <c r="O2" t="n">
        <v>0.1953924108573225</v>
      </c>
    </row>
    <row r="3">
      <c r="A3" s="4" t="n">
        <v>44228</v>
      </c>
      <c r="B3" t="n">
        <v>1.64585925085</v>
      </c>
      <c r="C3" t="n">
        <v>1.645845831765716</v>
      </c>
      <c r="D3" t="n">
        <v>1.10937557956709</v>
      </c>
      <c r="E3" t="n">
        <v>1.100181711438081</v>
      </c>
      <c r="F3" t="n">
        <v>0.1237073941</v>
      </c>
      <c r="G3" t="n">
        <v>0.1137610260888632</v>
      </c>
      <c r="H3" t="n">
        <v>0.2097095507780282</v>
      </c>
      <c r="I3" t="n">
        <v>0.2148358220306285</v>
      </c>
      <c r="J3" t="n">
        <v>0.2869381863521271</v>
      </c>
      <c r="K3" t="n">
        <v>0.2782040191708791</v>
      </c>
      <c r="L3" t="n">
        <v>0.1939651773026405</v>
      </c>
      <c r="M3" t="n">
        <v>0.1905750603703141</v>
      </c>
      <c r="N3" t="n">
        <v>0.20897120578</v>
      </c>
      <c r="O3" t="n">
        <v>0.2078111009193335</v>
      </c>
    </row>
    <row r="4">
      <c r="A4" s="4" t="n">
        <v>44256</v>
      </c>
      <c r="B4" t="n">
        <v>1.612943102490322</v>
      </c>
      <c r="C4" t="n">
        <v>1.640327624595572</v>
      </c>
      <c r="D4" t="n">
        <v>1.14083489349268</v>
      </c>
      <c r="E4" t="n">
        <v>1.116640279506503</v>
      </c>
      <c r="F4" t="n">
        <v>0.1292164873</v>
      </c>
      <c r="G4" t="n">
        <v>0.1224774196136754</v>
      </c>
      <c r="H4" t="n">
        <v>0.1737870814317919</v>
      </c>
      <c r="I4" t="n">
        <v>0.188201610992472</v>
      </c>
      <c r="J4" t="n">
        <v>0.3275623543136267</v>
      </c>
      <c r="K4" t="n">
        <v>0.2991338655268078</v>
      </c>
      <c r="L4" t="n">
        <v>0.1903122982550995</v>
      </c>
      <c r="M4" t="n">
        <v>0.1868591495085954</v>
      </c>
      <c r="N4" t="n">
        <v>0.2119694238099999</v>
      </c>
      <c r="O4" t="n">
        <v>0.202349642405635</v>
      </c>
    </row>
    <row r="5">
      <c r="A5" s="4" t="n">
        <v>44287</v>
      </c>
      <c r="B5" t="n">
        <v>1.463272834596667</v>
      </c>
      <c r="C5" t="n">
        <v>1.426281283896316</v>
      </c>
      <c r="D5" t="n">
        <v>1.147288854814432</v>
      </c>
      <c r="E5" t="n">
        <v>1.122196370608697</v>
      </c>
      <c r="F5" t="n">
        <v>0.1214472533</v>
      </c>
      <c r="G5" t="n">
        <v>0.115722854022265</v>
      </c>
      <c r="H5" t="n">
        <v>0.1543695304338263</v>
      </c>
      <c r="I5" t="n">
        <v>0.1683233338633468</v>
      </c>
      <c r="J5" t="n">
        <v>0.280279158820234</v>
      </c>
      <c r="K5" t="n">
        <v>0.2324689187187612</v>
      </c>
      <c r="L5" t="n">
        <v>0.1838647931569318</v>
      </c>
      <c r="M5" t="n">
        <v>0.1782674122924062</v>
      </c>
      <c r="N5" t="n">
        <v>0.18211084496</v>
      </c>
      <c r="O5" t="n">
        <v>0.1866987854647825</v>
      </c>
    </row>
    <row r="6">
      <c r="A6" s="4" t="n">
        <v>44317</v>
      </c>
      <c r="B6" t="n">
        <v>1.345232614445161</v>
      </c>
      <c r="C6" t="n">
        <v>1.310604194383775</v>
      </c>
      <c r="D6" t="n">
        <v>1.138192781</v>
      </c>
      <c r="E6" t="n">
        <v>1.122256195332564</v>
      </c>
      <c r="F6" t="n">
        <v>0.1436955143</v>
      </c>
      <c r="G6" t="n">
        <v>0.1454485229984801</v>
      </c>
      <c r="H6" t="n">
        <v>0.1485442651344367</v>
      </c>
      <c r="I6" t="n">
        <v>0.1541937123588703</v>
      </c>
      <c r="J6" t="n">
        <v>0.4032076670708056</v>
      </c>
      <c r="K6" t="n">
        <v>0.4040190434625197</v>
      </c>
      <c r="L6" t="n">
        <v>0.1942882275879959</v>
      </c>
      <c r="M6" t="n">
        <v>0.1868543761966165</v>
      </c>
      <c r="N6" t="n">
        <v>0.20661571529</v>
      </c>
      <c r="O6" t="n">
        <v>0.2042829388477731</v>
      </c>
    </row>
    <row r="7">
      <c r="A7" s="4" t="n">
        <v>44348</v>
      </c>
      <c r="B7" t="n">
        <v>1.4882674021</v>
      </c>
      <c r="C7" t="n">
        <v>1.504723771300498</v>
      </c>
      <c r="D7" t="n">
        <v>1.582804854</v>
      </c>
      <c r="E7" t="n">
        <v>1.530303795856326</v>
      </c>
      <c r="F7" t="n">
        <v>0.1311234811</v>
      </c>
      <c r="G7" t="n">
        <v>0.1321650044071274</v>
      </c>
      <c r="H7" t="n">
        <v>0.1747579589816902</v>
      </c>
      <c r="I7" t="n">
        <v>0.1881834892499584</v>
      </c>
      <c r="J7" t="n">
        <v>0.5015840738101833</v>
      </c>
      <c r="K7" t="n">
        <v>0.5048863749156961</v>
      </c>
      <c r="L7" t="n">
        <v>0.1742224653859807</v>
      </c>
      <c r="M7" t="n">
        <v>0.1696924453123026</v>
      </c>
      <c r="N7" t="n">
        <v>0.2666153905899999</v>
      </c>
      <c r="O7" t="n">
        <v>0.2580178851611227</v>
      </c>
    </row>
    <row r="8">
      <c r="A8" s="4" t="n">
        <v>44378</v>
      </c>
      <c r="B8" t="n">
        <v>1.656031593225807</v>
      </c>
      <c r="C8" t="n">
        <v>1.609915981931096</v>
      </c>
      <c r="D8" t="n">
        <v>1.791867878</v>
      </c>
      <c r="E8" t="n">
        <v>1.796809848547806</v>
      </c>
      <c r="F8" t="n">
        <v>0.1356437627</v>
      </c>
      <c r="G8" t="n">
        <v>0.1397233249822907</v>
      </c>
      <c r="H8" t="n">
        <v>0.1932046324297575</v>
      </c>
      <c r="I8" t="n">
        <v>0.1793252491378768</v>
      </c>
      <c r="J8" t="n">
        <v>0.4986030614851235</v>
      </c>
      <c r="K8" t="n">
        <v>0.5583418761404506</v>
      </c>
      <c r="L8" t="n">
        <v>0.1787769922448868</v>
      </c>
      <c r="M8" t="n">
        <v>0.1740511012307998</v>
      </c>
      <c r="N8" t="n">
        <v>0.27842462627</v>
      </c>
      <c r="O8" t="n">
        <v>0.2777399910652696</v>
      </c>
    </row>
    <row r="9">
      <c r="A9" s="4" t="n">
        <v>44409</v>
      </c>
      <c r="B9" t="n">
        <v>1.858557980174193</v>
      </c>
      <c r="C9" t="n">
        <v>1.841303753820673</v>
      </c>
      <c r="D9" t="n">
        <v>1.794587146317254</v>
      </c>
      <c r="E9" t="n">
        <v>1.818101376719147</v>
      </c>
      <c r="F9" t="n">
        <v>0.1385042534</v>
      </c>
      <c r="G9" t="n">
        <v>0.141951544167031</v>
      </c>
      <c r="H9" t="n">
        <v>0.1922337548798592</v>
      </c>
      <c r="I9" t="n">
        <v>0.1765513697849884</v>
      </c>
      <c r="J9" t="n">
        <v>0.5515592804337544</v>
      </c>
      <c r="K9" t="n">
        <v>0.5866914714705507</v>
      </c>
      <c r="L9" t="n">
        <v>0.1579966620982496</v>
      </c>
      <c r="M9" t="n">
        <v>0.1552993953339283</v>
      </c>
      <c r="N9" t="n">
        <v>0.24708989296</v>
      </c>
      <c r="O9" t="n">
        <v>0.2561951239200974</v>
      </c>
    </row>
    <row r="10">
      <c r="A10" s="4" t="n">
        <v>44440</v>
      </c>
      <c r="B10" t="n">
        <v>1.437835656186667</v>
      </c>
      <c r="C10" t="n">
        <v>1.448073928725328</v>
      </c>
      <c r="D10" t="n">
        <v>1.699343364</v>
      </c>
      <c r="E10" t="n">
        <v>1.784779761909178</v>
      </c>
      <c r="F10" t="n">
        <v>0.1476860754</v>
      </c>
      <c r="G10" t="n">
        <v>0.1556952641502013</v>
      </c>
      <c r="H10" t="n">
        <v>0.1912628773299609</v>
      </c>
      <c r="I10" t="n">
        <v>0.1794822148590478</v>
      </c>
      <c r="J10" t="n">
        <v>0.5600033153457988</v>
      </c>
      <c r="K10" t="n">
        <v>0.6012250157010023</v>
      </c>
      <c r="L10" t="n">
        <v>0.1812823195325086</v>
      </c>
      <c r="M10" t="n">
        <v>0.182147476126792</v>
      </c>
      <c r="N10" t="n">
        <v>0.1723710507</v>
      </c>
      <c r="O10" t="n">
        <v>0.1928031753242263</v>
      </c>
    </row>
    <row r="11">
      <c r="A11" s="4" t="n">
        <v>44470</v>
      </c>
      <c r="B11" t="n">
        <v>1.330220449393548</v>
      </c>
      <c r="C11" t="n">
        <v>1.297481333103707</v>
      </c>
      <c r="D11" t="n">
        <v>1.9114787669</v>
      </c>
      <c r="E11" t="n">
        <v>2.004576755677563</v>
      </c>
      <c r="F11" t="n">
        <v>0.1555259388</v>
      </c>
      <c r="G11" t="n">
        <v>0.1622128296416616</v>
      </c>
      <c r="H11" t="n">
        <v>0.2000007752790455</v>
      </c>
      <c r="I11" t="n">
        <v>0.1821066457386256</v>
      </c>
      <c r="J11" t="n">
        <v>0.4667499297876628</v>
      </c>
      <c r="K11" t="n">
        <v>0.5013547959030454</v>
      </c>
      <c r="L11" t="n">
        <v>0.1702465360530843</v>
      </c>
      <c r="M11" t="n">
        <v>0.168765502484515</v>
      </c>
      <c r="N11" t="n">
        <v>0.17246640039</v>
      </c>
      <c r="O11" t="n">
        <v>0.1777677404662869</v>
      </c>
    </row>
    <row r="12">
      <c r="A12" s="4" t="n">
        <v>44501</v>
      </c>
      <c r="B12" t="n">
        <v>1.473404622026667</v>
      </c>
      <c r="C12" t="n">
        <v>1.472477408416845</v>
      </c>
      <c r="D12" t="n">
        <v>1.8045105406</v>
      </c>
      <c r="E12" t="n">
        <v>1.865998648439521</v>
      </c>
      <c r="F12" t="n">
        <v>0.1602934233</v>
      </c>
      <c r="G12" t="n">
        <v>0.169648876582019</v>
      </c>
      <c r="H12" t="n">
        <v>0.201942530378842</v>
      </c>
      <c r="I12" t="n">
        <v>0.1847139883699969</v>
      </c>
      <c r="J12" t="n">
        <v>0.4459538438057963</v>
      </c>
      <c r="K12" t="n">
        <v>0.464195050906669</v>
      </c>
      <c r="L12" t="n">
        <v>0.1749794638158434</v>
      </c>
      <c r="M12" t="n">
        <v>0.1795675458014954</v>
      </c>
      <c r="N12" t="n">
        <v>0.07816202551000001</v>
      </c>
      <c r="O12" t="n">
        <v>0.08423057884133914</v>
      </c>
    </row>
    <row r="13">
      <c r="A13" s="4" t="n">
        <v>44531</v>
      </c>
      <c r="B13" t="n">
        <v>1.66246342536129</v>
      </c>
      <c r="C13" t="n">
        <v>1.73299017586812</v>
      </c>
      <c r="D13" t="n">
        <v>1.470857255</v>
      </c>
      <c r="E13" t="n">
        <v>1.521465135170869</v>
      </c>
      <c r="F13" t="n">
        <v>0.126073479</v>
      </c>
      <c r="G13" t="n">
        <v>0.1358338627304477</v>
      </c>
      <c r="H13" t="n">
        <v>0.2135930609776214</v>
      </c>
      <c r="I13" t="n">
        <v>0.1929865336150477</v>
      </c>
      <c r="J13" t="n">
        <v>0.3640985053731322</v>
      </c>
      <c r="K13" t="n">
        <v>0.3603124306330305</v>
      </c>
      <c r="L13" t="n">
        <v>0.1631278578247453</v>
      </c>
      <c r="M13" t="n">
        <v>0.1680877794101172</v>
      </c>
      <c r="N13" t="n">
        <v>0.11173924227</v>
      </c>
      <c r="O13" t="n">
        <v>0.1098552636592944</v>
      </c>
    </row>
    <row r="14">
      <c r="A14" s="4" t="n">
        <v>44562</v>
      </c>
      <c r="B14" t="n">
        <v>1.728345846170968</v>
      </c>
      <c r="C14" t="n">
        <v>1.782881674200696</v>
      </c>
      <c r="D14" t="n">
        <v>1.218004003</v>
      </c>
      <c r="E14" t="n">
        <v>1.250400510433632</v>
      </c>
      <c r="F14" t="n">
        <v>0.1278038993</v>
      </c>
      <c r="G14" t="n">
        <v>0.1344271125038931</v>
      </c>
      <c r="H14" t="n">
        <v>0.1922337548798592</v>
      </c>
      <c r="I14" t="n">
        <v>0.173633638766532</v>
      </c>
      <c r="J14" t="n">
        <v>0.3368973929095453</v>
      </c>
      <c r="K14" t="n">
        <v>0.3716255060739948</v>
      </c>
      <c r="L14" t="n">
        <v>0.1400099936730291</v>
      </c>
      <c r="M14" t="n">
        <v>0.1431189529239195</v>
      </c>
      <c r="N14" t="n">
        <v>0.096055984</v>
      </c>
      <c r="O14" t="n">
        <v>0.1026847818760473</v>
      </c>
    </row>
    <row r="15">
      <c r="A15" s="4" t="n">
        <v>44593</v>
      </c>
      <c r="B15" t="n">
        <v>1.476587065075</v>
      </c>
      <c r="C15" t="n">
        <v>1.542016469465082</v>
      </c>
      <c r="D15" t="n">
        <v>0.8373115369999999</v>
      </c>
      <c r="E15" t="n">
        <v>0.8296982810670634</v>
      </c>
      <c r="F15" t="n">
        <v>0.1368091478</v>
      </c>
      <c r="G15" t="n">
        <v>0.1448527537485524</v>
      </c>
      <c r="H15" t="n">
        <v>0.2223309589267059</v>
      </c>
      <c r="I15" t="n">
        <v>0.2118800410984494</v>
      </c>
      <c r="J15" t="n">
        <v>0.3109962858208588</v>
      </c>
      <c r="K15" t="n">
        <v>0.3249912312047775</v>
      </c>
      <c r="L15" t="n">
        <v>0.14484899764889</v>
      </c>
      <c r="M15" t="n">
        <v>0.1435910640063173</v>
      </c>
      <c r="N15" t="n">
        <v>0.10702826129</v>
      </c>
      <c r="O15" t="n">
        <v>0.1200448470799119</v>
      </c>
    </row>
    <row r="16">
      <c r="A16" s="4" t="n">
        <v>44621</v>
      </c>
      <c r="B16" t="n">
        <v>1.316009130603226</v>
      </c>
      <c r="C16" t="n">
        <v>1.365728567479208</v>
      </c>
      <c r="D16" t="n">
        <v>0.5992904589999999</v>
      </c>
      <c r="E16" t="n">
        <v>0.5791283372671233</v>
      </c>
      <c r="F16" t="n">
        <v>0.1251906115</v>
      </c>
      <c r="G16" t="n">
        <v>0.1295951994349587</v>
      </c>
      <c r="H16" t="n">
        <v>0.2233018364766041</v>
      </c>
      <c r="I16" t="n">
        <v>0.2058593694992617</v>
      </c>
      <c r="J16" t="n">
        <v>0.3016422471463839</v>
      </c>
      <c r="K16" t="n">
        <v>0.3076904384525691</v>
      </c>
      <c r="L16" t="n">
        <v>0.1753960540345703</v>
      </c>
      <c r="M16" t="n">
        <v>0.1751148378547206</v>
      </c>
      <c r="N16" t="n">
        <v>0.1488161458</v>
      </c>
      <c r="O16" t="n">
        <v>0.1557175901849341</v>
      </c>
    </row>
    <row r="17">
      <c r="A17" s="4" t="n">
        <v>44652</v>
      </c>
      <c r="B17" t="n">
        <v>1.1732955928</v>
      </c>
      <c r="C17" t="n">
        <v>1.230872201092438</v>
      </c>
      <c r="D17" t="n">
        <v>0.3397274139999999</v>
      </c>
      <c r="E17" t="n">
        <v>0.3100334975652106</v>
      </c>
      <c r="F17" t="n">
        <v>0.1201052947</v>
      </c>
      <c r="G17" t="n">
        <v>0.126654195124366</v>
      </c>
      <c r="H17" t="n">
        <v>0.2038842854786386</v>
      </c>
      <c r="I17" t="n">
        <v>0.1920781057428577</v>
      </c>
      <c r="J17" t="n">
        <v>0.2649970956362138</v>
      </c>
      <c r="K17" t="n">
        <v>0.2642331899378273</v>
      </c>
      <c r="L17" t="n">
        <v>0.1878619377324486</v>
      </c>
      <c r="M17" t="n">
        <v>0.1861855205333198</v>
      </c>
      <c r="N17" t="n">
        <v>0.11314123586</v>
      </c>
      <c r="O17" t="n">
        <v>0.1256372016814093</v>
      </c>
    </row>
    <row r="18">
      <c r="A18" s="4" t="n">
        <v>44682</v>
      </c>
      <c r="B18" t="n">
        <v>1.153359875058064</v>
      </c>
      <c r="C18" t="n">
        <v>1.212964617145579</v>
      </c>
      <c r="D18" t="n">
        <v>0.308297331</v>
      </c>
      <c r="E18" t="n">
        <v>0.2934610228643987</v>
      </c>
      <c r="F18" t="n">
        <v>0.1189752243</v>
      </c>
      <c r="G18" t="n">
        <v>0.1283502361993118</v>
      </c>
      <c r="H18" t="n">
        <v>0.20873867322813</v>
      </c>
      <c r="I18" t="n">
        <v>0.2052263936928178</v>
      </c>
      <c r="J18" t="n">
        <v>0.3710665341825977</v>
      </c>
      <c r="K18" t="n">
        <v>0.4034931688901225</v>
      </c>
      <c r="L18" t="n">
        <v>0.1768300115698643</v>
      </c>
      <c r="M18" t="n">
        <v>0.1722584102487523</v>
      </c>
      <c r="N18" t="n">
        <v>0.13715523186</v>
      </c>
      <c r="O18" t="n">
        <v>0.1353857133766994</v>
      </c>
    </row>
    <row r="19">
      <c r="A19" s="4" t="n">
        <v>44713</v>
      </c>
      <c r="B19" t="n">
        <v>1.014929174963333</v>
      </c>
      <c r="C19" t="n">
        <v>1.111198768235968</v>
      </c>
      <c r="D19" t="n">
        <v>0.5180666489999999</v>
      </c>
      <c r="E19" t="n">
        <v>0.4689233335544641</v>
      </c>
      <c r="F19" t="n">
        <v>0.1110294168</v>
      </c>
      <c r="G19" t="n">
        <v>0.1202410311124212</v>
      </c>
      <c r="H19" t="n">
        <v>0.2000007752790455</v>
      </c>
      <c r="I19" t="n">
        <v>0.199614182552541</v>
      </c>
      <c r="J19" t="n">
        <v>0.4657029254588008</v>
      </c>
      <c r="K19" t="n">
        <v>0.5012429373553177</v>
      </c>
      <c r="L19" t="n">
        <v>0.1902987976461593</v>
      </c>
      <c r="M19" t="n">
        <v>0.2124348408037816</v>
      </c>
      <c r="N19" t="n">
        <v>0.16204150095</v>
      </c>
      <c r="O19" t="n">
        <v>0.162097281283464</v>
      </c>
    </row>
    <row r="20">
      <c r="A20" s="4" t="n">
        <v>44743</v>
      </c>
      <c r="B20" t="n">
        <v>1.513803347751613</v>
      </c>
      <c r="C20" t="n">
        <v>1.477174252236636</v>
      </c>
      <c r="D20" t="n">
        <v>0.413535137</v>
      </c>
      <c r="E20" t="n">
        <v>0.3910752528781775</v>
      </c>
      <c r="F20" t="n">
        <v>0.09386647259999999</v>
      </c>
      <c r="G20" t="n">
        <v>0.1295349521434622</v>
      </c>
      <c r="H20" t="n">
        <v>0.2271853466761973</v>
      </c>
      <c r="I20" t="n">
        <v>0.2292615482009965</v>
      </c>
      <c r="J20" t="n">
        <v>0.5024170772542541</v>
      </c>
      <c r="K20" t="n">
        <v>0.5529055432741512</v>
      </c>
      <c r="L20" t="n">
        <v>0.2017289917724802</v>
      </c>
      <c r="M20" t="n">
        <v>0.1991063564904646</v>
      </c>
      <c r="N20" t="n">
        <v>0.16148352869</v>
      </c>
      <c r="O20" t="n">
        <v>0.167307023516701</v>
      </c>
    </row>
    <row r="21">
      <c r="A21" s="4" t="n">
        <v>44774</v>
      </c>
      <c r="B21" t="n">
        <v>1.126849927196774</v>
      </c>
      <c r="C21" t="n">
        <v>1.133128383407986</v>
      </c>
      <c r="D21" t="n">
        <v>0.4214903589615153</v>
      </c>
      <c r="E21" t="n">
        <v>0.4230087075934015</v>
      </c>
      <c r="F21" t="n">
        <v>0.1330657896</v>
      </c>
      <c r="G21" t="n">
        <v>0.1293476091120981</v>
      </c>
      <c r="H21" t="n">
        <v>0.1834958569307747</v>
      </c>
      <c r="I21" t="n">
        <v>0.1911290158465288</v>
      </c>
      <c r="J21" t="n">
        <v>0.5276871817340467</v>
      </c>
      <c r="K21" t="n">
        <v>0.5571454612361756</v>
      </c>
      <c r="L21" t="n">
        <v>0.1986874974440894</v>
      </c>
      <c r="M21" t="n">
        <v>0.1955653197173684</v>
      </c>
      <c r="N21" t="n">
        <v>0.17594489834</v>
      </c>
      <c r="O21" t="n">
        <v>0.1774678719439504</v>
      </c>
    </row>
    <row r="22">
      <c r="A22" s="4" t="n">
        <v>44805</v>
      </c>
      <c r="B22" t="n">
        <v>1.13023284762</v>
      </c>
      <c r="C22" t="n">
        <v>1.128425709140252</v>
      </c>
      <c r="D22" t="n">
        <v>0.4749827149999999</v>
      </c>
      <c r="E22" t="n">
        <v>0.4412739733047069</v>
      </c>
      <c r="F22" t="n">
        <v>0.1412588</v>
      </c>
      <c r="G22" t="n">
        <v>0.1390316208977506</v>
      </c>
      <c r="H22" t="n">
        <v>0.1815541018309781</v>
      </c>
      <c r="I22" t="n">
        <v>0.1829101120027987</v>
      </c>
      <c r="J22" t="n">
        <v>0.5482732668476601</v>
      </c>
      <c r="K22" t="n">
        <v>0.5758354528104321</v>
      </c>
      <c r="L22" t="n">
        <v>0.1617083652276017</v>
      </c>
      <c r="M22" t="n">
        <v>0.1602090746104942</v>
      </c>
      <c r="N22" t="n">
        <v>0.15356597295</v>
      </c>
      <c r="O22" t="n">
        <v>0.1281146954526984</v>
      </c>
    </row>
    <row r="23">
      <c r="A23" s="4" t="n">
        <v>44835</v>
      </c>
      <c r="B23" t="n">
        <v>1.157883574209677</v>
      </c>
      <c r="C23" t="n">
        <v>1.115765270917779</v>
      </c>
      <c r="D23" t="n">
        <v>0.457678512</v>
      </c>
      <c r="E23" t="n">
        <v>0.4588367409166764</v>
      </c>
      <c r="F23" t="n">
        <v>0.1721238478</v>
      </c>
      <c r="G23" t="n">
        <v>0.1653066767797022</v>
      </c>
      <c r="H23" t="n">
        <v>0.1320393467861659</v>
      </c>
      <c r="I23" t="n">
        <v>0.1452610225218205</v>
      </c>
      <c r="J23" t="n">
        <v>0.5538122897488699</v>
      </c>
      <c r="K23" t="n">
        <v>0.5664186137303762</v>
      </c>
      <c r="L23" t="n">
        <v>0.1687151812675787</v>
      </c>
      <c r="M23" t="n">
        <v>0.1698860980260964</v>
      </c>
      <c r="N23" t="n">
        <v>0.12647606658</v>
      </c>
      <c r="O23" t="n">
        <v>0.1242367670684031</v>
      </c>
    </row>
    <row r="24">
      <c r="A24" s="4" t="n">
        <v>44866</v>
      </c>
      <c r="B24" t="n">
        <v>1.291224324823333</v>
      </c>
      <c r="C24" t="n">
        <v>1.272059687536949</v>
      </c>
      <c r="D24" t="n">
        <v>0.4128288429999999</v>
      </c>
      <c r="E24" t="n">
        <v>0.460839198346138</v>
      </c>
      <c r="F24" t="n">
        <v>0.1922885415</v>
      </c>
      <c r="G24" t="n">
        <v>0.1785509611610004</v>
      </c>
      <c r="H24" t="n">
        <v>0.1631074283829109</v>
      </c>
      <c r="I24" t="n">
        <v>0.164401900184807</v>
      </c>
      <c r="J24" t="n">
        <v>0.5942864570901887</v>
      </c>
      <c r="K24" t="n">
        <v>0.5970707356390633</v>
      </c>
      <c r="L24" t="n">
        <v>0.1451382964118948</v>
      </c>
      <c r="M24" t="n">
        <v>0.1398136530115042</v>
      </c>
      <c r="N24" t="n">
        <v>0.14463488532</v>
      </c>
      <c r="O24" t="n">
        <v>0.1450146698846096</v>
      </c>
    </row>
    <row r="25">
      <c r="A25" s="4" t="n">
        <v>44896</v>
      </c>
      <c r="B25" t="n">
        <v>1.481728486680645</v>
      </c>
      <c r="C25" t="n">
        <v>1.512193893293825</v>
      </c>
      <c r="D25" t="n">
        <v>0.4891794792480356</v>
      </c>
      <c r="E25" t="n">
        <v>0.5140542839802266</v>
      </c>
      <c r="F25" t="n">
        <v>0.1881920363</v>
      </c>
      <c r="G25" t="n">
        <v>0.178051950206996</v>
      </c>
      <c r="H25" t="n">
        <v>0.1223305712871832</v>
      </c>
      <c r="I25" t="n">
        <v>0.1489696976446726</v>
      </c>
      <c r="J25" t="n">
        <v>0.5416062392826907</v>
      </c>
      <c r="K25" t="n">
        <v>0.5505451909450516</v>
      </c>
      <c r="L25" t="n">
        <v>0.1429087672783376</v>
      </c>
      <c r="M25" t="n">
        <v>0.1416432381987566</v>
      </c>
      <c r="N25" t="n">
        <v>0.09577346639999999</v>
      </c>
      <c r="O25" t="n">
        <v>0.1023751181335668</v>
      </c>
    </row>
    <row r="26">
      <c r="A26" s="4" t="n">
        <v>44927</v>
      </c>
      <c r="B26" t="n">
        <v>1.533567048729032</v>
      </c>
      <c r="C26" t="n">
        <v>1.584861055739212</v>
      </c>
      <c r="D26" t="n">
        <v>0.413888284</v>
      </c>
      <c r="E26" t="n">
        <v>0.4498219911401196</v>
      </c>
      <c r="F26" t="n">
        <v>0.1638248933</v>
      </c>
      <c r="G26" t="n">
        <v>0.1602167559095769</v>
      </c>
      <c r="H26" t="n">
        <v>0.11844706108759</v>
      </c>
      <c r="I26" t="n">
        <v>0.14391287943197</v>
      </c>
      <c r="J26" t="n">
        <v>0.4009876578921297</v>
      </c>
      <c r="K26" t="n">
        <v>0.4031996252536821</v>
      </c>
      <c r="L26" t="n">
        <v>0.1141206473717266</v>
      </c>
      <c r="M26" t="n">
        <v>0.1123331288212945</v>
      </c>
      <c r="N26" t="n">
        <v>0.1385395681</v>
      </c>
      <c r="O26" t="n">
        <v>0.1376721293236761</v>
      </c>
    </row>
    <row r="27">
      <c r="A27" s="4" t="n">
        <v>44958</v>
      </c>
      <c r="B27" t="n">
        <v>1.4154484907</v>
      </c>
      <c r="C27" t="n">
        <v>1.45931131520381</v>
      </c>
      <c r="D27" t="n">
        <v>0.3421994429999999</v>
      </c>
      <c r="E27" t="n">
        <v>0.3375896633539507</v>
      </c>
      <c r="F27" t="n">
        <v>0.1521004129</v>
      </c>
      <c r="G27" t="n">
        <v>0.1473937632931066</v>
      </c>
      <c r="H27" t="n">
        <v>0.166990938582504</v>
      </c>
      <c r="I27" t="n">
        <v>0.1896133755603263</v>
      </c>
      <c r="J27" t="n">
        <v>0.3609874925105823</v>
      </c>
      <c r="K27" t="n">
        <v>0.3426423346091511</v>
      </c>
      <c r="L27" t="n">
        <v>0.1439348135577947</v>
      </c>
      <c r="M27" t="n">
        <v>0.1436501869450883</v>
      </c>
      <c r="N27" t="n">
        <v>0.18734801497</v>
      </c>
      <c r="O27" t="n">
        <v>0.1849220448463862</v>
      </c>
    </row>
    <row r="28">
      <c r="A28" s="4" t="n">
        <v>44986</v>
      </c>
      <c r="B28" t="n">
        <v>1.472510210796774</v>
      </c>
      <c r="C28" t="n">
        <v>1.465422508630696</v>
      </c>
      <c r="D28" t="n">
        <v>0.3308987389999999</v>
      </c>
      <c r="E28" t="n">
        <v>0.3173166965927983</v>
      </c>
      <c r="F28" t="n">
        <v>0.1799283965</v>
      </c>
      <c r="G28" t="n">
        <v>0.1678207995217185</v>
      </c>
      <c r="H28" t="n">
        <v>0.1485442651344367</v>
      </c>
      <c r="I28" t="n">
        <v>0.1532730766254539</v>
      </c>
      <c r="J28" t="n">
        <v>0.4594338995393778</v>
      </c>
      <c r="K28" t="n">
        <v>0.4500169552176651</v>
      </c>
      <c r="L28" t="n">
        <v>0.1959140866360831</v>
      </c>
      <c r="M28" t="n">
        <v>0.1949051646414598</v>
      </c>
      <c r="N28" t="n">
        <v>0.15721398146</v>
      </c>
      <c r="O28" t="n">
        <v>0.1577713475733699</v>
      </c>
    </row>
    <row r="29">
      <c r="A29" s="4" t="n">
        <v>45017</v>
      </c>
      <c r="B29" t="n">
        <v>1.113238236823333</v>
      </c>
      <c r="C29" t="n">
        <v>1.069647051897088</v>
      </c>
      <c r="D29" t="n">
        <v>0.437195986</v>
      </c>
      <c r="E29" t="n">
        <v>0.4259518219343644</v>
      </c>
      <c r="F29" t="n">
        <v>0.1710290921</v>
      </c>
      <c r="G29" t="n">
        <v>0.1578970782758064</v>
      </c>
      <c r="H29" t="n">
        <v>0.1417481222851487</v>
      </c>
      <c r="I29" t="n">
        <v>0.1225013127985773</v>
      </c>
      <c r="J29" t="n">
        <v>0.3859015955184791</v>
      </c>
      <c r="K29" t="n">
        <v>0.3698128813951744</v>
      </c>
      <c r="L29" t="n">
        <v>0.1903364064853499</v>
      </c>
      <c r="M29" t="n">
        <v>0.1895334609445909</v>
      </c>
      <c r="N29" t="n">
        <v>0.18831210628</v>
      </c>
      <c r="O29" t="n">
        <v>0.175529399336818</v>
      </c>
    </row>
    <row r="30">
      <c r="A30" s="4" t="n">
        <v>45047</v>
      </c>
      <c r="B30" t="n">
        <v>1.373287295635484</v>
      </c>
      <c r="C30" t="n">
        <v>1.388389686410187</v>
      </c>
      <c r="D30" t="n">
        <v>0.3121322032285914</v>
      </c>
      <c r="E30" t="n">
        <v>0.3113490285692131</v>
      </c>
      <c r="F30" t="n">
        <v>0.1662616076</v>
      </c>
      <c r="G30" t="n">
        <v>0.1627430585166827</v>
      </c>
      <c r="H30" t="n">
        <v>0.1922337548798592</v>
      </c>
      <c r="I30" t="n">
        <v>0.2023578033568278</v>
      </c>
      <c r="J30" t="n">
        <v>0.4787069792243419</v>
      </c>
      <c r="K30" t="n">
        <v>0.4633061705655787</v>
      </c>
      <c r="L30" t="n">
        <v>0.2132266889435024</v>
      </c>
      <c r="M30" t="n">
        <v>0.2095283924173935</v>
      </c>
      <c r="N30" t="n">
        <v>0.15568838642</v>
      </c>
      <c r="O30" t="n">
        <v>0.1715077870531076</v>
      </c>
    </row>
    <row r="31">
      <c r="A31" s="4" t="n">
        <v>45078</v>
      </c>
      <c r="B31" t="n">
        <v>1.675083342256667</v>
      </c>
      <c r="C31" t="n">
        <v>1.368658209498921</v>
      </c>
      <c r="D31" t="n">
        <v>0.5701869638675807</v>
      </c>
      <c r="E31" t="n">
        <v>0.5911306486446485</v>
      </c>
      <c r="F31" t="n">
        <v>0.1718060155</v>
      </c>
      <c r="G31" t="n">
        <v>0.16309156034299</v>
      </c>
      <c r="H31" t="n">
        <v>0.1970881426293506</v>
      </c>
      <c r="I31" t="n">
        <v>0.1988866818828792</v>
      </c>
      <c r="J31" t="n">
        <v>0.5447162521411061</v>
      </c>
      <c r="K31" t="n">
        <v>0.5906698614815397</v>
      </c>
      <c r="L31" t="n">
        <v>0.2125632304470113</v>
      </c>
      <c r="M31" t="n">
        <v>0.2053129340961311</v>
      </c>
      <c r="N31" t="n">
        <v>0.18667703567</v>
      </c>
      <c r="O31" t="n">
        <v>0.1980928406480373</v>
      </c>
    </row>
    <row r="32">
      <c r="A32" s="4" t="n">
        <v>45108</v>
      </c>
      <c r="B32" t="n">
        <v>1.477818807635484</v>
      </c>
      <c r="C32" t="n">
        <v>1.224935335155181</v>
      </c>
      <c r="D32" t="n">
        <v>0.396937228</v>
      </c>
      <c r="E32" t="n">
        <v>0.4084151949467731</v>
      </c>
      <c r="F32" t="n">
        <v>0.1662616076</v>
      </c>
      <c r="G32" t="n">
        <v>0.1572636431850769</v>
      </c>
      <c r="H32" t="n">
        <v>0.1922337548798592</v>
      </c>
      <c r="I32" t="n">
        <v>0.1977257866033282</v>
      </c>
      <c r="J32" t="n">
        <v>0.5491652705356687</v>
      </c>
      <c r="K32" t="n">
        <v>0.5539993170458544</v>
      </c>
      <c r="L32" t="n">
        <v>0.2052285424756287</v>
      </c>
      <c r="M32" t="n">
        <v>0.205850664688992</v>
      </c>
      <c r="N32" t="n">
        <v>0.19163168808</v>
      </c>
      <c r="O32" t="n">
        <v>0.1955970616567395</v>
      </c>
    </row>
    <row r="33">
      <c r="A33" s="4" t="n">
        <v>45139</v>
      </c>
      <c r="B33" t="n">
        <v>1.486581409970968</v>
      </c>
      <c r="C33" t="n">
        <v>1.205751154954592</v>
      </c>
      <c r="D33" t="n">
        <v>0.400468698</v>
      </c>
      <c r="E33" t="n">
        <v>0.3822735536700578</v>
      </c>
      <c r="F33" t="n">
        <v>0.1702521687</v>
      </c>
      <c r="G33" t="n">
        <v>0.1723727526251871</v>
      </c>
      <c r="H33" t="n">
        <v>0.2252435915764007</v>
      </c>
      <c r="I33" t="n">
        <v>0.216048205522512</v>
      </c>
      <c r="J33" t="n">
        <v>0.5727933682265488</v>
      </c>
      <c r="K33" t="n">
        <v>0.5892317207353438</v>
      </c>
      <c r="L33" t="n">
        <v>0.2083761130171213</v>
      </c>
      <c r="M33" t="n">
        <v>0.2081194111835435</v>
      </c>
      <c r="N33" t="n">
        <v>0.19873347425</v>
      </c>
      <c r="O33" t="n">
        <v>0.205741740246783</v>
      </c>
    </row>
    <row r="34">
      <c r="A34" s="4" t="n">
        <v>45170</v>
      </c>
      <c r="B34" t="n">
        <v>1.370815418526667</v>
      </c>
      <c r="C34" t="n">
        <v>1.105767892759866</v>
      </c>
      <c r="D34" t="n">
        <v>0.385989671</v>
      </c>
      <c r="E34" t="n">
        <v>0.369490342735125</v>
      </c>
      <c r="F34" t="n">
        <v>0.1789748996</v>
      </c>
      <c r="G34" t="n">
        <v>0.1826397479731967</v>
      </c>
      <c r="H34" t="n">
        <v>0.3611664485621598</v>
      </c>
      <c r="I34" t="n">
        <v>0.4190773028647857</v>
      </c>
      <c r="J34" t="n">
        <v>0.5936764545681201</v>
      </c>
      <c r="K34" t="n">
        <v>0.6152427387704928</v>
      </c>
      <c r="L34" t="n">
        <v>0.2014985170912864</v>
      </c>
      <c r="M34" t="n">
        <v>0.197973101864476</v>
      </c>
      <c r="N34" t="n">
        <v>0.20554921135</v>
      </c>
      <c r="O34" t="n">
        <v>0.2121779968858291</v>
      </c>
    </row>
    <row r="35">
      <c r="A35" s="4" t="n">
        <v>45200</v>
      </c>
      <c r="B35" t="n">
        <v>1.143965025674194</v>
      </c>
      <c r="C35" t="n">
        <v>0.9629157864316561</v>
      </c>
      <c r="D35" t="n">
        <v>0.409297373</v>
      </c>
      <c r="E35" t="n">
        <v>0.3680677112569554</v>
      </c>
      <c r="F35" t="n">
        <v>0.1801402847</v>
      </c>
      <c r="G35" t="n">
        <v>0.1842427508229193</v>
      </c>
      <c r="H35" t="n">
        <v>0.3631082036619563</v>
      </c>
      <c r="I35" t="n">
        <v>0.4567077574726861</v>
      </c>
      <c r="J35" t="n">
        <v>0.543537247266485</v>
      </c>
      <c r="K35" t="n">
        <v>0.5545300710393672</v>
      </c>
      <c r="L35" t="n">
        <v>0.2272480356571366</v>
      </c>
      <c r="M35" t="n">
        <v>0.2202891505642567</v>
      </c>
      <c r="N35" t="n">
        <v>0.16965888174</v>
      </c>
      <c r="O35" t="n">
        <v>0.1654647366698772</v>
      </c>
    </row>
    <row r="36">
      <c r="A36" s="4" t="n">
        <v>45231</v>
      </c>
      <c r="B36" t="n">
        <v>1.377546400346667</v>
      </c>
      <c r="C36" t="n">
        <v>1.195044029233448</v>
      </c>
      <c r="D36" t="n">
        <v>0.6918149729999999</v>
      </c>
      <c r="E36" t="n">
        <v>0.682816990327505</v>
      </c>
      <c r="F36" t="n">
        <v>0.1833892371</v>
      </c>
      <c r="G36" t="n">
        <v>0.1838130030881716</v>
      </c>
      <c r="H36" t="n">
        <v>0.2349523670753835</v>
      </c>
      <c r="I36" t="n">
        <v>0.2554179648196507</v>
      </c>
      <c r="J36" t="n">
        <v>0.4831509975982318</v>
      </c>
      <c r="K36" t="n">
        <v>0.4943580903293704</v>
      </c>
      <c r="L36" t="n">
        <v>0.1982554779580022</v>
      </c>
      <c r="M36" t="n">
        <v>0.1955627037900518</v>
      </c>
      <c r="N36" t="n">
        <v>0.1811290963</v>
      </c>
      <c r="O36" t="n">
        <v>0.1741699401414475</v>
      </c>
    </row>
    <row r="37">
      <c r="A37" s="4" t="n">
        <v>45261</v>
      </c>
      <c r="B37" t="n">
        <v>1.390177974890322</v>
      </c>
      <c r="C37" t="n">
        <v>1.23745125111396</v>
      </c>
      <c r="D37" t="n">
        <v>0.725717085</v>
      </c>
      <c r="E37" t="n">
        <v>0.7434238737508148</v>
      </c>
      <c r="F37" t="n">
        <v>0.1643899285</v>
      </c>
      <c r="G37" t="n">
        <v>0.1611641855193232</v>
      </c>
      <c r="H37" t="n">
        <v>0.344661530213889</v>
      </c>
      <c r="I37" t="n">
        <v>0.3886840936141965</v>
      </c>
      <c r="J37" t="n">
        <v>0.3293573617351236</v>
      </c>
      <c r="K37" t="n">
        <v>0.3237095719960432</v>
      </c>
      <c r="L37" t="n">
        <v>0.1849814863821305</v>
      </c>
      <c r="M37" t="n">
        <v>0.1810323602004096</v>
      </c>
      <c r="N37" t="n">
        <v>0.1678154544</v>
      </c>
      <c r="O37" t="n">
        <v>0.1728295190445954</v>
      </c>
    </row>
    <row r="38">
      <c r="A38" s="4" t="n">
        <v>45292</v>
      </c>
      <c r="B38" t="n">
        <v>1.598539261625806</v>
      </c>
      <c r="C38" t="n">
        <v>1.735506393790216</v>
      </c>
      <c r="D38" t="n">
        <v>0.622951308</v>
      </c>
      <c r="E38" t="n">
        <v>0.6823423748681987</v>
      </c>
      <c r="F38" t="n">
        <v>0.1925710591</v>
      </c>
      <c r="G38" t="n">
        <v>0.1909946223012676</v>
      </c>
      <c r="H38" t="n">
        <v>0.2932050200692802</v>
      </c>
      <c r="I38" t="n">
        <v>0.2853821793554198</v>
      </c>
      <c r="J38" t="n">
        <v>0.3221993321400957</v>
      </c>
      <c r="K38" t="n">
        <v>0.3072002189716461</v>
      </c>
      <c r="L38" t="n">
        <v>0.1863652987985036</v>
      </c>
      <c r="M38" t="n">
        <v>0.1864345523831255</v>
      </c>
      <c r="N38" t="n">
        <v>0.14603334744</v>
      </c>
      <c r="O38" t="n">
        <v>0.1591089207589795</v>
      </c>
    </row>
    <row r="39">
      <c r="A39" s="4" t="n">
        <v>45323</v>
      </c>
      <c r="B39" t="n">
        <v>1.67643873667931</v>
      </c>
      <c r="C39" t="n">
        <v>1.936662203246627</v>
      </c>
      <c r="D39" t="n">
        <v>0.3879236342182689</v>
      </c>
      <c r="E39" t="n">
        <v>0.4279163228042294</v>
      </c>
      <c r="F39" t="n">
        <v>0.181870705</v>
      </c>
      <c r="G39" t="n">
        <v>0.1734057772075122</v>
      </c>
      <c r="H39" t="n">
        <v>0.3213604690163303</v>
      </c>
      <c r="I39" t="n">
        <v>0.3086982159557312</v>
      </c>
      <c r="J39" t="n">
        <v>0.3746295489139591</v>
      </c>
      <c r="K39" t="n">
        <v>0.354736742620109</v>
      </c>
      <c r="L39" t="n">
        <v>0.2106172141011987</v>
      </c>
      <c r="M39" t="n">
        <v>0.2145040737569938</v>
      </c>
      <c r="N39" t="n">
        <v>0.13339421631</v>
      </c>
      <c r="O39" t="n">
        <v>0.1400467946317201</v>
      </c>
    </row>
    <row r="40">
      <c r="A40" s="4" t="n">
        <v>45352</v>
      </c>
      <c r="B40" t="n">
        <v>1.539056775803226</v>
      </c>
      <c r="C40" t="n">
        <v>1.70917446223478</v>
      </c>
      <c r="D40" t="n">
        <v>0.3682970672441959</v>
      </c>
      <c r="E40" t="n">
        <v>0.3938380186472825</v>
      </c>
      <c r="F40" t="n">
        <v>0.152912651</v>
      </c>
      <c r="G40" t="n">
        <v>0.1494005222157627</v>
      </c>
      <c r="H40" t="n">
        <v>0.4475745505031066</v>
      </c>
      <c r="I40" t="n">
        <v>0.4423127472541932</v>
      </c>
      <c r="J40" t="n">
        <v>0.3584074818434724</v>
      </c>
      <c r="K40" t="n">
        <v>0.3375018217097664</v>
      </c>
      <c r="L40" t="n">
        <v>0.2113443183255509</v>
      </c>
      <c r="M40" t="n">
        <v>0.211564429008525</v>
      </c>
      <c r="N40" t="n">
        <v>0.15655359657</v>
      </c>
      <c r="O40" t="n">
        <v>0.1598769885326148</v>
      </c>
    </row>
    <row r="41">
      <c r="A41" s="4" t="n">
        <v>45383</v>
      </c>
      <c r="B41" t="n">
        <v>1.223208212623333</v>
      </c>
      <c r="C41" t="n">
        <v>1.362395400985805</v>
      </c>
      <c r="D41" t="n">
        <v>0.3222568851806549</v>
      </c>
      <c r="E41" t="n">
        <v>0.370291247076166</v>
      </c>
      <c r="F41" t="n">
        <v>0.1649902784</v>
      </c>
      <c r="G41" t="n">
        <v>0.1623097123643068</v>
      </c>
      <c r="H41" t="n">
        <v>0.4980601830978171</v>
      </c>
      <c r="I41" t="n">
        <v>0.5643585082677963</v>
      </c>
      <c r="J41" t="n">
        <v>0.3024712505739165</v>
      </c>
      <c r="K41" t="n">
        <v>0.2874121508977616</v>
      </c>
      <c r="L41" t="n">
        <v>0.2095660952622812</v>
      </c>
      <c r="M41" t="n">
        <v>0.2086899944597162</v>
      </c>
      <c r="N41" t="n">
        <v>0.16386373947</v>
      </c>
      <c r="O41" t="n">
        <v>0.1643386231149702</v>
      </c>
    </row>
    <row r="42">
      <c r="A42" s="4" t="n">
        <v>45413</v>
      </c>
      <c r="B42" t="n">
        <v>0.9344486064935482</v>
      </c>
      <c r="C42" t="n">
        <v>1.27424769014547</v>
      </c>
      <c r="D42" t="n">
        <v>0.2927284920814197</v>
      </c>
      <c r="E42" t="n">
        <v>0.3005877433462461</v>
      </c>
      <c r="F42" t="n">
        <v>0.1642839844</v>
      </c>
      <c r="G42" t="n">
        <v>0.1522639051853791</v>
      </c>
      <c r="H42" t="n">
        <v>0.1699035712321988</v>
      </c>
      <c r="I42" t="n">
        <v>0.1371052572263805</v>
      </c>
      <c r="J42" t="n">
        <v>0.3920296208549322</v>
      </c>
      <c r="K42" t="n">
        <v>0.3857814454946636</v>
      </c>
      <c r="L42" t="n">
        <v>0.2069247975560471</v>
      </c>
      <c r="M42" t="n">
        <v>0.2077329937227017</v>
      </c>
      <c r="N42" t="n">
        <v>0.12625711544</v>
      </c>
      <c r="O42" t="n">
        <v>0.1301262197136336</v>
      </c>
    </row>
    <row r="43">
      <c r="A43" s="4" t="n">
        <v>45444</v>
      </c>
      <c r="B43" t="n">
        <v>1.187455610343333</v>
      </c>
      <c r="C43" t="n">
        <v>1.438320489493632</v>
      </c>
      <c r="D43" t="n">
        <v>0.3222723944055917</v>
      </c>
      <c r="E43" t="n">
        <v>0.3671046237973373</v>
      </c>
      <c r="F43" t="n">
        <v>0.1549255889</v>
      </c>
      <c r="G43" t="n">
        <v>0.1532022466865003</v>
      </c>
      <c r="H43" t="n">
        <v>0.1592239181833177</v>
      </c>
      <c r="I43" t="n">
        <v>0.1240570513816332</v>
      </c>
      <c r="J43" t="n">
        <v>0.5048400872722414</v>
      </c>
      <c r="K43" t="n">
        <v>0.5092410021500601</v>
      </c>
      <c r="L43" t="n">
        <v>0.2333223453510281</v>
      </c>
      <c r="M43" t="n">
        <v>0.231415916464915</v>
      </c>
      <c r="N43" t="n">
        <v>0.16702087365</v>
      </c>
      <c r="O43" t="n">
        <v>0.1608073350717245</v>
      </c>
    </row>
    <row r="44">
      <c r="A44" s="4" t="n">
        <v>45474</v>
      </c>
      <c r="B44" t="n">
        <v>0.9897810454741934</v>
      </c>
      <c r="C44" t="n">
        <v>1.272544753919137</v>
      </c>
      <c r="D44" t="n">
        <v>0.5964115642258622</v>
      </c>
      <c r="E44" t="n">
        <v>0.6237265931495503</v>
      </c>
      <c r="F44" t="n">
        <v>0.1504759367</v>
      </c>
      <c r="G44" t="n">
        <v>0.1496583376856835</v>
      </c>
      <c r="H44" t="n">
        <v>0.1864084895804696</v>
      </c>
      <c r="I44" t="n">
        <v>0.1532757104078279</v>
      </c>
      <c r="J44" t="n">
        <v>0.5353422133839404</v>
      </c>
      <c r="K44" t="n">
        <v>0.5369411744601288</v>
      </c>
      <c r="L44" t="n">
        <v>0.2273994353431091</v>
      </c>
      <c r="M44" t="n">
        <v>0.2262726042653782</v>
      </c>
      <c r="N44" t="n">
        <v>0.1530185951</v>
      </c>
      <c r="O44" t="n">
        <v>0.1452583871390182</v>
      </c>
    </row>
    <row r="45">
      <c r="A45" s="4" t="n">
        <v>45505</v>
      </c>
      <c r="B45" t="n">
        <v>1.084765057451613</v>
      </c>
      <c r="C45" t="n">
        <v>1.355391907901192</v>
      </c>
      <c r="D45" t="n">
        <v>0.7703394863547661</v>
      </c>
      <c r="E45" t="n">
        <v>0.8002650261025549</v>
      </c>
      <c r="F45" t="n">
        <v>0.1534776862</v>
      </c>
      <c r="G45" t="n">
        <v>0.1628152613504036</v>
      </c>
      <c r="H45" t="n">
        <v>0.2271853466761973</v>
      </c>
      <c r="I45" t="n">
        <v>0.2021386235351205</v>
      </c>
      <c r="J45" t="n">
        <v>0.5321462001699547</v>
      </c>
      <c r="K45" t="n">
        <v>0.5321395540265734</v>
      </c>
      <c r="L45" t="n">
        <v>0.2375142844269681</v>
      </c>
      <c r="M45" t="n">
        <v>0.2350021097946352</v>
      </c>
      <c r="N45" t="n">
        <v>0.13839477783</v>
      </c>
      <c r="O45" t="n">
        <v>0.1177437582242195</v>
      </c>
    </row>
    <row r="46">
      <c r="A46" s="4" t="n">
        <v>45536</v>
      </c>
      <c r="B46" t="n">
        <v>1.23923873211</v>
      </c>
      <c r="C46" t="n">
        <v>1.422614361294131</v>
      </c>
      <c r="D46" t="n">
        <v>1.168449680143298</v>
      </c>
      <c r="E46" t="n">
        <v>1.215422831461215</v>
      </c>
      <c r="F46" t="n">
        <v>0.181870705</v>
      </c>
      <c r="G46" t="n">
        <v>0.1777769387541886</v>
      </c>
      <c r="H46" t="n">
        <v>0.3728169791609391</v>
      </c>
      <c r="I46" t="n">
        <v>0.3752482540441427</v>
      </c>
      <c r="J46" t="n">
        <v>0.5443232505162323</v>
      </c>
      <c r="K46" t="n">
        <v>0.5446546292831712</v>
      </c>
      <c r="L46" t="n">
        <v>0.213624956907239</v>
      </c>
      <c r="M46" t="n">
        <v>0.2112916828482326</v>
      </c>
      <c r="N46" t="n">
        <v>0.14220170249</v>
      </c>
      <c r="O46" t="n">
        <v>0.1405983126464004</v>
      </c>
    </row>
    <row r="47">
      <c r="A47" s="4" t="n">
        <v>45566</v>
      </c>
      <c r="B47" t="n">
        <v>1.368858148745161</v>
      </c>
      <c r="C47" t="n">
        <v>1.296974638714242</v>
      </c>
      <c r="D47" t="n">
        <v>1.207974871014898</v>
      </c>
      <c r="E47" t="n">
        <v>1.255664759960229</v>
      </c>
      <c r="F47" t="n">
        <v>0.1622004171</v>
      </c>
      <c r="G47" t="n">
        <v>0.2016889031860985</v>
      </c>
      <c r="H47" t="n">
        <v>0.4504871831528014</v>
      </c>
      <c r="I47" t="n">
        <v>0.4905439701599482</v>
      </c>
      <c r="J47" t="n">
        <v>0.5448322526207127</v>
      </c>
      <c r="K47" t="n">
        <v>0.545272287831139</v>
      </c>
      <c r="L47" t="n">
        <v>0.2342934248655143</v>
      </c>
      <c r="M47" t="n">
        <v>0.23553397954762</v>
      </c>
      <c r="N47" t="n">
        <v>0.17467356914</v>
      </c>
      <c r="O47" t="n">
        <v>0.1654709844340009</v>
      </c>
    </row>
    <row r="48">
      <c r="A48" s="4" t="n">
        <v>45597</v>
      </c>
      <c r="B48" t="n">
        <v>1.43955783639</v>
      </c>
      <c r="C48" t="n">
        <v>1.36621790214134</v>
      </c>
      <c r="D48" t="n">
        <v>0.9037502698384584</v>
      </c>
      <c r="E48" t="n">
        <v>0.8194157854148241</v>
      </c>
      <c r="F48" t="n">
        <v>0.1495577545</v>
      </c>
      <c r="G48" t="n">
        <v>0.192019684028091</v>
      </c>
      <c r="H48" t="n">
        <v>0.2640786935723319</v>
      </c>
      <c r="I48" t="n">
        <v>0.281237731432042</v>
      </c>
      <c r="J48" t="n">
        <v>0.473915959415767</v>
      </c>
      <c r="K48" t="n">
        <v>0.4723878505129616</v>
      </c>
      <c r="L48" t="n">
        <v>0.2157551601321646</v>
      </c>
      <c r="M48" t="n">
        <v>0.2160724888143275</v>
      </c>
      <c r="N48" t="n">
        <v>0.20487116911</v>
      </c>
      <c r="O48" t="n">
        <v>0.1871616358380634</v>
      </c>
    </row>
    <row r="49">
      <c r="A49" s="4" t="n">
        <v>45627</v>
      </c>
      <c r="B49" t="n">
        <v>1.3229592914</v>
      </c>
      <c r="C49" t="n">
        <v>1.271327128643808</v>
      </c>
      <c r="D49" t="n">
        <v>0.7441657477074146</v>
      </c>
      <c r="E49" t="n">
        <v>0.6896987238792669</v>
      </c>
      <c r="F49" t="n">
        <v>0.168097972</v>
      </c>
      <c r="G49" t="n">
        <v>0.1700247330513723</v>
      </c>
      <c r="H49" t="n">
        <v>0.3339818771650079</v>
      </c>
      <c r="I49" t="n">
        <v>0.3417344481557192</v>
      </c>
      <c r="J49" t="n">
        <v>0.299370237752712</v>
      </c>
      <c r="K49" t="n">
        <v>0.2933645201988139</v>
      </c>
      <c r="L49" t="n">
        <v>0.2023760566724011</v>
      </c>
      <c r="M49" t="n">
        <v>0.202508056827332</v>
      </c>
      <c r="N49" t="n">
        <v>0.16403325003</v>
      </c>
      <c r="O49" t="n">
        <v>0.1587145820475288</v>
      </c>
    </row>
    <row r="50">
      <c r="A50" s="4" t="n">
        <v>45658</v>
      </c>
      <c r="B50" t="n">
        <v>1.751907586174194</v>
      </c>
      <c r="C50" t="n">
        <v>1.78865336604139</v>
      </c>
      <c r="D50" t="n">
        <v>0.665328948</v>
      </c>
      <c r="E50" t="n">
        <v>0.5430110326690167</v>
      </c>
      <c r="F50" t="n">
        <v>0.1741721004</v>
      </c>
      <c r="G50" t="n">
        <v>0.1640131128326066</v>
      </c>
      <c r="H50" t="n">
        <v>0.1796123467311816</v>
      </c>
      <c r="I50" t="n">
        <v>0.1749080546397751</v>
      </c>
      <c r="J50" t="n">
        <v>0.2917842063881016</v>
      </c>
      <c r="K50" t="n">
        <v>0.2770761712894395</v>
      </c>
      <c r="L50" t="n">
        <v>0.1814665064116217</v>
      </c>
      <c r="M50" t="n">
        <v>0.1806343144203917</v>
      </c>
      <c r="N50" t="n">
        <v>0.16667478959</v>
      </c>
      <c r="O50" t="n">
        <v>0.1539384334726758</v>
      </c>
    </row>
    <row r="51">
      <c r="A51" s="4" t="n">
        <v>45689</v>
      </c>
      <c r="B51" t="n">
        <v>1.893120167857143</v>
      </c>
      <c r="C51" t="n">
        <v>1.866045086731886</v>
      </c>
      <c r="D51" t="n">
        <v>0.4592381253733638</v>
      </c>
      <c r="E51" t="n">
        <v>0.4115163655517562</v>
      </c>
      <c r="F51" t="n">
        <v>0.2317350614</v>
      </c>
      <c r="G51" t="n">
        <v>0.178680113790564</v>
      </c>
      <c r="H51" t="n">
        <v>0.1475733875845384</v>
      </c>
      <c r="I51" t="n">
        <v>0.1431779536392794</v>
      </c>
      <c r="J51" t="n">
        <v>0.3783485642903084</v>
      </c>
      <c r="K51" t="n">
        <v>0.3612802811022887</v>
      </c>
      <c r="L51" t="n">
        <v>0.2011108567488599</v>
      </c>
      <c r="M51" t="n">
        <v>0.200873478924718</v>
      </c>
      <c r="N51" t="n">
        <v>0.14473023501</v>
      </c>
      <c r="O51" t="n">
        <v>0.1385590432600088</v>
      </c>
    </row>
    <row r="52">
      <c r="A52" s="4" t="n">
        <v>45717</v>
      </c>
      <c r="B52" t="n">
        <v>1.471183061587096</v>
      </c>
      <c r="C52" t="n">
        <v>1.476172312947832</v>
      </c>
      <c r="D52" t="n">
        <v>0.447407457492239</v>
      </c>
      <c r="E52" t="n">
        <v>0.3872619549958787</v>
      </c>
      <c r="F52" t="n">
        <v>0.1470150961</v>
      </c>
      <c r="G52" t="n">
        <v>0.1432069053223776</v>
      </c>
      <c r="H52" t="n">
        <v>0.1543695304338263</v>
      </c>
      <c r="I52" t="n">
        <v>0.1315324933521773</v>
      </c>
      <c r="J52" t="n">
        <v>0.385667594550997</v>
      </c>
      <c r="K52" t="n">
        <v>0.3704582674719069</v>
      </c>
      <c r="L52" t="n">
        <v>0.2098158565276753</v>
      </c>
      <c r="M52" t="n">
        <v>0.2086883571223437</v>
      </c>
      <c r="N52" t="n">
        <v>0.12940012374</v>
      </c>
      <c r="O52" t="n">
        <v>0.1285484483347073</v>
      </c>
    </row>
    <row r="53">
      <c r="A53" s="4" t="n">
        <v>45748</v>
      </c>
      <c r="B53" t="n">
        <v>1.15147817114</v>
      </c>
      <c r="C53" t="n">
        <v>1.185452991945182</v>
      </c>
      <c r="D53" t="n">
        <v>0.552004452590133</v>
      </c>
      <c r="E53" t="n">
        <v>0.4697305471905547</v>
      </c>
      <c r="F53" t="n">
        <v>0.1373388683</v>
      </c>
      <c r="G53" t="n">
        <v>0.140047663768089</v>
      </c>
      <c r="H53" t="n">
        <v>0.1699035712321988</v>
      </c>
      <c r="I53" t="n">
        <v>0.1496563112239259</v>
      </c>
      <c r="J53" t="n">
        <v>0.3016852473241691</v>
      </c>
      <c r="K53" t="n">
        <v>0.2830512122104052</v>
      </c>
      <c r="L53" t="n">
        <v>0.2205420903306846</v>
      </c>
      <c r="M53" t="n">
        <v>0.2190900003444643</v>
      </c>
      <c r="N53" t="n">
        <v>0.13516348278</v>
      </c>
      <c r="O53" t="n">
        <v>0.1354752596104255</v>
      </c>
    </row>
    <row r="54">
      <c r="A54" s="4" t="n">
        <v>45778</v>
      </c>
      <c r="B54" t="n">
        <v>1.131445394932258</v>
      </c>
      <c r="C54" t="n">
        <v>1.214435833995294</v>
      </c>
      <c r="D54" t="n">
        <v>0.5980169969265154</v>
      </c>
      <c r="E54" t="n">
        <v>0.4897021294808678</v>
      </c>
      <c r="F54" t="n">
        <v>0.147615446</v>
      </c>
      <c r="G54" t="n">
        <v>0.1503360954285328</v>
      </c>
      <c r="H54" t="n">
        <v>0.149515142684335</v>
      </c>
      <c r="I54" t="n">
        <v>0.1281028320487721</v>
      </c>
      <c r="J54" t="n">
        <v>0.3444644241955996</v>
      </c>
      <c r="K54" t="n">
        <v>0.3271732381678303</v>
      </c>
      <c r="L54" t="n">
        <v>0.2117454792769176</v>
      </c>
      <c r="M54" t="n">
        <v>0.2113953830932269</v>
      </c>
      <c r="N54" t="n">
        <v>0.17688780083</v>
      </c>
      <c r="O54" t="n">
        <v>0.1734625067619293</v>
      </c>
    </row>
    <row r="55">
      <c r="A55" s="4" t="n">
        <v>45809</v>
      </c>
      <c r="B55" t="n">
        <v>1.123701982433333</v>
      </c>
      <c r="C55" t="n">
        <v>1.221303346639091</v>
      </c>
      <c r="D55" t="n">
        <v>0.6713358511979279</v>
      </c>
      <c r="E55" t="n">
        <v>0.6415097587618988</v>
      </c>
      <c r="F55" t="n">
        <v>0.1417885205</v>
      </c>
      <c r="G55" t="n">
        <v>0.1411957692459476</v>
      </c>
      <c r="H55" t="n">
        <v>0.1650491834827074</v>
      </c>
      <c r="I55" t="n">
        <v>0.1432644967748697</v>
      </c>
      <c r="J55" t="n">
        <v>0.4177217270795002</v>
      </c>
      <c r="K55" t="n">
        <v>0.413531160289546</v>
      </c>
      <c r="L55" t="n">
        <v>0.2080308831599356</v>
      </c>
      <c r="M55" t="n">
        <v>0.2092413522786175</v>
      </c>
      <c r="N55" t="n">
        <v>0.15988730425</v>
      </c>
      <c r="O55" t="n">
        <v>0.1602125608001296</v>
      </c>
    </row>
    <row r="56">
      <c r="A56" s="4" t="n">
        <v>45839</v>
      </c>
      <c r="B56" t="n">
        <v>1.113014539083871</v>
      </c>
      <c r="C56" t="n">
        <v>1.230273971438604</v>
      </c>
      <c r="E56" t="n">
        <v>1.120882995251721</v>
      </c>
      <c r="F56" t="n">
        <v>0.1547843301</v>
      </c>
      <c r="G56" t="n">
        <v>0.1539133211676628</v>
      </c>
      <c r="H56" t="n">
        <v>0.184466734480673</v>
      </c>
      <c r="I56" t="n">
        <v>0.162612230136204</v>
      </c>
      <c r="J56" t="n">
        <v>0.5114131144485642</v>
      </c>
      <c r="K56" t="n">
        <v>0.5247573684723877</v>
      </c>
      <c r="L56" t="n">
        <v>0.2203058296742306</v>
      </c>
      <c r="M56" t="n">
        <v>0.2195033321058786</v>
      </c>
      <c r="N56" t="n">
        <v>0.18000255737</v>
      </c>
      <c r="O56" t="n">
        <v>0.1789489679096223</v>
      </c>
    </row>
    <row r="57">
      <c r="A57" s="4" t="n">
        <v>45870</v>
      </c>
      <c r="B57" t="n">
        <v>1.206436729974193</v>
      </c>
      <c r="C57" t="n">
        <v>1.282619952795831</v>
      </c>
      <c r="E57" t="n">
        <v>1.181884065195979</v>
      </c>
      <c r="F57" t="n">
        <v>0.1489927193</v>
      </c>
      <c r="G57" t="n">
        <v>0.151916397120426</v>
      </c>
      <c r="H57" t="n">
        <v>0.1640783059328091</v>
      </c>
      <c r="I57" t="n">
        <v>0.141474883817128</v>
      </c>
      <c r="J57" t="n">
        <v>0.5191621464871045</v>
      </c>
      <c r="K57" t="n">
        <v>0.526617214244094</v>
      </c>
      <c r="L57" t="n">
        <v>0.2244861967996505</v>
      </c>
      <c r="M57" t="n">
        <v>0.2243462033411223</v>
      </c>
      <c r="N57" t="n">
        <v>0.23875209229</v>
      </c>
      <c r="O57" t="n">
        <v>0.2295137808098253</v>
      </c>
    </row>
    <row r="58">
      <c r="A58" s="4" t="n">
        <v>45901</v>
      </c>
      <c r="B58" t="n">
        <v>0.9368059956233333</v>
      </c>
      <c r="C58" t="n">
        <v>1.015519193452067</v>
      </c>
      <c r="E58" t="n">
        <v>0.9448322613674229</v>
      </c>
      <c r="F58" t="n">
        <v>0.1873444835</v>
      </c>
      <c r="G58" t="n">
        <v>0.1828453648305423</v>
      </c>
      <c r="H58" t="n">
        <v>0.1815541018309781</v>
      </c>
      <c r="I58" t="n">
        <v>0.1626068380179702</v>
      </c>
      <c r="J58" t="n">
        <v>0.5301291918305903</v>
      </c>
      <c r="K58" t="n">
        <v>0.5363757002189748</v>
      </c>
      <c r="L58" t="n">
        <v>0.2284168026596761</v>
      </c>
      <c r="M58" t="n">
        <v>0.2231760730942019</v>
      </c>
      <c r="N58" t="n">
        <v>0.24928293583</v>
      </c>
      <c r="O58" t="n">
        <v>0.2358960002978764</v>
      </c>
    </row>
    <row r="59">
      <c r="A59" s="4" t="n">
        <v>45931</v>
      </c>
      <c r="B59" t="n">
        <v>0.9599401239741935</v>
      </c>
      <c r="C59" t="n">
        <v>0.9186325787777135</v>
      </c>
      <c r="E59" t="n">
        <v>1.330475324227714</v>
      </c>
      <c r="F59" t="n">
        <v>0.1616353819</v>
      </c>
      <c r="G59" t="n">
        <v>0.1643797523470872</v>
      </c>
      <c r="H59" t="n">
        <v>0.1533986528839281</v>
      </c>
      <c r="I59" t="n">
        <v>0.1363210537625749</v>
      </c>
      <c r="J59" t="n">
        <v>0.3927266237367056</v>
      </c>
      <c r="K59" t="n">
        <v>0.3899539314618559</v>
      </c>
      <c r="L59" t="n">
        <v>0.2056287390977854</v>
      </c>
      <c r="M59" t="n">
        <v>0.2035836371429678</v>
      </c>
      <c r="N59" t="n">
        <v>0.20457452563</v>
      </c>
      <c r="O59" t="n">
        <v>0.2003988271163573</v>
      </c>
    </row>
    <row r="60">
      <c r="A60" s="4" t="n">
        <v>45962</v>
      </c>
      <c r="B60" t="n">
        <v>1.15125922</v>
      </c>
      <c r="C60" t="n">
        <v>1.091242479678604</v>
      </c>
      <c r="E60" t="n">
        <v>1.416349668243662</v>
      </c>
      <c r="F60" t="n">
        <v>0.1877329452</v>
      </c>
      <c r="G60" t="n">
        <v>0.1967787775903751</v>
      </c>
      <c r="H60" t="n">
        <v>0.1631074283829109</v>
      </c>
      <c r="I60" t="n">
        <v>0.1617255840290719</v>
      </c>
      <c r="J60" t="n">
        <v>0.3987246485356686</v>
      </c>
      <c r="K60" t="n">
        <v>0.3941786732072941</v>
      </c>
      <c r="L60" t="n">
        <v>0.231999285674886</v>
      </c>
      <c r="M60" t="n">
        <v>0.2323537390493875</v>
      </c>
      <c r="N60" t="n">
        <v>0.19257812204</v>
      </c>
      <c r="O60" t="n">
        <v>0.1843557974779598</v>
      </c>
    </row>
    <row r="61">
      <c r="A61" s="4" t="n">
        <v>45992</v>
      </c>
      <c r="B61" t="n">
        <v>1.632562127116129</v>
      </c>
      <c r="C61" t="n">
        <v>1.558820971214513</v>
      </c>
      <c r="E61" t="n">
        <v>0.9216965329835282</v>
      </c>
      <c r="F61" t="n">
        <v>0.1778801439</v>
      </c>
      <c r="G61" t="n">
        <v>0.1888226696895223</v>
      </c>
      <c r="H61" t="n">
        <v>0.1300975916863694</v>
      </c>
      <c r="I61" t="n">
        <v>0.1307924509332214</v>
      </c>
      <c r="J61" t="n">
        <v>0.5055220900919967</v>
      </c>
      <c r="K61" t="n">
        <v>0.4826277383659242</v>
      </c>
      <c r="L61" t="n">
        <v>0.2159904564594085</v>
      </c>
      <c r="M61" t="n">
        <v>0.2238641468354994</v>
      </c>
      <c r="N61" t="n">
        <v>0.13905869419</v>
      </c>
      <c r="O61" t="n">
        <v>0.1442474738138848</v>
      </c>
    </row>
    <row r="62">
      <c r="A62" s="4" t="n">
        <v>46023</v>
      </c>
      <c r="B62" t="n">
        <v>1.715250927574193</v>
      </c>
      <c r="C62" t="n">
        <v>1.603444045943885</v>
      </c>
      <c r="E62" t="n">
        <v>1.013987406497427</v>
      </c>
      <c r="G62" t="n">
        <v>0.1685023185787013</v>
      </c>
      <c r="H62" t="n">
        <v>0.1398063671853522</v>
      </c>
      <c r="I62" t="n">
        <v>0.1242572007724368</v>
      </c>
      <c r="J62" t="n">
        <v>0.4058346779322388</v>
      </c>
      <c r="K62" t="n">
        <v>0.3661833140942171</v>
      </c>
      <c r="L62" t="n">
        <v>0.1672330072717839</v>
      </c>
      <c r="M62" t="n">
        <v>0.167985709277809</v>
      </c>
      <c r="N62" t="n">
        <v>0.16597202706</v>
      </c>
      <c r="O62" t="n">
        <v>0.1686873027018612</v>
      </c>
    </row>
    <row r="63">
      <c r="A63" s="4" t="n">
        <v>46054</v>
      </c>
      <c r="B63" t="n">
        <v>1.746591910121428</v>
      </c>
      <c r="C63" t="n">
        <v>1.717006433770981</v>
      </c>
      <c r="E63" t="n">
        <v>0.7772211239240928</v>
      </c>
      <c r="G63" t="n">
        <v>0.1860190125255218</v>
      </c>
      <c r="H63" t="n">
        <v>0.1582530406334194</v>
      </c>
      <c r="I63" t="n">
        <v>0.1332750020526412</v>
      </c>
      <c r="J63" t="n">
        <v>0.3623554981666312</v>
      </c>
      <c r="K63" t="n">
        <v>0.3342400412259107</v>
      </c>
      <c r="L63" t="n">
        <v>0.1970153505939215</v>
      </c>
      <c r="M63" t="n">
        <v>0.1987176983655416</v>
      </c>
      <c r="N63" t="n">
        <v>0.18111143895</v>
      </c>
      <c r="O63" t="n">
        <v>0.1824868826925675</v>
      </c>
    </row>
    <row r="64">
      <c r="A64" s="4" t="n">
        <v>46082</v>
      </c>
      <c r="B64" t="n">
        <v>1.60783158446129</v>
      </c>
      <c r="C64" t="n">
        <v>1.54433971273985</v>
      </c>
      <c r="E64" t="n">
        <v>0.9931498842928415</v>
      </c>
      <c r="G64" t="n">
        <v>0.2025178442524308</v>
      </c>
      <c r="H64" t="n">
        <v>0.1417481222851487</v>
      </c>
      <c r="I64" t="n">
        <v>0.149037747664943</v>
      </c>
      <c r="J64" t="n">
        <v>0.2530790463607817</v>
      </c>
      <c r="K64" t="n">
        <v>0.287196341360246</v>
      </c>
      <c r="L64" t="n">
        <v>0.163585914199503</v>
      </c>
      <c r="M64" t="n">
        <v>0.1776982611644727</v>
      </c>
      <c r="N64" t="n">
        <v>0.20042857985</v>
      </c>
      <c r="O64" t="n">
        <v>0.194290607520046</v>
      </c>
    </row>
    <row r="65">
      <c r="A65" s="4" t="n">
        <v>46113</v>
      </c>
      <c r="B65" t="n">
        <v>1.309199507123333</v>
      </c>
      <c r="C65" t="n">
        <v>1.300458136080271</v>
      </c>
      <c r="E65" t="n">
        <v>0.6779693488824271</v>
      </c>
      <c r="G65" t="n">
        <v>0.1861717539444781</v>
      </c>
      <c r="H65" t="n">
        <v>0.160194795733216</v>
      </c>
      <c r="I65" t="n">
        <v>0.155520523495334</v>
      </c>
      <c r="J65" t="n">
        <v>0.3675295195587343</v>
      </c>
      <c r="K65" t="n">
        <v>0.3666990413411242</v>
      </c>
      <c r="L65" t="n">
        <v>0.2113828914939515</v>
      </c>
      <c r="M65" t="n">
        <v>0.2245599640748194</v>
      </c>
      <c r="N65" t="n">
        <v>0.19353515041</v>
      </c>
      <c r="O65" t="n">
        <v>0.1895001198645203</v>
      </c>
    </row>
    <row r="66">
      <c r="A66" s="4" t="n">
        <v>46143</v>
      </c>
      <c r="B66" t="n">
        <v>1.140051929077419</v>
      </c>
      <c r="C66" t="n">
        <v>1.132631155936127</v>
      </c>
      <c r="E66" t="n">
        <v>0.5984223948172539</v>
      </c>
      <c r="G66" t="n">
        <v>0.164902120834065</v>
      </c>
      <c r="H66" t="n">
        <v>0.2029134079287403</v>
      </c>
      <c r="I66" t="n">
        <v>0.2135488711864264</v>
      </c>
      <c r="J66" t="n">
        <v>0.4228437482566073</v>
      </c>
      <c r="K66" t="n">
        <v>0.4291021786054667</v>
      </c>
      <c r="L66" t="n">
        <v>0.2386878730755577</v>
      </c>
      <c r="M66" t="n">
        <v>0.2424300325962827</v>
      </c>
      <c r="N66" t="n">
        <v>0.19445333261</v>
      </c>
      <c r="O66" t="n">
        <v>0.1926356787221924</v>
      </c>
    </row>
    <row r="67">
      <c r="A67" s="4" t="n">
        <v>46174</v>
      </c>
      <c r="B67" t="n">
        <v>1.270328616833333</v>
      </c>
      <c r="C67" t="n">
        <v>1.339835802000066</v>
      </c>
      <c r="E67" t="n">
        <v>0.7522970607876384</v>
      </c>
      <c r="G67" t="n">
        <v>0.1696250427595374</v>
      </c>
      <c r="H67" t="n">
        <v>0.2126221834277231</v>
      </c>
      <c r="I67" t="n">
        <v>0.2200752350745582</v>
      </c>
      <c r="J67" t="n">
        <v>0.5302731924259638</v>
      </c>
      <c r="K67" t="n">
        <v>0.54296826237966</v>
      </c>
      <c r="M67" t="n">
        <v>0.2582633013966256</v>
      </c>
      <c r="N67" t="n">
        <v>0.23507936349</v>
      </c>
      <c r="O67" t="n">
        <v>0.2290280490466743</v>
      </c>
    </row>
    <row r="68">
      <c r="A68" s="4" t="n">
        <v>46204</v>
      </c>
      <c r="C68" t="n">
        <v>1.243881540560158</v>
      </c>
      <c r="E68" t="n">
        <v>0.8900791162797046</v>
      </c>
      <c r="G68" t="n">
        <v>0.1849288058712604</v>
      </c>
      <c r="H68" t="n">
        <v>0.2582534282729422</v>
      </c>
      <c r="I68" t="n">
        <v>0.2812537379150643</v>
      </c>
      <c r="J68" t="n">
        <v>0.5699623565216697</v>
      </c>
      <c r="K68" t="n">
        <v>0.607274001492685</v>
      </c>
      <c r="M68" t="n">
        <v>0.2435599862294096</v>
      </c>
      <c r="N68" t="n">
        <v>0.19331973074</v>
      </c>
      <c r="O68" t="n">
        <v>0.1954771192227683</v>
      </c>
    </row>
    <row r="69">
      <c r="A69" s="4" t="n">
        <v>46235</v>
      </c>
      <c r="C69" t="n">
        <v>1.06040702362656</v>
      </c>
      <c r="E69" t="n">
        <v>0.803077758300152</v>
      </c>
      <c r="G69" t="n">
        <v>0.1776937030832654</v>
      </c>
      <c r="H69" t="n">
        <v>0.309709938417551</v>
      </c>
      <c r="I69" t="n">
        <v>0.3690015861395525</v>
      </c>
      <c r="J69" t="n">
        <v>0.5358652155463043</v>
      </c>
      <c r="K69" t="n">
        <v>0.589566391561725</v>
      </c>
      <c r="M69" t="n">
        <v>0.2438167478951612</v>
      </c>
      <c r="N69" t="n">
        <v>0.21839316774</v>
      </c>
      <c r="O69" t="n">
        <v>0.2162998076638326</v>
      </c>
    </row>
    <row r="70">
      <c r="A70" s="4" t="n">
        <v>46266</v>
      </c>
      <c r="C70" t="n">
        <v>0.8942481072877237</v>
      </c>
      <c r="E70" t="n">
        <v>0.7850368930136802</v>
      </c>
      <c r="G70" t="n">
        <v>0.1714380041063484</v>
      </c>
      <c r="H70" t="n">
        <v>0.3514576730631769</v>
      </c>
      <c r="I70" t="n">
        <v>0.44069093211255</v>
      </c>
      <c r="J70" t="n">
        <v>0.6081175142749933</v>
      </c>
      <c r="K70" t="n">
        <v>0.6044733457237457</v>
      </c>
      <c r="M70" t="n">
        <v>0.2496951358498268</v>
      </c>
    </row>
    <row r="71">
      <c r="A71" s="4" t="n">
        <v>46296</v>
      </c>
      <c r="C71" t="n">
        <v>0.825197277323685</v>
      </c>
      <c r="E71" t="n">
        <v>0.9500025546041582</v>
      </c>
      <c r="G71" t="n">
        <v>0.1781536527782137</v>
      </c>
      <c r="K71" t="n">
        <v>0.6058449231291081</v>
      </c>
      <c r="M71" t="n">
        <v>0.2335245457698224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2026-10-28T01:47:17Z</dcterms:created>
  <dcterms:modified xsi:type="dcterms:W3CDTF">2026-10-28T01:47:18Z</dcterms:modified>
</cp:coreProperties>
</file>