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generation mix (to Oct/26)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'Chart'!$B$2:$B$4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'Chart'!$C$2:$C$4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'Chart'!$D$2:$D$4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'Chart'!$E$2:$E$4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'Chart'!$F$2:$F$4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'Chart'!$G$2:$G$4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'Chart'!$H$2:$H$4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'Chart'!$A$2:$A$4</f>
            </numRef>
          </cat>
          <val>
            <numRef>
              <f>'Chart'!$I$2:$I$4</f>
            </numRef>
          </val>
        </ser>
        <axId val="10"/>
        <axId val="100"/>
      </area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EPIAS's hourly generation readings for that fuel category - 'average MW for that day', not total daily energy. Total_MW is the sum of the category means.</t>
        </is>
      </c>
    </row>
    <row r="5">
      <c r="A5" s="1" t="inlineStr">
        <is>
          <t>CATEGORIES</t>
        </is>
      </c>
    </row>
    <row r="6">
      <c r="A6" t="inlineStr">
        <is>
          <t>biomass, solar, geothermal, wind: as published (solar = 'sun').</t>
        </is>
      </c>
    </row>
    <row r="7">
      <c r="A7" t="inlineStr">
        <is>
          <t>oil: fuel oil and naphtha summed together.</t>
        </is>
      </c>
    </row>
    <row r="8">
      <c r="A8" t="inlineStr">
        <is>
          <t>gas: natural gas and LNG summed together.</t>
        </is>
      </c>
    </row>
    <row r="9">
      <c r="A9" t="inlineStr">
        <is>
          <t>coal: black coal, asphaltite coal, lignite, and imported coal summed together.</t>
        </is>
      </c>
    </row>
    <row r="10">
      <c r="A10" t="inlineStr">
        <is>
          <t>hydro: run-of-river and dammed hydro summed together.</t>
        </is>
      </c>
    </row>
    <row r="11">
      <c r="A11" t="inlineStr">
        <is>
          <t>unknown: waste heat.</t>
        </is>
      </c>
    </row>
    <row r="12">
      <c r="A12" t="inlineStr">
        <is>
          <t>Renewables_Share: (wind + solar + hydro + geothermal + biomass) daily mean, as a share of Total_MW.</t>
        </is>
      </c>
    </row>
    <row r="13">
      <c r="A13" t="inlineStr">
        <is>
          <t>Intervals_Reported: how many of the expected 24 hourly intervals that day actually came back; a day is only saved if at least 18 came back.</t>
        </is>
      </c>
    </row>
    <row r="15">
      <c r="A15" s="1" t="inlineStr">
        <is>
          <t>TIMESTAMPS</t>
        </is>
      </c>
    </row>
    <row r="16">
      <c r="A16" t="inlineStr">
        <is>
          <t>The 'date' index is Turkey local time (Europe/Istanbul, UTC+3 year-round, no DST since 2016).</t>
        </is>
      </c>
    </row>
    <row r="18">
      <c r="A18" s="1" t="inlineStr">
        <is>
          <t>COVERAGE</t>
        </is>
      </c>
    </row>
    <row r="19">
      <c r="A19" t="inlineStr">
        <is>
          <t>This is a PUBLIC, unauthenticated dashboard endpoint found on EPIAS's own homepage widget - different from turkey_generation_mix.py's generation/data/realtime-generation endpoint, which needs a free EPIAS account (still blocked on an unset password as of this script's writing). It only ever returns 'today so far', not an arbitrary historical range (confirmed by inspection) - like MISO's /FuelMix/Today, this upserts by date into the Data tab on every run, building up history from whenever this script first started running, not backfilling the past.</t>
        </is>
      </c>
    </row>
    <row r="21">
      <c r="A21" s="1" t="inlineStr">
        <is>
          <t>SOURCE</t>
        </is>
      </c>
    </row>
    <row r="22">
      <c r="A22" t="inlineStr">
        <is>
          <t>EPIAS (Turkey's energy exchange) Transparency Platform's public dashboard widget API: https://seffaflik.epias.com.tr/electricity-service/v1/dashboard/realtime-generation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hydro</t>
        </is>
      </c>
      <c r="D1" t="inlineStr">
        <is>
          <t>wind</t>
        </is>
      </c>
      <c r="E1" t="inlineStr">
        <is>
          <t>gas</t>
        </is>
      </c>
      <c r="F1" t="inlineStr">
        <is>
          <t>geothermal</t>
        </is>
      </c>
      <c r="G1" t="inlineStr">
        <is>
          <t>solar</t>
        </is>
      </c>
      <c r="H1" t="inlineStr">
        <is>
          <t>biomass</t>
        </is>
      </c>
      <c r="I1" t="inlineStr">
        <is>
          <t>Other</t>
        </is>
      </c>
    </row>
    <row r="2">
      <c r="A2" s="4" t="n">
        <v>46295</v>
      </c>
      <c r="B2" t="n">
        <v>11875.11956521739</v>
      </c>
      <c r="C2" t="n">
        <v>10624.66956521739</v>
      </c>
      <c r="D2" t="n">
        <v>8939.307826086957</v>
      </c>
      <c r="E2" t="n">
        <v>2260.416956521739</v>
      </c>
      <c r="F2" t="n">
        <v>1144.379565217391</v>
      </c>
      <c r="G2" t="n">
        <v>1014.253043478261</v>
      </c>
      <c r="H2" t="n">
        <v>845.441304347826</v>
      </c>
      <c r="I2" t="n">
        <v>88.36652173913043</v>
      </c>
    </row>
    <row r="3">
      <c r="A3" s="4" t="n">
        <v>46301</v>
      </c>
      <c r="B3" t="n">
        <v>13200.72</v>
      </c>
      <c r="C3" t="n">
        <v>10525.78086956522</v>
      </c>
      <c r="D3" t="n">
        <v>4257.407826086956</v>
      </c>
      <c r="E3" t="n">
        <v>3437.620869565219</v>
      </c>
      <c r="F3" t="n">
        <v>1199.085217391304</v>
      </c>
      <c r="G3" t="n">
        <v>966.0604347826087</v>
      </c>
      <c r="H3" t="n">
        <v>884.191304347826</v>
      </c>
      <c r="I3" t="n">
        <v>109.2473913043478</v>
      </c>
    </row>
    <row r="4">
      <c r="A4" s="4" t="n">
        <v>46302</v>
      </c>
      <c r="B4" t="n">
        <v>13589.15590909091</v>
      </c>
      <c r="C4" t="n">
        <v>10519.53363636364</v>
      </c>
      <c r="D4" t="n">
        <v>2022.361363636364</v>
      </c>
      <c r="E4" t="n">
        <v>4338.223181818182</v>
      </c>
      <c r="F4" t="n">
        <v>1173.492272727273</v>
      </c>
      <c r="G4" t="n">
        <v>1277.467272727273</v>
      </c>
      <c r="H4" t="n">
        <v>831.2363636363636</v>
      </c>
      <c r="I4" t="n">
        <v>103.345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biomass_MW</t>
        </is>
      </c>
      <c r="C1" t="inlineStr">
        <is>
          <t>solar_MW</t>
        </is>
      </c>
      <c r="D1" t="inlineStr">
        <is>
          <t>geothermal_MW</t>
        </is>
      </c>
      <c r="E1" t="inlineStr">
        <is>
          <t>oil_MW</t>
        </is>
      </c>
      <c r="F1" t="inlineStr">
        <is>
          <t>gas_MW</t>
        </is>
      </c>
      <c r="G1" t="inlineStr">
        <is>
          <t>wind_MW</t>
        </is>
      </c>
      <c r="H1" t="inlineStr">
        <is>
          <t>coal_MW</t>
        </is>
      </c>
      <c r="I1" t="inlineStr">
        <is>
          <t>hydro_MW</t>
        </is>
      </c>
      <c r="J1" t="inlineStr">
        <is>
          <t>unknown_MW</t>
        </is>
      </c>
      <c r="K1" t="inlineStr">
        <is>
          <t>Total_MW</t>
        </is>
      </c>
      <c r="L1" t="inlineStr">
        <is>
          <t>Renewables_Share</t>
        </is>
      </c>
      <c r="M1" t="inlineStr">
        <is>
          <t>Intervals_Reported</t>
        </is>
      </c>
    </row>
    <row r="2">
      <c r="A2" s="3" t="n">
        <v>46295</v>
      </c>
      <c r="B2" t="n">
        <v>845.441304347826</v>
      </c>
      <c r="C2" t="n">
        <v>1014.253043478261</v>
      </c>
      <c r="D2" t="n">
        <v>1144.379565217391</v>
      </c>
      <c r="E2" t="n">
        <v>65.36652173913043</v>
      </c>
      <c r="F2" t="n">
        <v>2260.416956521739</v>
      </c>
      <c r="G2" t="n">
        <v>8939.307826086957</v>
      </c>
      <c r="H2" t="n">
        <v>11875.11956521739</v>
      </c>
      <c r="I2" t="n">
        <v>10624.66956521739</v>
      </c>
      <c r="J2" t="n">
        <v>88.72260869565217</v>
      </c>
      <c r="K2" t="n">
        <v>36857.67695652174</v>
      </c>
      <c r="L2" t="n">
        <v>0.6123025965789889</v>
      </c>
      <c r="M2" t="n">
        <v>23</v>
      </c>
    </row>
    <row r="3">
      <c r="A3" s="3" t="n">
        <v>46301</v>
      </c>
      <c r="B3" t="n">
        <v>884.191304347826</v>
      </c>
      <c r="C3" t="n">
        <v>966.0604347826087</v>
      </c>
      <c r="D3" t="n">
        <v>1199.085217391304</v>
      </c>
      <c r="E3" t="n">
        <v>86.24739130434784</v>
      </c>
      <c r="F3" t="n">
        <v>3437.620869565219</v>
      </c>
      <c r="G3" t="n">
        <v>4257.407826086956</v>
      </c>
      <c r="H3" t="n">
        <v>13200.72</v>
      </c>
      <c r="I3" t="n">
        <v>10525.78086956522</v>
      </c>
      <c r="J3" t="n">
        <v>108.0678260869565</v>
      </c>
      <c r="K3" t="n">
        <v>34665.18173913043</v>
      </c>
      <c r="L3" t="n">
        <v>0.5144218134025926</v>
      </c>
      <c r="M3" t="n">
        <v>23</v>
      </c>
    </row>
    <row r="4">
      <c r="A4" s="3" t="n">
        <v>46302</v>
      </c>
      <c r="B4" t="n">
        <v>831.2363636363636</v>
      </c>
      <c r="C4" t="n">
        <v>1277.467272727273</v>
      </c>
      <c r="D4" t="n">
        <v>1173.492272727273</v>
      </c>
      <c r="E4" t="n">
        <v>81.34499999999998</v>
      </c>
      <c r="F4" t="n">
        <v>4338.223181818182</v>
      </c>
      <c r="G4" t="n">
        <v>2022.361363636364</v>
      </c>
      <c r="H4" t="n">
        <v>13589.15590909091</v>
      </c>
      <c r="I4" t="n">
        <v>10519.53363636364</v>
      </c>
      <c r="J4" t="n">
        <v>104.6045454545454</v>
      </c>
      <c r="K4" t="n">
        <v>33937.41954545455</v>
      </c>
      <c r="L4" t="n">
        <v>0.4662726607100077</v>
      </c>
      <c r="M4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2026-10-07T19:46:17Z</dcterms:created>
  <dcterms:modified xsi:type="dcterms:W3CDTF">2026-10-07T19:46:18Z</dcterms:modified>
</cp:coreProperties>
</file>