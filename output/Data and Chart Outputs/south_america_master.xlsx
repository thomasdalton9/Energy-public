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AR Demand data" sheetId="2" state="visible" r:id="rId2"/>
    <sheet name="AR gas raw" sheetId="3" state="visible" r:id="rId3"/>
    <sheet name="BR Demand data" sheetId="4" state="visible" r:id="rId4"/>
    <sheet name="BR gas raw" sheetId="5" state="visible" r:id="rId5"/>
    <sheet name="BO Demand data" sheetId="6" state="visible" r:id="rId6"/>
    <sheet name="BO gas raw" sheetId="7" state="visible" r:id="rId7"/>
    <sheet name="CL Imports data" sheetId="8" state="visible" r:id="rId8"/>
    <sheet name="CL gas imports raw" sheetId="9" state="visible" r:id="rId9"/>
    <sheet name="CL Generation data" sheetId="10" state="visible" r:id="rId10"/>
    <sheet name="CL power raw" sheetId="11" state="visible" r:id="rId11"/>
    <sheet name="CO Demand data" sheetId="12" state="visible" r:id="rId12"/>
    <sheet name="CO gas raw" sheetId="13" state="visible" r:id="rId13"/>
    <sheet name="EC Use data" sheetId="14" state="visible" r:id="rId14"/>
    <sheet name="EC gas raw" sheetId="15" state="visible" r:id="rId15"/>
    <sheet name="Sources" sheetId="16" state="visible" r:id="rId16"/>
  </sheets>
  <definedNames/>
  <calcPr calcId="124519" fullCalcOnLoad="1"/>
</workbook>
</file>

<file path=xl/styles.xml><?xml version="1.0" encoding="utf-8"?>
<styleSheet xmlns="http://schemas.openxmlformats.org/spreadsheetml/2006/main">
  <numFmts count="2">
    <numFmt numFmtId="164" formatCode="yyyy-mm-dd h:mm:ss"/>
    <numFmt numFmtId="165" formatCode="mmm/yy"/>
  </numFmts>
  <fonts count="6">
    <font>
      <name val="Calibri"/>
      <family val="2"/>
      <color theme="1"/>
      <sz val="11"/>
      <scheme val="minor"/>
    </font>
    <font>
      <b val="1"/>
    </font>
    <font>
      <b val="1"/>
      <color rgb="0017365D"/>
      <sz val="18"/>
    </font>
    <font>
      <i val="1"/>
      <color rgb="006B6B6B"/>
    </font>
    <font>
      <b val="1"/>
      <color rgb="00FFFFFF"/>
    </font>
    <font>
      <color rgb="002A78D6"/>
      <u val="single"/>
    </font>
  </fonts>
  <fills count="3">
    <fill>
      <patternFill/>
    </fill>
    <fill>
      <patternFill patternType="gray125"/>
    </fill>
    <fill>
      <patternFill patternType="solid">
        <fgColor rgb="0017365D"/>
      </patternFill>
    </fill>
  </fills>
  <borders count="1">
    <border>
      <left/>
      <right/>
      <top/>
      <bottom/>
      <diagonal/>
    </border>
  </borders>
  <cellStyleXfs count="1">
    <xf numFmtId="0" fontId="0" fillId="0" borderId="0"/>
  </cellStyleXfs>
  <cellXfs count="8">
    <xf numFmtId="0" fontId="0"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165" fontId="0" fillId="0" borderId="0" pivotButton="0" quotePrefix="0" xfId="0"/>
    <xf numFmtId="0" fontId="1"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a:p>
            <a:pPr>
              <a:defRPr/>
            </a:pPr>
            <a:r>
              <a:t>Argentina gas demand by sector vs production (to Jun/26)</a:t>
            </a:r>
          </a:p>
        </rich>
      </tx>
    </title>
    <plotArea>
      <barChart>
        <barDir val="col"/>
        <grouping val="stacked"/>
        <ser>
          <idx val="0"/>
          <order val="0"/>
          <tx>
            <strRef>
              <f>'AR Demand data'!B1</f>
            </strRef>
          </tx>
          <spPr>
            <a:solidFill>
              <a:srgbClr val="2A78D6"/>
            </a:solidFill>
            <a:ln>
              <a:noFill/>
              <a:prstDash val="solid"/>
            </a:ln>
          </spPr>
          <cat>
            <numRef>
              <f>'AR Demand data'!$A$2:$A$67</f>
            </numRef>
          </cat>
          <val>
            <numRef>
              <f>'AR Demand data'!$B$2:$B$67</f>
            </numRef>
          </val>
        </ser>
        <ser>
          <idx val="1"/>
          <order val="1"/>
          <tx>
            <strRef>
              <f>'AR Demand data'!C1</f>
            </strRef>
          </tx>
          <spPr>
            <a:solidFill>
              <a:srgbClr val="EB6834"/>
            </a:solidFill>
            <a:ln>
              <a:noFill/>
              <a:prstDash val="solid"/>
            </a:ln>
          </spPr>
          <cat>
            <numRef>
              <f>'AR Demand data'!$A$2:$A$67</f>
            </numRef>
          </cat>
          <val>
            <numRef>
              <f>'AR Demand data'!$C$2:$C$67</f>
            </numRef>
          </val>
        </ser>
        <ser>
          <idx val="2"/>
          <order val="2"/>
          <tx>
            <strRef>
              <f>'AR Demand data'!D1</f>
            </strRef>
          </tx>
          <spPr>
            <a:solidFill>
              <a:srgbClr val="1BAF7A"/>
            </a:solidFill>
            <a:ln>
              <a:noFill/>
              <a:prstDash val="solid"/>
            </a:ln>
          </spPr>
          <cat>
            <numRef>
              <f>'AR Demand data'!$A$2:$A$67</f>
            </numRef>
          </cat>
          <val>
            <numRef>
              <f>'AR Demand data'!$D$2:$D$67</f>
            </numRef>
          </val>
        </ser>
        <ser>
          <idx val="3"/>
          <order val="3"/>
          <tx>
            <strRef>
              <f>'AR Demand data'!E1</f>
            </strRef>
          </tx>
          <spPr>
            <a:solidFill>
              <a:srgbClr val="EDA100"/>
            </a:solidFill>
            <a:ln>
              <a:noFill/>
              <a:prstDash val="solid"/>
            </a:ln>
          </spPr>
          <cat>
            <numRef>
              <f>'AR Demand data'!$A$2:$A$67</f>
            </numRef>
          </cat>
          <val>
            <numRef>
              <f>'AR Demand data'!$E$2:$E$67</f>
            </numRef>
          </val>
        </ser>
        <ser>
          <idx val="4"/>
          <order val="4"/>
          <tx>
            <strRef>
              <f>'AR Demand data'!F1</f>
            </strRef>
          </tx>
          <spPr>
            <a:solidFill>
              <a:srgbClr val="E87BA4"/>
            </a:solidFill>
            <a:ln>
              <a:noFill/>
              <a:prstDash val="solid"/>
            </a:ln>
          </spPr>
          <cat>
            <numRef>
              <f>'AR Demand data'!$A$2:$A$67</f>
            </numRef>
          </cat>
          <val>
            <numRef>
              <f>'AR Demand data'!$F$2:$F$67</f>
            </numRef>
          </val>
        </ser>
        <ser>
          <idx val="5"/>
          <order val="5"/>
          <tx>
            <strRef>
              <f>'AR Demand data'!G1</f>
            </strRef>
          </tx>
          <spPr>
            <a:solidFill>
              <a:srgbClr val="008300"/>
            </a:solidFill>
            <a:ln>
              <a:noFill/>
              <a:prstDash val="solid"/>
            </a:ln>
          </spPr>
          <cat>
            <numRef>
              <f>'AR Demand data'!$A$2:$A$67</f>
            </numRef>
          </cat>
          <val>
            <numRef>
              <f>'AR Demand data'!$G$2:$G$67</f>
            </numRef>
          </val>
        </ser>
        <gapWidth val="30"/>
        <overlap val="100"/>
        <axId val="10"/>
        <axId val="100"/>
      </barChart>
      <lineChart>
        <grouping val="standard"/>
        <ser>
          <idx val="6"/>
          <order val="6"/>
          <tx>
            <strRef>
              <f>'AR Demand data'!H1</f>
            </strRef>
          </tx>
          <spPr>
            <a:ln w="28575">
              <a:solidFill>
                <a:srgbClr val="252525"/>
              </a:solidFill>
              <a:prstDash val="solid"/>
            </a:ln>
          </spPr>
          <marker>
            <symbol val="none"/>
            <spPr>
              <a:ln>
                <a:prstDash val="solid"/>
              </a:ln>
            </spPr>
          </marker>
          <cat>
            <numRef>
              <f>'AR Demand data'!$A$2:$A$67</f>
            </numRef>
          </cat>
          <val>
            <numRef>
              <f>'AR Demand data'!$H$2:$H$67</f>
            </numRef>
          </val>
          <smooth val="0"/>
        </ser>
        <axId val="10"/>
        <axId val="100"/>
      </line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million m3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Brazil gas demand by segment (to Jun/25)</a:t>
            </a:r>
          </a:p>
        </rich>
      </tx>
    </title>
    <plotArea>
      <barChart>
        <barDir val="col"/>
        <grouping val="stacked"/>
        <ser>
          <idx val="0"/>
          <order val="0"/>
          <tx>
            <strRef>
              <f>'BR Demand data'!B1</f>
            </strRef>
          </tx>
          <spPr>
            <a:solidFill>
              <a:srgbClr val="2A78D6"/>
            </a:solidFill>
            <a:ln>
              <a:noFill/>
              <a:prstDash val="solid"/>
            </a:ln>
          </spPr>
          <cat>
            <numRef>
              <f>'BR Demand data'!$A$2:$A$55</f>
            </numRef>
          </cat>
          <val>
            <numRef>
              <f>'BR Demand data'!$B$2:$B$55</f>
            </numRef>
          </val>
        </ser>
        <ser>
          <idx val="1"/>
          <order val="1"/>
          <tx>
            <strRef>
              <f>'BR Demand data'!C1</f>
            </strRef>
          </tx>
          <spPr>
            <a:solidFill>
              <a:srgbClr val="EB6834"/>
            </a:solidFill>
            <a:ln>
              <a:noFill/>
              <a:prstDash val="solid"/>
            </a:ln>
          </spPr>
          <cat>
            <numRef>
              <f>'BR Demand data'!$A$2:$A$55</f>
            </numRef>
          </cat>
          <val>
            <numRef>
              <f>'BR Demand data'!$C$2:$C$55</f>
            </numRef>
          </val>
        </ser>
        <ser>
          <idx val="2"/>
          <order val="2"/>
          <tx>
            <strRef>
              <f>'BR Demand data'!D1</f>
            </strRef>
          </tx>
          <spPr>
            <a:solidFill>
              <a:srgbClr val="1BAF7A"/>
            </a:solidFill>
            <a:ln>
              <a:noFill/>
              <a:prstDash val="solid"/>
            </a:ln>
          </spPr>
          <cat>
            <numRef>
              <f>'BR Demand data'!$A$2:$A$55</f>
            </numRef>
          </cat>
          <val>
            <numRef>
              <f>'BR Demand data'!$D$2:$D$55</f>
            </numRef>
          </val>
        </ser>
        <ser>
          <idx val="3"/>
          <order val="3"/>
          <tx>
            <strRef>
              <f>'BR Demand data'!E1</f>
            </strRef>
          </tx>
          <spPr>
            <a:solidFill>
              <a:srgbClr val="EDA100"/>
            </a:solidFill>
            <a:ln>
              <a:noFill/>
              <a:prstDash val="solid"/>
            </a:ln>
          </spPr>
          <cat>
            <numRef>
              <f>'BR Demand data'!$A$2:$A$55</f>
            </numRef>
          </cat>
          <val>
            <numRef>
              <f>'BR Demand data'!$E$2:$E$55</f>
            </numRef>
          </val>
        </ser>
        <ser>
          <idx val="4"/>
          <order val="4"/>
          <tx>
            <strRef>
              <f>'BR Demand data'!F1</f>
            </strRef>
          </tx>
          <spPr>
            <a:solidFill>
              <a:srgbClr val="E87BA4"/>
            </a:solidFill>
            <a:ln>
              <a:noFill/>
              <a:prstDash val="solid"/>
            </a:ln>
          </spPr>
          <cat>
            <numRef>
              <f>'BR Demand data'!$A$2:$A$55</f>
            </numRef>
          </cat>
          <val>
            <numRef>
              <f>'BR Demand data'!$F$2:$F$55</f>
            </numRef>
          </val>
        </ser>
        <ser>
          <idx val="5"/>
          <order val="5"/>
          <tx>
            <strRef>
              <f>'BR Demand data'!G1</f>
            </strRef>
          </tx>
          <spPr>
            <a:solidFill>
              <a:srgbClr val="008300"/>
            </a:solidFill>
            <a:ln>
              <a:noFill/>
              <a:prstDash val="solid"/>
            </a:ln>
          </spPr>
          <cat>
            <numRef>
              <f>'BR Demand data'!$A$2:$A$55</f>
            </numRef>
          </cat>
          <val>
            <numRef>
              <f>'BR Demand data'!$G$2:$G$55</f>
            </numRef>
          </val>
        </ser>
        <ser>
          <idx val="6"/>
          <order val="6"/>
          <tx>
            <strRef>
              <f>'BR Demand data'!H1</f>
            </strRef>
          </tx>
          <spPr>
            <a:solidFill>
              <a:srgbClr val="9A9A9A"/>
            </a:solidFill>
            <a:ln>
              <a:noFill/>
              <a:prstDash val="solid"/>
            </a:ln>
          </spPr>
          <cat>
            <numRef>
              <f>'BR Demand data'!$A$2:$A$55</f>
            </numRef>
          </cat>
          <val>
            <numRef>
              <f>'BR Demand data'!$H$2:$H$55</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4"/>
        <tickMarkSkip val="4"/>
      </catAx>
      <valAx>
        <axId val="100"/>
        <scaling>
          <orientation val="minMax"/>
        </scaling>
        <delete val="0"/>
        <axPos val="l"/>
        <majorGridlines/>
        <title>
          <tx>
            <rich>
              <a:bodyPr/>
              <a:p>
                <a:pPr>
                  <a:defRPr/>
                </a:pPr>
                <a:r>
                  <a:t>million m3/day</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Bolivia gas demand by sector (to Dec/25)</a:t>
            </a:r>
          </a:p>
        </rich>
      </tx>
    </title>
    <plotArea>
      <barChart>
        <barDir val="col"/>
        <grouping val="stacked"/>
        <ser>
          <idx val="0"/>
          <order val="0"/>
          <tx>
            <strRef>
              <f>'BO Demand data'!B1</f>
            </strRef>
          </tx>
          <spPr>
            <a:solidFill>
              <a:srgbClr val="2A78D6"/>
            </a:solidFill>
            <a:ln>
              <a:noFill/>
              <a:prstDash val="solid"/>
            </a:ln>
          </spPr>
          <cat>
            <numRef>
              <f>'BO Demand data'!$A$2:$A$61</f>
            </numRef>
          </cat>
          <val>
            <numRef>
              <f>'BO Demand data'!$B$2:$B$61</f>
            </numRef>
          </val>
        </ser>
        <ser>
          <idx val="1"/>
          <order val="1"/>
          <tx>
            <strRef>
              <f>'BO Demand data'!C1</f>
            </strRef>
          </tx>
          <spPr>
            <a:solidFill>
              <a:srgbClr val="EB6834"/>
            </a:solidFill>
            <a:ln>
              <a:noFill/>
              <a:prstDash val="solid"/>
            </a:ln>
          </spPr>
          <cat>
            <numRef>
              <f>'BO Demand data'!$A$2:$A$61</f>
            </numRef>
          </cat>
          <val>
            <numRef>
              <f>'BO Demand data'!$C$2:$C$61</f>
            </numRef>
          </val>
        </ser>
        <ser>
          <idx val="2"/>
          <order val="2"/>
          <tx>
            <strRef>
              <f>'BO Demand data'!D1</f>
            </strRef>
          </tx>
          <spPr>
            <a:solidFill>
              <a:srgbClr val="1BAF7A"/>
            </a:solidFill>
            <a:ln>
              <a:noFill/>
              <a:prstDash val="solid"/>
            </a:ln>
          </spPr>
          <cat>
            <numRef>
              <f>'BO Demand data'!$A$2:$A$61</f>
            </numRef>
          </cat>
          <val>
            <numRef>
              <f>'BO Demand data'!$D$2:$D$61</f>
            </numRef>
          </val>
        </ser>
        <ser>
          <idx val="3"/>
          <order val="3"/>
          <tx>
            <strRef>
              <f>'BO Demand data'!E1</f>
            </strRef>
          </tx>
          <spPr>
            <a:solidFill>
              <a:srgbClr val="EDA100"/>
            </a:solidFill>
            <a:ln>
              <a:noFill/>
              <a:prstDash val="solid"/>
            </a:ln>
          </spPr>
          <cat>
            <numRef>
              <f>'BO Demand data'!$A$2:$A$61</f>
            </numRef>
          </cat>
          <val>
            <numRef>
              <f>'BO Demand data'!$E$2:$E$61</f>
            </numRef>
          </val>
        </ser>
        <ser>
          <idx val="4"/>
          <order val="4"/>
          <tx>
            <strRef>
              <f>'BO Demand data'!F1</f>
            </strRef>
          </tx>
          <spPr>
            <a:solidFill>
              <a:srgbClr val="E87BA4"/>
            </a:solidFill>
            <a:ln>
              <a:noFill/>
              <a:prstDash val="solid"/>
            </a:ln>
          </spPr>
          <cat>
            <numRef>
              <f>'BO Demand data'!$A$2:$A$61</f>
            </numRef>
          </cat>
          <val>
            <numRef>
              <f>'BO Demand data'!$F$2:$F$61</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million m3/day</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Chile natural gas imports (LNG + Argentina) (to Jul/26)</a:t>
            </a:r>
          </a:p>
        </rich>
      </tx>
    </title>
    <plotArea>
      <barChart>
        <barDir val="col"/>
        <grouping val="stacked"/>
        <ser>
          <idx val="0"/>
          <order val="0"/>
          <tx>
            <strRef>
              <f>'CL Imports data'!B1</f>
            </strRef>
          </tx>
          <spPr>
            <a:solidFill>
              <a:srgbClr val="2A78D6"/>
            </a:solidFill>
            <a:ln>
              <a:noFill/>
              <a:prstDash val="solid"/>
            </a:ln>
          </spPr>
          <cat>
            <numRef>
              <f>'CL Imports data'!$A$2:$A$12</f>
            </numRef>
          </cat>
          <val>
            <numRef>
              <f>'CL Imports data'!$B$2:$B$12</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1"/>
        <tickMarkSkip val="1"/>
      </catAx>
      <valAx>
        <axId val="100"/>
        <scaling>
          <orientation val="minMax"/>
        </scaling>
        <delete val="0"/>
        <axPos val="l"/>
        <majorGridlines/>
        <title>
          <tx>
            <rich>
              <a:bodyPr/>
              <a:p>
                <a:pPr>
                  <a:defRPr/>
                </a:pPr>
                <a:r>
                  <a:t>million m3/day (approx)</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Chile power generation by type (to Apr/26)</a:t>
            </a:r>
          </a:p>
        </rich>
      </tx>
    </title>
    <plotArea>
      <barChart>
        <barDir val="col"/>
        <grouping val="stacked"/>
        <ser>
          <idx val="0"/>
          <order val="0"/>
          <tx>
            <strRef>
              <f>'CL Generation data'!B1</f>
            </strRef>
          </tx>
          <spPr>
            <a:solidFill>
              <a:srgbClr val="2A78D6"/>
            </a:solidFill>
            <a:ln>
              <a:noFill/>
              <a:prstDash val="solid"/>
            </a:ln>
          </spPr>
          <cat>
            <numRef>
              <f>'CL Generation data'!$A$2:$A$65</f>
            </numRef>
          </cat>
          <val>
            <numRef>
              <f>'CL Generation data'!$B$2:$B$65</f>
            </numRef>
          </val>
        </ser>
        <ser>
          <idx val="1"/>
          <order val="1"/>
          <tx>
            <strRef>
              <f>'CL Generation data'!C1</f>
            </strRef>
          </tx>
          <spPr>
            <a:solidFill>
              <a:srgbClr val="EB6834"/>
            </a:solidFill>
            <a:ln>
              <a:noFill/>
              <a:prstDash val="solid"/>
            </a:ln>
          </spPr>
          <cat>
            <numRef>
              <f>'CL Generation data'!$A$2:$A$65</f>
            </numRef>
          </cat>
          <val>
            <numRef>
              <f>'CL Generation data'!$C$2:$C$65</f>
            </numRef>
          </val>
        </ser>
        <ser>
          <idx val="2"/>
          <order val="2"/>
          <tx>
            <strRef>
              <f>'CL Generation data'!D1</f>
            </strRef>
          </tx>
          <spPr>
            <a:solidFill>
              <a:srgbClr val="1BAF7A"/>
            </a:solidFill>
            <a:ln>
              <a:noFill/>
              <a:prstDash val="solid"/>
            </a:ln>
          </spPr>
          <cat>
            <numRef>
              <f>'CL Generation data'!$A$2:$A$65</f>
            </numRef>
          </cat>
          <val>
            <numRef>
              <f>'CL Generation data'!$D$2:$D$65</f>
            </numRef>
          </val>
        </ser>
        <ser>
          <idx val="3"/>
          <order val="3"/>
          <tx>
            <strRef>
              <f>'CL Generation data'!E1</f>
            </strRef>
          </tx>
          <spPr>
            <a:solidFill>
              <a:srgbClr val="EDA100"/>
            </a:solidFill>
            <a:ln>
              <a:noFill/>
              <a:prstDash val="solid"/>
            </a:ln>
          </spPr>
          <cat>
            <numRef>
              <f>'CL Generation data'!$A$2:$A$65</f>
            </numRef>
          </cat>
          <val>
            <numRef>
              <f>'CL Generation data'!$E$2:$E$65</f>
            </numRef>
          </val>
        </ser>
        <ser>
          <idx val="4"/>
          <order val="4"/>
          <tx>
            <strRef>
              <f>'CL Generation data'!F1</f>
            </strRef>
          </tx>
          <spPr>
            <a:solidFill>
              <a:srgbClr val="E87BA4"/>
            </a:solidFill>
            <a:ln>
              <a:noFill/>
              <a:prstDash val="solid"/>
            </a:ln>
          </spPr>
          <cat>
            <numRef>
              <f>'CL Generation data'!$A$2:$A$65</f>
            </numRef>
          </cat>
          <val>
            <numRef>
              <f>'CL Generation data'!$F$2:$F$65</f>
            </numRef>
          </val>
        </ser>
        <ser>
          <idx val="5"/>
          <order val="5"/>
          <tx>
            <strRef>
              <f>'CL Generation data'!G1</f>
            </strRef>
          </tx>
          <spPr>
            <a:solidFill>
              <a:srgbClr val="9A9A9A"/>
            </a:solidFill>
            <a:ln>
              <a:noFill/>
              <a:prstDash val="solid"/>
            </a:ln>
          </spPr>
          <cat>
            <numRef>
              <f>'CL Generation data'!$A$2:$A$65</f>
            </numRef>
          </cat>
          <val>
            <numRef>
              <f>'CL Generation data'!$G$2:$G$65</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GWh per month</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Colombia gas demand by sector (to Aug/26)</a:t>
            </a:r>
          </a:p>
        </rich>
      </tx>
    </title>
    <plotArea>
      <barChart>
        <barDir val="col"/>
        <grouping val="stacked"/>
        <ser>
          <idx val="0"/>
          <order val="0"/>
          <tx>
            <strRef>
              <f>'CO Demand data'!B1</f>
            </strRef>
          </tx>
          <spPr>
            <a:solidFill>
              <a:srgbClr val="2A78D6"/>
            </a:solidFill>
            <a:ln>
              <a:noFill/>
              <a:prstDash val="solid"/>
            </a:ln>
          </spPr>
          <cat>
            <numRef>
              <f>'CO Demand data'!$A$2:$A$69</f>
            </numRef>
          </cat>
          <val>
            <numRef>
              <f>'CO Demand data'!$B$2:$B$69</f>
            </numRef>
          </val>
        </ser>
        <ser>
          <idx val="1"/>
          <order val="1"/>
          <tx>
            <strRef>
              <f>'CO Demand data'!C1</f>
            </strRef>
          </tx>
          <spPr>
            <a:solidFill>
              <a:srgbClr val="EB6834"/>
            </a:solidFill>
            <a:ln>
              <a:noFill/>
              <a:prstDash val="solid"/>
            </a:ln>
          </spPr>
          <cat>
            <numRef>
              <f>'CO Demand data'!$A$2:$A$69</f>
            </numRef>
          </cat>
          <val>
            <numRef>
              <f>'CO Demand data'!$C$2:$C$69</f>
            </numRef>
          </val>
        </ser>
        <ser>
          <idx val="2"/>
          <order val="2"/>
          <tx>
            <strRef>
              <f>'CO Demand data'!D1</f>
            </strRef>
          </tx>
          <spPr>
            <a:solidFill>
              <a:srgbClr val="1BAF7A"/>
            </a:solidFill>
            <a:ln>
              <a:noFill/>
              <a:prstDash val="solid"/>
            </a:ln>
          </spPr>
          <cat>
            <numRef>
              <f>'CO Demand data'!$A$2:$A$69</f>
            </numRef>
          </cat>
          <val>
            <numRef>
              <f>'CO Demand data'!$D$2:$D$69</f>
            </numRef>
          </val>
        </ser>
        <ser>
          <idx val="3"/>
          <order val="3"/>
          <tx>
            <strRef>
              <f>'CO Demand data'!E1</f>
            </strRef>
          </tx>
          <spPr>
            <a:solidFill>
              <a:srgbClr val="EDA100"/>
            </a:solidFill>
            <a:ln>
              <a:noFill/>
              <a:prstDash val="solid"/>
            </a:ln>
          </spPr>
          <cat>
            <numRef>
              <f>'CO Demand data'!$A$2:$A$69</f>
            </numRef>
          </cat>
          <val>
            <numRef>
              <f>'CO Demand data'!$E$2:$E$69</f>
            </numRef>
          </val>
        </ser>
        <ser>
          <idx val="4"/>
          <order val="4"/>
          <tx>
            <strRef>
              <f>'CO Demand data'!F1</f>
            </strRef>
          </tx>
          <spPr>
            <a:solidFill>
              <a:srgbClr val="E87BA4"/>
            </a:solidFill>
            <a:ln>
              <a:noFill/>
              <a:prstDash val="solid"/>
            </a:ln>
          </spPr>
          <cat>
            <numRef>
              <f>'CO Demand data'!$A$2:$A$69</f>
            </numRef>
          </cat>
          <val>
            <numRef>
              <f>'CO Demand data'!$F$2:$F$69</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GBTUD</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Ecuador domestic gas (Amistad) by use (to Aug/26)</a:t>
            </a:r>
          </a:p>
        </rich>
      </tx>
    </title>
    <plotArea>
      <barChart>
        <barDir val="col"/>
        <grouping val="stacked"/>
        <ser>
          <idx val="0"/>
          <order val="0"/>
          <tx>
            <strRef>
              <f>'EC Use data'!B1</f>
            </strRef>
          </tx>
          <spPr>
            <a:solidFill>
              <a:srgbClr val="2A78D6"/>
            </a:solidFill>
            <a:ln>
              <a:noFill/>
              <a:prstDash val="solid"/>
            </a:ln>
          </spPr>
          <cat>
            <numRef>
              <f>'EC Use data'!$A$2:$A$69</f>
            </numRef>
          </cat>
          <val>
            <numRef>
              <f>'EC Use data'!$B$2:$B$69</f>
            </numRef>
          </val>
        </ser>
        <ser>
          <idx val="1"/>
          <order val="1"/>
          <tx>
            <strRef>
              <f>'EC Use data'!C1</f>
            </strRef>
          </tx>
          <spPr>
            <a:solidFill>
              <a:srgbClr val="EB6834"/>
            </a:solidFill>
            <a:ln>
              <a:noFill/>
              <a:prstDash val="solid"/>
            </a:ln>
          </spPr>
          <cat>
            <numRef>
              <f>'EC Use data'!$A$2:$A$69</f>
            </numRef>
          </cat>
          <val>
            <numRef>
              <f>'EC Use data'!$C$2:$C$69</f>
            </numRef>
          </val>
        </ser>
        <gapWidth val="30"/>
        <overlap val="100"/>
        <axId val="10"/>
        <axId val="100"/>
      </barChart>
      <catAx>
        <axId val="10"/>
        <scaling>
          <orientation val="minMax"/>
        </scaling>
        <delete val="0"/>
        <axPos val="l"/>
        <numFmt formatCode="mmm/yy" sourceLinked="0"/>
        <majorTickMark val="none"/>
        <minorTickMark val="none"/>
        <tickLblPos val="low"/>
        <crossAx val="100"/>
        <lblOffset val="100"/>
        <tickLblSkip val="5"/>
        <tickMarkSkip val="5"/>
      </catAx>
      <valAx>
        <axId val="100"/>
        <scaling>
          <orientation val="minMax"/>
        </scaling>
        <delete val="0"/>
        <axPos val="l"/>
        <majorGridlines/>
        <title>
          <tx>
            <rich>
              <a:bodyPr/>
              <a:p>
                <a:pPr>
                  <a:defRPr/>
                </a:pPr>
                <a:r>
                  <a:t>MMBtu/day</a:t>
                </a:r>
              </a:p>
            </rich>
          </tx>
        </title>
        <majorTickMark val="none"/>
        <minorTickMark val="none"/>
        <crossAx val="10"/>
      </valAx>
      <spPr>
        <a:ln>
          <a:noFill/>
          <a:prstDash val="solid"/>
        </a:ln>
      </spPr>
    </plotArea>
    <legend>
      <legendPos val="b"/>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13</row>
      <rowOff>0</rowOff>
    </from>
    <ext cx="6120000" cy="3060000"/>
    <graphicFrame>
      <nvGraphicFramePr>
        <cNvPr id="1" name="Chart 1"/>
        <cNvGraphicFramePr/>
      </nvGraphicFramePr>
      <xfrm/>
      <a:graphic>
        <a:graphicData uri="http://schemas.openxmlformats.org/drawingml/2006/chart">
          <c:chart r:id="rId1"/>
        </a:graphicData>
      </a:graphic>
    </graphicFrame>
    <clientData/>
  </oneCellAnchor>
  <oneCellAnchor>
    <from>
      <col>6</col>
      <colOff>0</colOff>
      <row>13</row>
      <rowOff>0</rowOff>
    </from>
    <ext cx="6120000" cy="306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32</row>
      <rowOff>0</rowOff>
    </from>
    <ext cx="6120000" cy="3060000"/>
    <graphicFrame>
      <nvGraphicFramePr>
        <cNvPr id="3" name="Chart 3"/>
        <cNvGraphicFramePr/>
      </nvGraphicFramePr>
      <xfrm/>
      <a:graphic>
        <a:graphicData uri="http://schemas.openxmlformats.org/drawingml/2006/chart">
          <c:chart r:id="rId3"/>
        </a:graphicData>
      </a:graphic>
    </graphicFrame>
    <clientData/>
  </oneCellAnchor>
  <oneCellAnchor>
    <from>
      <col>6</col>
      <colOff>0</colOff>
      <row>32</row>
      <rowOff>0</rowOff>
    </from>
    <ext cx="6120000" cy="306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51</row>
      <rowOff>0</rowOff>
    </from>
    <ext cx="6120000" cy="3060000"/>
    <graphicFrame>
      <nvGraphicFramePr>
        <cNvPr id="5" name="Chart 5"/>
        <cNvGraphicFramePr/>
      </nvGraphicFramePr>
      <xfrm/>
      <a:graphic>
        <a:graphicData uri="http://schemas.openxmlformats.org/drawingml/2006/chart">
          <c:chart r:id="rId5"/>
        </a:graphicData>
      </a:graphic>
    </graphicFrame>
    <clientData/>
  </oneCellAnchor>
  <oneCellAnchor>
    <from>
      <col>6</col>
      <colOff>0</colOff>
      <row>51</row>
      <rowOff>0</rowOff>
    </from>
    <ext cx="6120000" cy="306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70</row>
      <rowOff>0</rowOff>
    </from>
    <ext cx="6120000" cy="3060000"/>
    <graphicFrame>
      <nvGraphicFramePr>
        <cNvPr id="7" name="Chart 7"/>
        <cNvGraphicFramePr/>
      </nvGraphicFramePr>
      <xfrm/>
      <a:graphic>
        <a:graphicData uri="http://schemas.openxmlformats.org/drawingml/2006/chart">
          <c:chart r:id="rId7"/>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AR Demand data'!A1" TargetMode="External" Id="rId1" /><Relationship Type="http://schemas.openxmlformats.org/officeDocument/2006/relationships/hyperlink" Target="#'BR Demand data'!A1" TargetMode="External" Id="rId2" /><Relationship Type="http://schemas.openxmlformats.org/officeDocument/2006/relationships/hyperlink" Target="#'BO Demand data'!A1" TargetMode="External" Id="rId3" /><Relationship Type="http://schemas.openxmlformats.org/officeDocument/2006/relationships/hyperlink" Target="#'CL Imports data'!A1" TargetMode="External" Id="rId4" /><Relationship Type="http://schemas.openxmlformats.org/officeDocument/2006/relationships/hyperlink" Target="#'CL Generation data'!A1" TargetMode="External" Id="rId5" /><Relationship Type="http://schemas.openxmlformats.org/officeDocument/2006/relationships/hyperlink" Target="#'CO Demand data'!A1" TargetMode="External" Id="rId6" /><Relationship Type="http://schemas.openxmlformats.org/officeDocument/2006/relationships/hyperlink" Target="#'EC Use data'!A1" TargetMode="External" Id="rId7" /><Relationship Type="http://schemas.openxmlformats.org/officeDocument/2006/relationships/drawing" Target="/xl/drawings/drawing1.xml" Id="rId8" /></Relationships>
</file>

<file path=xl/worksheets/sheet1.xml><?xml version="1.0" encoding="utf-8"?>
<worksheet xmlns="http://schemas.openxmlformats.org/spreadsheetml/2006/main">
  <sheetPr>
    <outlinePr summaryBelow="1" summaryRight="1"/>
    <pageSetUpPr/>
  </sheetPr>
  <dimension ref="B1:E11"/>
  <sheetViews>
    <sheetView workbookViewId="0">
      <selection activeCell="A1" sqref="A1"/>
    </sheetView>
  </sheetViews>
  <sheetFormatPr baseColWidth="8" defaultRowHeight="15"/>
  <cols>
    <col width="12" customWidth="1" min="2" max="2"/>
    <col width="48" customWidth="1" min="3" max="3"/>
    <col width="9" customWidth="1" min="4" max="4"/>
    <col width="24" customWidth="1" min="5" max="5"/>
  </cols>
  <sheetData>
    <row r="1">
      <c r="B1" s="1" t="inlineStr">
        <is>
          <t>South America energy - master dashboard</t>
        </is>
      </c>
    </row>
    <row r="2">
      <c r="B2" s="2" t="inlineStr">
        <is>
          <t>Built 01 Oct 2026 from the scheduled pulls in output/Data and Chart Outputs. Every chart's data is on its own tab; full source data on the 'raw' tabs; units on 'Sources'.</t>
        </is>
      </c>
    </row>
    <row r="4">
      <c r="B4" s="3" t="inlineStr">
        <is>
          <t>Country</t>
        </is>
      </c>
      <c r="C4" s="3" t="inlineStr">
        <is>
          <t>Chart</t>
        </is>
      </c>
      <c r="D4" s="3" t="inlineStr">
        <is>
          <t>Latest</t>
        </is>
      </c>
      <c r="E4" s="3" t="inlineStr">
        <is>
          <t>Data tab</t>
        </is>
      </c>
    </row>
    <row r="5">
      <c r="B5" t="inlineStr">
        <is>
          <t>Argentina</t>
        </is>
      </c>
      <c r="C5" t="inlineStr">
        <is>
          <t>Argentina gas demand by sector vs production</t>
        </is>
      </c>
      <c r="D5" t="inlineStr">
        <is>
          <t>Jun/26</t>
        </is>
      </c>
      <c r="E5" s="4" t="inlineStr">
        <is>
          <t>AR Demand data</t>
        </is>
      </c>
    </row>
    <row r="6">
      <c r="B6" t="inlineStr">
        <is>
          <t>Brazil</t>
        </is>
      </c>
      <c r="C6" t="inlineStr">
        <is>
          <t>Brazil gas demand by segment</t>
        </is>
      </c>
      <c r="D6" t="inlineStr">
        <is>
          <t>Jun/25</t>
        </is>
      </c>
      <c r="E6" s="4" t="inlineStr">
        <is>
          <t>BR Demand data</t>
        </is>
      </c>
    </row>
    <row r="7">
      <c r="B7" t="inlineStr">
        <is>
          <t>Bolivia</t>
        </is>
      </c>
      <c r="C7" t="inlineStr">
        <is>
          <t>Bolivia gas demand by sector</t>
        </is>
      </c>
      <c r="D7" t="inlineStr">
        <is>
          <t>Dec/25</t>
        </is>
      </c>
      <c r="E7" s="4" t="inlineStr">
        <is>
          <t>BO Demand data</t>
        </is>
      </c>
    </row>
    <row r="8">
      <c r="B8" t="inlineStr">
        <is>
          <t>Chile</t>
        </is>
      </c>
      <c r="C8" t="inlineStr">
        <is>
          <t>Chile natural gas imports (LNG + Argentina)</t>
        </is>
      </c>
      <c r="D8" t="inlineStr">
        <is>
          <t>Jul/26</t>
        </is>
      </c>
      <c r="E8" s="4" t="inlineStr">
        <is>
          <t>CL Imports data</t>
        </is>
      </c>
    </row>
    <row r="9">
      <c r="B9" t="inlineStr">
        <is>
          <t>Chile</t>
        </is>
      </c>
      <c r="C9" t="inlineStr">
        <is>
          <t>Chile power generation by type</t>
        </is>
      </c>
      <c r="D9" t="inlineStr">
        <is>
          <t>Apr/26</t>
        </is>
      </c>
      <c r="E9" s="4" t="inlineStr">
        <is>
          <t>CL Generation data</t>
        </is>
      </c>
    </row>
    <row r="10">
      <c r="B10" t="inlineStr">
        <is>
          <t>Colombia</t>
        </is>
      </c>
      <c r="C10" t="inlineStr">
        <is>
          <t>Colombia gas demand by sector</t>
        </is>
      </c>
      <c r="D10" t="inlineStr">
        <is>
          <t>Aug/26</t>
        </is>
      </c>
      <c r="E10" s="4" t="inlineStr">
        <is>
          <t>CO Demand data</t>
        </is>
      </c>
    </row>
    <row r="11">
      <c r="B11" t="inlineStr">
        <is>
          <t>Ecuador</t>
        </is>
      </c>
      <c r="C11" t="inlineStr">
        <is>
          <t>Ecuador domestic gas (Amistad) by use</t>
        </is>
      </c>
      <c r="D11" t="inlineStr">
        <is>
          <t>Aug/26</t>
        </is>
      </c>
      <c r="E11" s="4" t="inlineStr">
        <is>
          <t>EC Use data</t>
        </is>
      </c>
    </row>
  </sheetData>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s>
  <pageMargins left="0.75" right="0.75" top="1" bottom="1" header="0.5" footer="0.5"/>
  <drawing xmlns:r="http://schemas.openxmlformats.org/officeDocument/2006/relationships" r:id="rId8"/>
</worksheet>
</file>

<file path=xl/worksheets/sheet2.xml><?xml version="1.0" encoding="utf-8"?>
<worksheet xmlns="http://schemas.openxmlformats.org/spreadsheetml/2006/main">
  <sheetPr>
    <outlinePr summaryBelow="1" summaryRight="1"/>
    <pageSetUpPr/>
  </sheetPr>
  <dimension ref="A1:H67"/>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Industry</t>
        </is>
      </c>
      <c r="D1" t="inlineStr">
        <is>
          <t>Residential</t>
        </is>
      </c>
      <c r="E1" t="inlineStr">
        <is>
          <t>Commercial</t>
        </is>
      </c>
      <c r="F1" t="inlineStr">
        <is>
          <t>Vehicle CNG</t>
        </is>
      </c>
      <c r="G1" t="inlineStr">
        <is>
          <t>Government</t>
        </is>
      </c>
      <c r="H1" t="inlineStr">
        <is>
          <t>Production</t>
        </is>
      </c>
    </row>
    <row r="2">
      <c r="A2" s="5" t="n">
        <v>44197</v>
      </c>
      <c r="B2" t="n">
        <v>1554.287</v>
      </c>
      <c r="C2" t="n">
        <v>833.9450000000001</v>
      </c>
      <c r="D2" t="n">
        <v>319.651</v>
      </c>
      <c r="E2" t="n">
        <v>65.64400000000001</v>
      </c>
      <c r="F2" t="n">
        <v>186.95</v>
      </c>
      <c r="G2" t="n">
        <v>10.588</v>
      </c>
      <c r="H2" t="n">
        <v>3596.460490200001</v>
      </c>
    </row>
    <row r="3">
      <c r="A3" s="5" t="n">
        <v>44228</v>
      </c>
      <c r="B3" t="n">
        <v>1304.954</v>
      </c>
      <c r="C3" t="n">
        <v>757.808</v>
      </c>
      <c r="D3" t="n">
        <v>296.26</v>
      </c>
      <c r="E3" t="n">
        <v>62.513</v>
      </c>
      <c r="F3" t="n">
        <v>179.33</v>
      </c>
      <c r="G3" t="n">
        <v>9.593</v>
      </c>
      <c r="H3" t="n">
        <v>3208.2183149</v>
      </c>
    </row>
    <row r="4">
      <c r="A4" s="5" t="n">
        <v>44256</v>
      </c>
      <c r="B4" t="n">
        <v>1415.876</v>
      </c>
      <c r="C4" t="n">
        <v>950.792</v>
      </c>
      <c r="D4" t="n">
        <v>385.467</v>
      </c>
      <c r="E4" t="n">
        <v>74.795</v>
      </c>
      <c r="F4" t="n">
        <v>202.376</v>
      </c>
      <c r="G4" t="n">
        <v>13.612</v>
      </c>
      <c r="H4" t="n">
        <v>3550.2423068</v>
      </c>
    </row>
    <row r="5">
      <c r="A5" s="5" t="n">
        <v>44287</v>
      </c>
      <c r="B5" t="n">
        <v>1243.057</v>
      </c>
      <c r="C5" t="n">
        <v>967.35</v>
      </c>
      <c r="D5" t="n">
        <v>479.447</v>
      </c>
      <c r="E5" t="n">
        <v>78.52800000000001</v>
      </c>
      <c r="F5" t="n">
        <v>182.942</v>
      </c>
      <c r="G5" t="n">
        <v>18.911</v>
      </c>
      <c r="H5" t="n">
        <v>3427.197366000002</v>
      </c>
    </row>
    <row r="6">
      <c r="A6" s="5" t="n">
        <v>44317</v>
      </c>
      <c r="B6" t="n">
        <v>1180.874</v>
      </c>
      <c r="C6" t="n">
        <v>861.894</v>
      </c>
      <c r="D6" t="n">
        <v>1168.167</v>
      </c>
      <c r="E6" t="n">
        <v>114.765</v>
      </c>
      <c r="F6" t="n">
        <v>170.19</v>
      </c>
      <c r="G6" t="n">
        <v>46.945</v>
      </c>
      <c r="H6" t="n">
        <v>3759.8856335</v>
      </c>
    </row>
    <row r="7">
      <c r="A7" s="5" t="n">
        <v>44348</v>
      </c>
      <c r="B7" t="n">
        <v>1264.29</v>
      </c>
      <c r="C7" t="n">
        <v>852.717</v>
      </c>
      <c r="D7" t="n">
        <v>1506.853</v>
      </c>
      <c r="E7" t="n">
        <v>148</v>
      </c>
      <c r="F7" t="n">
        <v>177.496</v>
      </c>
      <c r="G7" t="n">
        <v>64.89400000000001</v>
      </c>
      <c r="H7" t="n">
        <v>3810.686736799998</v>
      </c>
    </row>
    <row r="8">
      <c r="A8" s="5" t="n">
        <v>44378</v>
      </c>
      <c r="B8" t="n">
        <v>1453.7</v>
      </c>
      <c r="C8" t="n">
        <v>830.559</v>
      </c>
      <c r="D8" t="n">
        <v>1639.031</v>
      </c>
      <c r="E8" t="n">
        <v>142.601</v>
      </c>
      <c r="F8" t="n">
        <v>202.134</v>
      </c>
      <c r="G8" t="n">
        <v>65.854</v>
      </c>
      <c r="H8" t="n">
        <v>4052.605669599997</v>
      </c>
    </row>
    <row r="9">
      <c r="A9" s="5" t="n">
        <v>44409</v>
      </c>
      <c r="B9" t="n">
        <v>1631.482</v>
      </c>
      <c r="C9" t="n">
        <v>844.181</v>
      </c>
      <c r="D9" t="n">
        <v>1428.437</v>
      </c>
      <c r="E9" t="n">
        <v>138.061</v>
      </c>
      <c r="F9" t="n">
        <v>205.8</v>
      </c>
      <c r="G9" t="n">
        <v>66.59099999999999</v>
      </c>
      <c r="H9" t="n">
        <v>4145.486521399998</v>
      </c>
    </row>
    <row r="10">
      <c r="A10" s="5" t="n">
        <v>44440</v>
      </c>
      <c r="B10" t="n">
        <v>1221.448</v>
      </c>
      <c r="C10" t="n">
        <v>842.053</v>
      </c>
      <c r="D10" t="n">
        <v>989.596</v>
      </c>
      <c r="E10" t="n">
        <v>102.142</v>
      </c>
      <c r="F10" t="n">
        <v>204.527</v>
      </c>
      <c r="G10" t="n">
        <v>47.469</v>
      </c>
      <c r="H10" t="n">
        <v>3980.180374399996</v>
      </c>
    </row>
    <row r="11">
      <c r="A11" s="5" t="n">
        <v>44470</v>
      </c>
      <c r="B11" t="n">
        <v>1167.696</v>
      </c>
      <c r="C11" t="n">
        <v>890.377</v>
      </c>
      <c r="D11" t="n">
        <v>699.1609999999999</v>
      </c>
      <c r="E11" t="n">
        <v>92.024</v>
      </c>
      <c r="F11" t="n">
        <v>212.307</v>
      </c>
      <c r="G11" t="n">
        <v>33.489</v>
      </c>
      <c r="H11" t="n">
        <v>3944.1334377</v>
      </c>
    </row>
    <row r="12">
      <c r="A12" s="5" t="n">
        <v>44501</v>
      </c>
      <c r="B12" t="n">
        <v>1251.664</v>
      </c>
      <c r="C12" t="n">
        <v>945.062</v>
      </c>
      <c r="D12" t="n">
        <v>454.361</v>
      </c>
      <c r="E12" t="n">
        <v>74.371</v>
      </c>
      <c r="F12" t="n">
        <v>207.42</v>
      </c>
      <c r="G12" t="n">
        <v>18.769</v>
      </c>
      <c r="H12" t="n">
        <v>3836.342406600002</v>
      </c>
    </row>
    <row r="13">
      <c r="A13" s="5" t="n">
        <v>44531</v>
      </c>
      <c r="B13" t="n">
        <v>1459.346</v>
      </c>
      <c r="C13" t="n">
        <v>923.477</v>
      </c>
      <c r="D13" t="n">
        <v>352.252</v>
      </c>
      <c r="E13" t="n">
        <v>65.572</v>
      </c>
      <c r="F13" t="n">
        <v>213.885</v>
      </c>
      <c r="G13" t="n">
        <v>11.99</v>
      </c>
      <c r="H13" t="n">
        <v>3994.720004200002</v>
      </c>
    </row>
    <row r="14">
      <c r="A14" s="5" t="n">
        <v>44562</v>
      </c>
      <c r="B14" t="n">
        <v>1517.179</v>
      </c>
      <c r="C14" t="n">
        <v>904.747</v>
      </c>
      <c r="D14" t="n">
        <v>313.234</v>
      </c>
      <c r="E14" t="n">
        <v>64.17700000000001</v>
      </c>
      <c r="F14" t="n">
        <v>184.709</v>
      </c>
      <c r="G14" t="n">
        <v>10.965</v>
      </c>
      <c r="H14" t="n">
        <v>4028.555577799998</v>
      </c>
    </row>
    <row r="15">
      <c r="A15" s="5" t="n">
        <v>44593</v>
      </c>
      <c r="B15" t="n">
        <v>1170.743</v>
      </c>
      <c r="C15" t="n">
        <v>807.457</v>
      </c>
      <c r="D15" t="n">
        <v>321.999</v>
      </c>
      <c r="E15" t="n">
        <v>61.345</v>
      </c>
      <c r="F15" t="n">
        <v>183.57</v>
      </c>
      <c r="G15" t="n">
        <v>11.33</v>
      </c>
      <c r="H15" t="n">
        <v>3565.156347900002</v>
      </c>
    </row>
    <row r="16">
      <c r="A16" s="5" t="n">
        <v>44621</v>
      </c>
      <c r="B16" t="n">
        <v>1155.221</v>
      </c>
      <c r="C16" t="n">
        <v>911.549</v>
      </c>
      <c r="D16" t="n">
        <v>475.358</v>
      </c>
      <c r="E16" t="n">
        <v>76.18600000000001</v>
      </c>
      <c r="F16" t="n">
        <v>203.078</v>
      </c>
      <c r="G16" t="n">
        <v>16.848</v>
      </c>
      <c r="H16" t="n">
        <v>3889.770182400003</v>
      </c>
    </row>
    <row r="17">
      <c r="A17" s="5" t="n">
        <v>44652</v>
      </c>
      <c r="B17" t="n">
        <v>996.72</v>
      </c>
      <c r="C17" t="n">
        <v>850.261</v>
      </c>
      <c r="D17" t="n">
        <v>714.159</v>
      </c>
      <c r="E17" t="n">
        <v>88.937</v>
      </c>
      <c r="F17" t="n">
        <v>200.633</v>
      </c>
      <c r="G17" t="n">
        <v>30.301</v>
      </c>
      <c r="H17" t="n">
        <v>3821.221502400003</v>
      </c>
    </row>
    <row r="18">
      <c r="A18" s="5" t="n">
        <v>44682</v>
      </c>
      <c r="B18" t="n">
        <v>1012.444</v>
      </c>
      <c r="C18" t="n">
        <v>898.587</v>
      </c>
      <c r="D18" t="n">
        <v>1271.698</v>
      </c>
      <c r="E18" t="n">
        <v>125.41</v>
      </c>
      <c r="F18" t="n">
        <v>203.42</v>
      </c>
      <c r="G18" t="n">
        <v>55.594</v>
      </c>
      <c r="H18" t="n">
        <v>4226.6449526</v>
      </c>
    </row>
    <row r="19">
      <c r="A19" s="5" t="n">
        <v>44713</v>
      </c>
      <c r="B19" t="n">
        <v>862.187</v>
      </c>
      <c r="C19" t="n">
        <v>889.907</v>
      </c>
      <c r="D19" t="n">
        <v>1703.184</v>
      </c>
      <c r="E19" t="n">
        <v>156.85</v>
      </c>
      <c r="F19" t="n">
        <v>201.283</v>
      </c>
      <c r="G19" t="n">
        <v>75.864</v>
      </c>
      <c r="H19" t="n">
        <v>4192.534210199997</v>
      </c>
    </row>
    <row r="20">
      <c r="A20" s="5" t="n">
        <v>44743</v>
      </c>
      <c r="B20" t="n">
        <v>1328.849</v>
      </c>
      <c r="C20" t="n">
        <v>874.101</v>
      </c>
      <c r="D20" t="n">
        <v>1671.142</v>
      </c>
      <c r="E20" t="n">
        <v>160.313</v>
      </c>
      <c r="F20" t="n">
        <v>205.848</v>
      </c>
      <c r="G20" t="n">
        <v>73.70399999999999</v>
      </c>
      <c r="H20" t="n">
        <v>4354.7460416</v>
      </c>
    </row>
    <row r="21">
      <c r="A21" s="5" t="n">
        <v>44774</v>
      </c>
      <c r="B21" t="n">
        <v>989.173</v>
      </c>
      <c r="C21" t="n">
        <v>877.802</v>
      </c>
      <c r="D21" t="n">
        <v>1453.929</v>
      </c>
      <c r="E21" t="n">
        <v>150.922</v>
      </c>
      <c r="F21" t="n">
        <v>205.224</v>
      </c>
      <c r="G21" t="n">
        <v>71.027</v>
      </c>
      <c r="H21" t="n">
        <v>4395.136678299998</v>
      </c>
    </row>
    <row r="22">
      <c r="A22" s="5" t="n">
        <v>44805</v>
      </c>
      <c r="B22" t="n">
        <v>960.138</v>
      </c>
      <c r="C22" t="n">
        <v>889.726</v>
      </c>
      <c r="D22" t="n">
        <v>1004.412</v>
      </c>
      <c r="E22" t="n">
        <v>130.628</v>
      </c>
      <c r="F22" t="n">
        <v>197.839</v>
      </c>
      <c r="G22" t="n">
        <v>55.043</v>
      </c>
      <c r="H22" t="n">
        <v>4090.437826399999</v>
      </c>
    </row>
    <row r="23">
      <c r="A23" s="5" t="n">
        <v>44835</v>
      </c>
      <c r="B23" t="n">
        <v>1016.415</v>
      </c>
      <c r="C23" t="n">
        <v>971.522</v>
      </c>
      <c r="D23" t="n">
        <v>718.968</v>
      </c>
      <c r="E23" t="n">
        <v>107.806</v>
      </c>
      <c r="F23" t="n">
        <v>202.024</v>
      </c>
      <c r="G23" t="n">
        <v>37.86</v>
      </c>
      <c r="H23" t="n">
        <v>4122.414338299998</v>
      </c>
    </row>
    <row r="24">
      <c r="A24" s="5" t="n">
        <v>44866</v>
      </c>
      <c r="B24" t="n">
        <v>1096.901</v>
      </c>
      <c r="C24" t="n">
        <v>932.782</v>
      </c>
      <c r="D24" t="n">
        <v>398.575</v>
      </c>
      <c r="E24" t="n">
        <v>85.729</v>
      </c>
      <c r="F24" t="n">
        <v>192.28</v>
      </c>
      <c r="G24" t="n">
        <v>21.329</v>
      </c>
      <c r="H24" t="n">
        <v>3802.607562300002</v>
      </c>
    </row>
    <row r="25">
      <c r="A25" s="5" t="n">
        <v>44896</v>
      </c>
      <c r="B25" t="n">
        <v>1300.693</v>
      </c>
      <c r="C25" t="n">
        <v>947.655</v>
      </c>
      <c r="D25" t="n">
        <v>326.33</v>
      </c>
      <c r="E25" t="n">
        <v>75.526</v>
      </c>
      <c r="F25" t="n">
        <v>196.527</v>
      </c>
      <c r="G25" t="n">
        <v>14.415</v>
      </c>
      <c r="H25" t="n">
        <v>4000.121788199997</v>
      </c>
    </row>
    <row r="26">
      <c r="A26" s="5" t="n">
        <v>44927</v>
      </c>
      <c r="B26" t="n">
        <v>1346.198</v>
      </c>
      <c r="C26" t="n">
        <v>935.683</v>
      </c>
      <c r="D26" t="n">
        <v>277.042</v>
      </c>
      <c r="E26" t="n">
        <v>69.057</v>
      </c>
      <c r="F26" t="n">
        <v>185.232</v>
      </c>
      <c r="G26" t="n">
        <v>10.815</v>
      </c>
      <c r="H26" t="n">
        <v>3999.872318700001</v>
      </c>
    </row>
    <row r="27">
      <c r="A27" s="5" t="n">
        <v>44958</v>
      </c>
      <c r="B27" t="n">
        <v>1122.268</v>
      </c>
      <c r="C27" t="n">
        <v>894.889</v>
      </c>
      <c r="D27" t="n">
        <v>279.584</v>
      </c>
      <c r="E27" t="n">
        <v>67.23</v>
      </c>
      <c r="F27" t="n">
        <v>173.032</v>
      </c>
      <c r="G27" t="n">
        <v>10.853</v>
      </c>
      <c r="H27" t="n">
        <v>3645.355940099995</v>
      </c>
    </row>
    <row r="28">
      <c r="A28" s="5" t="n">
        <v>44986</v>
      </c>
      <c r="B28" t="n">
        <v>1292.601</v>
      </c>
      <c r="C28" t="n">
        <v>966.989</v>
      </c>
      <c r="D28" t="n">
        <v>361.126</v>
      </c>
      <c r="E28" t="n">
        <v>79.05</v>
      </c>
      <c r="F28" t="n">
        <v>195.351</v>
      </c>
      <c r="G28" t="n">
        <v>16.027</v>
      </c>
      <c r="H28" t="n">
        <v>3994.466309800007</v>
      </c>
    </row>
    <row r="29">
      <c r="A29" s="5" t="n">
        <v>45017</v>
      </c>
      <c r="B29" t="n">
        <v>945.701</v>
      </c>
      <c r="C29" t="n">
        <v>927.734</v>
      </c>
      <c r="D29" t="n">
        <v>599.047</v>
      </c>
      <c r="E29" t="n">
        <v>102.403</v>
      </c>
      <c r="F29" t="n">
        <v>186.897</v>
      </c>
      <c r="G29" t="n">
        <v>29.399</v>
      </c>
      <c r="H29" t="n">
        <v>3863.489774299996</v>
      </c>
    </row>
    <row r="30">
      <c r="A30" s="5" t="n">
        <v>45047</v>
      </c>
      <c r="B30" t="n">
        <v>1205.501</v>
      </c>
      <c r="C30" t="n">
        <v>932.013</v>
      </c>
      <c r="D30" t="n">
        <v>921.274</v>
      </c>
      <c r="E30" t="n">
        <v>131.998</v>
      </c>
      <c r="F30" t="n">
        <v>187.734</v>
      </c>
      <c r="G30" t="n">
        <v>48.211</v>
      </c>
      <c r="H30" t="n">
        <v>4184.224369600002</v>
      </c>
    </row>
    <row r="31">
      <c r="A31" s="5" t="n">
        <v>45078</v>
      </c>
      <c r="B31" t="n">
        <v>1422.991</v>
      </c>
      <c r="C31" t="n">
        <v>934.111</v>
      </c>
      <c r="D31" t="n">
        <v>1401.802</v>
      </c>
      <c r="E31" t="n">
        <v>161.139</v>
      </c>
      <c r="F31" t="n">
        <v>185.065</v>
      </c>
      <c r="G31" t="n">
        <v>68.899</v>
      </c>
      <c r="H31" t="n">
        <v>4146.532659699999</v>
      </c>
    </row>
    <row r="32">
      <c r="A32" s="5" t="n">
        <v>45108</v>
      </c>
      <c r="B32" t="n">
        <v>1297.261</v>
      </c>
      <c r="C32" t="n">
        <v>936.034</v>
      </c>
      <c r="D32" t="n">
        <v>1621.097</v>
      </c>
      <c r="E32" t="n">
        <v>180.252</v>
      </c>
      <c r="F32" t="n">
        <v>193.292</v>
      </c>
      <c r="G32" t="n">
        <v>77.65000000000001</v>
      </c>
      <c r="H32" t="n">
        <v>4283.1862028</v>
      </c>
    </row>
    <row r="33">
      <c r="A33" s="5" t="n">
        <v>45139</v>
      </c>
      <c r="B33" t="n">
        <v>1304.953</v>
      </c>
      <c r="C33" t="n">
        <v>929.841</v>
      </c>
      <c r="D33" t="n">
        <v>1445.818</v>
      </c>
      <c r="E33" t="n">
        <v>171.911</v>
      </c>
      <c r="F33" t="n">
        <v>190.236</v>
      </c>
      <c r="G33" t="n">
        <v>74.125</v>
      </c>
      <c r="H33" t="n">
        <v>4477.024218600005</v>
      </c>
    </row>
    <row r="34">
      <c r="A34" s="5" t="n">
        <v>45170</v>
      </c>
      <c r="B34" t="n">
        <v>1164.514</v>
      </c>
      <c r="C34" t="n">
        <v>958.547</v>
      </c>
      <c r="D34" t="n">
        <v>1191.804</v>
      </c>
      <c r="E34" t="n">
        <v>151.279</v>
      </c>
      <c r="F34" t="n">
        <v>184.583</v>
      </c>
      <c r="G34" t="n">
        <v>62.626</v>
      </c>
      <c r="H34" t="n">
        <v>4296.9233139</v>
      </c>
    </row>
    <row r="35">
      <c r="A35" s="5" t="n">
        <v>45200</v>
      </c>
      <c r="B35" t="n">
        <v>1004.197</v>
      </c>
      <c r="C35" t="n">
        <v>955.404</v>
      </c>
      <c r="D35" t="n">
        <v>735.477</v>
      </c>
      <c r="E35" t="n">
        <v>114.84</v>
      </c>
      <c r="F35" t="n">
        <v>191.516</v>
      </c>
      <c r="G35" t="n">
        <v>39.13</v>
      </c>
      <c r="H35" t="n">
        <v>3905.392633100001</v>
      </c>
    </row>
    <row r="36">
      <c r="A36" s="5" t="n">
        <v>45231</v>
      </c>
      <c r="B36" t="n">
        <v>1170.232</v>
      </c>
      <c r="C36" t="n">
        <v>986.178</v>
      </c>
      <c r="D36" t="n">
        <v>551.415</v>
      </c>
      <c r="E36" t="n">
        <v>104.379</v>
      </c>
      <c r="F36" t="n">
        <v>183.336</v>
      </c>
      <c r="G36" t="n">
        <v>26.23</v>
      </c>
      <c r="H36" t="n">
        <v>3789.920717799997</v>
      </c>
    </row>
    <row r="37">
      <c r="A37" s="5" t="n">
        <v>45261</v>
      </c>
      <c r="B37" t="n">
        <v>1220.328</v>
      </c>
      <c r="C37" t="n">
        <v>990.902</v>
      </c>
      <c r="D37" t="n">
        <v>383.23</v>
      </c>
      <c r="E37" t="n">
        <v>83.63500000000001</v>
      </c>
      <c r="F37" t="n">
        <v>187.901</v>
      </c>
      <c r="G37" t="n">
        <v>15.238</v>
      </c>
      <c r="H37" t="n">
        <v>3539.0107231</v>
      </c>
    </row>
    <row r="38">
      <c r="A38" s="5" t="n">
        <v>45292</v>
      </c>
      <c r="B38" t="n">
        <v>1403.232</v>
      </c>
      <c r="C38" t="n">
        <v>936.518</v>
      </c>
      <c r="D38" t="n">
        <v>295.894</v>
      </c>
      <c r="E38" t="n">
        <v>73.352</v>
      </c>
      <c r="F38" t="n">
        <v>174.216</v>
      </c>
      <c r="G38" t="n">
        <v>11.157</v>
      </c>
      <c r="H38" t="n">
        <v>3837.920215800003</v>
      </c>
    </row>
    <row r="39">
      <c r="A39" s="5" t="n">
        <v>45323</v>
      </c>
      <c r="B39" t="n">
        <v>1376.671</v>
      </c>
      <c r="C39" t="n">
        <v>909.269</v>
      </c>
      <c r="D39" t="n">
        <v>282.701</v>
      </c>
      <c r="E39" t="n">
        <v>75.051</v>
      </c>
      <c r="F39" t="n">
        <v>166.829</v>
      </c>
      <c r="G39" t="n">
        <v>11.769</v>
      </c>
      <c r="H39" t="n">
        <v>3887.644921100001</v>
      </c>
    </row>
    <row r="40">
      <c r="A40" s="5" t="n">
        <v>45352</v>
      </c>
      <c r="B40" t="n">
        <v>1351.017</v>
      </c>
      <c r="C40" t="n">
        <v>959.432</v>
      </c>
      <c r="D40" t="n">
        <v>396.843</v>
      </c>
      <c r="E40" t="n">
        <v>85.834</v>
      </c>
      <c r="F40" t="n">
        <v>177.194</v>
      </c>
      <c r="G40" t="n">
        <v>16.007</v>
      </c>
      <c r="H40" t="n">
        <v>4174.404509400003</v>
      </c>
    </row>
    <row r="41">
      <c r="A41" s="5" t="n">
        <v>45383</v>
      </c>
      <c r="B41" t="n">
        <v>1039.121</v>
      </c>
      <c r="C41" t="n">
        <v>974.182</v>
      </c>
      <c r="D41" t="n">
        <v>684.232</v>
      </c>
      <c r="E41" t="n">
        <v>103.321</v>
      </c>
      <c r="F41" t="n">
        <v>170.093</v>
      </c>
      <c r="G41" t="n">
        <v>29.934</v>
      </c>
      <c r="H41" t="n">
        <v>4084.7243119</v>
      </c>
    </row>
    <row r="42">
      <c r="A42" s="5" t="n">
        <v>45413</v>
      </c>
      <c r="B42" t="n">
        <v>820.279</v>
      </c>
      <c r="C42" t="n">
        <v>881.354</v>
      </c>
      <c r="D42" t="n">
        <v>1404.051</v>
      </c>
      <c r="E42" t="n">
        <v>142.883</v>
      </c>
      <c r="F42" t="n">
        <v>174.916</v>
      </c>
      <c r="G42" t="n">
        <v>60.532</v>
      </c>
      <c r="H42" t="n">
        <v>4654.367872700001</v>
      </c>
    </row>
    <row r="43">
      <c r="A43" s="5" t="n">
        <v>45444</v>
      </c>
      <c r="B43" t="n">
        <v>1008.749</v>
      </c>
      <c r="C43" t="n">
        <v>830.88</v>
      </c>
      <c r="D43" t="n">
        <v>1379.579</v>
      </c>
      <c r="E43" t="n">
        <v>139.549</v>
      </c>
      <c r="F43" t="n">
        <v>168.074</v>
      </c>
      <c r="G43" t="n">
        <v>61.726</v>
      </c>
      <c r="H43" t="n">
        <v>4426.718359199996</v>
      </c>
    </row>
    <row r="44">
      <c r="A44" s="5" t="n">
        <v>45474</v>
      </c>
      <c r="B44" t="n">
        <v>868.851</v>
      </c>
      <c r="C44" t="n">
        <v>897.864</v>
      </c>
      <c r="D44" t="n">
        <v>1818.773</v>
      </c>
      <c r="E44" t="n">
        <v>177.072</v>
      </c>
      <c r="F44" t="n">
        <v>176.839</v>
      </c>
      <c r="G44" t="n">
        <v>77.54900000000001</v>
      </c>
      <c r="H44" t="n">
        <v>4709.051281799997</v>
      </c>
    </row>
    <row r="45">
      <c r="A45" s="5" t="n">
        <v>45505</v>
      </c>
      <c r="B45" t="n">
        <v>952.23</v>
      </c>
      <c r="C45" t="n">
        <v>863.619</v>
      </c>
      <c r="D45" t="n">
        <v>1625.263</v>
      </c>
      <c r="E45" t="n">
        <v>160.227</v>
      </c>
      <c r="F45" t="n">
        <v>177.992</v>
      </c>
      <c r="G45" t="n">
        <v>81.47499999999999</v>
      </c>
      <c r="H45" t="n">
        <v>4744.006327800001</v>
      </c>
    </row>
    <row r="46">
      <c r="A46" s="5" t="n">
        <v>45536</v>
      </c>
      <c r="B46" t="n">
        <v>1052.739</v>
      </c>
      <c r="C46" t="n">
        <v>932.645</v>
      </c>
      <c r="D46" t="n">
        <v>944.6079999999999</v>
      </c>
      <c r="E46" t="n">
        <v>116.345</v>
      </c>
      <c r="F46" t="n">
        <v>169.418</v>
      </c>
      <c r="G46" t="n">
        <v>48.223</v>
      </c>
      <c r="H46" t="n">
        <v>4416.560550000006</v>
      </c>
    </row>
    <row r="47">
      <c r="A47" s="5" t="n">
        <v>45566</v>
      </c>
      <c r="B47" t="n">
        <v>1201.613</v>
      </c>
      <c r="C47" t="n">
        <v>1036.853</v>
      </c>
      <c r="D47" t="n">
        <v>575.308</v>
      </c>
      <c r="E47" t="n">
        <v>88.553</v>
      </c>
      <c r="F47" t="n">
        <v>178.745</v>
      </c>
      <c r="G47" t="n">
        <v>27.63</v>
      </c>
      <c r="H47" t="n">
        <v>4128.077407799999</v>
      </c>
    </row>
    <row r="48">
      <c r="A48" s="5" t="n">
        <v>45597</v>
      </c>
      <c r="B48" t="n">
        <v>1222.911</v>
      </c>
      <c r="C48" t="n">
        <v>955.0069999999999</v>
      </c>
      <c r="D48" t="n">
        <v>420.612</v>
      </c>
      <c r="E48" t="n">
        <v>75.306</v>
      </c>
      <c r="F48" t="n">
        <v>171.125</v>
      </c>
      <c r="G48" t="n">
        <v>16.926</v>
      </c>
      <c r="H48" t="n">
        <v>3815.321984899996</v>
      </c>
    </row>
    <row r="49">
      <c r="A49" s="5" t="n">
        <v>45627</v>
      </c>
      <c r="B49" t="n">
        <v>1161.322</v>
      </c>
      <c r="C49" t="n">
        <v>1005.338</v>
      </c>
      <c r="D49" t="n">
        <v>375.924</v>
      </c>
      <c r="E49" t="n">
        <v>71.261</v>
      </c>
      <c r="F49" t="n">
        <v>175.806</v>
      </c>
      <c r="G49" t="n">
        <v>14.298</v>
      </c>
      <c r="H49" t="n">
        <v>3858.998604500001</v>
      </c>
    </row>
    <row r="50">
      <c r="A50" s="5" t="n">
        <v>45658</v>
      </c>
      <c r="B50" t="n">
        <v>1537.862</v>
      </c>
      <c r="C50" t="n">
        <v>984.6900000000001</v>
      </c>
      <c r="D50" t="n">
        <v>291.636</v>
      </c>
      <c r="E50" t="n">
        <v>59.305</v>
      </c>
      <c r="F50" t="n">
        <v>161.23</v>
      </c>
      <c r="G50" t="n">
        <v>9.547000000000001</v>
      </c>
      <c r="H50" t="n">
        <v>4294.227607599995</v>
      </c>
    </row>
    <row r="51">
      <c r="A51" s="5" t="n">
        <v>45689</v>
      </c>
      <c r="B51" t="n">
        <v>1501</v>
      </c>
      <c r="C51" t="n">
        <v>922.073</v>
      </c>
      <c r="D51" t="n">
        <v>283.488</v>
      </c>
      <c r="E51" t="n">
        <v>54.662</v>
      </c>
      <c r="F51" t="n">
        <v>150.941</v>
      </c>
      <c r="G51" t="n">
        <v>10.096</v>
      </c>
      <c r="H51" t="n">
        <v>4054.482672100005</v>
      </c>
    </row>
    <row r="52">
      <c r="A52" s="5" t="n">
        <v>45717</v>
      </c>
      <c r="B52" t="n">
        <v>1291.436</v>
      </c>
      <c r="C52" t="n">
        <v>927.862</v>
      </c>
      <c r="D52" t="n">
        <v>411.34</v>
      </c>
      <c r="E52" t="n">
        <v>67.28100000000001</v>
      </c>
      <c r="F52" t="n">
        <v>164.634</v>
      </c>
      <c r="G52" t="n">
        <v>15.058</v>
      </c>
      <c r="H52" t="n">
        <v>4147.937865999999</v>
      </c>
    </row>
    <row r="53">
      <c r="A53" s="5" t="n">
        <v>45748</v>
      </c>
      <c r="B53" t="n">
        <v>978.186</v>
      </c>
      <c r="C53" t="n">
        <v>920.688</v>
      </c>
      <c r="D53" t="n">
        <v>677.186</v>
      </c>
      <c r="E53" t="n">
        <v>87.303</v>
      </c>
      <c r="F53" t="n">
        <v>161.943</v>
      </c>
      <c r="G53" t="n">
        <v>28.552</v>
      </c>
      <c r="H53" t="n">
        <v>4101.6259973</v>
      </c>
    </row>
    <row r="54">
      <c r="A54" s="5" t="n">
        <v>45778</v>
      </c>
      <c r="B54" t="n">
        <v>993.207</v>
      </c>
      <c r="C54" t="n">
        <v>844.628</v>
      </c>
      <c r="D54" t="n">
        <v>1021.852</v>
      </c>
      <c r="E54" t="n">
        <v>123.173</v>
      </c>
      <c r="F54" t="n">
        <v>165.924</v>
      </c>
      <c r="G54" t="n">
        <v>45.835</v>
      </c>
      <c r="H54" t="n">
        <v>4578.093684500005</v>
      </c>
    </row>
    <row r="55">
      <c r="A55" s="5" t="n">
        <v>45809</v>
      </c>
      <c r="B55" t="n">
        <v>954.59</v>
      </c>
      <c r="C55" t="n">
        <v>841.595</v>
      </c>
      <c r="D55" t="n">
        <v>1653.213</v>
      </c>
      <c r="E55" t="n">
        <v>173.833</v>
      </c>
      <c r="F55" t="n">
        <v>159.872</v>
      </c>
      <c r="G55" t="n">
        <v>74.32299999999999</v>
      </c>
      <c r="H55" t="n">
        <v>4780.534287799999</v>
      </c>
    </row>
    <row r="56">
      <c r="A56" s="5" t="n">
        <v>45839</v>
      </c>
      <c r="B56" t="n">
        <v>977.028</v>
      </c>
      <c r="C56" t="n">
        <v>797.428</v>
      </c>
      <c r="D56" t="n">
        <v>1722.203</v>
      </c>
      <c r="E56" t="n">
        <v>187.637</v>
      </c>
      <c r="F56" t="n">
        <v>161.67</v>
      </c>
      <c r="G56" t="n">
        <v>79.98099999999999</v>
      </c>
      <c r="H56" t="n">
        <v>4983.609463399997</v>
      </c>
    </row>
    <row r="57">
      <c r="A57" s="5" t="n">
        <v>45870</v>
      </c>
      <c r="B57" t="n">
        <v>1059.036</v>
      </c>
      <c r="C57" t="n">
        <v>831.418</v>
      </c>
      <c r="D57" t="n">
        <v>1492.315</v>
      </c>
      <c r="E57" t="n">
        <v>151.865</v>
      </c>
      <c r="F57" t="n">
        <v>165.208</v>
      </c>
      <c r="G57" t="n">
        <v>70.119</v>
      </c>
      <c r="H57" t="n">
        <v>4901.064490600005</v>
      </c>
    </row>
    <row r="58">
      <c r="A58" s="5" t="n">
        <v>45901</v>
      </c>
      <c r="B58" t="n">
        <v>795.821</v>
      </c>
      <c r="C58" t="n">
        <v>810.1559999999999</v>
      </c>
      <c r="D58" t="n">
        <v>1057.826</v>
      </c>
      <c r="E58" t="n">
        <v>112.764</v>
      </c>
      <c r="F58" t="n">
        <v>161.417</v>
      </c>
      <c r="G58" t="n">
        <v>49.981</v>
      </c>
      <c r="H58" t="n">
        <v>4159.377250000003</v>
      </c>
    </row>
    <row r="59">
      <c r="A59" s="5" t="n">
        <v>45931</v>
      </c>
      <c r="B59" t="n">
        <v>842.6559999999999</v>
      </c>
      <c r="C59" t="n">
        <v>802.503</v>
      </c>
      <c r="D59" t="n">
        <v>644.532</v>
      </c>
      <c r="E59" t="n">
        <v>81.441</v>
      </c>
      <c r="F59" t="n">
        <v>168.105</v>
      </c>
      <c r="G59" t="n">
        <v>28.175</v>
      </c>
      <c r="H59" t="n">
        <v>3843.234358799996</v>
      </c>
    </row>
    <row r="60">
      <c r="A60" s="5" t="n">
        <v>45962</v>
      </c>
      <c r="B60" t="n">
        <v>978</v>
      </c>
      <c r="C60" t="n">
        <v>766.288</v>
      </c>
      <c r="D60" t="n">
        <v>460.797</v>
      </c>
      <c r="E60" t="n">
        <v>67.488</v>
      </c>
      <c r="F60" t="n">
        <v>160.876</v>
      </c>
      <c r="G60" t="n">
        <v>19.891</v>
      </c>
      <c r="H60" t="n">
        <v>3666.510310000001</v>
      </c>
    </row>
    <row r="61">
      <c r="A61" s="5" t="n">
        <v>45992</v>
      </c>
      <c r="B61" t="n">
        <v>1433.098</v>
      </c>
      <c r="C61" t="n">
        <v>816.612</v>
      </c>
      <c r="D61" t="n">
        <v>346.719</v>
      </c>
      <c r="E61" t="n">
        <v>60.795</v>
      </c>
      <c r="F61" t="n">
        <v>168.487</v>
      </c>
      <c r="G61" t="n">
        <v>11.957</v>
      </c>
      <c r="H61" t="n">
        <v>4084.105013700002</v>
      </c>
    </row>
    <row r="62">
      <c r="A62" s="5" t="n">
        <v>46023</v>
      </c>
      <c r="B62" t="n">
        <v>1505.684</v>
      </c>
      <c r="C62" t="n">
        <v>848.7380000000001</v>
      </c>
      <c r="D62" t="n">
        <v>297.385</v>
      </c>
      <c r="E62" t="n">
        <v>55.551</v>
      </c>
      <c r="F62" t="n">
        <v>156.828</v>
      </c>
      <c r="G62" t="n">
        <v>9.291</v>
      </c>
      <c r="H62" t="n">
        <v>4081.9391177</v>
      </c>
    </row>
    <row r="63">
      <c r="A63" s="5" t="n">
        <v>46054</v>
      </c>
      <c r="B63" t="n">
        <v>1384.822</v>
      </c>
      <c r="C63" t="n">
        <v>778.6799999999999</v>
      </c>
      <c r="D63" t="n">
        <v>283.664</v>
      </c>
      <c r="E63" t="n">
        <v>52.116</v>
      </c>
      <c r="F63" t="n">
        <v>146.814</v>
      </c>
      <c r="G63" t="n">
        <v>9.946999999999999</v>
      </c>
      <c r="H63" t="n">
        <v>3923.676721</v>
      </c>
    </row>
    <row r="64">
      <c r="A64" s="5" t="n">
        <v>46082</v>
      </c>
      <c r="B64" t="n">
        <v>1411.389</v>
      </c>
      <c r="C64" t="n">
        <v>858.6660000000001</v>
      </c>
      <c r="D64" t="n">
        <v>408.059</v>
      </c>
      <c r="E64" t="n">
        <v>70.453</v>
      </c>
      <c r="F64" t="n">
        <v>164.509</v>
      </c>
      <c r="G64" t="n">
        <v>16.38</v>
      </c>
      <c r="H64" t="n">
        <v>4396.835463999998</v>
      </c>
    </row>
    <row r="65">
      <c r="A65" s="5" t="n">
        <v>46113</v>
      </c>
      <c r="B65" t="n">
        <v>1112.171</v>
      </c>
      <c r="C65" t="n">
        <v>860.255</v>
      </c>
      <c r="D65" t="n">
        <v>639.329</v>
      </c>
      <c r="E65" t="n">
        <v>84.529</v>
      </c>
      <c r="F65" t="n">
        <v>163.784</v>
      </c>
      <c r="G65" t="n">
        <v>25.781</v>
      </c>
      <c r="H65" t="n">
        <v>4218.858757</v>
      </c>
    </row>
    <row r="66">
      <c r="A66" s="5" t="n">
        <v>46143</v>
      </c>
      <c r="B66" t="n">
        <v>1000.762</v>
      </c>
      <c r="C66" t="n">
        <v>754.4059999999999</v>
      </c>
      <c r="D66" t="n">
        <v>1367.527</v>
      </c>
      <c r="E66" t="n">
        <v>142.002</v>
      </c>
      <c r="F66" t="n">
        <v>166.856</v>
      </c>
      <c r="G66" t="n">
        <v>59.72</v>
      </c>
      <c r="H66" t="n">
        <v>4857.306894</v>
      </c>
    </row>
    <row r="67">
      <c r="A67" s="5" t="n">
        <v>46174</v>
      </c>
      <c r="B67" t="n">
        <v>1079.15</v>
      </c>
      <c r="C67" t="n">
        <v>782.1799999999999</v>
      </c>
      <c r="D67" t="n">
        <v>1536.239</v>
      </c>
      <c r="E67" t="n">
        <v>154.56</v>
      </c>
      <c r="F67" t="n">
        <v>163.388</v>
      </c>
      <c r="G67" t="n">
        <v>75.879</v>
      </c>
      <c r="H67" t="n">
        <v>4795.6440825</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67"/>
  <sheetViews>
    <sheetView workbookViewId="0">
      <pane ySplit="1" topLeftCell="A2" activePane="bottomLeft" state="frozen"/>
      <selection pane="bottomLeft" activeCell="A1" sqref="A1"/>
    </sheetView>
  </sheetViews>
  <sheetFormatPr baseColWidth="8" defaultRowHeight="15"/>
  <sheetData>
    <row r="1">
      <c r="A1" s="6" t="inlineStr">
        <is>
          <t>date</t>
        </is>
      </c>
      <c r="B1" s="6" t="inlineStr">
        <is>
          <t>country</t>
        </is>
      </c>
      <c r="C1" s="6" t="inlineStr">
        <is>
          <t>produccion_gas_natural</t>
        </is>
      </c>
      <c r="D1" s="6" t="inlineStr">
        <is>
          <t>residencial</t>
        </is>
      </c>
      <c r="E1" s="6" t="inlineStr">
        <is>
          <t>comercial</t>
        </is>
      </c>
      <c r="F1" s="6" t="inlineStr">
        <is>
          <t>entes_oficiales</t>
        </is>
      </c>
      <c r="G1" s="6" t="inlineStr">
        <is>
          <t>industria</t>
        </is>
      </c>
      <c r="H1" s="6" t="inlineStr">
        <is>
          <t>centrales_electricas</t>
        </is>
      </c>
      <c r="I1" s="6" t="inlineStr">
        <is>
          <t>gnc</t>
        </is>
      </c>
    </row>
    <row r="2">
      <c r="A2" s="7" t="n">
        <v>44197</v>
      </c>
      <c r="B2" t="inlineStr">
        <is>
          <t>Argentina</t>
        </is>
      </c>
      <c r="C2" t="n">
        <v>3596.460490200001</v>
      </c>
      <c r="D2" t="n">
        <v>319.651</v>
      </c>
      <c r="E2" t="n">
        <v>65.64400000000001</v>
      </c>
      <c r="F2" t="n">
        <v>10.588</v>
      </c>
      <c r="G2" t="n">
        <v>833.9450000000001</v>
      </c>
      <c r="H2" t="n">
        <v>1554.287</v>
      </c>
      <c r="I2" t="n">
        <v>186.95</v>
      </c>
    </row>
    <row r="3">
      <c r="A3" s="7" t="n">
        <v>44228</v>
      </c>
      <c r="B3" t="inlineStr">
        <is>
          <t>Argentina</t>
        </is>
      </c>
      <c r="C3" t="n">
        <v>3208.2183149</v>
      </c>
      <c r="D3" t="n">
        <v>296.26</v>
      </c>
      <c r="E3" t="n">
        <v>62.513</v>
      </c>
      <c r="F3" t="n">
        <v>9.593</v>
      </c>
      <c r="G3" t="n">
        <v>757.808</v>
      </c>
      <c r="H3" t="n">
        <v>1304.954</v>
      </c>
      <c r="I3" t="n">
        <v>179.33</v>
      </c>
    </row>
    <row r="4">
      <c r="A4" s="7" t="n">
        <v>44256</v>
      </c>
      <c r="B4" t="inlineStr">
        <is>
          <t>Argentina</t>
        </is>
      </c>
      <c r="C4" t="n">
        <v>3550.2423068</v>
      </c>
      <c r="D4" t="n">
        <v>385.467</v>
      </c>
      <c r="E4" t="n">
        <v>74.795</v>
      </c>
      <c r="F4" t="n">
        <v>13.612</v>
      </c>
      <c r="G4" t="n">
        <v>950.792</v>
      </c>
      <c r="H4" t="n">
        <v>1415.876</v>
      </c>
      <c r="I4" t="n">
        <v>202.376</v>
      </c>
    </row>
    <row r="5">
      <c r="A5" s="7" t="n">
        <v>44287</v>
      </c>
      <c r="B5" t="inlineStr">
        <is>
          <t>Argentina</t>
        </is>
      </c>
      <c r="C5" t="n">
        <v>3427.197366000002</v>
      </c>
      <c r="D5" t="n">
        <v>479.447</v>
      </c>
      <c r="E5" t="n">
        <v>78.52800000000001</v>
      </c>
      <c r="F5" t="n">
        <v>18.911</v>
      </c>
      <c r="G5" t="n">
        <v>967.35</v>
      </c>
      <c r="H5" t="n">
        <v>1243.057</v>
      </c>
      <c r="I5" t="n">
        <v>182.942</v>
      </c>
    </row>
    <row r="6">
      <c r="A6" s="7" t="n">
        <v>44317</v>
      </c>
      <c r="B6" t="inlineStr">
        <is>
          <t>Argentina</t>
        </is>
      </c>
      <c r="C6" t="n">
        <v>3759.8856335</v>
      </c>
      <c r="D6" t="n">
        <v>1168.167</v>
      </c>
      <c r="E6" t="n">
        <v>114.765</v>
      </c>
      <c r="F6" t="n">
        <v>46.945</v>
      </c>
      <c r="G6" t="n">
        <v>861.894</v>
      </c>
      <c r="H6" t="n">
        <v>1180.874</v>
      </c>
      <c r="I6" t="n">
        <v>170.19</v>
      </c>
    </row>
    <row r="7">
      <c r="A7" s="7" t="n">
        <v>44348</v>
      </c>
      <c r="B7" t="inlineStr">
        <is>
          <t>Argentina</t>
        </is>
      </c>
      <c r="C7" t="n">
        <v>3810.686736799998</v>
      </c>
      <c r="D7" t="n">
        <v>1506.853</v>
      </c>
      <c r="E7" t="n">
        <v>148</v>
      </c>
      <c r="F7" t="n">
        <v>64.89400000000001</v>
      </c>
      <c r="G7" t="n">
        <v>852.717</v>
      </c>
      <c r="H7" t="n">
        <v>1264.29</v>
      </c>
      <c r="I7" t="n">
        <v>177.496</v>
      </c>
    </row>
    <row r="8">
      <c r="A8" s="7" t="n">
        <v>44378</v>
      </c>
      <c r="B8" t="inlineStr">
        <is>
          <t>Argentina</t>
        </is>
      </c>
      <c r="C8" t="n">
        <v>4052.605669599997</v>
      </c>
      <c r="D8" t="n">
        <v>1639.031</v>
      </c>
      <c r="E8" t="n">
        <v>142.601</v>
      </c>
      <c r="F8" t="n">
        <v>65.854</v>
      </c>
      <c r="G8" t="n">
        <v>830.559</v>
      </c>
      <c r="H8" t="n">
        <v>1453.7</v>
      </c>
      <c r="I8" t="n">
        <v>202.134</v>
      </c>
    </row>
    <row r="9">
      <c r="A9" s="7" t="n">
        <v>44409</v>
      </c>
      <c r="B9" t="inlineStr">
        <is>
          <t>Argentina</t>
        </is>
      </c>
      <c r="C9" t="n">
        <v>4145.486521399998</v>
      </c>
      <c r="D9" t="n">
        <v>1428.437</v>
      </c>
      <c r="E9" t="n">
        <v>138.061</v>
      </c>
      <c r="F9" t="n">
        <v>66.59099999999999</v>
      </c>
      <c r="G9" t="n">
        <v>844.181</v>
      </c>
      <c r="H9" t="n">
        <v>1631.482</v>
      </c>
      <c r="I9" t="n">
        <v>205.8</v>
      </c>
    </row>
    <row r="10">
      <c r="A10" s="7" t="n">
        <v>44440</v>
      </c>
      <c r="B10" t="inlineStr">
        <is>
          <t>Argentina</t>
        </is>
      </c>
      <c r="C10" t="n">
        <v>3980.180374399996</v>
      </c>
      <c r="D10" t="n">
        <v>989.596</v>
      </c>
      <c r="E10" t="n">
        <v>102.142</v>
      </c>
      <c r="F10" t="n">
        <v>47.469</v>
      </c>
      <c r="G10" t="n">
        <v>842.053</v>
      </c>
      <c r="H10" t="n">
        <v>1221.448</v>
      </c>
      <c r="I10" t="n">
        <v>204.527</v>
      </c>
    </row>
    <row r="11">
      <c r="A11" s="7" t="n">
        <v>44470</v>
      </c>
      <c r="B11" t="inlineStr">
        <is>
          <t>Argentina</t>
        </is>
      </c>
      <c r="C11" t="n">
        <v>3944.1334377</v>
      </c>
      <c r="D11" t="n">
        <v>699.1609999999999</v>
      </c>
      <c r="E11" t="n">
        <v>92.024</v>
      </c>
      <c r="F11" t="n">
        <v>33.489</v>
      </c>
      <c r="G11" t="n">
        <v>890.377</v>
      </c>
      <c r="H11" t="n">
        <v>1167.696</v>
      </c>
      <c r="I11" t="n">
        <v>212.307</v>
      </c>
    </row>
    <row r="12">
      <c r="A12" s="7" t="n">
        <v>44501</v>
      </c>
      <c r="B12" t="inlineStr">
        <is>
          <t>Argentina</t>
        </is>
      </c>
      <c r="C12" t="n">
        <v>3836.342406600002</v>
      </c>
      <c r="D12" t="n">
        <v>454.361</v>
      </c>
      <c r="E12" t="n">
        <v>74.371</v>
      </c>
      <c r="F12" t="n">
        <v>18.769</v>
      </c>
      <c r="G12" t="n">
        <v>945.062</v>
      </c>
      <c r="H12" t="n">
        <v>1251.664</v>
      </c>
      <c r="I12" t="n">
        <v>207.42</v>
      </c>
    </row>
    <row r="13">
      <c r="A13" s="7" t="n">
        <v>44531</v>
      </c>
      <c r="B13" t="inlineStr">
        <is>
          <t>Argentina</t>
        </is>
      </c>
      <c r="C13" t="n">
        <v>3994.720004200002</v>
      </c>
      <c r="D13" t="n">
        <v>352.252</v>
      </c>
      <c r="E13" t="n">
        <v>65.572</v>
      </c>
      <c r="F13" t="n">
        <v>11.99</v>
      </c>
      <c r="G13" t="n">
        <v>923.477</v>
      </c>
      <c r="H13" t="n">
        <v>1459.346</v>
      </c>
      <c r="I13" t="n">
        <v>213.885</v>
      </c>
    </row>
    <row r="14">
      <c r="A14" s="7" t="n">
        <v>44562</v>
      </c>
      <c r="B14" t="inlineStr">
        <is>
          <t>Argentina</t>
        </is>
      </c>
      <c r="C14" t="n">
        <v>4028.555577799998</v>
      </c>
      <c r="D14" t="n">
        <v>313.234</v>
      </c>
      <c r="E14" t="n">
        <v>64.17700000000001</v>
      </c>
      <c r="F14" t="n">
        <v>10.965</v>
      </c>
      <c r="G14" t="n">
        <v>904.747</v>
      </c>
      <c r="H14" t="n">
        <v>1517.179</v>
      </c>
      <c r="I14" t="n">
        <v>184.709</v>
      </c>
    </row>
    <row r="15">
      <c r="A15" s="7" t="n">
        <v>44593</v>
      </c>
      <c r="B15" t="inlineStr">
        <is>
          <t>Argentina</t>
        </is>
      </c>
      <c r="C15" t="n">
        <v>3565.156347900002</v>
      </c>
      <c r="D15" t="n">
        <v>321.999</v>
      </c>
      <c r="E15" t="n">
        <v>61.345</v>
      </c>
      <c r="F15" t="n">
        <v>11.33</v>
      </c>
      <c r="G15" t="n">
        <v>807.457</v>
      </c>
      <c r="H15" t="n">
        <v>1170.743</v>
      </c>
      <c r="I15" t="n">
        <v>183.57</v>
      </c>
    </row>
    <row r="16">
      <c r="A16" s="7" t="n">
        <v>44621</v>
      </c>
      <c r="B16" t="inlineStr">
        <is>
          <t>Argentina</t>
        </is>
      </c>
      <c r="C16" t="n">
        <v>3889.770182400003</v>
      </c>
      <c r="D16" t="n">
        <v>475.358</v>
      </c>
      <c r="E16" t="n">
        <v>76.18600000000001</v>
      </c>
      <c r="F16" t="n">
        <v>16.848</v>
      </c>
      <c r="G16" t="n">
        <v>911.549</v>
      </c>
      <c r="H16" t="n">
        <v>1155.221</v>
      </c>
      <c r="I16" t="n">
        <v>203.078</v>
      </c>
    </row>
    <row r="17">
      <c r="A17" s="7" t="n">
        <v>44652</v>
      </c>
      <c r="B17" t="inlineStr">
        <is>
          <t>Argentina</t>
        </is>
      </c>
      <c r="C17" t="n">
        <v>3821.221502400003</v>
      </c>
      <c r="D17" t="n">
        <v>714.159</v>
      </c>
      <c r="E17" t="n">
        <v>88.937</v>
      </c>
      <c r="F17" t="n">
        <v>30.301</v>
      </c>
      <c r="G17" t="n">
        <v>850.261</v>
      </c>
      <c r="H17" t="n">
        <v>996.72</v>
      </c>
      <c r="I17" t="n">
        <v>200.633</v>
      </c>
    </row>
    <row r="18">
      <c r="A18" s="7" t="n">
        <v>44682</v>
      </c>
      <c r="B18" t="inlineStr">
        <is>
          <t>Argentina</t>
        </is>
      </c>
      <c r="C18" t="n">
        <v>4226.6449526</v>
      </c>
      <c r="D18" t="n">
        <v>1271.698</v>
      </c>
      <c r="E18" t="n">
        <v>125.41</v>
      </c>
      <c r="F18" t="n">
        <v>55.594</v>
      </c>
      <c r="G18" t="n">
        <v>898.587</v>
      </c>
      <c r="H18" t="n">
        <v>1012.444</v>
      </c>
      <c r="I18" t="n">
        <v>203.42</v>
      </c>
    </row>
    <row r="19">
      <c r="A19" s="7" t="n">
        <v>44713</v>
      </c>
      <c r="B19" t="inlineStr">
        <is>
          <t>Argentina</t>
        </is>
      </c>
      <c r="C19" t="n">
        <v>4192.534210199997</v>
      </c>
      <c r="D19" t="n">
        <v>1703.184</v>
      </c>
      <c r="E19" t="n">
        <v>156.85</v>
      </c>
      <c r="F19" t="n">
        <v>75.864</v>
      </c>
      <c r="G19" t="n">
        <v>889.907</v>
      </c>
      <c r="H19" t="n">
        <v>862.187</v>
      </c>
      <c r="I19" t="n">
        <v>201.283</v>
      </c>
    </row>
    <row r="20">
      <c r="A20" s="7" t="n">
        <v>44743</v>
      </c>
      <c r="B20" t="inlineStr">
        <is>
          <t>Argentina</t>
        </is>
      </c>
      <c r="C20" t="n">
        <v>4354.7460416</v>
      </c>
      <c r="D20" t="n">
        <v>1671.142</v>
      </c>
      <c r="E20" t="n">
        <v>160.313</v>
      </c>
      <c r="F20" t="n">
        <v>73.70399999999999</v>
      </c>
      <c r="G20" t="n">
        <v>874.101</v>
      </c>
      <c r="H20" t="n">
        <v>1328.849</v>
      </c>
      <c r="I20" t="n">
        <v>205.848</v>
      </c>
    </row>
    <row r="21">
      <c r="A21" s="7" t="n">
        <v>44774</v>
      </c>
      <c r="B21" t="inlineStr">
        <is>
          <t>Argentina</t>
        </is>
      </c>
      <c r="C21" t="n">
        <v>4395.136678299998</v>
      </c>
      <c r="D21" t="n">
        <v>1453.929</v>
      </c>
      <c r="E21" t="n">
        <v>150.922</v>
      </c>
      <c r="F21" t="n">
        <v>71.027</v>
      </c>
      <c r="G21" t="n">
        <v>877.802</v>
      </c>
      <c r="H21" t="n">
        <v>989.173</v>
      </c>
      <c r="I21" t="n">
        <v>205.224</v>
      </c>
    </row>
    <row r="22">
      <c r="A22" s="7" t="n">
        <v>44805</v>
      </c>
      <c r="B22" t="inlineStr">
        <is>
          <t>Argentina</t>
        </is>
      </c>
      <c r="C22" t="n">
        <v>4090.437826399999</v>
      </c>
      <c r="D22" t="n">
        <v>1004.412</v>
      </c>
      <c r="E22" t="n">
        <v>130.628</v>
      </c>
      <c r="F22" t="n">
        <v>55.043</v>
      </c>
      <c r="G22" t="n">
        <v>889.726</v>
      </c>
      <c r="H22" t="n">
        <v>960.138</v>
      </c>
      <c r="I22" t="n">
        <v>197.839</v>
      </c>
    </row>
    <row r="23">
      <c r="A23" s="7" t="n">
        <v>44835</v>
      </c>
      <c r="B23" t="inlineStr">
        <is>
          <t>Argentina</t>
        </is>
      </c>
      <c r="C23" t="n">
        <v>4122.414338299998</v>
      </c>
      <c r="D23" t="n">
        <v>718.968</v>
      </c>
      <c r="E23" t="n">
        <v>107.806</v>
      </c>
      <c r="F23" t="n">
        <v>37.86</v>
      </c>
      <c r="G23" t="n">
        <v>971.522</v>
      </c>
      <c r="H23" t="n">
        <v>1016.415</v>
      </c>
      <c r="I23" t="n">
        <v>202.024</v>
      </c>
    </row>
    <row r="24">
      <c r="A24" s="7" t="n">
        <v>44866</v>
      </c>
      <c r="B24" t="inlineStr">
        <is>
          <t>Argentina</t>
        </is>
      </c>
      <c r="C24" t="n">
        <v>3802.607562300002</v>
      </c>
      <c r="D24" t="n">
        <v>398.575</v>
      </c>
      <c r="E24" t="n">
        <v>85.729</v>
      </c>
      <c r="F24" t="n">
        <v>21.329</v>
      </c>
      <c r="G24" t="n">
        <v>932.782</v>
      </c>
      <c r="H24" t="n">
        <v>1096.901</v>
      </c>
      <c r="I24" t="n">
        <v>192.28</v>
      </c>
    </row>
    <row r="25">
      <c r="A25" s="7" t="n">
        <v>44896</v>
      </c>
      <c r="B25" t="inlineStr">
        <is>
          <t>Argentina</t>
        </is>
      </c>
      <c r="C25" t="n">
        <v>4000.121788199997</v>
      </c>
      <c r="D25" t="n">
        <v>326.33</v>
      </c>
      <c r="E25" t="n">
        <v>75.526</v>
      </c>
      <c r="F25" t="n">
        <v>14.415</v>
      </c>
      <c r="G25" t="n">
        <v>947.655</v>
      </c>
      <c r="H25" t="n">
        <v>1300.693</v>
      </c>
      <c r="I25" t="n">
        <v>196.527</v>
      </c>
    </row>
    <row r="26">
      <c r="A26" s="7" t="n">
        <v>44927</v>
      </c>
      <c r="B26" t="inlineStr">
        <is>
          <t>Argentina</t>
        </is>
      </c>
      <c r="C26" t="n">
        <v>3999.872318700001</v>
      </c>
      <c r="D26" t="n">
        <v>277.042</v>
      </c>
      <c r="E26" t="n">
        <v>69.057</v>
      </c>
      <c r="F26" t="n">
        <v>10.815</v>
      </c>
      <c r="G26" t="n">
        <v>935.683</v>
      </c>
      <c r="H26" t="n">
        <v>1346.198</v>
      </c>
      <c r="I26" t="n">
        <v>185.232</v>
      </c>
    </row>
    <row r="27">
      <c r="A27" s="7" t="n">
        <v>44958</v>
      </c>
      <c r="B27" t="inlineStr">
        <is>
          <t>Argentina</t>
        </is>
      </c>
      <c r="C27" t="n">
        <v>3645.355940099995</v>
      </c>
      <c r="D27" t="n">
        <v>279.584</v>
      </c>
      <c r="E27" t="n">
        <v>67.23</v>
      </c>
      <c r="F27" t="n">
        <v>10.853</v>
      </c>
      <c r="G27" t="n">
        <v>894.889</v>
      </c>
      <c r="H27" t="n">
        <v>1122.268</v>
      </c>
      <c r="I27" t="n">
        <v>173.032</v>
      </c>
    </row>
    <row r="28">
      <c r="A28" s="7" t="n">
        <v>44986</v>
      </c>
      <c r="B28" t="inlineStr">
        <is>
          <t>Argentina</t>
        </is>
      </c>
      <c r="C28" t="n">
        <v>3994.466309800007</v>
      </c>
      <c r="D28" t="n">
        <v>361.126</v>
      </c>
      <c r="E28" t="n">
        <v>79.05</v>
      </c>
      <c r="F28" t="n">
        <v>16.027</v>
      </c>
      <c r="G28" t="n">
        <v>966.989</v>
      </c>
      <c r="H28" t="n">
        <v>1292.601</v>
      </c>
      <c r="I28" t="n">
        <v>195.351</v>
      </c>
    </row>
    <row r="29">
      <c r="A29" s="7" t="n">
        <v>45017</v>
      </c>
      <c r="B29" t="inlineStr">
        <is>
          <t>Argentina</t>
        </is>
      </c>
      <c r="C29" t="n">
        <v>3863.489774299996</v>
      </c>
      <c r="D29" t="n">
        <v>599.047</v>
      </c>
      <c r="E29" t="n">
        <v>102.403</v>
      </c>
      <c r="F29" t="n">
        <v>29.399</v>
      </c>
      <c r="G29" t="n">
        <v>927.734</v>
      </c>
      <c r="H29" t="n">
        <v>945.701</v>
      </c>
      <c r="I29" t="n">
        <v>186.897</v>
      </c>
    </row>
    <row r="30">
      <c r="A30" s="7" t="n">
        <v>45047</v>
      </c>
      <c r="B30" t="inlineStr">
        <is>
          <t>Argentina</t>
        </is>
      </c>
      <c r="C30" t="n">
        <v>4184.224369600002</v>
      </c>
      <c r="D30" t="n">
        <v>921.274</v>
      </c>
      <c r="E30" t="n">
        <v>131.998</v>
      </c>
      <c r="F30" t="n">
        <v>48.211</v>
      </c>
      <c r="G30" t="n">
        <v>932.013</v>
      </c>
      <c r="H30" t="n">
        <v>1205.501</v>
      </c>
      <c r="I30" t="n">
        <v>187.734</v>
      </c>
    </row>
    <row r="31">
      <c r="A31" s="7" t="n">
        <v>45078</v>
      </c>
      <c r="B31" t="inlineStr">
        <is>
          <t>Argentina</t>
        </is>
      </c>
      <c r="C31" t="n">
        <v>4146.532659699999</v>
      </c>
      <c r="D31" t="n">
        <v>1401.802</v>
      </c>
      <c r="E31" t="n">
        <v>161.139</v>
      </c>
      <c r="F31" t="n">
        <v>68.899</v>
      </c>
      <c r="G31" t="n">
        <v>934.111</v>
      </c>
      <c r="H31" t="n">
        <v>1422.991</v>
      </c>
      <c r="I31" t="n">
        <v>185.065</v>
      </c>
    </row>
    <row r="32">
      <c r="A32" s="7" t="n">
        <v>45108</v>
      </c>
      <c r="B32" t="inlineStr">
        <is>
          <t>Argentina</t>
        </is>
      </c>
      <c r="C32" t="n">
        <v>4283.1862028</v>
      </c>
      <c r="D32" t="n">
        <v>1621.097</v>
      </c>
      <c r="E32" t="n">
        <v>180.252</v>
      </c>
      <c r="F32" t="n">
        <v>77.65000000000001</v>
      </c>
      <c r="G32" t="n">
        <v>936.034</v>
      </c>
      <c r="H32" t="n">
        <v>1297.261</v>
      </c>
      <c r="I32" t="n">
        <v>193.292</v>
      </c>
    </row>
    <row r="33">
      <c r="A33" s="7" t="n">
        <v>45139</v>
      </c>
      <c r="B33" t="inlineStr">
        <is>
          <t>Argentina</t>
        </is>
      </c>
      <c r="C33" t="n">
        <v>4477.024218600005</v>
      </c>
      <c r="D33" t="n">
        <v>1445.818</v>
      </c>
      <c r="E33" t="n">
        <v>171.911</v>
      </c>
      <c r="F33" t="n">
        <v>74.125</v>
      </c>
      <c r="G33" t="n">
        <v>929.841</v>
      </c>
      <c r="H33" t="n">
        <v>1304.953</v>
      </c>
      <c r="I33" t="n">
        <v>190.236</v>
      </c>
    </row>
    <row r="34">
      <c r="A34" s="7" t="n">
        <v>45170</v>
      </c>
      <c r="B34" t="inlineStr">
        <is>
          <t>Argentina</t>
        </is>
      </c>
      <c r="C34" t="n">
        <v>4296.9233139</v>
      </c>
      <c r="D34" t="n">
        <v>1191.804</v>
      </c>
      <c r="E34" t="n">
        <v>151.279</v>
      </c>
      <c r="F34" t="n">
        <v>62.626</v>
      </c>
      <c r="G34" t="n">
        <v>958.547</v>
      </c>
      <c r="H34" t="n">
        <v>1164.514</v>
      </c>
      <c r="I34" t="n">
        <v>184.583</v>
      </c>
    </row>
    <row r="35">
      <c r="A35" s="7" t="n">
        <v>45200</v>
      </c>
      <c r="B35" t="inlineStr">
        <is>
          <t>Argentina</t>
        </is>
      </c>
      <c r="C35" t="n">
        <v>3905.392633100001</v>
      </c>
      <c r="D35" t="n">
        <v>735.477</v>
      </c>
      <c r="E35" t="n">
        <v>114.84</v>
      </c>
      <c r="F35" t="n">
        <v>39.13</v>
      </c>
      <c r="G35" t="n">
        <v>955.404</v>
      </c>
      <c r="H35" t="n">
        <v>1004.197</v>
      </c>
      <c r="I35" t="n">
        <v>191.516</v>
      </c>
    </row>
    <row r="36">
      <c r="A36" s="7" t="n">
        <v>45231</v>
      </c>
      <c r="B36" t="inlineStr">
        <is>
          <t>Argentina</t>
        </is>
      </c>
      <c r="C36" t="n">
        <v>3789.920717799997</v>
      </c>
      <c r="D36" t="n">
        <v>551.415</v>
      </c>
      <c r="E36" t="n">
        <v>104.379</v>
      </c>
      <c r="F36" t="n">
        <v>26.23</v>
      </c>
      <c r="G36" t="n">
        <v>986.178</v>
      </c>
      <c r="H36" t="n">
        <v>1170.232</v>
      </c>
      <c r="I36" t="n">
        <v>183.336</v>
      </c>
    </row>
    <row r="37">
      <c r="A37" s="7" t="n">
        <v>45261</v>
      </c>
      <c r="B37" t="inlineStr">
        <is>
          <t>Argentina</t>
        </is>
      </c>
      <c r="C37" t="n">
        <v>3539.0107231</v>
      </c>
      <c r="D37" t="n">
        <v>383.23</v>
      </c>
      <c r="E37" t="n">
        <v>83.63500000000001</v>
      </c>
      <c r="F37" t="n">
        <v>15.238</v>
      </c>
      <c r="G37" t="n">
        <v>990.902</v>
      </c>
      <c r="H37" t="n">
        <v>1220.328</v>
      </c>
      <c r="I37" t="n">
        <v>187.901</v>
      </c>
    </row>
    <row r="38">
      <c r="A38" s="7" t="n">
        <v>45292</v>
      </c>
      <c r="B38" t="inlineStr">
        <is>
          <t>Argentina</t>
        </is>
      </c>
      <c r="C38" t="n">
        <v>3837.920215800003</v>
      </c>
      <c r="D38" t="n">
        <v>295.894</v>
      </c>
      <c r="E38" t="n">
        <v>73.352</v>
      </c>
      <c r="F38" t="n">
        <v>11.157</v>
      </c>
      <c r="G38" t="n">
        <v>936.518</v>
      </c>
      <c r="H38" t="n">
        <v>1403.232</v>
      </c>
      <c r="I38" t="n">
        <v>174.216</v>
      </c>
    </row>
    <row r="39">
      <c r="A39" s="7" t="n">
        <v>45323</v>
      </c>
      <c r="B39" t="inlineStr">
        <is>
          <t>Argentina</t>
        </is>
      </c>
      <c r="C39" t="n">
        <v>3887.644921100001</v>
      </c>
      <c r="D39" t="n">
        <v>282.701</v>
      </c>
      <c r="E39" t="n">
        <v>75.051</v>
      </c>
      <c r="F39" t="n">
        <v>11.769</v>
      </c>
      <c r="G39" t="n">
        <v>909.269</v>
      </c>
      <c r="H39" t="n">
        <v>1376.671</v>
      </c>
      <c r="I39" t="n">
        <v>166.829</v>
      </c>
    </row>
    <row r="40">
      <c r="A40" s="7" t="n">
        <v>45352</v>
      </c>
      <c r="B40" t="inlineStr">
        <is>
          <t>Argentina</t>
        </is>
      </c>
      <c r="C40" t="n">
        <v>4174.404509400003</v>
      </c>
      <c r="D40" t="n">
        <v>396.843</v>
      </c>
      <c r="E40" t="n">
        <v>85.834</v>
      </c>
      <c r="F40" t="n">
        <v>16.007</v>
      </c>
      <c r="G40" t="n">
        <v>959.432</v>
      </c>
      <c r="H40" t="n">
        <v>1351.017</v>
      </c>
      <c r="I40" t="n">
        <v>177.194</v>
      </c>
    </row>
    <row r="41">
      <c r="A41" s="7" t="n">
        <v>45383</v>
      </c>
      <c r="B41" t="inlineStr">
        <is>
          <t>Argentina</t>
        </is>
      </c>
      <c r="C41" t="n">
        <v>4084.7243119</v>
      </c>
      <c r="D41" t="n">
        <v>684.232</v>
      </c>
      <c r="E41" t="n">
        <v>103.321</v>
      </c>
      <c r="F41" t="n">
        <v>29.934</v>
      </c>
      <c r="G41" t="n">
        <v>974.182</v>
      </c>
      <c r="H41" t="n">
        <v>1039.121</v>
      </c>
      <c r="I41" t="n">
        <v>170.093</v>
      </c>
    </row>
    <row r="42">
      <c r="A42" s="7" t="n">
        <v>45413</v>
      </c>
      <c r="B42" t="inlineStr">
        <is>
          <t>Argentina</t>
        </is>
      </c>
      <c r="C42" t="n">
        <v>4654.367872700001</v>
      </c>
      <c r="D42" t="n">
        <v>1404.051</v>
      </c>
      <c r="E42" t="n">
        <v>142.883</v>
      </c>
      <c r="F42" t="n">
        <v>60.532</v>
      </c>
      <c r="G42" t="n">
        <v>881.354</v>
      </c>
      <c r="H42" t="n">
        <v>820.279</v>
      </c>
      <c r="I42" t="n">
        <v>174.916</v>
      </c>
    </row>
    <row r="43">
      <c r="A43" s="7" t="n">
        <v>45444</v>
      </c>
      <c r="B43" t="inlineStr">
        <is>
          <t>Argentina</t>
        </is>
      </c>
      <c r="C43" t="n">
        <v>4426.718359199996</v>
      </c>
      <c r="D43" t="n">
        <v>1379.579</v>
      </c>
      <c r="E43" t="n">
        <v>139.549</v>
      </c>
      <c r="F43" t="n">
        <v>61.726</v>
      </c>
      <c r="G43" t="n">
        <v>830.88</v>
      </c>
      <c r="H43" t="n">
        <v>1008.749</v>
      </c>
      <c r="I43" t="n">
        <v>168.074</v>
      </c>
    </row>
    <row r="44">
      <c r="A44" s="7" t="n">
        <v>45474</v>
      </c>
      <c r="B44" t="inlineStr">
        <is>
          <t>Argentina</t>
        </is>
      </c>
      <c r="C44" t="n">
        <v>4709.051281799997</v>
      </c>
      <c r="D44" t="n">
        <v>1818.773</v>
      </c>
      <c r="E44" t="n">
        <v>177.072</v>
      </c>
      <c r="F44" t="n">
        <v>77.54900000000001</v>
      </c>
      <c r="G44" t="n">
        <v>897.864</v>
      </c>
      <c r="H44" t="n">
        <v>868.851</v>
      </c>
      <c r="I44" t="n">
        <v>176.839</v>
      </c>
    </row>
    <row r="45">
      <c r="A45" s="7" t="n">
        <v>45505</v>
      </c>
      <c r="B45" t="inlineStr">
        <is>
          <t>Argentina</t>
        </is>
      </c>
      <c r="C45" t="n">
        <v>4744.006327800001</v>
      </c>
      <c r="D45" t="n">
        <v>1625.263</v>
      </c>
      <c r="E45" t="n">
        <v>160.227</v>
      </c>
      <c r="F45" t="n">
        <v>81.47499999999999</v>
      </c>
      <c r="G45" t="n">
        <v>863.619</v>
      </c>
      <c r="H45" t="n">
        <v>952.23</v>
      </c>
      <c r="I45" t="n">
        <v>177.992</v>
      </c>
    </row>
    <row r="46">
      <c r="A46" s="7" t="n">
        <v>45536</v>
      </c>
      <c r="B46" t="inlineStr">
        <is>
          <t>Argentina</t>
        </is>
      </c>
      <c r="C46" t="n">
        <v>4416.560550000006</v>
      </c>
      <c r="D46" t="n">
        <v>944.6079999999999</v>
      </c>
      <c r="E46" t="n">
        <v>116.345</v>
      </c>
      <c r="F46" t="n">
        <v>48.223</v>
      </c>
      <c r="G46" t="n">
        <v>932.645</v>
      </c>
      <c r="H46" t="n">
        <v>1052.739</v>
      </c>
      <c r="I46" t="n">
        <v>169.418</v>
      </c>
    </row>
    <row r="47">
      <c r="A47" s="7" t="n">
        <v>45566</v>
      </c>
      <c r="B47" t="inlineStr">
        <is>
          <t>Argentina</t>
        </is>
      </c>
      <c r="C47" t="n">
        <v>4128.077407799999</v>
      </c>
      <c r="D47" t="n">
        <v>575.308</v>
      </c>
      <c r="E47" t="n">
        <v>88.553</v>
      </c>
      <c r="F47" t="n">
        <v>27.63</v>
      </c>
      <c r="G47" t="n">
        <v>1036.853</v>
      </c>
      <c r="H47" t="n">
        <v>1201.613</v>
      </c>
      <c r="I47" t="n">
        <v>178.745</v>
      </c>
    </row>
    <row r="48">
      <c r="A48" s="7" t="n">
        <v>45597</v>
      </c>
      <c r="B48" t="inlineStr">
        <is>
          <t>Argentina</t>
        </is>
      </c>
      <c r="C48" t="n">
        <v>3815.321984899996</v>
      </c>
      <c r="D48" t="n">
        <v>420.612</v>
      </c>
      <c r="E48" t="n">
        <v>75.306</v>
      </c>
      <c r="F48" t="n">
        <v>16.926</v>
      </c>
      <c r="G48" t="n">
        <v>955.0069999999999</v>
      </c>
      <c r="H48" t="n">
        <v>1222.911</v>
      </c>
      <c r="I48" t="n">
        <v>171.125</v>
      </c>
    </row>
    <row r="49">
      <c r="A49" s="7" t="n">
        <v>45627</v>
      </c>
      <c r="B49" t="inlineStr">
        <is>
          <t>Argentina</t>
        </is>
      </c>
      <c r="C49" t="n">
        <v>3858.998604500001</v>
      </c>
      <c r="D49" t="n">
        <v>375.924</v>
      </c>
      <c r="E49" t="n">
        <v>71.261</v>
      </c>
      <c r="F49" t="n">
        <v>14.298</v>
      </c>
      <c r="G49" t="n">
        <v>1005.338</v>
      </c>
      <c r="H49" t="n">
        <v>1161.322</v>
      </c>
      <c r="I49" t="n">
        <v>175.806</v>
      </c>
    </row>
    <row r="50">
      <c r="A50" s="7" t="n">
        <v>45658</v>
      </c>
      <c r="B50" t="inlineStr">
        <is>
          <t>Argentina</t>
        </is>
      </c>
      <c r="C50" t="n">
        <v>4294.227607599995</v>
      </c>
      <c r="D50" t="n">
        <v>291.636</v>
      </c>
      <c r="E50" t="n">
        <v>59.305</v>
      </c>
      <c r="F50" t="n">
        <v>9.547000000000001</v>
      </c>
      <c r="G50" t="n">
        <v>984.6900000000001</v>
      </c>
      <c r="H50" t="n">
        <v>1537.862</v>
      </c>
      <c r="I50" t="n">
        <v>161.23</v>
      </c>
    </row>
    <row r="51">
      <c r="A51" s="7" t="n">
        <v>45689</v>
      </c>
      <c r="B51" t="inlineStr">
        <is>
          <t>Argentina</t>
        </is>
      </c>
      <c r="C51" t="n">
        <v>4054.482672100005</v>
      </c>
      <c r="D51" t="n">
        <v>283.488</v>
      </c>
      <c r="E51" t="n">
        <v>54.662</v>
      </c>
      <c r="F51" t="n">
        <v>10.096</v>
      </c>
      <c r="G51" t="n">
        <v>922.073</v>
      </c>
      <c r="H51" t="n">
        <v>1501</v>
      </c>
      <c r="I51" t="n">
        <v>150.941</v>
      </c>
    </row>
    <row r="52">
      <c r="A52" s="7" t="n">
        <v>45717</v>
      </c>
      <c r="B52" t="inlineStr">
        <is>
          <t>Argentina</t>
        </is>
      </c>
      <c r="C52" t="n">
        <v>4147.937865999999</v>
      </c>
      <c r="D52" t="n">
        <v>411.34</v>
      </c>
      <c r="E52" t="n">
        <v>67.28100000000001</v>
      </c>
      <c r="F52" t="n">
        <v>15.058</v>
      </c>
      <c r="G52" t="n">
        <v>927.862</v>
      </c>
      <c r="H52" t="n">
        <v>1291.436</v>
      </c>
      <c r="I52" t="n">
        <v>164.634</v>
      </c>
    </row>
    <row r="53">
      <c r="A53" s="7" t="n">
        <v>45748</v>
      </c>
      <c r="B53" t="inlineStr">
        <is>
          <t>Argentina</t>
        </is>
      </c>
      <c r="C53" t="n">
        <v>4101.6259973</v>
      </c>
      <c r="D53" t="n">
        <v>677.186</v>
      </c>
      <c r="E53" t="n">
        <v>87.303</v>
      </c>
      <c r="F53" t="n">
        <v>28.552</v>
      </c>
      <c r="G53" t="n">
        <v>920.688</v>
      </c>
      <c r="H53" t="n">
        <v>978.186</v>
      </c>
      <c r="I53" t="n">
        <v>161.943</v>
      </c>
    </row>
    <row r="54">
      <c r="A54" s="7" t="n">
        <v>45778</v>
      </c>
      <c r="B54" t="inlineStr">
        <is>
          <t>Argentina</t>
        </is>
      </c>
      <c r="C54" t="n">
        <v>4578.093684500005</v>
      </c>
      <c r="D54" t="n">
        <v>1021.852</v>
      </c>
      <c r="E54" t="n">
        <v>123.173</v>
      </c>
      <c r="F54" t="n">
        <v>45.835</v>
      </c>
      <c r="G54" t="n">
        <v>844.628</v>
      </c>
      <c r="H54" t="n">
        <v>993.207</v>
      </c>
      <c r="I54" t="n">
        <v>165.924</v>
      </c>
    </row>
    <row r="55">
      <c r="A55" s="7" t="n">
        <v>45809</v>
      </c>
      <c r="B55" t="inlineStr">
        <is>
          <t>Argentina</t>
        </is>
      </c>
      <c r="C55" t="n">
        <v>4780.534287799999</v>
      </c>
      <c r="D55" t="n">
        <v>1653.213</v>
      </c>
      <c r="E55" t="n">
        <v>173.833</v>
      </c>
      <c r="F55" t="n">
        <v>74.32299999999999</v>
      </c>
      <c r="G55" t="n">
        <v>841.595</v>
      </c>
      <c r="H55" t="n">
        <v>954.59</v>
      </c>
      <c r="I55" t="n">
        <v>159.872</v>
      </c>
    </row>
    <row r="56">
      <c r="A56" s="7" t="n">
        <v>45839</v>
      </c>
      <c r="B56" t="inlineStr">
        <is>
          <t>Argentina</t>
        </is>
      </c>
      <c r="C56" t="n">
        <v>4983.609463399997</v>
      </c>
      <c r="D56" t="n">
        <v>1722.203</v>
      </c>
      <c r="E56" t="n">
        <v>187.637</v>
      </c>
      <c r="F56" t="n">
        <v>79.98099999999999</v>
      </c>
      <c r="G56" t="n">
        <v>797.428</v>
      </c>
      <c r="H56" t="n">
        <v>977.028</v>
      </c>
      <c r="I56" t="n">
        <v>161.67</v>
      </c>
    </row>
    <row r="57">
      <c r="A57" s="7" t="n">
        <v>45870</v>
      </c>
      <c r="B57" t="inlineStr">
        <is>
          <t>Argentina</t>
        </is>
      </c>
      <c r="C57" t="n">
        <v>4901.064490600005</v>
      </c>
      <c r="D57" t="n">
        <v>1492.315</v>
      </c>
      <c r="E57" t="n">
        <v>151.865</v>
      </c>
      <c r="F57" t="n">
        <v>70.119</v>
      </c>
      <c r="G57" t="n">
        <v>831.418</v>
      </c>
      <c r="H57" t="n">
        <v>1059.036</v>
      </c>
      <c r="I57" t="n">
        <v>165.208</v>
      </c>
    </row>
    <row r="58">
      <c r="A58" s="7" t="n">
        <v>45901</v>
      </c>
      <c r="B58" t="inlineStr">
        <is>
          <t>Argentina</t>
        </is>
      </c>
      <c r="C58" t="n">
        <v>4159.377250000003</v>
      </c>
      <c r="D58" t="n">
        <v>1057.826</v>
      </c>
      <c r="E58" t="n">
        <v>112.764</v>
      </c>
      <c r="F58" t="n">
        <v>49.981</v>
      </c>
      <c r="G58" t="n">
        <v>810.1559999999999</v>
      </c>
      <c r="H58" t="n">
        <v>795.821</v>
      </c>
      <c r="I58" t="n">
        <v>161.417</v>
      </c>
    </row>
    <row r="59">
      <c r="A59" s="7" t="n">
        <v>45931</v>
      </c>
      <c r="B59" t="inlineStr">
        <is>
          <t>Argentina</t>
        </is>
      </c>
      <c r="C59" t="n">
        <v>3843.234358799996</v>
      </c>
      <c r="D59" t="n">
        <v>644.532</v>
      </c>
      <c r="E59" t="n">
        <v>81.441</v>
      </c>
      <c r="F59" t="n">
        <v>28.175</v>
      </c>
      <c r="G59" t="n">
        <v>802.503</v>
      </c>
      <c r="H59" t="n">
        <v>842.6559999999999</v>
      </c>
      <c r="I59" t="n">
        <v>168.105</v>
      </c>
    </row>
    <row r="60">
      <c r="A60" s="7" t="n">
        <v>45962</v>
      </c>
      <c r="B60" t="inlineStr">
        <is>
          <t>Argentina</t>
        </is>
      </c>
      <c r="C60" t="n">
        <v>3666.510310000001</v>
      </c>
      <c r="D60" t="n">
        <v>460.797</v>
      </c>
      <c r="E60" t="n">
        <v>67.488</v>
      </c>
      <c r="F60" t="n">
        <v>19.891</v>
      </c>
      <c r="G60" t="n">
        <v>766.288</v>
      </c>
      <c r="H60" t="n">
        <v>978</v>
      </c>
      <c r="I60" t="n">
        <v>160.876</v>
      </c>
    </row>
    <row r="61">
      <c r="A61" s="7" t="n">
        <v>45992</v>
      </c>
      <c r="B61" t="inlineStr">
        <is>
          <t>Argentina</t>
        </is>
      </c>
      <c r="C61" t="n">
        <v>4084.105013700002</v>
      </c>
      <c r="D61" t="n">
        <v>346.719</v>
      </c>
      <c r="E61" t="n">
        <v>60.795</v>
      </c>
      <c r="F61" t="n">
        <v>11.957</v>
      </c>
      <c r="G61" t="n">
        <v>816.612</v>
      </c>
      <c r="H61" t="n">
        <v>1433.098</v>
      </c>
      <c r="I61" t="n">
        <v>168.487</v>
      </c>
    </row>
    <row r="62">
      <c r="A62" s="7" t="n">
        <v>46023</v>
      </c>
      <c r="B62" t="inlineStr">
        <is>
          <t>Argentina</t>
        </is>
      </c>
      <c r="C62" t="n">
        <v>4081.9391177</v>
      </c>
      <c r="D62" t="n">
        <v>297.385</v>
      </c>
      <c r="E62" t="n">
        <v>55.551</v>
      </c>
      <c r="F62" t="n">
        <v>9.291</v>
      </c>
      <c r="G62" t="n">
        <v>848.7380000000001</v>
      </c>
      <c r="H62" t="n">
        <v>1505.684</v>
      </c>
      <c r="I62" t="n">
        <v>156.828</v>
      </c>
    </row>
    <row r="63">
      <c r="A63" s="7" t="n">
        <v>46054</v>
      </c>
      <c r="B63" t="inlineStr">
        <is>
          <t>Argentina</t>
        </is>
      </c>
      <c r="C63" t="n">
        <v>3923.676721</v>
      </c>
      <c r="D63" t="n">
        <v>283.664</v>
      </c>
      <c r="E63" t="n">
        <v>52.116</v>
      </c>
      <c r="F63" t="n">
        <v>9.946999999999999</v>
      </c>
      <c r="G63" t="n">
        <v>778.6799999999999</v>
      </c>
      <c r="H63" t="n">
        <v>1384.822</v>
      </c>
      <c r="I63" t="n">
        <v>146.814</v>
      </c>
    </row>
    <row r="64">
      <c r="A64" s="7" t="n">
        <v>46082</v>
      </c>
      <c r="B64" t="inlineStr">
        <is>
          <t>Argentina</t>
        </is>
      </c>
      <c r="C64" t="n">
        <v>4396.835463999998</v>
      </c>
      <c r="D64" t="n">
        <v>408.059</v>
      </c>
      <c r="E64" t="n">
        <v>70.453</v>
      </c>
      <c r="F64" t="n">
        <v>16.38</v>
      </c>
      <c r="G64" t="n">
        <v>858.6660000000001</v>
      </c>
      <c r="H64" t="n">
        <v>1411.389</v>
      </c>
      <c r="I64" t="n">
        <v>164.509</v>
      </c>
    </row>
    <row r="65">
      <c r="A65" s="7" t="n">
        <v>46113</v>
      </c>
      <c r="B65" t="inlineStr">
        <is>
          <t>Argentina</t>
        </is>
      </c>
      <c r="C65" t="n">
        <v>4218.858757</v>
      </c>
      <c r="D65" t="n">
        <v>639.329</v>
      </c>
      <c r="E65" t="n">
        <v>84.529</v>
      </c>
      <c r="F65" t="n">
        <v>25.781</v>
      </c>
      <c r="G65" t="n">
        <v>860.255</v>
      </c>
      <c r="H65" t="n">
        <v>1112.171</v>
      </c>
      <c r="I65" t="n">
        <v>163.784</v>
      </c>
    </row>
    <row r="66">
      <c r="A66" s="7" t="n">
        <v>46143</v>
      </c>
      <c r="B66" t="inlineStr">
        <is>
          <t>Argentina</t>
        </is>
      </c>
      <c r="C66" t="n">
        <v>4857.306894</v>
      </c>
      <c r="D66" t="n">
        <v>1367.527</v>
      </c>
      <c r="E66" t="n">
        <v>142.002</v>
      </c>
      <c r="F66" t="n">
        <v>59.72</v>
      </c>
      <c r="G66" t="n">
        <v>754.4059999999999</v>
      </c>
      <c r="H66" t="n">
        <v>1000.762</v>
      </c>
      <c r="I66" t="n">
        <v>166.856</v>
      </c>
    </row>
    <row r="67">
      <c r="A67" s="7" t="n">
        <v>46174</v>
      </c>
      <c r="B67" t="inlineStr">
        <is>
          <t>Argentina</t>
        </is>
      </c>
      <c r="C67" t="n">
        <v>4795.6440825</v>
      </c>
      <c r="D67" t="n">
        <v>1536.239</v>
      </c>
      <c r="E67" t="n">
        <v>154.56</v>
      </c>
      <c r="F67" t="n">
        <v>75.879</v>
      </c>
      <c r="G67" t="n">
        <v>782.1799999999999</v>
      </c>
      <c r="H67" t="n">
        <v>1079.15</v>
      </c>
      <c r="I67" t="n">
        <v>163.388</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5"/>
  <sheetViews>
    <sheetView workbookViewId="0">
      <selection activeCell="A1" sqref="A1"/>
    </sheetView>
  </sheetViews>
  <sheetFormatPr baseColWidth="8" defaultRowHeight="15"/>
  <cols>
    <col width="11" customWidth="1" min="1" max="1"/>
  </cols>
  <sheetData>
    <row r="1">
      <c r="A1" t="inlineStr">
        <is>
          <t>Date</t>
        </is>
      </c>
      <c r="B1" t="inlineStr">
        <is>
          <t>Power generation</t>
        </is>
      </c>
      <c r="C1" t="inlineStr">
        <is>
          <t>Industrial</t>
        </is>
      </c>
      <c r="D1" t="inlineStr">
        <is>
          <t>Residential</t>
        </is>
      </c>
      <c r="E1" t="inlineStr">
        <is>
          <t>Commercial</t>
        </is>
      </c>
      <c r="F1" t="inlineStr">
        <is>
          <t>Vehicle CNG</t>
        </is>
      </c>
      <c r="G1" t="inlineStr">
        <is>
          <t>Cogeneration</t>
        </is>
      </c>
      <c r="H1" t="inlineStr">
        <is>
          <t>Other</t>
        </is>
      </c>
    </row>
    <row r="2">
      <c r="A2" s="5" t="n">
        <v>44197</v>
      </c>
      <c r="B2" t="n">
        <v>44.15343027327786</v>
      </c>
      <c r="C2" t="n">
        <v>38.07206686889963</v>
      </c>
      <c r="D2" t="n">
        <v>1.065638171526978</v>
      </c>
      <c r="E2" t="n">
        <v>0.6638143323433612</v>
      </c>
      <c r="F2" t="n">
        <v>5.329943123185412</v>
      </c>
      <c r="G2" t="n">
        <v>2.374971282293652</v>
      </c>
      <c r="H2" t="n">
        <v>0.001964258064516129</v>
      </c>
    </row>
    <row r="3">
      <c r="A3" s="5" t="n">
        <v>44228</v>
      </c>
      <c r="B3" t="n">
        <v>31.41398849677586</v>
      </c>
      <c r="C3" t="n">
        <v>40.74245287539431</v>
      </c>
      <c r="D3" t="n">
        <v>1.067580726974858</v>
      </c>
      <c r="E3" t="n">
        <v>0.7143710558299026</v>
      </c>
      <c r="F3" t="n">
        <v>5.425876926086336</v>
      </c>
      <c r="G3" t="n">
        <v>2.266678386508975</v>
      </c>
      <c r="H3" t="n">
        <v>0.001625714285714286</v>
      </c>
    </row>
    <row r="4">
      <c r="A4" s="5" t="n">
        <v>44256</v>
      </c>
      <c r="B4" t="n">
        <v>32.30481622363153</v>
      </c>
      <c r="C4" t="n">
        <v>40.77746685336241</v>
      </c>
      <c r="D4" t="n">
        <v>1.280084655411375</v>
      </c>
      <c r="E4" t="n">
        <v>0.7047539812091055</v>
      </c>
      <c r="F4" t="n">
        <v>5.365250177523388</v>
      </c>
      <c r="G4" t="n">
        <v>2.077284379089084</v>
      </c>
      <c r="H4" t="n">
        <v>0.00213841935483871</v>
      </c>
    </row>
    <row r="5">
      <c r="A5" s="5" t="n">
        <v>44287</v>
      </c>
      <c r="B5" t="n">
        <v>32.48757188407183</v>
      </c>
      <c r="C5" t="n">
        <v>39.98014782884277</v>
      </c>
      <c r="D5" t="n">
        <v>1.249490085745991</v>
      </c>
      <c r="E5" t="n">
        <v>0.5573199864081076</v>
      </c>
      <c r="F5" t="n">
        <v>5.315756228189868</v>
      </c>
      <c r="G5" t="n">
        <v>2.113460828736667</v>
      </c>
      <c r="H5" t="n">
        <v>0.0024209</v>
      </c>
    </row>
    <row r="6">
      <c r="A6" s="5" t="n">
        <v>44317</v>
      </c>
      <c r="B6" t="n">
        <v>32.23</v>
      </c>
      <c r="C6" t="n">
        <v>39.10312969742974</v>
      </c>
      <c r="D6" t="n">
        <v>1.566540594378508</v>
      </c>
      <c r="E6" t="n">
        <v>0.7343014528285519</v>
      </c>
      <c r="F6" t="n">
        <v>5.778753284426925</v>
      </c>
      <c r="G6" t="n">
        <v>2.111712258290323</v>
      </c>
      <c r="H6" t="n">
        <v>0.002833387096774194</v>
      </c>
    </row>
    <row r="7">
      <c r="A7" s="5" t="n">
        <v>44348</v>
      </c>
      <c r="B7" t="n">
        <v>44.82</v>
      </c>
      <c r="C7" t="n">
        <v>42.09708699999999</v>
      </c>
      <c r="D7" t="n">
        <v>1.67819</v>
      </c>
      <c r="E7" t="n">
        <v>0.8418399999999998</v>
      </c>
      <c r="F7" t="n">
        <v>5.762079999999999</v>
      </c>
      <c r="G7" t="n">
        <v>2.45266</v>
      </c>
      <c r="H7" t="n">
        <v>0.00316</v>
      </c>
    </row>
    <row r="8">
      <c r="A8" s="5" t="n">
        <v>44378</v>
      </c>
      <c r="B8" t="n">
        <v>50.74</v>
      </c>
      <c r="C8" t="n">
        <v>42.86598297477877</v>
      </c>
      <c r="D8" t="n">
        <v>1.67819</v>
      </c>
      <c r="E8" t="n">
        <v>0.8424396185755721</v>
      </c>
      <c r="F8" t="n">
        <v>6.008354434816977</v>
      </c>
      <c r="G8" t="n">
        <v>2.577588106503225</v>
      </c>
      <c r="H8" t="n">
        <v>0.002169</v>
      </c>
    </row>
    <row r="9">
      <c r="A9" s="5" t="n">
        <v>44409</v>
      </c>
      <c r="B9" t="n">
        <v>50.81700103122083</v>
      </c>
      <c r="C9" t="n">
        <v>38.63179875195127</v>
      </c>
      <c r="D9" t="n">
        <v>1.730015063237114</v>
      </c>
      <c r="E9" t="n">
        <v>0.89223110653134</v>
      </c>
      <c r="F9" t="n">
        <v>6.043771941709426</v>
      </c>
      <c r="G9" t="n">
        <v>2.452898375051613</v>
      </c>
      <c r="H9" t="n">
        <v>0.001945</v>
      </c>
    </row>
    <row r="10">
      <c r="A10" s="5" t="n">
        <v>44440</v>
      </c>
      <c r="B10" t="n">
        <v>48.12</v>
      </c>
      <c r="C10" t="n">
        <v>41.22549305705443</v>
      </c>
      <c r="D10" t="n">
        <v>1.523832552665951</v>
      </c>
      <c r="E10" t="n">
        <v>0.836875361443137</v>
      </c>
      <c r="F10" t="n">
        <v>6.333651984494287</v>
      </c>
      <c r="G10" t="n">
        <v>2.308204945505889</v>
      </c>
      <c r="H10" t="n">
        <v>0.002077133333333333</v>
      </c>
    </row>
    <row r="11">
      <c r="A11" s="5" t="n">
        <v>44470</v>
      </c>
      <c r="B11" t="n">
        <v>54.127</v>
      </c>
      <c r="C11" t="n">
        <v>39.76412955574868</v>
      </c>
      <c r="D11" t="n">
        <v>1.363704407619923</v>
      </c>
      <c r="E11" t="n">
        <v>0.8409206235946377</v>
      </c>
      <c r="F11" t="n">
        <v>6.366313654664782</v>
      </c>
      <c r="G11" t="n">
        <v>2.776530961579677</v>
      </c>
      <c r="H11" t="n">
        <v>0.1730652577419355</v>
      </c>
    </row>
    <row r="12">
      <c r="A12" s="5" t="n">
        <v>44501</v>
      </c>
      <c r="B12" t="n">
        <v>51.098</v>
      </c>
      <c r="C12" t="n">
        <v>39.99215110547733</v>
      </c>
      <c r="D12" t="n">
        <v>1.511658690150773</v>
      </c>
      <c r="E12" t="n">
        <v>0.8700187081446087</v>
      </c>
      <c r="F12" t="n">
        <v>6.569564568407006</v>
      </c>
      <c r="G12" t="n">
        <v>2.571628756799967</v>
      </c>
      <c r="H12" t="n">
        <v>0.01425435666666667</v>
      </c>
    </row>
    <row r="13">
      <c r="A13" s="5" t="n">
        <v>44531</v>
      </c>
      <c r="B13" t="n">
        <v>41.65</v>
      </c>
      <c r="C13" t="n">
        <v>39.06275561040655</v>
      </c>
      <c r="D13" t="n">
        <v>1.374452101847172</v>
      </c>
      <c r="E13" t="n">
        <v>0.8936906062232001</v>
      </c>
      <c r="F13" t="n">
        <v>6.926427494783166</v>
      </c>
      <c r="G13" t="n">
        <v>2.234029906483871</v>
      </c>
      <c r="H13" t="n">
        <v>0.001145225806451613</v>
      </c>
    </row>
    <row r="14">
      <c r="A14" s="5" t="n">
        <v>44562</v>
      </c>
      <c r="B14" t="n">
        <v>34.49</v>
      </c>
      <c r="C14" t="n">
        <v>37.6056429085907</v>
      </c>
      <c r="D14" t="n">
        <v>1.140769322705488</v>
      </c>
      <c r="E14" t="n">
        <v>0.7456380859678643</v>
      </c>
      <c r="F14" t="n">
        <v>5.968676648719803</v>
      </c>
      <c r="G14" t="n">
        <v>2.478267370551613</v>
      </c>
      <c r="H14" t="n">
        <v>1.062278791426566</v>
      </c>
    </row>
    <row r="15">
      <c r="A15" s="5" t="n">
        <v>44593</v>
      </c>
      <c r="B15" t="n">
        <v>23.71</v>
      </c>
      <c r="C15" t="n">
        <v>41.02</v>
      </c>
      <c r="D15" t="n">
        <v>1.163246208585414</v>
      </c>
      <c r="E15" t="n">
        <v>0.8220995388661686</v>
      </c>
      <c r="F15" t="n">
        <v>6.606616242083144</v>
      </c>
      <c r="G15" t="n">
        <v>2.351039958535714</v>
      </c>
      <c r="H15" t="n">
        <v>0.1938690714285715</v>
      </c>
    </row>
    <row r="16">
      <c r="A16" s="5" t="n">
        <v>44621</v>
      </c>
      <c r="B16" t="n">
        <v>16.97</v>
      </c>
      <c r="C16" t="n">
        <v>39.85303171005516</v>
      </c>
      <c r="D16" t="n">
        <v>1.150742468607036</v>
      </c>
      <c r="E16" t="n">
        <v>0.8134122777372196</v>
      </c>
      <c r="F16" t="n">
        <v>6.647988664799333</v>
      </c>
      <c r="G16" t="n">
        <v>2.479153216741935</v>
      </c>
      <c r="H16" t="n">
        <v>0.3542555806451613</v>
      </c>
    </row>
    <row r="17">
      <c r="A17" s="5" t="n">
        <v>44652</v>
      </c>
      <c r="B17" t="n">
        <v>9.619999999999999</v>
      </c>
      <c r="C17" t="n">
        <v>40.15089547791688</v>
      </c>
      <c r="D17" t="n">
        <v>1.261925556171343</v>
      </c>
      <c r="E17" t="n">
        <v>0.8179188842285965</v>
      </c>
      <c r="F17" t="n">
        <v>6.650477968649865</v>
      </c>
      <c r="G17" t="n">
        <v>2.301361797983334</v>
      </c>
      <c r="H17" t="n">
        <v>0.4355622333333334</v>
      </c>
    </row>
    <row r="18">
      <c r="A18" s="5" t="n">
        <v>44682</v>
      </c>
      <c r="B18" t="n">
        <v>8.73</v>
      </c>
      <c r="C18" t="n">
        <v>40.17059451612903</v>
      </c>
      <c r="D18" t="n">
        <v>1.546870000000001</v>
      </c>
      <c r="E18" t="n">
        <v>0.89316</v>
      </c>
      <c r="F18" t="n">
        <v>6.522779999999999</v>
      </c>
      <c r="G18" t="n">
        <v>2.28043</v>
      </c>
      <c r="H18" t="n">
        <v>0.36574</v>
      </c>
    </row>
    <row r="19">
      <c r="A19" s="5" t="n">
        <v>44713</v>
      </c>
      <c r="B19" t="n">
        <v>14.67</v>
      </c>
      <c r="C19" t="n">
        <v>40.90595066666667</v>
      </c>
      <c r="D19" t="n">
        <v>1.140769322705488</v>
      </c>
      <c r="E19" t="n">
        <v>0.7456380859678643</v>
      </c>
      <c r="F19" t="n">
        <v>6.86038</v>
      </c>
      <c r="G19" t="n">
        <v>2.24191</v>
      </c>
      <c r="H19" t="n">
        <v>0.44716</v>
      </c>
    </row>
    <row r="20">
      <c r="A20" s="5" t="n">
        <v>44743</v>
      </c>
      <c r="B20" t="n">
        <v>11.71</v>
      </c>
      <c r="C20" t="n">
        <v>42.37331318945161</v>
      </c>
      <c r="D20" t="n">
        <v>1.699373296774194</v>
      </c>
      <c r="E20" t="n">
        <v>0.9042661612903228</v>
      </c>
      <c r="F20" t="n">
        <v>6.17427570967742</v>
      </c>
      <c r="G20" t="n">
        <v>1.982386</v>
      </c>
      <c r="H20" t="n">
        <v>0.41004</v>
      </c>
    </row>
    <row r="21">
      <c r="A21" s="5" t="n">
        <v>44774</v>
      </c>
      <c r="B21" t="n">
        <v>11.93526658761126</v>
      </c>
      <c r="C21" t="n">
        <v>43.10416182103226</v>
      </c>
      <c r="D21" t="n">
        <v>1.499751870967742</v>
      </c>
      <c r="E21" t="n">
        <v>0.9361042903225806</v>
      </c>
      <c r="F21" t="n">
        <v>6.218792322580645</v>
      </c>
      <c r="G21" t="n">
        <v>2.207512</v>
      </c>
      <c r="H21" t="n">
        <v>0.37502</v>
      </c>
    </row>
    <row r="22">
      <c r="A22" s="5" t="n">
        <v>44805</v>
      </c>
      <c r="B22" t="n">
        <v>13.45</v>
      </c>
      <c r="C22" t="n">
        <v>40.9</v>
      </c>
      <c r="D22" t="n">
        <v>1.76</v>
      </c>
      <c r="E22" t="n">
        <v>0.93</v>
      </c>
      <c r="F22" t="n">
        <v>5.85</v>
      </c>
      <c r="G22" t="n">
        <v>2.07</v>
      </c>
      <c r="H22" t="n">
        <v>0.392</v>
      </c>
    </row>
    <row r="23">
      <c r="A23" s="5" t="n">
        <v>44835</v>
      </c>
      <c r="B23" t="n">
        <v>12.96</v>
      </c>
      <c r="C23" t="n">
        <v>41.27</v>
      </c>
      <c r="D23" t="n">
        <v>1.65</v>
      </c>
      <c r="E23" t="n">
        <v>0.92</v>
      </c>
      <c r="F23" t="n">
        <v>5.54</v>
      </c>
      <c r="G23" t="n">
        <v>2.25</v>
      </c>
      <c r="H23" t="n">
        <v>0.463</v>
      </c>
    </row>
    <row r="24">
      <c r="A24" s="5" t="n">
        <v>44866</v>
      </c>
      <c r="B24" t="n">
        <v>11.69</v>
      </c>
      <c r="C24" t="n">
        <v>43.74</v>
      </c>
      <c r="D24" t="n">
        <v>1.14</v>
      </c>
      <c r="E24" t="n">
        <v>0.75</v>
      </c>
      <c r="F24" t="n">
        <v>5.64</v>
      </c>
      <c r="G24" t="n">
        <v>2.4</v>
      </c>
      <c r="H24" t="n">
        <v>0.498</v>
      </c>
    </row>
    <row r="25">
      <c r="A25" s="5" t="n">
        <v>44896</v>
      </c>
      <c r="B25" t="n">
        <v>13.85200721648593</v>
      </c>
      <c r="C25" t="n">
        <v>39.38466413548387</v>
      </c>
      <c r="D25" t="n">
        <v>1.335572964516129</v>
      </c>
      <c r="E25" t="n">
        <v>0.9067158451612903</v>
      </c>
      <c r="F25" t="n">
        <v>5.64416128387097</v>
      </c>
      <c r="G25" t="n">
        <v>2.4953237</v>
      </c>
      <c r="H25" t="n">
        <v>0.4679117</v>
      </c>
    </row>
    <row r="26">
      <c r="A26" s="5" t="n">
        <v>44927</v>
      </c>
      <c r="B26" t="n">
        <v>11.72</v>
      </c>
      <c r="C26" t="n">
        <v>41.74</v>
      </c>
      <c r="D26" t="n">
        <v>1.314102688225807</v>
      </c>
      <c r="E26" t="n">
        <v>0.651829642580645</v>
      </c>
      <c r="F26" t="n">
        <v>5.305407650967742</v>
      </c>
      <c r="G26" t="n">
        <v>2.311756486774193</v>
      </c>
      <c r="H26" t="n">
        <v>0.504961</v>
      </c>
    </row>
    <row r="27">
      <c r="A27" s="5" t="n">
        <v>44958</v>
      </c>
      <c r="B27" t="n">
        <v>9.69</v>
      </c>
      <c r="C27" t="n">
        <v>39.71492672071428</v>
      </c>
      <c r="D27" t="n">
        <v>1.154350130714286</v>
      </c>
      <c r="E27" t="n">
        <v>0.8171510157142857</v>
      </c>
      <c r="F27" t="n">
        <v>5.497964917857143</v>
      </c>
      <c r="G27" t="n">
        <v>2.092461831785714</v>
      </c>
      <c r="H27" t="n">
        <v>0.53365</v>
      </c>
    </row>
    <row r="28">
      <c r="A28" s="5" t="n">
        <v>44986</v>
      </c>
      <c r="B28" t="n">
        <v>9.369999999999999</v>
      </c>
      <c r="C28" t="n">
        <v>39.77303897096774</v>
      </c>
      <c r="D28" t="n">
        <v>1.318787408709678</v>
      </c>
      <c r="E28" t="n">
        <v>0.8596896129032258</v>
      </c>
      <c r="F28" t="n">
        <v>5.586022065483871</v>
      </c>
      <c r="G28" t="n">
        <v>2.099696192580645</v>
      </c>
      <c r="H28" t="n">
        <v>0.55099</v>
      </c>
    </row>
    <row r="29">
      <c r="A29" s="5" t="n">
        <v>45017</v>
      </c>
      <c r="B29" t="n">
        <v>12.38</v>
      </c>
      <c r="C29" t="n">
        <v>39.07</v>
      </c>
      <c r="D29" t="n">
        <v>1.268112961436196</v>
      </c>
      <c r="E29" t="n">
        <v>0.8019501671101015</v>
      </c>
      <c r="F29" t="n">
        <v>5.320406777028464</v>
      </c>
      <c r="G29" t="n">
        <v>1.845591988076667</v>
      </c>
      <c r="H29" t="n">
        <v>0.5515179317741936</v>
      </c>
    </row>
    <row r="30">
      <c r="A30" s="5" t="n">
        <v>45047</v>
      </c>
      <c r="B30" t="n">
        <v>8.838591386266664</v>
      </c>
      <c r="C30" t="n">
        <v>39.16674166425441</v>
      </c>
      <c r="D30" t="n">
        <v>1.645109294797852</v>
      </c>
      <c r="E30" t="n">
        <v>0.9112929730225802</v>
      </c>
      <c r="F30" t="n">
        <v>5.474054129833168</v>
      </c>
      <c r="G30" t="n">
        <v>1.76066972298387</v>
      </c>
      <c r="H30" t="n">
        <v>0.6038703225806452</v>
      </c>
    </row>
    <row r="31">
      <c r="A31" s="5" t="n">
        <v>45078</v>
      </c>
      <c r="B31" t="n">
        <v>16.14588156964609</v>
      </c>
      <c r="C31" t="n">
        <v>38.51534010562767</v>
      </c>
      <c r="D31" t="n">
        <v>1.641846666989998</v>
      </c>
      <c r="E31" t="n">
        <v>0.9240793108799993</v>
      </c>
      <c r="F31" t="n">
        <v>5.305814388046667</v>
      </c>
      <c r="G31" t="n">
        <v>1.9914499499</v>
      </c>
      <c r="H31" t="n">
        <v>0.6406345975000001</v>
      </c>
    </row>
    <row r="32">
      <c r="A32" s="5" t="n">
        <v>45108</v>
      </c>
      <c r="B32" t="n">
        <v>11.24</v>
      </c>
      <c r="C32" t="n">
        <v>39.43</v>
      </c>
      <c r="D32" t="n">
        <v>1.702847551941936</v>
      </c>
      <c r="E32" t="n">
        <v>0.9609660086931904</v>
      </c>
      <c r="F32" t="n">
        <v>5.281200278887813</v>
      </c>
      <c r="G32" t="n">
        <v>2.665344156610753</v>
      </c>
      <c r="H32" t="n">
        <v>0.6256093997999999</v>
      </c>
    </row>
    <row r="33">
      <c r="A33" s="5" t="n">
        <v>45139</v>
      </c>
      <c r="B33" t="n">
        <v>11.34</v>
      </c>
      <c r="C33" t="n">
        <v>39.02858558056876</v>
      </c>
      <c r="D33" t="n">
        <v>1.557046535091398</v>
      </c>
      <c r="E33" t="n">
        <v>0.9212971214182792</v>
      </c>
      <c r="F33" t="n">
        <v>5.322004034582797</v>
      </c>
      <c r="G33" t="n">
        <v>2.390095563274194</v>
      </c>
      <c r="H33" t="n">
        <v>0.6285021612903225</v>
      </c>
    </row>
    <row r="34">
      <c r="A34" s="5" t="n">
        <v>45170</v>
      </c>
      <c r="B34" t="n">
        <v>10.93</v>
      </c>
      <c r="C34" t="n">
        <v>39.02</v>
      </c>
      <c r="D34" t="n">
        <v>1.59</v>
      </c>
      <c r="E34" t="n">
        <v>0.93</v>
      </c>
      <c r="F34" t="n">
        <v>5.3</v>
      </c>
      <c r="G34" t="n">
        <v>2.15</v>
      </c>
      <c r="H34" t="n">
        <v>0.617</v>
      </c>
    </row>
    <row r="35">
      <c r="A35" s="5" t="n">
        <v>45200</v>
      </c>
      <c r="B35" t="n">
        <v>11.59</v>
      </c>
      <c r="C35" t="n">
        <v>40.6</v>
      </c>
      <c r="D35" t="n">
        <v>1.43</v>
      </c>
      <c r="E35" t="n">
        <v>0.91</v>
      </c>
      <c r="F35" t="n">
        <v>5.23</v>
      </c>
      <c r="G35" t="n">
        <v>1.67</v>
      </c>
      <c r="H35" t="n">
        <v>0.648</v>
      </c>
    </row>
    <row r="36">
      <c r="A36" s="5" t="n">
        <v>45231</v>
      </c>
      <c r="B36" t="n">
        <v>19.59</v>
      </c>
      <c r="C36" t="n">
        <v>39.58</v>
      </c>
      <c r="D36" t="n">
        <v>1.42</v>
      </c>
      <c r="E36" t="n">
        <v>0.9</v>
      </c>
      <c r="F36" t="n">
        <v>5.11</v>
      </c>
      <c r="G36" t="n">
        <v>1.33</v>
      </c>
      <c r="H36" t="n">
        <v>0.621</v>
      </c>
    </row>
    <row r="37">
      <c r="A37" s="5" t="n">
        <v>45261</v>
      </c>
      <c r="B37" t="n">
        <v>20.55</v>
      </c>
      <c r="C37" t="n">
        <v>36.77</v>
      </c>
      <c r="D37" t="n">
        <v>1.09</v>
      </c>
      <c r="E37" t="n">
        <v>0.87</v>
      </c>
      <c r="F37" t="n">
        <v>5.27</v>
      </c>
      <c r="G37" t="n">
        <v>1.62</v>
      </c>
      <c r="H37" t="n">
        <v>0.652</v>
      </c>
    </row>
    <row r="38">
      <c r="A38" s="5" t="n">
        <v>45292</v>
      </c>
      <c r="B38" t="n">
        <v>17.64</v>
      </c>
      <c r="C38" t="n">
        <v>38.48</v>
      </c>
      <c r="D38" t="n">
        <v>1.16</v>
      </c>
      <c r="E38" t="n">
        <v>0.8100000000000001</v>
      </c>
      <c r="F38" t="n">
        <v>4.73</v>
      </c>
      <c r="G38" t="n">
        <v>1.39</v>
      </c>
      <c r="H38" t="n">
        <v>0.65</v>
      </c>
    </row>
    <row r="39">
      <c r="A39" s="5" t="n">
        <v>45323</v>
      </c>
      <c r="B39" t="n">
        <v>10.98476368816014</v>
      </c>
      <c r="C39" t="n">
        <v>38.65404377634363</v>
      </c>
      <c r="D39" t="n">
        <v>1.218090217844837</v>
      </c>
      <c r="E39" t="n">
        <v>0.8400587466441285</v>
      </c>
      <c r="F39" t="n">
        <v>4.909224636893555</v>
      </c>
      <c r="G39" t="n">
        <v>1.979533260221122</v>
      </c>
      <c r="H39" t="n">
        <v>0.6333744827586206</v>
      </c>
    </row>
    <row r="40">
      <c r="A40" s="5" t="n">
        <v>45352</v>
      </c>
      <c r="B40" t="n">
        <v>10.42900172574582</v>
      </c>
      <c r="C40" t="n">
        <v>37.46143920854094</v>
      </c>
      <c r="D40" t="n">
        <v>1.194265898161088</v>
      </c>
      <c r="E40" t="n">
        <v>0.8485013015207339</v>
      </c>
      <c r="F40" t="n">
        <v>4.685532351404971</v>
      </c>
      <c r="G40" t="n">
        <v>1.271394682826375</v>
      </c>
      <c r="H40" t="n">
        <v>0.6394164193548387</v>
      </c>
    </row>
    <row r="41">
      <c r="A41" s="5" t="n">
        <v>45383</v>
      </c>
      <c r="B41" t="n">
        <v>9.12529018172758</v>
      </c>
      <c r="C41" t="n">
        <v>39.20989230215162</v>
      </c>
      <c r="D41" t="n">
        <v>1.35079795333</v>
      </c>
      <c r="E41" t="n">
        <v>0.883749053</v>
      </c>
      <c r="F41" t="n">
        <v>4.57175571867</v>
      </c>
      <c r="G41" t="n">
        <v>1.389136385</v>
      </c>
      <c r="H41" t="n">
        <v>0.6461545</v>
      </c>
    </row>
    <row r="42">
      <c r="A42" s="5" t="n">
        <v>45413</v>
      </c>
      <c r="B42" t="n">
        <v>8.289139992168124</v>
      </c>
      <c r="C42" t="n">
        <v>38.90373696457097</v>
      </c>
      <c r="D42" t="n">
        <v>1.47791325652</v>
      </c>
      <c r="E42" t="n">
        <v>0.86429193542</v>
      </c>
      <c r="F42" t="n">
        <v>4.547946639840001</v>
      </c>
      <c r="G42" t="n">
        <v>1.25628903</v>
      </c>
      <c r="H42" t="n">
        <v>0.6330348</v>
      </c>
    </row>
    <row r="43">
      <c r="A43" s="5" t="n">
        <v>45444</v>
      </c>
      <c r="B43" t="n">
        <v>9.125729353657023</v>
      </c>
      <c r="C43" t="n">
        <v>38.60414380907792</v>
      </c>
      <c r="D43" t="n">
        <v>1.600710811</v>
      </c>
      <c r="E43" t="n">
        <v>0.9449522756700002</v>
      </c>
      <c r="F43" t="n">
        <v>4.448059454</v>
      </c>
      <c r="G43" t="n">
        <v>1.191215471</v>
      </c>
      <c r="H43" t="n">
        <v>0.6325901</v>
      </c>
    </row>
    <row r="44">
      <c r="A44" s="5" t="n">
        <v>45474</v>
      </c>
      <c r="B44" t="n">
        <v>16.88847885514707</v>
      </c>
      <c r="C44" t="n">
        <v>39.30873516761075</v>
      </c>
      <c r="D44" t="n">
        <v>1.736345170999997</v>
      </c>
      <c r="E44" t="n">
        <v>0.9545876221709684</v>
      </c>
      <c r="F44" t="n">
        <v>4.424667017979568</v>
      </c>
      <c r="G44" t="n">
        <v>1.198606541387097</v>
      </c>
      <c r="H44" t="n">
        <v>0.5576451612903226</v>
      </c>
    </row>
    <row r="45">
      <c r="A45" s="5" t="n">
        <v>45505</v>
      </c>
      <c r="B45" t="n">
        <v>21.81356450301903</v>
      </c>
      <c r="C45" t="n">
        <v>39.2</v>
      </c>
      <c r="D45" t="n">
        <v>1.714533855612905</v>
      </c>
      <c r="E45" t="n">
        <v>0.9595898217451611</v>
      </c>
      <c r="F45" t="n">
        <v>4.474273183169892</v>
      </c>
      <c r="G45" t="n">
        <v>1.140122952248387</v>
      </c>
      <c r="H45" t="n">
        <v>0.6124132903225805</v>
      </c>
    </row>
    <row r="46">
      <c r="A46" s="5" t="n">
        <v>45536</v>
      </c>
      <c r="B46" t="n">
        <v>33.08677916401097</v>
      </c>
      <c r="C46" t="n">
        <v>40.08919120541239</v>
      </c>
      <c r="D46" t="n">
        <v>1.685883935040001</v>
      </c>
      <c r="E46" t="n">
        <v>0.9398323776233334</v>
      </c>
      <c r="F46" t="n">
        <v>4.41403528152</v>
      </c>
      <c r="G46" t="n">
        <v>1.197037293426667</v>
      </c>
      <c r="H46" t="n">
        <v>0.6157146</v>
      </c>
    </row>
    <row r="47">
      <c r="A47" s="5" t="n">
        <v>45566</v>
      </c>
      <c r="B47" t="n">
        <v>34.20600687574574</v>
      </c>
      <c r="C47" t="n">
        <v>41.10831677851487</v>
      </c>
      <c r="D47" t="n">
        <v>1.510797994711142</v>
      </c>
      <c r="E47" t="n">
        <v>0.9137275399659572</v>
      </c>
      <c r="F47" t="n">
        <v>4.505799055653227</v>
      </c>
      <c r="G47" t="n">
        <v>1.216743561217912</v>
      </c>
      <c r="H47" t="n">
        <v>0.6960806451612902</v>
      </c>
    </row>
    <row r="48">
      <c r="A48" s="5" t="n">
        <v>45597</v>
      </c>
      <c r="B48" t="n">
        <v>25.59133363269286</v>
      </c>
      <c r="C48" t="n">
        <v>40.91066619170666</v>
      </c>
      <c r="D48" t="n">
        <v>1.442385128934782</v>
      </c>
      <c r="E48" t="n">
        <v>0.8932446667406636</v>
      </c>
      <c r="F48" t="n">
        <v>4.381642675967666</v>
      </c>
      <c r="G48" t="n">
        <v>1.271716153794842</v>
      </c>
      <c r="H48" t="n">
        <v>0.6475341333333333</v>
      </c>
    </row>
    <row r="49">
      <c r="A49" s="5" t="n">
        <v>45627</v>
      </c>
      <c r="B49" t="n">
        <v>21.07240745942666</v>
      </c>
      <c r="C49" t="n">
        <v>37.40684547752616</v>
      </c>
      <c r="D49" t="n">
        <v>1.392718484060937</v>
      </c>
      <c r="E49" t="n">
        <v>0.9212357796540624</v>
      </c>
      <c r="F49" t="n">
        <v>4.737601910203336</v>
      </c>
      <c r="G49" t="n">
        <v>1.304440367191719</v>
      </c>
      <c r="H49" t="n">
        <v>0.6569174516129033</v>
      </c>
    </row>
    <row r="50">
      <c r="A50" s="5" t="n">
        <v>45658</v>
      </c>
      <c r="B50" t="n">
        <v>18.84</v>
      </c>
      <c r="C50" t="n">
        <v>35.61993566690983</v>
      </c>
      <c r="D50" t="n">
        <v>1.261927733977419</v>
      </c>
      <c r="E50" t="n">
        <v>0.805467489529032</v>
      </c>
      <c r="F50" t="n">
        <v>3.999218284174194</v>
      </c>
      <c r="G50" t="n">
        <v>1.52419086783871</v>
      </c>
      <c r="H50" t="n">
        <v>0.6504841290322581</v>
      </c>
    </row>
    <row r="51">
      <c r="A51" s="5" t="n">
        <v>45689</v>
      </c>
      <c r="B51" t="n">
        <v>13.00416329101943</v>
      </c>
      <c r="C51" t="n">
        <v>35.5032657070535</v>
      </c>
      <c r="D51" t="n">
        <v>1.280610048492857</v>
      </c>
      <c r="E51" t="n">
        <v>0.8961422809749995</v>
      </c>
      <c r="F51" t="n">
        <v>4.470599845777665</v>
      </c>
      <c r="G51" t="n">
        <v>1.195793982607143</v>
      </c>
      <c r="H51" t="n">
        <v>0.7030719642857143</v>
      </c>
    </row>
    <row r="52">
      <c r="A52" s="5" t="n">
        <v>45717</v>
      </c>
      <c r="B52" t="n">
        <v>12.66915639923995</v>
      </c>
      <c r="C52" t="n">
        <v>35.2863920090522</v>
      </c>
      <c r="D52" t="n">
        <v>1.175496510574194</v>
      </c>
      <c r="E52" t="n">
        <v>0.8646224847774193</v>
      </c>
      <c r="F52" t="n">
        <v>4.168516246238692</v>
      </c>
      <c r="G52" t="n">
        <v>1.214077631164516</v>
      </c>
      <c r="H52" t="n">
        <v>0.6973395483870968</v>
      </c>
    </row>
    <row r="53">
      <c r="A53" s="5" t="n">
        <v>45748</v>
      </c>
      <c r="B53" t="n">
        <v>15.63101067233002</v>
      </c>
      <c r="C53" t="n">
        <v>37.93196002245615</v>
      </c>
      <c r="D53" t="n">
        <v>1.49692181506</v>
      </c>
      <c r="E53" t="n">
        <v>0.8782540319700001</v>
      </c>
      <c r="F53" t="n">
        <v>4.120125318433335</v>
      </c>
      <c r="G53" t="n">
        <v>1.339228560923333</v>
      </c>
      <c r="H53" t="n">
        <v>0.7375221</v>
      </c>
    </row>
    <row r="54">
      <c r="A54" s="5" t="n">
        <v>45778</v>
      </c>
      <c r="B54" t="n">
        <v>16.93393960380565</v>
      </c>
      <c r="C54" t="n">
        <v>36.88042505913582</v>
      </c>
      <c r="D54" t="n">
        <v>1.597546615874161</v>
      </c>
      <c r="E54" t="n">
        <v>0.8913152314238258</v>
      </c>
      <c r="F54" t="n">
        <v>4.096742961291509</v>
      </c>
      <c r="G54" t="n">
        <v>1.246246823958065</v>
      </c>
      <c r="H54" t="n">
        <v>0.7358895161290322</v>
      </c>
    </row>
    <row r="55">
      <c r="A55" s="5" t="n">
        <v>45809</v>
      </c>
      <c r="B55" t="n">
        <v>19.01009639605966</v>
      </c>
      <c r="C55" t="n">
        <v>39.2469918145467</v>
      </c>
      <c r="D55" t="n">
        <v>1.782579915024858</v>
      </c>
      <c r="E55" t="n">
        <v>0.9578190021640487</v>
      </c>
      <c r="F55" t="n">
        <v>4.007210674528855</v>
      </c>
      <c r="G55" t="n">
        <v>0.9404849716700001</v>
      </c>
      <c r="H55" t="n">
        <v>0.7488893333333333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5"/>
  <sheetViews>
    <sheetView workbookViewId="0">
      <pane ySplit="1" topLeftCell="A2" activePane="bottomLeft" state="frozen"/>
      <selection pane="bottomLeft" activeCell="A1" sqref="A1"/>
    </sheetView>
  </sheetViews>
  <sheetFormatPr baseColWidth="8" defaultRowHeight="15"/>
  <sheetData>
    <row r="1">
      <c r="A1" s="6" t="inlineStr">
        <is>
          <t>date</t>
        </is>
      </c>
      <c r="B1" s="6" t="inlineStr">
        <is>
          <t>Industrial</t>
        </is>
      </c>
      <c r="C1" s="6" t="inlineStr">
        <is>
          <t>Automotive</t>
        </is>
      </c>
      <c r="D1" s="6" t="inlineStr">
        <is>
          <t>Residential</t>
        </is>
      </c>
      <c r="E1" s="6" t="inlineStr">
        <is>
          <t>Commercial</t>
        </is>
      </c>
      <c r="F1" s="6" t="inlineStr">
        <is>
          <t>Power_Generation</t>
        </is>
      </c>
      <c r="G1" s="6" t="inlineStr">
        <is>
          <t>Cogeneration</t>
        </is>
      </c>
      <c r="H1" s="6" t="inlineStr">
        <is>
          <t>Other_incl_CNG</t>
        </is>
      </c>
      <c r="I1" s="6" t="inlineStr">
        <is>
          <t>Total_Demand</t>
        </is>
      </c>
    </row>
    <row r="2">
      <c r="A2" s="7" t="n">
        <v>44197</v>
      </c>
      <c r="B2" t="n">
        <v>38.07206686889963</v>
      </c>
      <c r="C2" t="n">
        <v>5.329943123185412</v>
      </c>
      <c r="D2" t="n">
        <v>1.065638171526978</v>
      </c>
      <c r="E2" t="n">
        <v>0.6638143323433612</v>
      </c>
      <c r="F2" t="n">
        <v>44.15343027327786</v>
      </c>
      <c r="G2" t="n">
        <v>2.374971282293652</v>
      </c>
      <c r="H2" t="n">
        <v>0.001964258064516129</v>
      </c>
      <c r="I2" t="n">
        <v>91.66182830959141</v>
      </c>
    </row>
    <row r="3">
      <c r="A3" s="7" t="n">
        <v>44228</v>
      </c>
      <c r="B3" t="n">
        <v>40.74245287539431</v>
      </c>
      <c r="C3" t="n">
        <v>5.425876926086336</v>
      </c>
      <c r="D3" t="n">
        <v>1.067580726974858</v>
      </c>
      <c r="E3" t="n">
        <v>0.7143710558299026</v>
      </c>
      <c r="F3" t="n">
        <v>31.41398849677586</v>
      </c>
      <c r="G3" t="n">
        <v>2.266678386508975</v>
      </c>
      <c r="H3" t="n">
        <v>0.001625714285714286</v>
      </c>
      <c r="I3" t="n">
        <v>81.63257418185594</v>
      </c>
    </row>
    <row r="4">
      <c r="A4" s="7" t="n">
        <v>44256</v>
      </c>
      <c r="B4" t="n">
        <v>40.77746685336241</v>
      </c>
      <c r="C4" t="n">
        <v>5.365250177523388</v>
      </c>
      <c r="D4" t="n">
        <v>1.280084655411375</v>
      </c>
      <c r="E4" t="n">
        <v>0.7047539812091055</v>
      </c>
      <c r="F4" t="n">
        <v>32.30481622363153</v>
      </c>
      <c r="G4" t="n">
        <v>2.077284379089084</v>
      </c>
      <c r="H4" t="n">
        <v>0.00213841935483871</v>
      </c>
      <c r="I4" t="n">
        <v>82.51179468958173</v>
      </c>
    </row>
    <row r="5">
      <c r="A5" s="7" t="n">
        <v>44287</v>
      </c>
      <c r="B5" t="n">
        <v>39.98014782884277</v>
      </c>
      <c r="C5" t="n">
        <v>5.315756228189868</v>
      </c>
      <c r="D5" t="n">
        <v>1.249490085745991</v>
      </c>
      <c r="E5" t="n">
        <v>0.5573199864081076</v>
      </c>
      <c r="F5" t="n">
        <v>32.48757188407183</v>
      </c>
      <c r="G5" t="n">
        <v>2.113460828736667</v>
      </c>
      <c r="H5" t="n">
        <v>0.0024209</v>
      </c>
      <c r="I5" t="n">
        <v>81.70616774199524</v>
      </c>
    </row>
    <row r="6">
      <c r="A6" s="7" t="n">
        <v>44317</v>
      </c>
      <c r="B6" t="n">
        <v>39.10312969742974</v>
      </c>
      <c r="C6" t="n">
        <v>5.778753284426925</v>
      </c>
      <c r="D6" t="n">
        <v>1.566540594378508</v>
      </c>
      <c r="E6" t="n">
        <v>0.7343014528285519</v>
      </c>
      <c r="F6" t="n">
        <v>32.23</v>
      </c>
      <c r="G6" t="n">
        <v>2.111712258290323</v>
      </c>
      <c r="H6" t="n">
        <v>0.002833387096774194</v>
      </c>
      <c r="I6" t="n">
        <v>81.52727067445082</v>
      </c>
    </row>
    <row r="7">
      <c r="A7" s="7" t="n">
        <v>44348</v>
      </c>
      <c r="B7" t="n">
        <v>42.09708699999999</v>
      </c>
      <c r="C7" t="n">
        <v>5.762079999999999</v>
      </c>
      <c r="D7" t="n">
        <v>1.67819</v>
      </c>
      <c r="E7" t="n">
        <v>0.8418399999999998</v>
      </c>
      <c r="F7" t="n">
        <v>44.82</v>
      </c>
      <c r="G7" t="n">
        <v>2.45266</v>
      </c>
      <c r="H7" t="n">
        <v>0.00316</v>
      </c>
      <c r="I7" t="n">
        <v>97.65501699999999</v>
      </c>
    </row>
    <row r="8">
      <c r="A8" s="7" t="n">
        <v>44378</v>
      </c>
      <c r="B8" t="n">
        <v>42.86598297477877</v>
      </c>
      <c r="C8" t="n">
        <v>6.008354434816977</v>
      </c>
      <c r="D8" t="n">
        <v>1.67819</v>
      </c>
      <c r="E8" t="n">
        <v>0.8424396185755721</v>
      </c>
      <c r="F8" t="n">
        <v>50.74</v>
      </c>
      <c r="G8" t="n">
        <v>2.577588106503225</v>
      </c>
      <c r="H8" t="n">
        <v>0.002169</v>
      </c>
      <c r="I8" t="n">
        <v>104.7147241346746</v>
      </c>
    </row>
    <row r="9">
      <c r="A9" s="7" t="n">
        <v>44409</v>
      </c>
      <c r="B9" t="n">
        <v>38.63179875195127</v>
      </c>
      <c r="C9" t="n">
        <v>6.043771941709426</v>
      </c>
      <c r="D9" t="n">
        <v>1.730015063237114</v>
      </c>
      <c r="E9" t="n">
        <v>0.89223110653134</v>
      </c>
      <c r="F9" t="n">
        <v>50.81700103122083</v>
      </c>
      <c r="G9" t="n">
        <v>2.452898375051613</v>
      </c>
      <c r="H9" t="n">
        <v>0.001945</v>
      </c>
      <c r="I9" t="n">
        <v>100.5696612697016</v>
      </c>
    </row>
    <row r="10">
      <c r="A10" s="7" t="n">
        <v>44440</v>
      </c>
      <c r="B10" t="n">
        <v>41.22549305705443</v>
      </c>
      <c r="C10" t="n">
        <v>6.333651984494287</v>
      </c>
      <c r="D10" t="n">
        <v>1.523832552665951</v>
      </c>
      <c r="E10" t="n">
        <v>0.836875361443137</v>
      </c>
      <c r="F10" t="n">
        <v>48.12</v>
      </c>
      <c r="G10" t="n">
        <v>2.308204945505889</v>
      </c>
      <c r="H10" t="n">
        <v>0.002077133333333333</v>
      </c>
      <c r="I10" t="n">
        <v>100.350135034497</v>
      </c>
    </row>
    <row r="11">
      <c r="A11" s="7" t="n">
        <v>44470</v>
      </c>
      <c r="B11" t="n">
        <v>39.76412955574868</v>
      </c>
      <c r="C11" t="n">
        <v>6.366313654664782</v>
      </c>
      <c r="D11" t="n">
        <v>1.363704407619923</v>
      </c>
      <c r="E11" t="n">
        <v>0.8409206235946377</v>
      </c>
      <c r="F11" t="n">
        <v>54.127</v>
      </c>
      <c r="G11" t="n">
        <v>2.776530961579677</v>
      </c>
      <c r="H11" t="n">
        <v>0.1730652577419355</v>
      </c>
      <c r="I11" t="n">
        <v>105.4116644609496</v>
      </c>
    </row>
    <row r="12">
      <c r="A12" s="7" t="n">
        <v>44501</v>
      </c>
      <c r="B12" t="n">
        <v>39.99215110547733</v>
      </c>
      <c r="C12" t="n">
        <v>6.569564568407006</v>
      </c>
      <c r="D12" t="n">
        <v>1.511658690150773</v>
      </c>
      <c r="E12" t="n">
        <v>0.8700187081446087</v>
      </c>
      <c r="F12" t="n">
        <v>51.098</v>
      </c>
      <c r="G12" t="n">
        <v>2.571628756799967</v>
      </c>
      <c r="H12" t="n">
        <v>0.01425435666666667</v>
      </c>
      <c r="I12" t="n">
        <v>102.6272761856464</v>
      </c>
    </row>
    <row r="13">
      <c r="A13" s="7" t="n">
        <v>44531</v>
      </c>
      <c r="B13" t="n">
        <v>39.06275561040655</v>
      </c>
      <c r="C13" t="n">
        <v>6.926427494783166</v>
      </c>
      <c r="D13" t="n">
        <v>1.374452101847172</v>
      </c>
      <c r="E13" t="n">
        <v>0.8936906062232001</v>
      </c>
      <c r="F13" t="n">
        <v>41.65</v>
      </c>
      <c r="G13" t="n">
        <v>2.234029906483871</v>
      </c>
      <c r="H13" t="n">
        <v>0.001145225806451613</v>
      </c>
      <c r="I13" t="n">
        <v>92.1425009455504</v>
      </c>
    </row>
    <row r="14">
      <c r="A14" s="7" t="n">
        <v>44562</v>
      </c>
      <c r="B14" t="n">
        <v>37.6056429085907</v>
      </c>
      <c r="C14" t="n">
        <v>5.968676648719803</v>
      </c>
      <c r="D14" t="n">
        <v>1.140769322705488</v>
      </c>
      <c r="E14" t="n">
        <v>0.7456380859678643</v>
      </c>
      <c r="F14" t="n">
        <v>34.49</v>
      </c>
      <c r="G14" t="n">
        <v>2.478267370551613</v>
      </c>
      <c r="H14" t="n">
        <v>1.062278791426566</v>
      </c>
      <c r="I14" t="n">
        <v>83.09</v>
      </c>
    </row>
    <row r="15">
      <c r="A15" s="7" t="n">
        <v>44593</v>
      </c>
      <c r="B15" t="n">
        <v>41.02</v>
      </c>
      <c r="C15" t="n">
        <v>6.606616242083144</v>
      </c>
      <c r="D15" t="n">
        <v>1.163246208585414</v>
      </c>
      <c r="E15" t="n">
        <v>0.8220995388661686</v>
      </c>
      <c r="F15" t="n">
        <v>23.71</v>
      </c>
      <c r="G15" t="n">
        <v>2.351039958535714</v>
      </c>
      <c r="H15" t="n">
        <v>0.1938690714285715</v>
      </c>
      <c r="I15" t="n">
        <v>77.06132205774135</v>
      </c>
    </row>
    <row r="16">
      <c r="A16" s="7" t="n">
        <v>44621</v>
      </c>
      <c r="B16" t="n">
        <v>39.85303171005516</v>
      </c>
      <c r="C16" t="n">
        <v>6.647988664799333</v>
      </c>
      <c r="D16" t="n">
        <v>1.150742468607036</v>
      </c>
      <c r="E16" t="n">
        <v>0.8134122777372196</v>
      </c>
      <c r="F16" t="n">
        <v>16.97</v>
      </c>
      <c r="G16" t="n">
        <v>2.479153216741935</v>
      </c>
      <c r="H16" t="n">
        <v>0.3542555806451613</v>
      </c>
      <c r="I16" t="n">
        <v>69.66881220890843</v>
      </c>
    </row>
    <row r="17">
      <c r="A17" s="7" t="n">
        <v>44652</v>
      </c>
      <c r="B17" t="n">
        <v>40.15089547791688</v>
      </c>
      <c r="C17" t="n">
        <v>6.650477968649865</v>
      </c>
      <c r="D17" t="n">
        <v>1.261925556171343</v>
      </c>
      <c r="E17" t="n">
        <v>0.8179188842285965</v>
      </c>
      <c r="F17" t="n">
        <v>9.619999999999999</v>
      </c>
      <c r="G17" t="n">
        <v>2.301361797983334</v>
      </c>
      <c r="H17" t="n">
        <v>0.4355622333333334</v>
      </c>
      <c r="I17" t="n">
        <v>62.45521771828335</v>
      </c>
    </row>
    <row r="18">
      <c r="A18" s="7" t="n">
        <v>44682</v>
      </c>
      <c r="B18" t="n">
        <v>40.17059451612903</v>
      </c>
      <c r="C18" t="n">
        <v>6.522779999999999</v>
      </c>
      <c r="D18" t="n">
        <v>1.546870000000001</v>
      </c>
      <c r="E18" t="n">
        <v>0.89316</v>
      </c>
      <c r="F18" t="n">
        <v>8.73</v>
      </c>
      <c r="G18" t="n">
        <v>2.28043</v>
      </c>
      <c r="H18" t="n">
        <v>0.36574</v>
      </c>
      <c r="I18" t="n">
        <v>61.8659350967742</v>
      </c>
    </row>
    <row r="19">
      <c r="A19" s="7" t="n">
        <v>44713</v>
      </c>
      <c r="B19" t="n">
        <v>40.90595066666667</v>
      </c>
      <c r="C19" t="n">
        <v>6.86038</v>
      </c>
      <c r="D19" t="n">
        <v>1.140769322705488</v>
      </c>
      <c r="E19" t="n">
        <v>0.7456380859678643</v>
      </c>
      <c r="F19" t="n">
        <v>14.67</v>
      </c>
      <c r="G19" t="n">
        <v>2.24191</v>
      </c>
      <c r="H19" t="n">
        <v>0.44716</v>
      </c>
      <c r="I19" t="n">
        <v>69.24920983333334</v>
      </c>
    </row>
    <row r="20">
      <c r="A20" s="7" t="n">
        <v>44743</v>
      </c>
      <c r="B20" t="n">
        <v>42.37331318945161</v>
      </c>
      <c r="C20" t="n">
        <v>6.17427570967742</v>
      </c>
      <c r="D20" t="n">
        <v>1.699373296774194</v>
      </c>
      <c r="E20" t="n">
        <v>0.9042661612903228</v>
      </c>
      <c r="F20" t="n">
        <v>11.71</v>
      </c>
      <c r="G20" t="n">
        <v>1.982386</v>
      </c>
      <c r="H20" t="n">
        <v>0.41004</v>
      </c>
      <c r="I20" t="n">
        <v>65.25365435719354</v>
      </c>
    </row>
    <row r="21">
      <c r="A21" s="7" t="n">
        <v>44774</v>
      </c>
      <c r="B21" t="n">
        <v>43.10416182103226</v>
      </c>
      <c r="C21" t="n">
        <v>6.218792322580645</v>
      </c>
      <c r="D21" t="n">
        <v>1.499751870967742</v>
      </c>
      <c r="E21" t="n">
        <v>0.9361042903225806</v>
      </c>
      <c r="F21" t="n">
        <v>11.93526658761126</v>
      </c>
      <c r="G21" t="n">
        <v>2.207512</v>
      </c>
      <c r="H21" t="n">
        <v>0.37502</v>
      </c>
      <c r="I21" t="n">
        <v>66.2766088925145</v>
      </c>
    </row>
    <row r="22">
      <c r="A22" s="7" t="n">
        <v>44805</v>
      </c>
      <c r="B22" t="n">
        <v>40.9</v>
      </c>
      <c r="C22" t="n">
        <v>5.85</v>
      </c>
      <c r="D22" t="n">
        <v>1.76</v>
      </c>
      <c r="E22" t="n">
        <v>0.93</v>
      </c>
      <c r="F22" t="n">
        <v>13.45</v>
      </c>
      <c r="G22" t="n">
        <v>2.07</v>
      </c>
      <c r="H22" t="n">
        <v>0.392</v>
      </c>
      <c r="I22" t="n">
        <v>65.34</v>
      </c>
    </row>
    <row r="23">
      <c r="A23" s="7" t="n">
        <v>44835</v>
      </c>
      <c r="B23" t="n">
        <v>41.27</v>
      </c>
      <c r="C23" t="n">
        <v>5.54</v>
      </c>
      <c r="D23" t="n">
        <v>1.65</v>
      </c>
      <c r="E23" t="n">
        <v>0.92</v>
      </c>
      <c r="F23" t="n">
        <v>12.96</v>
      </c>
      <c r="G23" t="n">
        <v>2.25</v>
      </c>
      <c r="H23" t="n">
        <v>0.463</v>
      </c>
      <c r="I23" t="n">
        <v>65.05</v>
      </c>
    </row>
    <row r="24">
      <c r="A24" s="7" t="n">
        <v>44866</v>
      </c>
      <c r="B24" t="n">
        <v>43.74</v>
      </c>
      <c r="C24" t="n">
        <v>5.64</v>
      </c>
      <c r="D24" t="n">
        <v>1.14</v>
      </c>
      <c r="E24" t="n">
        <v>0.75</v>
      </c>
      <c r="F24" t="n">
        <v>11.69</v>
      </c>
      <c r="G24" t="n">
        <v>2.4</v>
      </c>
      <c r="H24" t="n">
        <v>0.498</v>
      </c>
      <c r="I24" t="n">
        <v>65.84999999999999</v>
      </c>
    </row>
    <row r="25">
      <c r="A25" s="7" t="n">
        <v>44896</v>
      </c>
      <c r="B25" t="n">
        <v>39.38466413548387</v>
      </c>
      <c r="C25" t="n">
        <v>5.64416128387097</v>
      </c>
      <c r="D25" t="n">
        <v>1.335572964516129</v>
      </c>
      <c r="E25" t="n">
        <v>0.9067158451612903</v>
      </c>
      <c r="F25" t="n">
        <v>13.85200721648593</v>
      </c>
      <c r="G25" t="n">
        <v>2.4953237</v>
      </c>
      <c r="H25" t="n">
        <v>0.4679117</v>
      </c>
      <c r="I25" t="n">
        <v>64.0863568455182</v>
      </c>
    </row>
    <row r="26">
      <c r="A26" s="7" t="n">
        <v>44927</v>
      </c>
      <c r="B26" t="n">
        <v>41.74</v>
      </c>
      <c r="C26" t="n">
        <v>5.305407650967742</v>
      </c>
      <c r="D26" t="n">
        <v>1.314102688225807</v>
      </c>
      <c r="E26" t="n">
        <v>0.651829642580645</v>
      </c>
      <c r="F26" t="n">
        <v>11.72</v>
      </c>
      <c r="G26" t="n">
        <v>2.311756486774193</v>
      </c>
      <c r="H26" t="n">
        <v>0.504961</v>
      </c>
      <c r="I26" t="n">
        <v>63.55</v>
      </c>
    </row>
    <row r="27">
      <c r="A27" s="7" t="n">
        <v>44958</v>
      </c>
      <c r="B27" t="n">
        <v>39.71492672071428</v>
      </c>
      <c r="C27" t="n">
        <v>5.497964917857143</v>
      </c>
      <c r="D27" t="n">
        <v>1.154350130714286</v>
      </c>
      <c r="E27" t="n">
        <v>0.8171510157142857</v>
      </c>
      <c r="F27" t="n">
        <v>9.69</v>
      </c>
      <c r="G27" t="n">
        <v>2.092461831785714</v>
      </c>
      <c r="H27" t="n">
        <v>0.53365</v>
      </c>
      <c r="I27" t="n">
        <v>59.5005046167857</v>
      </c>
    </row>
    <row r="28">
      <c r="A28" s="7" t="n">
        <v>44986</v>
      </c>
      <c r="B28" t="n">
        <v>39.77303897096774</v>
      </c>
      <c r="C28" t="n">
        <v>5.586022065483871</v>
      </c>
      <c r="D28" t="n">
        <v>1.318787408709678</v>
      </c>
      <c r="E28" t="n">
        <v>0.8596896129032258</v>
      </c>
      <c r="F28" t="n">
        <v>9.369999999999999</v>
      </c>
      <c r="G28" t="n">
        <v>2.099696192580645</v>
      </c>
      <c r="H28" t="n">
        <v>0.55099</v>
      </c>
      <c r="I28" t="n">
        <v>59.55822425064515</v>
      </c>
    </row>
    <row r="29">
      <c r="A29" s="7" t="n">
        <v>45017</v>
      </c>
      <c r="B29" t="n">
        <v>39.07</v>
      </c>
      <c r="C29" t="n">
        <v>5.320406777028464</v>
      </c>
      <c r="D29" t="n">
        <v>1.268112961436196</v>
      </c>
      <c r="E29" t="n">
        <v>0.8019501671101015</v>
      </c>
      <c r="F29" t="n">
        <v>12.38</v>
      </c>
      <c r="G29" t="n">
        <v>1.845591988076667</v>
      </c>
      <c r="H29" t="n">
        <v>0.5515179317741936</v>
      </c>
      <c r="I29" t="n">
        <v>61.23</v>
      </c>
    </row>
    <row r="30">
      <c r="A30" s="7" t="n">
        <v>45047</v>
      </c>
      <c r="B30" t="n">
        <v>39.16674166425441</v>
      </c>
      <c r="C30" t="n">
        <v>5.474054129833168</v>
      </c>
      <c r="D30" t="n">
        <v>1.645109294797852</v>
      </c>
      <c r="E30" t="n">
        <v>0.9112929730225802</v>
      </c>
      <c r="F30" t="n">
        <v>8.838591386266664</v>
      </c>
      <c r="G30" t="n">
        <v>1.76066972298387</v>
      </c>
      <c r="H30" t="n">
        <v>0.6038703225806452</v>
      </c>
      <c r="I30" t="n">
        <v>58.4003294937392</v>
      </c>
    </row>
    <row r="31">
      <c r="A31" s="7" t="n">
        <v>45078</v>
      </c>
      <c r="B31" t="n">
        <v>38.51534010562767</v>
      </c>
      <c r="C31" t="n">
        <v>5.305814388046667</v>
      </c>
      <c r="D31" t="n">
        <v>1.641846666989998</v>
      </c>
      <c r="E31" t="n">
        <v>0.9240793108799993</v>
      </c>
      <c r="F31" t="n">
        <v>16.14588156964609</v>
      </c>
      <c r="G31" t="n">
        <v>1.9914499499</v>
      </c>
      <c r="H31" t="n">
        <v>0.6406345975000001</v>
      </c>
      <c r="I31" t="n">
        <v>65.16504658859043</v>
      </c>
    </row>
    <row r="32">
      <c r="A32" s="7" t="n">
        <v>45108</v>
      </c>
      <c r="B32" t="n">
        <v>39.43</v>
      </c>
      <c r="C32" t="n">
        <v>5.281200278887813</v>
      </c>
      <c r="D32" t="n">
        <v>1.702847551941936</v>
      </c>
      <c r="E32" t="n">
        <v>0.9609660086931904</v>
      </c>
      <c r="F32" t="n">
        <v>11.24</v>
      </c>
      <c r="G32" t="n">
        <v>2.665344156610753</v>
      </c>
      <c r="H32" t="n">
        <v>0.6256093997999999</v>
      </c>
      <c r="I32" t="n">
        <v>61.9</v>
      </c>
    </row>
    <row r="33">
      <c r="A33" s="7" t="n">
        <v>45139</v>
      </c>
      <c r="B33" t="n">
        <v>39.02858558056876</v>
      </c>
      <c r="C33" t="n">
        <v>5.322004034582797</v>
      </c>
      <c r="D33" t="n">
        <v>1.557046535091398</v>
      </c>
      <c r="E33" t="n">
        <v>0.9212971214182792</v>
      </c>
      <c r="F33" t="n">
        <v>11.34</v>
      </c>
      <c r="G33" t="n">
        <v>2.390095563274194</v>
      </c>
      <c r="H33" t="n">
        <v>0.6285021612903225</v>
      </c>
      <c r="I33" t="n">
        <v>61.19</v>
      </c>
    </row>
    <row r="34">
      <c r="A34" s="7" t="n">
        <v>45170</v>
      </c>
      <c r="B34" t="n">
        <v>39.02</v>
      </c>
      <c r="C34" t="n">
        <v>5.3</v>
      </c>
      <c r="D34" t="n">
        <v>1.59</v>
      </c>
      <c r="E34" t="n">
        <v>0.93</v>
      </c>
      <c r="F34" t="n">
        <v>10.93</v>
      </c>
      <c r="G34" t="n">
        <v>2.15</v>
      </c>
      <c r="H34" t="n">
        <v>0.617</v>
      </c>
      <c r="I34" t="n">
        <v>60.53</v>
      </c>
    </row>
    <row r="35">
      <c r="A35" s="7" t="n">
        <v>45200</v>
      </c>
      <c r="B35" t="n">
        <v>40.6</v>
      </c>
      <c r="C35" t="n">
        <v>5.23</v>
      </c>
      <c r="D35" t="n">
        <v>1.43</v>
      </c>
      <c r="E35" t="n">
        <v>0.91</v>
      </c>
      <c r="F35" t="n">
        <v>11.59</v>
      </c>
      <c r="G35" t="n">
        <v>1.67</v>
      </c>
      <c r="H35" t="n">
        <v>0.648</v>
      </c>
      <c r="I35" t="n">
        <v>62.07</v>
      </c>
    </row>
    <row r="36">
      <c r="A36" s="7" t="n">
        <v>45231</v>
      </c>
      <c r="B36" t="n">
        <v>39.58</v>
      </c>
      <c r="C36" t="n">
        <v>5.11</v>
      </c>
      <c r="D36" t="n">
        <v>1.42</v>
      </c>
      <c r="E36" t="n">
        <v>0.9</v>
      </c>
      <c r="F36" t="n">
        <v>19.59</v>
      </c>
      <c r="G36" t="n">
        <v>1.33</v>
      </c>
      <c r="H36" t="n">
        <v>0.621</v>
      </c>
      <c r="I36" t="n">
        <v>68.56</v>
      </c>
    </row>
    <row r="37">
      <c r="A37" s="7" t="n">
        <v>45261</v>
      </c>
      <c r="B37" t="n">
        <v>36.77</v>
      </c>
      <c r="C37" t="n">
        <v>5.27</v>
      </c>
      <c r="D37" t="n">
        <v>1.09</v>
      </c>
      <c r="E37" t="n">
        <v>0.87</v>
      </c>
      <c r="F37" t="n">
        <v>20.55</v>
      </c>
      <c r="G37" t="n">
        <v>1.62</v>
      </c>
      <c r="H37" t="n">
        <v>0.652</v>
      </c>
      <c r="I37" t="n">
        <v>66.83</v>
      </c>
    </row>
    <row r="38">
      <c r="A38" s="7" t="n">
        <v>45292</v>
      </c>
      <c r="B38" t="n">
        <v>38.48</v>
      </c>
      <c r="C38" t="n">
        <v>4.73</v>
      </c>
      <c r="D38" t="n">
        <v>1.16</v>
      </c>
      <c r="E38" t="n">
        <v>0.8100000000000001</v>
      </c>
      <c r="F38" t="n">
        <v>17.64</v>
      </c>
      <c r="G38" t="n">
        <v>1.39</v>
      </c>
      <c r="H38" t="n">
        <v>0.65</v>
      </c>
      <c r="I38" t="n">
        <v>64.86</v>
      </c>
    </row>
    <row r="39">
      <c r="A39" s="7" t="n">
        <v>45323</v>
      </c>
      <c r="B39" t="n">
        <v>38.65404377634363</v>
      </c>
      <c r="C39" t="n">
        <v>4.909224636893555</v>
      </c>
      <c r="D39" t="n">
        <v>1.218090217844837</v>
      </c>
      <c r="E39" t="n">
        <v>0.8400587466441285</v>
      </c>
      <c r="F39" t="n">
        <v>10.98476368816014</v>
      </c>
      <c r="G39" t="n">
        <v>1.979533260221122</v>
      </c>
      <c r="H39" t="n">
        <v>0.6333744827586206</v>
      </c>
      <c r="I39" t="n">
        <v>59.21908880886604</v>
      </c>
    </row>
    <row r="40">
      <c r="A40" s="7" t="n">
        <v>45352</v>
      </c>
      <c r="B40" t="n">
        <v>37.46143920854094</v>
      </c>
      <c r="C40" t="n">
        <v>4.685532351404971</v>
      </c>
      <c r="D40" t="n">
        <v>1.194265898161088</v>
      </c>
      <c r="E40" t="n">
        <v>0.8485013015207339</v>
      </c>
      <c r="F40" t="n">
        <v>10.42900172574582</v>
      </c>
      <c r="G40" t="n">
        <v>1.271394682826375</v>
      </c>
      <c r="H40" t="n">
        <v>0.6394164193548387</v>
      </c>
      <c r="I40" t="n">
        <v>56.52955158755476</v>
      </c>
    </row>
    <row r="41">
      <c r="A41" s="7" t="n">
        <v>45383</v>
      </c>
      <c r="B41" t="n">
        <v>39.20989230215162</v>
      </c>
      <c r="C41" t="n">
        <v>4.57175571867</v>
      </c>
      <c r="D41" t="n">
        <v>1.35079795333</v>
      </c>
      <c r="E41" t="n">
        <v>0.883749053</v>
      </c>
      <c r="F41" t="n">
        <v>9.12529018172758</v>
      </c>
      <c r="G41" t="n">
        <v>1.389136385</v>
      </c>
      <c r="H41" t="n">
        <v>0.6461545</v>
      </c>
      <c r="I41" t="n">
        <v>57.1767760938792</v>
      </c>
    </row>
    <row r="42">
      <c r="A42" s="7" t="n">
        <v>45413</v>
      </c>
      <c r="B42" t="n">
        <v>38.90373696457097</v>
      </c>
      <c r="C42" t="n">
        <v>4.547946639840001</v>
      </c>
      <c r="D42" t="n">
        <v>1.47791325652</v>
      </c>
      <c r="E42" t="n">
        <v>0.86429193542</v>
      </c>
      <c r="F42" t="n">
        <v>8.289139992168124</v>
      </c>
      <c r="G42" t="n">
        <v>1.25628903</v>
      </c>
      <c r="H42" t="n">
        <v>0.6330348</v>
      </c>
      <c r="I42" t="n">
        <v>55.97235261851908</v>
      </c>
    </row>
    <row r="43">
      <c r="A43" s="7" t="n">
        <v>45444</v>
      </c>
      <c r="B43" t="n">
        <v>38.60414380907792</v>
      </c>
      <c r="C43" t="n">
        <v>4.448059454</v>
      </c>
      <c r="D43" t="n">
        <v>1.600710811</v>
      </c>
      <c r="E43" t="n">
        <v>0.9449522756700002</v>
      </c>
      <c r="F43" t="n">
        <v>9.125729353657023</v>
      </c>
      <c r="G43" t="n">
        <v>1.191215471</v>
      </c>
      <c r="H43" t="n">
        <v>0.6325901</v>
      </c>
      <c r="I43" t="n">
        <v>56.54740127440494</v>
      </c>
    </row>
    <row r="44">
      <c r="A44" s="7" t="n">
        <v>45474</v>
      </c>
      <c r="B44" t="n">
        <v>39.30873516761075</v>
      </c>
      <c r="C44" t="n">
        <v>4.424667017979568</v>
      </c>
      <c r="D44" t="n">
        <v>1.736345170999997</v>
      </c>
      <c r="E44" t="n">
        <v>0.9545876221709684</v>
      </c>
      <c r="F44" t="n">
        <v>16.88847885514707</v>
      </c>
      <c r="G44" t="n">
        <v>1.198606541387097</v>
      </c>
      <c r="H44" t="n">
        <v>0.5576451612903226</v>
      </c>
      <c r="I44" t="n">
        <v>65.54000000000001</v>
      </c>
    </row>
    <row r="45">
      <c r="A45" s="7" t="n">
        <v>45505</v>
      </c>
      <c r="B45" t="n">
        <v>39.2</v>
      </c>
      <c r="C45" t="n">
        <v>4.474273183169892</v>
      </c>
      <c r="D45" t="n">
        <v>1.714533855612905</v>
      </c>
      <c r="E45" t="n">
        <v>0.9595898217451611</v>
      </c>
      <c r="F45" t="n">
        <v>21.81356450301903</v>
      </c>
      <c r="G45" t="n">
        <v>1.140122952248387</v>
      </c>
      <c r="H45" t="n">
        <v>0.6124132903225805</v>
      </c>
      <c r="I45" t="n">
        <v>69.91</v>
      </c>
    </row>
    <row r="46">
      <c r="A46" s="7" t="n">
        <v>45536</v>
      </c>
      <c r="B46" t="n">
        <v>40.08919120541239</v>
      </c>
      <c r="C46" t="n">
        <v>4.41403528152</v>
      </c>
      <c r="D46" t="n">
        <v>1.685883935040001</v>
      </c>
      <c r="E46" t="n">
        <v>0.9398323776233334</v>
      </c>
      <c r="F46" t="n">
        <v>33.08677916401097</v>
      </c>
      <c r="G46" t="n">
        <v>1.197037293426667</v>
      </c>
      <c r="H46" t="n">
        <v>0.6157146</v>
      </c>
      <c r="I46" t="n">
        <v>82.02847385703336</v>
      </c>
    </row>
    <row r="47">
      <c r="A47" s="7" t="n">
        <v>45566</v>
      </c>
      <c r="B47" t="n">
        <v>41.10831677851487</v>
      </c>
      <c r="C47" t="n">
        <v>4.505799055653227</v>
      </c>
      <c r="D47" t="n">
        <v>1.510797994711142</v>
      </c>
      <c r="E47" t="n">
        <v>0.9137275399659572</v>
      </c>
      <c r="F47" t="n">
        <v>34.20600687574574</v>
      </c>
      <c r="G47" t="n">
        <v>1.216743561217912</v>
      </c>
      <c r="H47" t="n">
        <v>0.6960806451612902</v>
      </c>
      <c r="I47" t="n">
        <v>84.15747245097013</v>
      </c>
    </row>
    <row r="48">
      <c r="A48" s="7" t="n">
        <v>45597</v>
      </c>
      <c r="B48" t="n">
        <v>40.91066619170666</v>
      </c>
      <c r="C48" t="n">
        <v>4.381642675967666</v>
      </c>
      <c r="D48" t="n">
        <v>1.442385128934782</v>
      </c>
      <c r="E48" t="n">
        <v>0.8932446667406636</v>
      </c>
      <c r="F48" t="n">
        <v>25.59133363269286</v>
      </c>
      <c r="G48" t="n">
        <v>1.271716153794842</v>
      </c>
      <c r="H48" t="n">
        <v>0.6475341333333333</v>
      </c>
      <c r="I48" t="n">
        <v>75.13852258317081</v>
      </c>
    </row>
    <row r="49">
      <c r="A49" s="7" t="n">
        <v>45627</v>
      </c>
      <c r="B49" t="n">
        <v>37.40684547752616</v>
      </c>
      <c r="C49" t="n">
        <v>4.737601910203336</v>
      </c>
      <c r="D49" t="n">
        <v>1.392718484060937</v>
      </c>
      <c r="E49" t="n">
        <v>0.9212357796540624</v>
      </c>
      <c r="F49" t="n">
        <v>21.07240745942666</v>
      </c>
      <c r="G49" t="n">
        <v>1.304440367191719</v>
      </c>
      <c r="H49" t="n">
        <v>0.6569174516129033</v>
      </c>
      <c r="I49" t="n">
        <v>67.49216692967578</v>
      </c>
    </row>
    <row r="50">
      <c r="A50" s="7" t="n">
        <v>45658</v>
      </c>
      <c r="B50" t="n">
        <v>35.61993566690983</v>
      </c>
      <c r="C50" t="n">
        <v>3.999218284174194</v>
      </c>
      <c r="D50" t="n">
        <v>1.261927733977419</v>
      </c>
      <c r="E50" t="n">
        <v>0.805467489529032</v>
      </c>
      <c r="F50" t="n">
        <v>18.84</v>
      </c>
      <c r="G50" t="n">
        <v>1.52419086783871</v>
      </c>
      <c r="H50" t="n">
        <v>0.6504841290322581</v>
      </c>
      <c r="I50" t="n">
        <v>62.7</v>
      </c>
    </row>
    <row r="51">
      <c r="A51" s="7" t="n">
        <v>45689</v>
      </c>
      <c r="B51" t="n">
        <v>35.5032657070535</v>
      </c>
      <c r="C51" t="n">
        <v>4.470599845777665</v>
      </c>
      <c r="D51" t="n">
        <v>1.280610048492857</v>
      </c>
      <c r="E51" t="n">
        <v>0.8961422809749995</v>
      </c>
      <c r="F51" t="n">
        <v>13.00416329101943</v>
      </c>
      <c r="G51" t="n">
        <v>1.195793982607143</v>
      </c>
      <c r="H51" t="n">
        <v>0.7030719642857143</v>
      </c>
      <c r="I51" t="n">
        <v>57.05364712021129</v>
      </c>
    </row>
    <row r="52">
      <c r="A52" s="7" t="n">
        <v>45717</v>
      </c>
      <c r="B52" t="n">
        <v>35.2863920090522</v>
      </c>
      <c r="C52" t="n">
        <v>4.168516246238692</v>
      </c>
      <c r="D52" t="n">
        <v>1.175496510574194</v>
      </c>
      <c r="E52" t="n">
        <v>0.8646224847774193</v>
      </c>
      <c r="F52" t="n">
        <v>12.66915639923995</v>
      </c>
      <c r="G52" t="n">
        <v>1.214077631164516</v>
      </c>
      <c r="H52" t="n">
        <v>0.6973395483870968</v>
      </c>
      <c r="I52" t="n">
        <v>56.07560082943406</v>
      </c>
    </row>
    <row r="53">
      <c r="A53" s="7" t="n">
        <v>45748</v>
      </c>
      <c r="B53" t="n">
        <v>37.93196002245615</v>
      </c>
      <c r="C53" t="n">
        <v>4.120125318433335</v>
      </c>
      <c r="D53" t="n">
        <v>1.49692181506</v>
      </c>
      <c r="E53" t="n">
        <v>0.8782540319700001</v>
      </c>
      <c r="F53" t="n">
        <v>15.63101067233002</v>
      </c>
      <c r="G53" t="n">
        <v>1.339228560923333</v>
      </c>
      <c r="H53" t="n">
        <v>0.7375221</v>
      </c>
      <c r="I53" t="n">
        <v>62.13502252117284</v>
      </c>
    </row>
    <row r="54">
      <c r="A54" s="7" t="n">
        <v>45778</v>
      </c>
      <c r="B54" t="n">
        <v>36.88042505913582</v>
      </c>
      <c r="C54" t="n">
        <v>4.096742961291509</v>
      </c>
      <c r="D54" t="n">
        <v>1.597546615874161</v>
      </c>
      <c r="E54" t="n">
        <v>0.8913152314238258</v>
      </c>
      <c r="F54" t="n">
        <v>16.93393960380565</v>
      </c>
      <c r="G54" t="n">
        <v>1.246246823958065</v>
      </c>
      <c r="H54" t="n">
        <v>0.7358895161290322</v>
      </c>
      <c r="I54" t="n">
        <v>62.38210581161807</v>
      </c>
    </row>
    <row r="55">
      <c r="A55" s="7" t="n">
        <v>45809</v>
      </c>
      <c r="B55" t="n">
        <v>39.2469918145467</v>
      </c>
      <c r="C55" t="n">
        <v>4.007210674528855</v>
      </c>
      <c r="D55" t="n">
        <v>1.782579915024858</v>
      </c>
      <c r="E55" t="n">
        <v>0.9578190021640487</v>
      </c>
      <c r="F55" t="n">
        <v>19.01009639605966</v>
      </c>
      <c r="G55" t="n">
        <v>0.9404849716700001</v>
      </c>
      <c r="H55" t="n">
        <v>0.7488893333333333</v>
      </c>
      <c r="I55" t="n">
        <v>66.69407210732747</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1"/>
  <sheetViews>
    <sheetView workbookViewId="0">
      <selection activeCell="A1" sqref="A1"/>
    </sheetView>
  </sheetViews>
  <sheetFormatPr baseColWidth="8" defaultRowHeight="15"/>
  <cols>
    <col width="11" customWidth="1" min="1" max="1"/>
  </cols>
  <sheetData>
    <row r="1">
      <c r="A1" t="inlineStr">
        <is>
          <t>Date</t>
        </is>
      </c>
      <c r="B1" t="inlineStr">
        <is>
          <t>Vehicle CNG</t>
        </is>
      </c>
      <c r="C1" t="inlineStr">
        <is>
          <t>Commercial</t>
        </is>
      </c>
      <c r="D1" t="inlineStr">
        <is>
          <t>Residential</t>
        </is>
      </c>
      <c r="E1" t="inlineStr">
        <is>
          <t>Industrial</t>
        </is>
      </c>
      <c r="F1" t="inlineStr">
        <is>
          <t>Power</t>
        </is>
      </c>
    </row>
    <row r="2">
      <c r="A2" s="5" t="n">
        <v>44197</v>
      </c>
      <c r="B2" t="n">
        <v>1.899</v>
      </c>
      <c r="C2" t="n">
        <v>0.168</v>
      </c>
      <c r="D2" t="n">
        <v>0.5600000000000001</v>
      </c>
      <c r="E2" t="n">
        <v>2.216</v>
      </c>
      <c r="F2" t="n">
        <v>3.194</v>
      </c>
    </row>
    <row r="3">
      <c r="A3" s="5" t="n">
        <v>44228</v>
      </c>
      <c r="B3" t="n">
        <v>2.016</v>
      </c>
      <c r="C3" t="n">
        <v>0.158</v>
      </c>
      <c r="D3" t="n">
        <v>0.5669999999999999</v>
      </c>
      <c r="E3" t="n">
        <v>2.653</v>
      </c>
      <c r="F3" t="n">
        <v>3.503</v>
      </c>
    </row>
    <row r="4">
      <c r="A4" s="5" t="n">
        <v>44256</v>
      </c>
      <c r="B4" t="n">
        <v>1.815</v>
      </c>
      <c r="C4" t="n">
        <v>0.144</v>
      </c>
      <c r="D4" t="n">
        <v>0.493</v>
      </c>
      <c r="E4" t="n">
        <v>2.27</v>
      </c>
      <c r="F4" t="n">
        <v>3.659</v>
      </c>
    </row>
    <row r="5">
      <c r="A5" s="5" t="n">
        <v>44287</v>
      </c>
      <c r="B5" t="n">
        <v>2.053</v>
      </c>
      <c r="C5" t="n">
        <v>0.186</v>
      </c>
      <c r="D5" t="n">
        <v>0.6</v>
      </c>
      <c r="E5" t="n">
        <v>2.746</v>
      </c>
      <c r="F5" t="n">
        <v>3.439</v>
      </c>
    </row>
    <row r="6">
      <c r="A6" s="5" t="n">
        <v>44317</v>
      </c>
      <c r="B6" t="n">
        <v>1.894</v>
      </c>
      <c r="C6" t="n">
        <v>0.174</v>
      </c>
      <c r="D6" t="n">
        <v>0.547</v>
      </c>
      <c r="E6" t="n">
        <v>2.464</v>
      </c>
      <c r="F6" t="n">
        <v>4.069</v>
      </c>
    </row>
    <row r="7">
      <c r="A7" s="5" t="n">
        <v>44348</v>
      </c>
      <c r="B7" t="n">
        <v>1.777</v>
      </c>
      <c r="C7" t="n">
        <v>0.179</v>
      </c>
      <c r="D7" t="n">
        <v>0.628</v>
      </c>
      <c r="E7" t="n">
        <v>2.743</v>
      </c>
      <c r="F7" t="n">
        <v>3.713</v>
      </c>
    </row>
    <row r="8">
      <c r="A8" s="5" t="n">
        <v>44378</v>
      </c>
      <c r="B8" t="n">
        <v>1.793</v>
      </c>
      <c r="C8" t="n">
        <v>0.172</v>
      </c>
      <c r="D8" t="n">
        <v>0.5600000000000001</v>
      </c>
      <c r="E8" t="n">
        <v>2.624</v>
      </c>
      <c r="F8" t="n">
        <v>3.841</v>
      </c>
    </row>
    <row r="9">
      <c r="A9" s="5" t="n">
        <v>44409</v>
      </c>
      <c r="B9" t="n">
        <v>1.924</v>
      </c>
      <c r="C9" t="n">
        <v>0.188</v>
      </c>
      <c r="D9" t="n">
        <v>0.556</v>
      </c>
      <c r="E9" t="n">
        <v>2.31</v>
      </c>
      <c r="F9" t="n">
        <v>3.922</v>
      </c>
    </row>
    <row r="10">
      <c r="A10" s="5" t="n">
        <v>44440</v>
      </c>
      <c r="B10" t="n">
        <v>1.967</v>
      </c>
      <c r="C10" t="n">
        <v>0.178</v>
      </c>
      <c r="D10" t="n">
        <v>0.528</v>
      </c>
      <c r="E10" t="n">
        <v>2.395</v>
      </c>
      <c r="F10" t="n">
        <v>4.182</v>
      </c>
    </row>
    <row r="11">
      <c r="A11" s="5" t="n">
        <v>44470</v>
      </c>
      <c r="B11" t="n">
        <v>1.895</v>
      </c>
      <c r="C11" t="n">
        <v>0.177</v>
      </c>
      <c r="D11" t="n">
        <v>0.498</v>
      </c>
      <c r="E11" t="n">
        <v>2.44</v>
      </c>
      <c r="F11" t="n">
        <v>4.404</v>
      </c>
    </row>
    <row r="12">
      <c r="A12" s="5" t="n">
        <v>44501</v>
      </c>
      <c r="B12" t="n">
        <v>1.99</v>
      </c>
      <c r="C12" t="n">
        <v>0.179</v>
      </c>
      <c r="D12" t="n">
        <v>0.508</v>
      </c>
      <c r="E12" t="n">
        <v>2.429</v>
      </c>
      <c r="F12" t="n">
        <v>4.539</v>
      </c>
    </row>
    <row r="13">
      <c r="A13" s="5" t="n">
        <v>44531</v>
      </c>
      <c r="B13" t="n">
        <v>1.958</v>
      </c>
      <c r="C13" t="n">
        <v>0.168</v>
      </c>
      <c r="D13" t="n">
        <v>0.477</v>
      </c>
      <c r="E13" t="n">
        <v>2.45</v>
      </c>
      <c r="F13" t="n">
        <v>3.57</v>
      </c>
    </row>
    <row r="14">
      <c r="A14" s="5" t="n">
        <v>44562</v>
      </c>
      <c r="B14" t="n">
        <v>2.041</v>
      </c>
      <c r="C14" t="n">
        <v>0.192</v>
      </c>
      <c r="D14" t="n">
        <v>0.582</v>
      </c>
      <c r="E14" t="n">
        <v>2.26</v>
      </c>
      <c r="F14" t="n">
        <v>3.619</v>
      </c>
    </row>
    <row r="15">
      <c r="A15" s="5" t="n">
        <v>44593</v>
      </c>
      <c r="B15" t="n">
        <v>2.294</v>
      </c>
      <c r="C15" t="n">
        <v>0.187</v>
      </c>
      <c r="D15" t="n">
        <v>0.582</v>
      </c>
      <c r="E15" t="n">
        <v>2.623</v>
      </c>
      <c r="F15" t="n">
        <v>3.874</v>
      </c>
    </row>
    <row r="16">
      <c r="A16" s="5" t="n">
        <v>44621</v>
      </c>
      <c r="B16" t="n">
        <v>1.98</v>
      </c>
      <c r="C16" t="n">
        <v>0.173</v>
      </c>
      <c r="D16" t="n">
        <v>0.518</v>
      </c>
      <c r="E16" t="n">
        <v>2.378</v>
      </c>
      <c r="F16" t="n">
        <v>3.545</v>
      </c>
    </row>
    <row r="17">
      <c r="A17" s="5" t="n">
        <v>44652</v>
      </c>
      <c r="B17" t="n">
        <v>2.186</v>
      </c>
      <c r="C17" t="n">
        <v>0.197</v>
      </c>
      <c r="D17" t="n">
        <v>0.578</v>
      </c>
      <c r="E17" t="n">
        <v>2.576</v>
      </c>
      <c r="F17" t="n">
        <v>3.401</v>
      </c>
    </row>
    <row r="18">
      <c r="A18" s="5" t="n">
        <v>44682</v>
      </c>
      <c r="B18" t="n">
        <v>2.188</v>
      </c>
      <c r="C18" t="n">
        <v>0.197</v>
      </c>
      <c r="D18" t="n">
        <v>0.5639999999999999</v>
      </c>
      <c r="E18" t="n">
        <v>2.502</v>
      </c>
      <c r="F18" t="n">
        <v>3.369</v>
      </c>
    </row>
    <row r="19">
      <c r="A19" s="5" t="n">
        <v>44713</v>
      </c>
      <c r="B19" t="n">
        <v>2.284</v>
      </c>
      <c r="C19" t="n">
        <v>0.211</v>
      </c>
      <c r="D19" t="n">
        <v>0.613</v>
      </c>
      <c r="E19" t="n">
        <v>2.679</v>
      </c>
      <c r="F19" t="n">
        <v>3.144</v>
      </c>
    </row>
    <row r="20">
      <c r="A20" s="5" t="n">
        <v>44743</v>
      </c>
      <c r="B20" t="n">
        <v>2.135</v>
      </c>
      <c r="C20" t="n">
        <v>0.217</v>
      </c>
      <c r="D20" t="n">
        <v>0.612</v>
      </c>
      <c r="E20" t="n">
        <v>2.529</v>
      </c>
      <c r="F20" t="n">
        <v>2.658</v>
      </c>
    </row>
    <row r="21">
      <c r="A21" s="5" t="n">
        <v>44774</v>
      </c>
      <c r="B21" t="n">
        <v>2.208</v>
      </c>
      <c r="C21" t="n">
        <v>0.208</v>
      </c>
      <c r="D21" t="n">
        <v>0.608</v>
      </c>
      <c r="E21" t="n">
        <v>2.54</v>
      </c>
      <c r="F21" t="n">
        <v>3.768</v>
      </c>
    </row>
    <row r="22">
      <c r="A22" s="5" t="n">
        <v>44805</v>
      </c>
      <c r="B22" t="n">
        <v>2.314</v>
      </c>
      <c r="C22" t="n">
        <v>0.226</v>
      </c>
      <c r="D22" t="n">
        <v>0.636</v>
      </c>
      <c r="E22" t="n">
        <v>2.909</v>
      </c>
      <c r="F22" t="n">
        <v>4</v>
      </c>
    </row>
    <row r="23">
      <c r="A23" s="5" t="n">
        <v>44835</v>
      </c>
      <c r="B23" t="n">
        <v>2.194</v>
      </c>
      <c r="C23" t="n">
        <v>0.201</v>
      </c>
      <c r="D23" t="n">
        <v>0.553</v>
      </c>
      <c r="E23" t="n">
        <v>2.801</v>
      </c>
      <c r="F23" t="n">
        <v>4.874</v>
      </c>
    </row>
    <row r="24">
      <c r="A24" s="5" t="n">
        <v>44866</v>
      </c>
      <c r="B24" t="n">
        <v>1.9</v>
      </c>
      <c r="C24" t="n">
        <v>0.251</v>
      </c>
      <c r="D24" t="n">
        <v>0.602</v>
      </c>
      <c r="E24" t="n">
        <v>2.636</v>
      </c>
      <c r="F24" t="n">
        <v>5.445</v>
      </c>
    </row>
    <row r="25">
      <c r="A25" s="5" t="n">
        <v>44896</v>
      </c>
      <c r="B25" t="n">
        <v>2.204</v>
      </c>
      <c r="C25" t="n">
        <v>0.188</v>
      </c>
      <c r="D25" t="n">
        <v>0.5</v>
      </c>
      <c r="E25" t="n">
        <v>2.468</v>
      </c>
      <c r="F25" t="n">
        <v>5.329</v>
      </c>
    </row>
    <row r="26">
      <c r="A26" s="5" t="n">
        <v>44927</v>
      </c>
      <c r="B26" t="n">
        <v>2.247</v>
      </c>
      <c r="C26" t="n">
        <v>0.203</v>
      </c>
      <c r="D26" t="n">
        <v>0.569</v>
      </c>
      <c r="E26" t="n">
        <v>2.492</v>
      </c>
      <c r="F26" t="n">
        <v>4.639</v>
      </c>
    </row>
    <row r="27">
      <c r="A27" s="5" t="n">
        <v>44958</v>
      </c>
      <c r="B27" t="n">
        <v>2.606</v>
      </c>
      <c r="C27" t="n">
        <v>0.21</v>
      </c>
      <c r="D27" t="n">
        <v>0.5649999999999999</v>
      </c>
      <c r="E27" t="n">
        <v>2.684</v>
      </c>
      <c r="F27" t="n">
        <v>4.307</v>
      </c>
    </row>
    <row r="28">
      <c r="A28" s="5" t="n">
        <v>44986</v>
      </c>
      <c r="B28" t="n">
        <v>2.121</v>
      </c>
      <c r="C28" t="n">
        <v>0.191</v>
      </c>
      <c r="D28" t="n">
        <v>0.538</v>
      </c>
      <c r="E28" t="n">
        <v>2.468</v>
      </c>
      <c r="F28" t="n">
        <v>5.095</v>
      </c>
    </row>
    <row r="29">
      <c r="A29" s="5" t="n">
        <v>45017</v>
      </c>
      <c r="B29" t="n">
        <v>2.397</v>
      </c>
      <c r="C29" t="n">
        <v>0.214</v>
      </c>
      <c r="D29" t="n">
        <v>0.592</v>
      </c>
      <c r="E29" t="n">
        <v>2.932</v>
      </c>
      <c r="F29" t="n">
        <v>4.843</v>
      </c>
    </row>
    <row r="30">
      <c r="A30" s="5" t="n">
        <v>45047</v>
      </c>
      <c r="B30" t="n">
        <v>2.321</v>
      </c>
      <c r="C30" t="n">
        <v>0.197</v>
      </c>
      <c r="D30" t="n">
        <v>0.548</v>
      </c>
      <c r="E30" t="n">
        <v>2.59</v>
      </c>
      <c r="F30" t="n">
        <v>4.708</v>
      </c>
    </row>
    <row r="31">
      <c r="A31" s="5" t="n">
        <v>45078</v>
      </c>
      <c r="B31" t="n">
        <v>2.466</v>
      </c>
      <c r="C31" t="n">
        <v>0.236</v>
      </c>
      <c r="D31" t="n">
        <v>0.655</v>
      </c>
      <c r="E31" t="n">
        <v>2.777</v>
      </c>
      <c r="F31" t="n">
        <v>4.865</v>
      </c>
    </row>
    <row r="32">
      <c r="A32" s="5" t="n">
        <v>45108</v>
      </c>
      <c r="B32" t="n">
        <v>2.271</v>
      </c>
      <c r="C32" t="n">
        <v>0.227</v>
      </c>
      <c r="D32" t="n">
        <v>0.63</v>
      </c>
      <c r="E32" t="n">
        <v>2.715</v>
      </c>
      <c r="F32" t="n">
        <v>4.708</v>
      </c>
    </row>
    <row r="33">
      <c r="A33" s="5" t="n">
        <v>45139</v>
      </c>
      <c r="B33" t="n">
        <v>2.393</v>
      </c>
      <c r="C33" t="n">
        <v>0.227</v>
      </c>
      <c r="D33" t="n">
        <v>0.617</v>
      </c>
      <c r="E33" t="n">
        <v>2.677</v>
      </c>
      <c r="F33" t="n">
        <v>4.821</v>
      </c>
    </row>
    <row r="34">
      <c r="A34" s="5" t="n">
        <v>45170</v>
      </c>
      <c r="B34" t="n">
        <v>2.494</v>
      </c>
      <c r="C34" t="n">
        <v>0.224</v>
      </c>
      <c r="D34" t="n">
        <v>0.639</v>
      </c>
      <c r="E34" t="n">
        <v>2.794</v>
      </c>
      <c r="F34" t="n">
        <v>5.068</v>
      </c>
    </row>
    <row r="35">
      <c r="A35" s="5" t="n">
        <v>45200</v>
      </c>
      <c r="B35" t="n">
        <v>2.369</v>
      </c>
      <c r="C35" t="n">
        <v>0.206</v>
      </c>
      <c r="D35" t="n">
        <v>0.55</v>
      </c>
      <c r="E35" t="n">
        <v>2.515</v>
      </c>
      <c r="F35" t="n">
        <v>5.101</v>
      </c>
    </row>
    <row r="36">
      <c r="A36" s="5" t="n">
        <v>45231</v>
      </c>
      <c r="B36" t="n">
        <v>2.51</v>
      </c>
      <c r="C36" t="n">
        <v>0.208</v>
      </c>
      <c r="D36" t="n">
        <v>0.583</v>
      </c>
      <c r="E36" t="n">
        <v>2.815</v>
      </c>
      <c r="F36" t="n">
        <v>5.193</v>
      </c>
    </row>
    <row r="37">
      <c r="A37" s="5" t="n">
        <v>45261</v>
      </c>
      <c r="B37" t="n">
        <v>2.385</v>
      </c>
      <c r="C37" t="n">
        <v>0.191</v>
      </c>
      <c r="D37" t="n">
        <v>0.52</v>
      </c>
      <c r="E37" t="n">
        <v>2.527</v>
      </c>
      <c r="F37" t="n">
        <v>4.655</v>
      </c>
    </row>
    <row r="38">
      <c r="A38" s="5" t="n">
        <v>45292</v>
      </c>
      <c r="B38" t="n">
        <v>2.402</v>
      </c>
      <c r="C38" t="n">
        <v>0.2</v>
      </c>
      <c r="D38" t="n">
        <v>0.5639999999999999</v>
      </c>
      <c r="E38" t="n">
        <v>2.517</v>
      </c>
      <c r="F38" t="n">
        <v>5.453</v>
      </c>
    </row>
    <row r="39">
      <c r="A39" s="5" t="n">
        <v>45323</v>
      </c>
      <c r="B39" t="n">
        <v>2.522</v>
      </c>
      <c r="C39" t="n">
        <v>0.21</v>
      </c>
      <c r="D39" t="n">
        <v>0.59</v>
      </c>
      <c r="E39" t="n">
        <v>2.658</v>
      </c>
      <c r="F39" t="n">
        <v>5.15</v>
      </c>
    </row>
    <row r="40">
      <c r="A40" s="5" t="n">
        <v>45352</v>
      </c>
      <c r="B40" t="n">
        <v>2.302</v>
      </c>
      <c r="C40" t="n">
        <v>0.2</v>
      </c>
      <c r="D40" t="n">
        <v>0.555</v>
      </c>
      <c r="E40" t="n">
        <v>2.292</v>
      </c>
      <c r="F40" t="n">
        <v>4.33</v>
      </c>
    </row>
    <row r="41">
      <c r="A41" s="5" t="n">
        <v>45383</v>
      </c>
      <c r="B41" t="n">
        <v>2.504</v>
      </c>
      <c r="C41" t="n">
        <v>0.197</v>
      </c>
      <c r="D41" t="n">
        <v>0.571</v>
      </c>
      <c r="E41" t="n">
        <v>2.877</v>
      </c>
      <c r="F41" t="n">
        <v>4.672</v>
      </c>
    </row>
    <row r="42">
      <c r="A42" s="5" t="n">
        <v>45413</v>
      </c>
      <c r="B42" t="n">
        <v>2.411</v>
      </c>
      <c r="C42" t="n">
        <v>0.219</v>
      </c>
      <c r="D42" t="n">
        <v>0.594</v>
      </c>
      <c r="E42" t="n">
        <v>2.966</v>
      </c>
      <c r="F42" t="n">
        <v>4.652</v>
      </c>
    </row>
    <row r="43">
      <c r="A43" s="5" t="n">
        <v>45444</v>
      </c>
      <c r="B43" t="n">
        <v>2.563</v>
      </c>
      <c r="C43" t="n">
        <v>0.228</v>
      </c>
      <c r="D43" t="n">
        <v>0.666</v>
      </c>
      <c r="E43" t="n">
        <v>2.869</v>
      </c>
      <c r="F43" t="n">
        <v>4.387</v>
      </c>
    </row>
    <row r="44">
      <c r="A44" s="5" t="n">
        <v>45474</v>
      </c>
      <c r="B44" t="n">
        <v>2.398</v>
      </c>
      <c r="C44" t="n">
        <v>0.231</v>
      </c>
      <c r="D44" t="n">
        <v>0.63</v>
      </c>
      <c r="E44" t="n">
        <v>2.438</v>
      </c>
      <c r="F44" t="n">
        <v>4.261</v>
      </c>
    </row>
    <row r="45">
      <c r="A45" s="5" t="n">
        <v>45505</v>
      </c>
      <c r="B45" t="n">
        <v>2.497</v>
      </c>
      <c r="C45" t="n">
        <v>0.259</v>
      </c>
      <c r="D45" t="n">
        <v>0.706</v>
      </c>
      <c r="E45" t="n">
        <v>2.62</v>
      </c>
      <c r="F45" t="n">
        <v>4.346</v>
      </c>
    </row>
    <row r="46">
      <c r="A46" s="5" t="n">
        <v>45536</v>
      </c>
      <c r="B46" t="n">
        <v>2.559</v>
      </c>
      <c r="C46" t="n">
        <v>0.234</v>
      </c>
      <c r="D46" t="n">
        <v>0.668</v>
      </c>
      <c r="E46" t="n">
        <v>2.859</v>
      </c>
      <c r="F46" t="n">
        <v>5.15</v>
      </c>
    </row>
    <row r="47">
      <c r="A47" s="5" t="n">
        <v>45566</v>
      </c>
      <c r="B47" t="n">
        <v>2.455</v>
      </c>
      <c r="C47" t="n">
        <v>0.213</v>
      </c>
      <c r="D47" t="n">
        <v>0.585</v>
      </c>
      <c r="E47" t="n">
        <v>2.493</v>
      </c>
      <c r="F47" t="n">
        <v>4.593</v>
      </c>
    </row>
    <row r="48">
      <c r="A48" s="5" t="n">
        <v>45597</v>
      </c>
      <c r="B48" t="n">
        <v>2.699</v>
      </c>
      <c r="C48" t="n">
        <v>0.226</v>
      </c>
      <c r="D48" t="n">
        <v>0.627</v>
      </c>
      <c r="E48" t="n">
        <v>2.424</v>
      </c>
      <c r="F48" t="n">
        <v>4.235</v>
      </c>
    </row>
    <row r="49">
      <c r="A49" s="5" t="n">
        <v>45627</v>
      </c>
      <c r="B49" t="n">
        <v>2.503</v>
      </c>
      <c r="C49" t="n">
        <v>0.208</v>
      </c>
      <c r="D49" t="n">
        <v>0.5639999999999999</v>
      </c>
      <c r="E49" t="n">
        <v>2.788</v>
      </c>
      <c r="F49" t="n">
        <v>4.76</v>
      </c>
    </row>
    <row r="50">
      <c r="A50" s="5" t="n">
        <v>45658</v>
      </c>
      <c r="B50" t="n">
        <v>2.537</v>
      </c>
      <c r="C50" t="n">
        <v>0.226</v>
      </c>
      <c r="D50" t="n">
        <v>0.629</v>
      </c>
      <c r="E50" t="n">
        <v>2.344</v>
      </c>
      <c r="F50" t="n">
        <v>4.932</v>
      </c>
    </row>
    <row r="51">
      <c r="A51" s="5" t="n">
        <v>45689</v>
      </c>
      <c r="B51" t="n">
        <v>2.816</v>
      </c>
      <c r="C51" t="n">
        <v>0.244</v>
      </c>
      <c r="D51" t="n">
        <v>0.664</v>
      </c>
      <c r="E51" t="n">
        <v>2.653</v>
      </c>
      <c r="F51" t="n">
        <v>6.562</v>
      </c>
    </row>
    <row r="52">
      <c r="A52" s="5" t="n">
        <v>45717</v>
      </c>
      <c r="B52" t="n">
        <v>2.377</v>
      </c>
      <c r="C52" t="n">
        <v>0.221</v>
      </c>
      <c r="D52" t="n">
        <v>0.635</v>
      </c>
      <c r="E52" t="n">
        <v>2.371</v>
      </c>
      <c r="F52" t="n">
        <v>4.163</v>
      </c>
    </row>
    <row r="53">
      <c r="A53" s="5" t="n">
        <v>45748</v>
      </c>
      <c r="B53" t="n">
        <v>2.711</v>
      </c>
      <c r="C53" t="n">
        <v>0.218</v>
      </c>
      <c r="D53" t="n">
        <v>0.616</v>
      </c>
      <c r="E53" t="n">
        <v>2.964</v>
      </c>
      <c r="F53" t="n">
        <v>3.889</v>
      </c>
    </row>
    <row r="54">
      <c r="A54" s="5" t="n">
        <v>45778</v>
      </c>
      <c r="B54" t="n">
        <v>2.542</v>
      </c>
      <c r="C54" t="n">
        <v>0.243</v>
      </c>
      <c r="D54" t="n">
        <v>0.667</v>
      </c>
      <c r="E54" t="n">
        <v>2.847</v>
      </c>
      <c r="F54" t="n">
        <v>4.18</v>
      </c>
    </row>
    <row r="55">
      <c r="A55" s="5" t="n">
        <v>45809</v>
      </c>
      <c r="B55" t="n">
        <v>2.773</v>
      </c>
      <c r="C55" t="n">
        <v>0.241</v>
      </c>
      <c r="D55" t="n">
        <v>0.6860000000000001</v>
      </c>
      <c r="E55" t="n">
        <v>2.903</v>
      </c>
      <c r="F55" t="n">
        <v>4.015</v>
      </c>
    </row>
    <row r="56">
      <c r="A56" s="5" t="n">
        <v>45839</v>
      </c>
      <c r="B56" t="n">
        <v>2.574</v>
      </c>
      <c r="C56" t="n">
        <v>0.249</v>
      </c>
      <c r="D56" t="n">
        <v>0.702</v>
      </c>
      <c r="E56" t="n">
        <v>3.068</v>
      </c>
      <c r="F56" t="n">
        <v>4.383</v>
      </c>
    </row>
    <row r="57">
      <c r="A57" s="5" t="n">
        <v>45870</v>
      </c>
      <c r="B57" t="n">
        <v>2.572</v>
      </c>
      <c r="C57" t="n">
        <v>0.273</v>
      </c>
      <c r="D57" t="n">
        <v>1.124</v>
      </c>
      <c r="E57" t="n">
        <v>2.909</v>
      </c>
      <c r="F57" t="n">
        <v>4.219</v>
      </c>
    </row>
    <row r="58">
      <c r="A58" s="5" t="n">
        <v>45901</v>
      </c>
      <c r="B58" t="n">
        <v>2.715</v>
      </c>
      <c r="C58" t="n">
        <v>0.241</v>
      </c>
      <c r="D58" t="n">
        <v>0.6820000000000001</v>
      </c>
      <c r="E58" t="n">
        <v>2.738</v>
      </c>
      <c r="F58" t="n">
        <v>5.305</v>
      </c>
    </row>
    <row r="59">
      <c r="A59" s="5" t="n">
        <v>45931</v>
      </c>
      <c r="B59" t="n">
        <v>2.546</v>
      </c>
      <c r="C59" t="n">
        <v>0.236</v>
      </c>
      <c r="D59" t="n">
        <v>0.641</v>
      </c>
      <c r="E59" t="n">
        <v>2.63</v>
      </c>
      <c r="F59" t="n">
        <v>4.577</v>
      </c>
    </row>
    <row r="60">
      <c r="A60" s="5" t="n">
        <v>45962</v>
      </c>
      <c r="B60" t="n">
        <v>2.691</v>
      </c>
      <c r="C60" t="n">
        <v>0.251</v>
      </c>
      <c r="D60" t="n">
        <v>0.71</v>
      </c>
      <c r="E60" t="n">
        <v>2.758</v>
      </c>
      <c r="F60" t="n">
        <v>5.316</v>
      </c>
    </row>
    <row r="61">
      <c r="A61" s="5" t="n">
        <v>45992</v>
      </c>
      <c r="B61" t="n">
        <v>2.181</v>
      </c>
      <c r="C61" t="n">
        <v>0.207</v>
      </c>
      <c r="D61" t="n">
        <v>0.57</v>
      </c>
      <c r="E61" t="n">
        <v>2.763</v>
      </c>
      <c r="F61" t="n">
        <v>5.037</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61"/>
  <sheetViews>
    <sheetView workbookViewId="0">
      <pane ySplit="1" topLeftCell="A2" activePane="bottomLeft" state="frozen"/>
      <selection pane="bottomLeft" activeCell="A1" sqref="A1"/>
    </sheetView>
  </sheetViews>
  <sheetFormatPr baseColWidth="8" defaultRowHeight="15"/>
  <sheetData>
    <row r="1">
      <c r="A1" s="6" t="inlineStr">
        <is>
          <t>Month</t>
        </is>
      </c>
      <c r="B1" s="6" t="inlineStr">
        <is>
          <t>Vehicle_CNG_mcm_month</t>
        </is>
      </c>
      <c r="C1" s="6" t="inlineStr">
        <is>
          <t>Commercial_mcm_month</t>
        </is>
      </c>
      <c r="D1" s="6" t="inlineStr">
        <is>
          <t>Residential_mcm_month</t>
        </is>
      </c>
      <c r="E1" s="6" t="inlineStr">
        <is>
          <t>Industrial_mcm_month</t>
        </is>
      </c>
      <c r="F1" s="6" t="inlineStr">
        <is>
          <t>Power_mcm_month</t>
        </is>
      </c>
      <c r="G1" s="6" t="inlineStr">
        <is>
          <t>Total_mcm_month</t>
        </is>
      </c>
      <c r="H1" s="6" t="inlineStr">
        <is>
          <t>Vehicle_CNG_mcm_per_day</t>
        </is>
      </c>
      <c r="I1" s="6" t="inlineStr">
        <is>
          <t>Commercial_mcm_per_day</t>
        </is>
      </c>
      <c r="J1" s="6" t="inlineStr">
        <is>
          <t>Residential_mcm_per_day</t>
        </is>
      </c>
      <c r="K1" s="6" t="inlineStr">
        <is>
          <t>Industrial_mcm_per_day</t>
        </is>
      </c>
      <c r="L1" s="6" t="inlineStr">
        <is>
          <t>Power_mcm_per_day</t>
        </is>
      </c>
      <c r="M1" s="6" t="inlineStr">
        <is>
          <t>Total_mcm_per_day</t>
        </is>
      </c>
    </row>
    <row r="2">
      <c r="A2" t="inlineStr">
        <is>
          <t>2021-01</t>
        </is>
      </c>
      <c r="B2" t="n">
        <v>58.87</v>
      </c>
      <c r="C2" t="n">
        <v>5.2</v>
      </c>
      <c r="D2" t="n">
        <v>17.35</v>
      </c>
      <c r="E2" t="n">
        <v>68.69</v>
      </c>
      <c r="F2" t="n">
        <v>99.01000000000001</v>
      </c>
      <c r="G2" t="n">
        <v>249.12</v>
      </c>
      <c r="H2" t="n">
        <v>1.899</v>
      </c>
      <c r="I2" t="n">
        <v>0.168</v>
      </c>
      <c r="J2" t="n">
        <v>0.5600000000000001</v>
      </c>
      <c r="K2" t="n">
        <v>2.216</v>
      </c>
      <c r="L2" t="n">
        <v>3.194</v>
      </c>
      <c r="M2" t="n">
        <v>8.036</v>
      </c>
    </row>
    <row r="3">
      <c r="A3" t="inlineStr">
        <is>
          <t>2021-02</t>
        </is>
      </c>
      <c r="B3" t="n">
        <v>56.44</v>
      </c>
      <c r="C3" t="n">
        <v>4.42</v>
      </c>
      <c r="D3" t="n">
        <v>15.87</v>
      </c>
      <c r="E3" t="n">
        <v>74.28</v>
      </c>
      <c r="F3" t="n">
        <v>98.09</v>
      </c>
      <c r="G3" t="n">
        <v>249.09</v>
      </c>
      <c r="H3" t="n">
        <v>2.016</v>
      </c>
      <c r="I3" t="n">
        <v>0.158</v>
      </c>
      <c r="J3" t="n">
        <v>0.5669999999999999</v>
      </c>
      <c r="K3" t="n">
        <v>2.653</v>
      </c>
      <c r="L3" t="n">
        <v>3.503</v>
      </c>
      <c r="M3" t="n">
        <v>8.896000000000001</v>
      </c>
    </row>
    <row r="4">
      <c r="A4" t="inlineStr">
        <is>
          <t>2021-03</t>
        </is>
      </c>
      <c r="B4" t="n">
        <v>56.27</v>
      </c>
      <c r="C4" t="n">
        <v>4.47</v>
      </c>
      <c r="D4" t="n">
        <v>15.27</v>
      </c>
      <c r="E4" t="n">
        <v>70.36</v>
      </c>
      <c r="F4" t="n">
        <v>113.42</v>
      </c>
      <c r="G4" t="n">
        <v>259.78</v>
      </c>
      <c r="H4" t="n">
        <v>1.815</v>
      </c>
      <c r="I4" t="n">
        <v>0.144</v>
      </c>
      <c r="J4" t="n">
        <v>0.493</v>
      </c>
      <c r="K4" t="n">
        <v>2.27</v>
      </c>
      <c r="L4" t="n">
        <v>3.659</v>
      </c>
      <c r="M4" t="n">
        <v>8.380000000000001</v>
      </c>
    </row>
    <row r="5">
      <c r="A5" t="inlineStr">
        <is>
          <t>2021-04</t>
        </is>
      </c>
      <c r="B5" t="n">
        <v>61.6</v>
      </c>
      <c r="C5" t="n">
        <v>5.57</v>
      </c>
      <c r="D5" t="n">
        <v>18.01</v>
      </c>
      <c r="E5" t="n">
        <v>82.39</v>
      </c>
      <c r="F5" t="n">
        <v>103.17</v>
      </c>
      <c r="G5" t="n">
        <v>270.75</v>
      </c>
      <c r="H5" t="n">
        <v>2.053</v>
      </c>
      <c r="I5" t="n">
        <v>0.186</v>
      </c>
      <c r="J5" t="n">
        <v>0.6</v>
      </c>
      <c r="K5" t="n">
        <v>2.746</v>
      </c>
      <c r="L5" t="n">
        <v>3.439</v>
      </c>
      <c r="M5" t="n">
        <v>9.025</v>
      </c>
    </row>
    <row r="6">
      <c r="A6" t="inlineStr">
        <is>
          <t>2021-05</t>
        </is>
      </c>
      <c r="B6" t="n">
        <v>58.71</v>
      </c>
      <c r="C6" t="n">
        <v>5.4</v>
      </c>
      <c r="D6" t="n">
        <v>16.95</v>
      </c>
      <c r="E6" t="n">
        <v>76.39</v>
      </c>
      <c r="F6" t="n">
        <v>126.14</v>
      </c>
      <c r="G6" t="n">
        <v>283.59</v>
      </c>
      <c r="H6" t="n">
        <v>1.894</v>
      </c>
      <c r="I6" t="n">
        <v>0.174</v>
      </c>
      <c r="J6" t="n">
        <v>0.547</v>
      </c>
      <c r="K6" t="n">
        <v>2.464</v>
      </c>
      <c r="L6" t="n">
        <v>4.069</v>
      </c>
      <c r="M6" t="n">
        <v>9.148</v>
      </c>
    </row>
    <row r="7">
      <c r="A7" t="inlineStr">
        <is>
          <t>2021-06</t>
        </is>
      </c>
      <c r="B7" t="n">
        <v>53.31</v>
      </c>
      <c r="C7" t="n">
        <v>5.38</v>
      </c>
      <c r="D7" t="n">
        <v>18.83</v>
      </c>
      <c r="E7" t="n">
        <v>82.3</v>
      </c>
      <c r="F7" t="n">
        <v>111.4</v>
      </c>
      <c r="G7" t="n">
        <v>271.23</v>
      </c>
      <c r="H7" t="n">
        <v>1.777</v>
      </c>
      <c r="I7" t="n">
        <v>0.179</v>
      </c>
      <c r="J7" t="n">
        <v>0.628</v>
      </c>
      <c r="K7" t="n">
        <v>2.743</v>
      </c>
      <c r="L7" t="n">
        <v>3.713</v>
      </c>
      <c r="M7" t="n">
        <v>9.041</v>
      </c>
    </row>
    <row r="8">
      <c r="A8" t="inlineStr">
        <is>
          <t>2021-07</t>
        </is>
      </c>
      <c r="B8" t="n">
        <v>55.57</v>
      </c>
      <c r="C8" t="n">
        <v>5.35</v>
      </c>
      <c r="D8" t="n">
        <v>17.37</v>
      </c>
      <c r="E8" t="n">
        <v>81.34</v>
      </c>
      <c r="F8" t="n">
        <v>119.07</v>
      </c>
      <c r="G8" t="n">
        <v>278.7</v>
      </c>
      <c r="H8" t="n">
        <v>1.793</v>
      </c>
      <c r="I8" t="n">
        <v>0.172</v>
      </c>
      <c r="J8" t="n">
        <v>0.5600000000000001</v>
      </c>
      <c r="K8" t="n">
        <v>2.624</v>
      </c>
      <c r="L8" t="n">
        <v>3.841</v>
      </c>
      <c r="M8" t="n">
        <v>8.99</v>
      </c>
    </row>
    <row r="9">
      <c r="A9" t="inlineStr">
        <is>
          <t>2021-08</t>
        </is>
      </c>
      <c r="B9" t="n">
        <v>59.64</v>
      </c>
      <c r="C9" t="n">
        <v>5.83</v>
      </c>
      <c r="D9" t="n">
        <v>17.24</v>
      </c>
      <c r="E9" t="n">
        <v>71.61</v>
      </c>
      <c r="F9" t="n">
        <v>121.59</v>
      </c>
      <c r="G9" t="n">
        <v>275.92</v>
      </c>
      <c r="H9" t="n">
        <v>1.924</v>
      </c>
      <c r="I9" t="n">
        <v>0.188</v>
      </c>
      <c r="J9" t="n">
        <v>0.556</v>
      </c>
      <c r="K9" t="n">
        <v>2.31</v>
      </c>
      <c r="L9" t="n">
        <v>3.922</v>
      </c>
      <c r="M9" t="n">
        <v>8.901</v>
      </c>
    </row>
    <row r="10">
      <c r="A10" t="inlineStr">
        <is>
          <t>2021-09</t>
        </is>
      </c>
      <c r="B10" t="n">
        <v>59.01</v>
      </c>
      <c r="C10" t="n">
        <v>5.33</v>
      </c>
      <c r="D10" t="n">
        <v>15.84</v>
      </c>
      <c r="E10" t="n">
        <v>71.84</v>
      </c>
      <c r="F10" t="n">
        <v>125.46</v>
      </c>
      <c r="G10" t="n">
        <v>277.47</v>
      </c>
      <c r="H10" t="n">
        <v>1.967</v>
      </c>
      <c r="I10" t="n">
        <v>0.178</v>
      </c>
      <c r="J10" t="n">
        <v>0.528</v>
      </c>
      <c r="K10" t="n">
        <v>2.395</v>
      </c>
      <c r="L10" t="n">
        <v>4.182</v>
      </c>
      <c r="M10" t="n">
        <v>9.249000000000001</v>
      </c>
    </row>
    <row r="11">
      <c r="A11" t="inlineStr">
        <is>
          <t>2021-10</t>
        </is>
      </c>
      <c r="B11" t="n">
        <v>58.75</v>
      </c>
      <c r="C11" t="n">
        <v>5.47</v>
      </c>
      <c r="D11" t="n">
        <v>15.45</v>
      </c>
      <c r="E11" t="n">
        <v>75.63</v>
      </c>
      <c r="F11" t="n">
        <v>136.53</v>
      </c>
      <c r="G11" t="n">
        <v>291.83</v>
      </c>
      <c r="H11" t="n">
        <v>1.895</v>
      </c>
      <c r="I11" t="n">
        <v>0.177</v>
      </c>
      <c r="J11" t="n">
        <v>0.498</v>
      </c>
      <c r="K11" t="n">
        <v>2.44</v>
      </c>
      <c r="L11" t="n">
        <v>4.404</v>
      </c>
      <c r="M11" t="n">
        <v>9.414</v>
      </c>
    </row>
    <row r="12">
      <c r="A12" t="inlineStr">
        <is>
          <t>2021-11</t>
        </is>
      </c>
      <c r="B12" t="n">
        <v>59.71</v>
      </c>
      <c r="C12" t="n">
        <v>5.36</v>
      </c>
      <c r="D12" t="n">
        <v>15.24</v>
      </c>
      <c r="E12" t="n">
        <v>72.88</v>
      </c>
      <c r="F12" t="n">
        <v>136.18</v>
      </c>
      <c r="G12" t="n">
        <v>289.36</v>
      </c>
      <c r="H12" t="n">
        <v>1.99</v>
      </c>
      <c r="I12" t="n">
        <v>0.179</v>
      </c>
      <c r="J12" t="n">
        <v>0.508</v>
      </c>
      <c r="K12" t="n">
        <v>2.429</v>
      </c>
      <c r="L12" t="n">
        <v>4.539</v>
      </c>
      <c r="M12" t="n">
        <v>9.645</v>
      </c>
    </row>
    <row r="13">
      <c r="A13" t="inlineStr">
        <is>
          <t>2021-12</t>
        </is>
      </c>
      <c r="B13" t="n">
        <v>60.7</v>
      </c>
      <c r="C13" t="n">
        <v>5.22</v>
      </c>
      <c r="D13" t="n">
        <v>14.79</v>
      </c>
      <c r="E13" t="n">
        <v>75.94</v>
      </c>
      <c r="F13" t="n">
        <v>110.67</v>
      </c>
      <c r="G13" t="n">
        <v>267.32</v>
      </c>
      <c r="H13" t="n">
        <v>1.958</v>
      </c>
      <c r="I13" t="n">
        <v>0.168</v>
      </c>
      <c r="J13" t="n">
        <v>0.477</v>
      </c>
      <c r="K13" t="n">
        <v>2.45</v>
      </c>
      <c r="L13" t="n">
        <v>3.57</v>
      </c>
      <c r="M13" t="n">
        <v>8.622999999999999</v>
      </c>
    </row>
    <row r="14">
      <c r="A14" t="inlineStr">
        <is>
          <t>2022-01</t>
        </is>
      </c>
      <c r="B14" t="n">
        <v>63.26</v>
      </c>
      <c r="C14" t="n">
        <v>5.97</v>
      </c>
      <c r="D14" t="n">
        <v>18.04</v>
      </c>
      <c r="E14" t="n">
        <v>70.06</v>
      </c>
      <c r="F14" t="n">
        <v>112.17</v>
      </c>
      <c r="G14" t="n">
        <v>269.49</v>
      </c>
      <c r="H14" t="n">
        <v>2.041</v>
      </c>
      <c r="I14" t="n">
        <v>0.192</v>
      </c>
      <c r="J14" t="n">
        <v>0.582</v>
      </c>
      <c r="K14" t="n">
        <v>2.26</v>
      </c>
      <c r="L14" t="n">
        <v>3.619</v>
      </c>
      <c r="M14" t="n">
        <v>8.693</v>
      </c>
    </row>
    <row r="15">
      <c r="A15" t="inlineStr">
        <is>
          <t>2022-02</t>
        </is>
      </c>
      <c r="B15" t="n">
        <v>64.23</v>
      </c>
      <c r="C15" t="n">
        <v>5.23</v>
      </c>
      <c r="D15" t="n">
        <v>16.31</v>
      </c>
      <c r="E15" t="n">
        <v>73.44</v>
      </c>
      <c r="F15" t="n">
        <v>108.47</v>
      </c>
      <c r="G15" t="n">
        <v>267.67</v>
      </c>
      <c r="H15" t="n">
        <v>2.294</v>
      </c>
      <c r="I15" t="n">
        <v>0.187</v>
      </c>
      <c r="J15" t="n">
        <v>0.582</v>
      </c>
      <c r="K15" t="n">
        <v>2.623</v>
      </c>
      <c r="L15" t="n">
        <v>3.874</v>
      </c>
      <c r="M15" t="n">
        <v>9.56</v>
      </c>
    </row>
    <row r="16">
      <c r="A16" t="inlineStr">
        <is>
          <t>2022-03</t>
        </is>
      </c>
      <c r="B16" t="n">
        <v>61.37</v>
      </c>
      <c r="C16" t="n">
        <v>5.35</v>
      </c>
      <c r="D16" t="n">
        <v>16.06</v>
      </c>
      <c r="E16" t="n">
        <v>73.72</v>
      </c>
      <c r="F16" t="n">
        <v>109.9</v>
      </c>
      <c r="G16" t="n">
        <v>266.41</v>
      </c>
      <c r="H16" t="n">
        <v>1.98</v>
      </c>
      <c r="I16" t="n">
        <v>0.173</v>
      </c>
      <c r="J16" t="n">
        <v>0.518</v>
      </c>
      <c r="K16" t="n">
        <v>2.378</v>
      </c>
      <c r="L16" t="n">
        <v>3.545</v>
      </c>
      <c r="M16" t="n">
        <v>8.593999999999999</v>
      </c>
    </row>
    <row r="17">
      <c r="A17" t="inlineStr">
        <is>
          <t>2022-04</t>
        </is>
      </c>
      <c r="B17" t="n">
        <v>65.58</v>
      </c>
      <c r="C17" t="n">
        <v>5.9</v>
      </c>
      <c r="D17" t="n">
        <v>17.34</v>
      </c>
      <c r="E17" t="n">
        <v>77.27</v>
      </c>
      <c r="F17" t="n">
        <v>102.02</v>
      </c>
      <c r="G17" t="n">
        <v>268.1</v>
      </c>
      <c r="H17" t="n">
        <v>2.186</v>
      </c>
      <c r="I17" t="n">
        <v>0.197</v>
      </c>
      <c r="J17" t="n">
        <v>0.578</v>
      </c>
      <c r="K17" t="n">
        <v>2.576</v>
      </c>
      <c r="L17" t="n">
        <v>3.401</v>
      </c>
      <c r="M17" t="n">
        <v>8.936999999999999</v>
      </c>
    </row>
    <row r="18">
      <c r="A18" t="inlineStr">
        <is>
          <t>2022-05</t>
        </is>
      </c>
      <c r="B18" t="n">
        <v>67.83</v>
      </c>
      <c r="C18" t="n">
        <v>6.1</v>
      </c>
      <c r="D18" t="n">
        <v>17.47</v>
      </c>
      <c r="E18" t="n">
        <v>77.55</v>
      </c>
      <c r="F18" t="n">
        <v>104.43</v>
      </c>
      <c r="G18" t="n">
        <v>273.38</v>
      </c>
      <c r="H18" t="n">
        <v>2.188</v>
      </c>
      <c r="I18" t="n">
        <v>0.197</v>
      </c>
      <c r="J18" t="n">
        <v>0.5639999999999999</v>
      </c>
      <c r="K18" t="n">
        <v>2.502</v>
      </c>
      <c r="L18" t="n">
        <v>3.369</v>
      </c>
      <c r="M18" t="n">
        <v>8.819000000000001</v>
      </c>
    </row>
    <row r="19">
      <c r="A19" t="inlineStr">
        <is>
          <t>2022-06</t>
        </is>
      </c>
      <c r="B19" t="n">
        <v>68.51000000000001</v>
      </c>
      <c r="C19" t="n">
        <v>6.32</v>
      </c>
      <c r="D19" t="n">
        <v>18.39</v>
      </c>
      <c r="E19" t="n">
        <v>80.38</v>
      </c>
      <c r="F19" t="n">
        <v>94.33</v>
      </c>
      <c r="G19" t="n">
        <v>267.92</v>
      </c>
      <c r="H19" t="n">
        <v>2.284</v>
      </c>
      <c r="I19" t="n">
        <v>0.211</v>
      </c>
      <c r="J19" t="n">
        <v>0.613</v>
      </c>
      <c r="K19" t="n">
        <v>2.679</v>
      </c>
      <c r="L19" t="n">
        <v>3.144</v>
      </c>
      <c r="M19" t="n">
        <v>8.930999999999999</v>
      </c>
    </row>
    <row r="20">
      <c r="A20" t="inlineStr">
        <is>
          <t>2022-07</t>
        </is>
      </c>
      <c r="B20" t="n">
        <v>66.17</v>
      </c>
      <c r="C20" t="n">
        <v>6.74</v>
      </c>
      <c r="D20" t="n">
        <v>18.97</v>
      </c>
      <c r="E20" t="n">
        <v>78.41</v>
      </c>
      <c r="F20" t="n">
        <v>82.39</v>
      </c>
      <c r="G20" t="n">
        <v>252.68</v>
      </c>
      <c r="H20" t="n">
        <v>2.135</v>
      </c>
      <c r="I20" t="n">
        <v>0.217</v>
      </c>
      <c r="J20" t="n">
        <v>0.612</v>
      </c>
      <c r="K20" t="n">
        <v>2.529</v>
      </c>
      <c r="L20" t="n">
        <v>2.658</v>
      </c>
      <c r="M20" t="n">
        <v>8.151</v>
      </c>
    </row>
    <row r="21">
      <c r="A21" t="inlineStr">
        <is>
          <t>2022-08</t>
        </is>
      </c>
      <c r="B21" t="n">
        <v>68.44</v>
      </c>
      <c r="C21" t="n">
        <v>6.44</v>
      </c>
      <c r="D21" t="n">
        <v>18.86</v>
      </c>
      <c r="E21" t="n">
        <v>78.75</v>
      </c>
      <c r="F21" t="n">
        <v>116.82</v>
      </c>
      <c r="G21" t="n">
        <v>289.3</v>
      </c>
      <c r="H21" t="n">
        <v>2.208</v>
      </c>
      <c r="I21" t="n">
        <v>0.208</v>
      </c>
      <c r="J21" t="n">
        <v>0.608</v>
      </c>
      <c r="K21" t="n">
        <v>2.54</v>
      </c>
      <c r="L21" t="n">
        <v>3.768</v>
      </c>
      <c r="M21" t="n">
        <v>9.332000000000001</v>
      </c>
    </row>
    <row r="22">
      <c r="A22" t="inlineStr">
        <is>
          <t>2022-09</t>
        </is>
      </c>
      <c r="B22" t="n">
        <v>69.41</v>
      </c>
      <c r="C22" t="n">
        <v>6.77</v>
      </c>
      <c r="D22" t="n">
        <v>19.09</v>
      </c>
      <c r="E22" t="n">
        <v>87.26000000000001</v>
      </c>
      <c r="F22" t="n">
        <v>119.99</v>
      </c>
      <c r="G22" t="n">
        <v>302.52</v>
      </c>
      <c r="H22" t="n">
        <v>2.314</v>
      </c>
      <c r="I22" t="n">
        <v>0.226</v>
      </c>
      <c r="J22" t="n">
        <v>0.636</v>
      </c>
      <c r="K22" t="n">
        <v>2.909</v>
      </c>
      <c r="L22" t="n">
        <v>4</v>
      </c>
      <c r="M22" t="n">
        <v>10.084</v>
      </c>
    </row>
    <row r="23">
      <c r="A23" t="inlineStr">
        <is>
          <t>2022-10</t>
        </is>
      </c>
      <c r="B23" t="n">
        <v>68.01000000000001</v>
      </c>
      <c r="C23" t="n">
        <v>6.24</v>
      </c>
      <c r="D23" t="n">
        <v>17.14</v>
      </c>
      <c r="E23" t="n">
        <v>86.84</v>
      </c>
      <c r="F23" t="n">
        <v>151.09</v>
      </c>
      <c r="G23" t="n">
        <v>329.31</v>
      </c>
      <c r="H23" t="n">
        <v>2.194</v>
      </c>
      <c r="I23" t="n">
        <v>0.201</v>
      </c>
      <c r="J23" t="n">
        <v>0.553</v>
      </c>
      <c r="K23" t="n">
        <v>2.801</v>
      </c>
      <c r="L23" t="n">
        <v>4.874</v>
      </c>
      <c r="M23" t="n">
        <v>10.623</v>
      </c>
    </row>
    <row r="24">
      <c r="A24" t="inlineStr">
        <is>
          <t>2022-11</t>
        </is>
      </c>
      <c r="B24" t="n">
        <v>57.01</v>
      </c>
      <c r="C24" t="n">
        <v>7.52</v>
      </c>
      <c r="D24" t="n">
        <v>18.06</v>
      </c>
      <c r="E24" t="n">
        <v>79.08</v>
      </c>
      <c r="F24" t="n">
        <v>163.35</v>
      </c>
      <c r="G24" t="n">
        <v>325.01</v>
      </c>
      <c r="H24" t="n">
        <v>1.9</v>
      </c>
      <c r="I24" t="n">
        <v>0.251</v>
      </c>
      <c r="J24" t="n">
        <v>0.602</v>
      </c>
      <c r="K24" t="n">
        <v>2.636</v>
      </c>
      <c r="L24" t="n">
        <v>5.445</v>
      </c>
      <c r="M24" t="n">
        <v>10.834</v>
      </c>
    </row>
    <row r="25">
      <c r="A25" t="inlineStr">
        <is>
          <t>2022-12</t>
        </is>
      </c>
      <c r="B25" t="n">
        <v>68.34</v>
      </c>
      <c r="C25" t="n">
        <v>5.83</v>
      </c>
      <c r="D25" t="n">
        <v>15.49</v>
      </c>
      <c r="E25" t="n">
        <v>76.5</v>
      </c>
      <c r="F25" t="n">
        <v>165.19</v>
      </c>
      <c r="G25" t="n">
        <v>331.35</v>
      </c>
      <c r="H25" t="n">
        <v>2.204</v>
      </c>
      <c r="I25" t="n">
        <v>0.188</v>
      </c>
      <c r="J25" t="n">
        <v>0.5</v>
      </c>
      <c r="K25" t="n">
        <v>2.468</v>
      </c>
      <c r="L25" t="n">
        <v>5.329</v>
      </c>
      <c r="M25" t="n">
        <v>10.689</v>
      </c>
    </row>
    <row r="26">
      <c r="A26" t="inlineStr">
        <is>
          <t>2023-01</t>
        </is>
      </c>
      <c r="B26" t="n">
        <v>69.66</v>
      </c>
      <c r="C26" t="n">
        <v>6.29</v>
      </c>
      <c r="D26" t="n">
        <v>17.64</v>
      </c>
      <c r="E26" t="n">
        <v>77.26000000000001</v>
      </c>
      <c r="F26" t="n">
        <v>143.8</v>
      </c>
      <c r="G26" t="n">
        <v>314.66</v>
      </c>
      <c r="H26" t="n">
        <v>2.247</v>
      </c>
      <c r="I26" t="n">
        <v>0.203</v>
      </c>
      <c r="J26" t="n">
        <v>0.569</v>
      </c>
      <c r="K26" t="n">
        <v>2.492</v>
      </c>
      <c r="L26" t="n">
        <v>4.639</v>
      </c>
      <c r="M26" t="n">
        <v>10.15</v>
      </c>
    </row>
    <row r="27">
      <c r="A27" t="inlineStr">
        <is>
          <t>2023-02</t>
        </is>
      </c>
      <c r="B27" t="n">
        <v>72.95999999999999</v>
      </c>
      <c r="C27" t="n">
        <v>5.89</v>
      </c>
      <c r="D27" t="n">
        <v>15.83</v>
      </c>
      <c r="E27" t="n">
        <v>75.14</v>
      </c>
      <c r="F27" t="n">
        <v>120.6</v>
      </c>
      <c r="G27" t="n">
        <v>290.43</v>
      </c>
      <c r="H27" t="n">
        <v>2.606</v>
      </c>
      <c r="I27" t="n">
        <v>0.21</v>
      </c>
      <c r="J27" t="n">
        <v>0.5649999999999999</v>
      </c>
      <c r="K27" t="n">
        <v>2.684</v>
      </c>
      <c r="L27" t="n">
        <v>4.307</v>
      </c>
      <c r="M27" t="n">
        <v>10.372</v>
      </c>
    </row>
    <row r="28">
      <c r="A28" t="inlineStr">
        <is>
          <t>2023-03</t>
        </is>
      </c>
      <c r="B28" t="n">
        <v>65.73999999999999</v>
      </c>
      <c r="C28" t="n">
        <v>5.91</v>
      </c>
      <c r="D28" t="n">
        <v>16.68</v>
      </c>
      <c r="E28" t="n">
        <v>76.52</v>
      </c>
      <c r="F28" t="n">
        <v>157.95</v>
      </c>
      <c r="G28" t="n">
        <v>322.8</v>
      </c>
      <c r="H28" t="n">
        <v>2.121</v>
      </c>
      <c r="I28" t="n">
        <v>0.191</v>
      </c>
      <c r="J28" t="n">
        <v>0.538</v>
      </c>
      <c r="K28" t="n">
        <v>2.468</v>
      </c>
      <c r="L28" t="n">
        <v>5.095</v>
      </c>
      <c r="M28" t="n">
        <v>10.413</v>
      </c>
    </row>
    <row r="29">
      <c r="A29" t="inlineStr">
        <is>
          <t>2023-04</t>
        </is>
      </c>
      <c r="B29" t="n">
        <v>71.92</v>
      </c>
      <c r="C29" t="n">
        <v>6.42</v>
      </c>
      <c r="D29" t="n">
        <v>17.77</v>
      </c>
      <c r="E29" t="n">
        <v>87.97</v>
      </c>
      <c r="F29" t="n">
        <v>145.29</v>
      </c>
      <c r="G29" t="n">
        <v>329.38</v>
      </c>
      <c r="H29" t="n">
        <v>2.397</v>
      </c>
      <c r="I29" t="n">
        <v>0.214</v>
      </c>
      <c r="J29" t="n">
        <v>0.592</v>
      </c>
      <c r="K29" t="n">
        <v>2.932</v>
      </c>
      <c r="L29" t="n">
        <v>4.843</v>
      </c>
      <c r="M29" t="n">
        <v>10.979</v>
      </c>
    </row>
    <row r="30">
      <c r="A30" t="inlineStr">
        <is>
          <t>2023-05</t>
        </is>
      </c>
      <c r="B30" t="n">
        <v>71.94</v>
      </c>
      <c r="C30" t="n">
        <v>6.09</v>
      </c>
      <c r="D30" t="n">
        <v>16.99</v>
      </c>
      <c r="E30" t="n">
        <v>80.3</v>
      </c>
      <c r="F30" t="n">
        <v>145.96</v>
      </c>
      <c r="G30" t="n">
        <v>321.29</v>
      </c>
      <c r="H30" t="n">
        <v>2.321</v>
      </c>
      <c r="I30" t="n">
        <v>0.197</v>
      </c>
      <c r="J30" t="n">
        <v>0.548</v>
      </c>
      <c r="K30" t="n">
        <v>2.59</v>
      </c>
      <c r="L30" t="n">
        <v>4.708</v>
      </c>
      <c r="M30" t="n">
        <v>10.364</v>
      </c>
    </row>
    <row r="31">
      <c r="A31" t="inlineStr">
        <is>
          <t>2023-06</t>
        </is>
      </c>
      <c r="B31" t="n">
        <v>73.97</v>
      </c>
      <c r="C31" t="n">
        <v>7.09</v>
      </c>
      <c r="D31" t="n">
        <v>19.64</v>
      </c>
      <c r="E31" t="n">
        <v>83.31</v>
      </c>
      <c r="F31" t="n">
        <v>145.96</v>
      </c>
      <c r="G31" t="n">
        <v>329.97</v>
      </c>
      <c r="H31" t="n">
        <v>2.466</v>
      </c>
      <c r="I31" t="n">
        <v>0.236</v>
      </c>
      <c r="J31" t="n">
        <v>0.655</v>
      </c>
      <c r="K31" t="n">
        <v>2.777</v>
      </c>
      <c r="L31" t="n">
        <v>4.865</v>
      </c>
      <c r="M31" t="n">
        <v>10.999</v>
      </c>
    </row>
    <row r="32">
      <c r="A32" t="inlineStr">
        <is>
          <t>2023-07</t>
        </is>
      </c>
      <c r="B32" t="n">
        <v>70.41</v>
      </c>
      <c r="C32" t="n">
        <v>7.05</v>
      </c>
      <c r="D32" t="n">
        <v>19.53</v>
      </c>
      <c r="E32" t="n">
        <v>84.17</v>
      </c>
      <c r="F32" t="n">
        <v>145.96</v>
      </c>
      <c r="G32" t="n">
        <v>327.12</v>
      </c>
      <c r="H32" t="n">
        <v>2.271</v>
      </c>
      <c r="I32" t="n">
        <v>0.227</v>
      </c>
      <c r="J32" t="n">
        <v>0.63</v>
      </c>
      <c r="K32" t="n">
        <v>2.715</v>
      </c>
      <c r="L32" t="n">
        <v>4.708</v>
      </c>
      <c r="M32" t="n">
        <v>10.552</v>
      </c>
    </row>
    <row r="33">
      <c r="A33" t="inlineStr">
        <is>
          <t>2023-08</t>
        </is>
      </c>
      <c r="B33" t="n">
        <v>74.18000000000001</v>
      </c>
      <c r="C33" t="n">
        <v>7.04</v>
      </c>
      <c r="D33" t="n">
        <v>19.13</v>
      </c>
      <c r="E33" t="n">
        <v>82.98999999999999</v>
      </c>
      <c r="F33" t="n">
        <v>149.46</v>
      </c>
      <c r="G33" t="n">
        <v>332.81</v>
      </c>
      <c r="H33" t="n">
        <v>2.393</v>
      </c>
      <c r="I33" t="n">
        <v>0.227</v>
      </c>
      <c r="J33" t="n">
        <v>0.617</v>
      </c>
      <c r="K33" t="n">
        <v>2.677</v>
      </c>
      <c r="L33" t="n">
        <v>4.821</v>
      </c>
      <c r="M33" t="n">
        <v>10.736</v>
      </c>
    </row>
    <row r="34">
      <c r="A34" t="inlineStr">
        <is>
          <t>2023-09</t>
        </is>
      </c>
      <c r="B34" t="n">
        <v>74.81999999999999</v>
      </c>
      <c r="C34" t="n">
        <v>6.73</v>
      </c>
      <c r="D34" t="n">
        <v>19.16</v>
      </c>
      <c r="E34" t="n">
        <v>83.83</v>
      </c>
      <c r="F34" t="n">
        <v>152.04</v>
      </c>
      <c r="G34" t="n">
        <v>336.57</v>
      </c>
      <c r="H34" t="n">
        <v>2.494</v>
      </c>
      <c r="I34" t="n">
        <v>0.224</v>
      </c>
      <c r="J34" t="n">
        <v>0.639</v>
      </c>
      <c r="K34" t="n">
        <v>2.794</v>
      </c>
      <c r="L34" t="n">
        <v>5.068</v>
      </c>
      <c r="M34" t="n">
        <v>11.219</v>
      </c>
    </row>
    <row r="35">
      <c r="A35" t="inlineStr">
        <is>
          <t>2023-10</t>
        </is>
      </c>
      <c r="B35" t="n">
        <v>73.43000000000001</v>
      </c>
      <c r="C35" t="n">
        <v>6.37</v>
      </c>
      <c r="D35" t="n">
        <v>17.05</v>
      </c>
      <c r="E35" t="n">
        <v>77.97</v>
      </c>
      <c r="F35" t="n">
        <v>158.14</v>
      </c>
      <c r="G35" t="n">
        <v>332.97</v>
      </c>
      <c r="H35" t="n">
        <v>2.369</v>
      </c>
      <c r="I35" t="n">
        <v>0.206</v>
      </c>
      <c r="J35" t="n">
        <v>0.55</v>
      </c>
      <c r="K35" t="n">
        <v>2.515</v>
      </c>
      <c r="L35" t="n">
        <v>5.101</v>
      </c>
      <c r="M35" t="n">
        <v>10.741</v>
      </c>
    </row>
    <row r="36">
      <c r="A36" t="inlineStr">
        <is>
          <t>2023-11</t>
        </is>
      </c>
      <c r="B36" t="n">
        <v>75.29000000000001</v>
      </c>
      <c r="C36" t="n">
        <v>6.24</v>
      </c>
      <c r="D36" t="n">
        <v>17.48</v>
      </c>
      <c r="E36" t="n">
        <v>84.45999999999999</v>
      </c>
      <c r="F36" t="n">
        <v>155.8</v>
      </c>
      <c r="G36" t="n">
        <v>339.27</v>
      </c>
      <c r="H36" t="n">
        <v>2.51</v>
      </c>
      <c r="I36" t="n">
        <v>0.208</v>
      </c>
      <c r="J36" t="n">
        <v>0.583</v>
      </c>
      <c r="K36" t="n">
        <v>2.815</v>
      </c>
      <c r="L36" t="n">
        <v>5.193</v>
      </c>
      <c r="M36" t="n">
        <v>11.309</v>
      </c>
    </row>
    <row r="37">
      <c r="A37" t="inlineStr">
        <is>
          <t>2023-12</t>
        </is>
      </c>
      <c r="B37" t="n">
        <v>73.93000000000001</v>
      </c>
      <c r="C37" t="n">
        <v>5.91</v>
      </c>
      <c r="D37" t="n">
        <v>16.13</v>
      </c>
      <c r="E37" t="n">
        <v>78.34999999999999</v>
      </c>
      <c r="F37" t="n">
        <v>144.31</v>
      </c>
      <c r="G37" t="n">
        <v>318.64</v>
      </c>
      <c r="H37" t="n">
        <v>2.385</v>
      </c>
      <c r="I37" t="n">
        <v>0.191</v>
      </c>
      <c r="J37" t="n">
        <v>0.52</v>
      </c>
      <c r="K37" t="n">
        <v>2.527</v>
      </c>
      <c r="L37" t="n">
        <v>4.655</v>
      </c>
      <c r="M37" t="n">
        <v>10.279</v>
      </c>
    </row>
    <row r="38">
      <c r="A38" t="inlineStr">
        <is>
          <t>2024-01</t>
        </is>
      </c>
      <c r="B38" t="n">
        <v>74.45999999999999</v>
      </c>
      <c r="C38" t="n">
        <v>6.2</v>
      </c>
      <c r="D38" t="n">
        <v>17.47</v>
      </c>
      <c r="E38" t="n">
        <v>78.02</v>
      </c>
      <c r="F38" t="n">
        <v>169.04</v>
      </c>
      <c r="G38" t="n">
        <v>345.2</v>
      </c>
      <c r="H38" t="n">
        <v>2.402</v>
      </c>
      <c r="I38" t="n">
        <v>0.2</v>
      </c>
      <c r="J38" t="n">
        <v>0.5639999999999999</v>
      </c>
      <c r="K38" t="n">
        <v>2.517</v>
      </c>
      <c r="L38" t="n">
        <v>5.453</v>
      </c>
      <c r="M38" t="n">
        <v>11.135</v>
      </c>
    </row>
    <row r="39">
      <c r="A39" t="inlineStr">
        <is>
          <t>2024-02</t>
        </is>
      </c>
      <c r="B39" t="n">
        <v>73.15000000000001</v>
      </c>
      <c r="C39" t="n">
        <v>6.09</v>
      </c>
      <c r="D39" t="n">
        <v>17.1</v>
      </c>
      <c r="E39" t="n">
        <v>77.09999999999999</v>
      </c>
      <c r="F39" t="n">
        <v>149.36</v>
      </c>
      <c r="G39" t="n">
        <v>322.8</v>
      </c>
      <c r="H39" t="n">
        <v>2.522</v>
      </c>
      <c r="I39" t="n">
        <v>0.21</v>
      </c>
      <c r="J39" t="n">
        <v>0.59</v>
      </c>
      <c r="K39" t="n">
        <v>2.658</v>
      </c>
      <c r="L39" t="n">
        <v>5.15</v>
      </c>
      <c r="M39" t="n">
        <v>11.131</v>
      </c>
    </row>
    <row r="40">
      <c r="A40" t="inlineStr">
        <is>
          <t>2024-03</t>
        </is>
      </c>
      <c r="B40" t="n">
        <v>71.37</v>
      </c>
      <c r="C40" t="n">
        <v>6.19</v>
      </c>
      <c r="D40" t="n">
        <v>17.22</v>
      </c>
      <c r="E40" t="n">
        <v>71.06</v>
      </c>
      <c r="F40" t="n">
        <v>134.23</v>
      </c>
      <c r="G40" t="n">
        <v>300.07</v>
      </c>
      <c r="H40" t="n">
        <v>2.302</v>
      </c>
      <c r="I40" t="n">
        <v>0.2</v>
      </c>
      <c r="J40" t="n">
        <v>0.555</v>
      </c>
      <c r="K40" t="n">
        <v>2.292</v>
      </c>
      <c r="L40" t="n">
        <v>4.33</v>
      </c>
      <c r="M40" t="n">
        <v>9.68</v>
      </c>
    </row>
    <row r="41">
      <c r="A41" t="inlineStr">
        <is>
          <t>2024-04</t>
        </is>
      </c>
      <c r="B41" t="n">
        <v>75.11</v>
      </c>
      <c r="C41" t="n">
        <v>5.92</v>
      </c>
      <c r="D41" t="n">
        <v>17.13</v>
      </c>
      <c r="E41" t="n">
        <v>86.31999999999999</v>
      </c>
      <c r="F41" t="n">
        <v>140.15</v>
      </c>
      <c r="G41" t="n">
        <v>324.63</v>
      </c>
      <c r="H41" t="n">
        <v>2.504</v>
      </c>
      <c r="I41" t="n">
        <v>0.197</v>
      </c>
      <c r="J41" t="n">
        <v>0.571</v>
      </c>
      <c r="K41" t="n">
        <v>2.877</v>
      </c>
      <c r="L41" t="n">
        <v>4.672</v>
      </c>
      <c r="M41" t="n">
        <v>10.821</v>
      </c>
    </row>
    <row r="42">
      <c r="A42" t="inlineStr">
        <is>
          <t>2024-05</t>
        </is>
      </c>
      <c r="B42" t="n">
        <v>74.73</v>
      </c>
      <c r="C42" t="n">
        <v>6.78</v>
      </c>
      <c r="D42" t="n">
        <v>18.43</v>
      </c>
      <c r="E42" t="n">
        <v>91.94</v>
      </c>
      <c r="F42" t="n">
        <v>144.21</v>
      </c>
      <c r="G42" t="n">
        <v>336.08</v>
      </c>
      <c r="H42" t="n">
        <v>2.411</v>
      </c>
      <c r="I42" t="n">
        <v>0.219</v>
      </c>
      <c r="J42" t="n">
        <v>0.594</v>
      </c>
      <c r="K42" t="n">
        <v>2.966</v>
      </c>
      <c r="L42" t="n">
        <v>4.652</v>
      </c>
      <c r="M42" t="n">
        <v>10.841</v>
      </c>
    </row>
    <row r="43">
      <c r="A43" t="inlineStr">
        <is>
          <t>2024-06</t>
        </is>
      </c>
      <c r="B43" t="n">
        <v>76.90000000000001</v>
      </c>
      <c r="C43" t="n">
        <v>6.83</v>
      </c>
      <c r="D43" t="n">
        <v>19.98</v>
      </c>
      <c r="E43" t="n">
        <v>86.06</v>
      </c>
      <c r="F43" t="n">
        <v>131.6</v>
      </c>
      <c r="G43" t="n">
        <v>321.37</v>
      </c>
      <c r="H43" t="n">
        <v>2.563</v>
      </c>
      <c r="I43" t="n">
        <v>0.228</v>
      </c>
      <c r="J43" t="n">
        <v>0.666</v>
      </c>
      <c r="K43" t="n">
        <v>2.869</v>
      </c>
      <c r="L43" t="n">
        <v>4.387</v>
      </c>
      <c r="M43" t="n">
        <v>10.712</v>
      </c>
    </row>
    <row r="44">
      <c r="A44" t="inlineStr">
        <is>
          <t>2024-07</t>
        </is>
      </c>
      <c r="B44" t="n">
        <v>74.34999999999999</v>
      </c>
      <c r="C44" t="n">
        <v>7.16</v>
      </c>
      <c r="D44" t="n">
        <v>19.53</v>
      </c>
      <c r="E44" t="n">
        <v>75.56999999999999</v>
      </c>
      <c r="F44" t="n">
        <v>132.1</v>
      </c>
      <c r="G44" t="n">
        <v>308.71</v>
      </c>
      <c r="H44" t="n">
        <v>2.398</v>
      </c>
      <c r="I44" t="n">
        <v>0.231</v>
      </c>
      <c r="J44" t="n">
        <v>0.63</v>
      </c>
      <c r="K44" t="n">
        <v>2.438</v>
      </c>
      <c r="L44" t="n">
        <v>4.261</v>
      </c>
      <c r="M44" t="n">
        <v>9.958</v>
      </c>
    </row>
    <row r="45">
      <c r="A45" t="inlineStr">
        <is>
          <t>2024-08</t>
        </is>
      </c>
      <c r="B45" t="n">
        <v>77.41</v>
      </c>
      <c r="C45" t="n">
        <v>8.02</v>
      </c>
      <c r="D45" t="n">
        <v>21.88</v>
      </c>
      <c r="E45" t="n">
        <v>81.23</v>
      </c>
      <c r="F45" t="n">
        <v>134.71</v>
      </c>
      <c r="G45" t="n">
        <v>323.26</v>
      </c>
      <c r="H45" t="n">
        <v>2.497</v>
      </c>
      <c r="I45" t="n">
        <v>0.259</v>
      </c>
      <c r="J45" t="n">
        <v>0.706</v>
      </c>
      <c r="K45" t="n">
        <v>2.62</v>
      </c>
      <c r="L45" t="n">
        <v>4.346</v>
      </c>
      <c r="M45" t="n">
        <v>10.428</v>
      </c>
    </row>
    <row r="46">
      <c r="A46" t="inlineStr">
        <is>
          <t>2024-09</t>
        </is>
      </c>
      <c r="B46" t="n">
        <v>76.78</v>
      </c>
      <c r="C46" t="n">
        <v>7.02</v>
      </c>
      <c r="D46" t="n">
        <v>20.04</v>
      </c>
      <c r="E46" t="n">
        <v>85.78</v>
      </c>
      <c r="F46" t="n">
        <v>154.5</v>
      </c>
      <c r="G46" t="n">
        <v>344.12</v>
      </c>
      <c r="H46" t="n">
        <v>2.559</v>
      </c>
      <c r="I46" t="n">
        <v>0.234</v>
      </c>
      <c r="J46" t="n">
        <v>0.668</v>
      </c>
      <c r="K46" t="n">
        <v>2.859</v>
      </c>
      <c r="L46" t="n">
        <v>5.15</v>
      </c>
      <c r="M46" t="n">
        <v>11.471</v>
      </c>
    </row>
    <row r="47">
      <c r="A47" t="inlineStr">
        <is>
          <t>2024-10</t>
        </is>
      </c>
      <c r="B47" t="n">
        <v>76.12</v>
      </c>
      <c r="C47" t="n">
        <v>6.6</v>
      </c>
      <c r="D47" t="n">
        <v>18.13</v>
      </c>
      <c r="E47" t="n">
        <v>77.28</v>
      </c>
      <c r="F47" t="n">
        <v>142.4</v>
      </c>
      <c r="G47" t="n">
        <v>320.53</v>
      </c>
      <c r="H47" t="n">
        <v>2.455</v>
      </c>
      <c r="I47" t="n">
        <v>0.213</v>
      </c>
      <c r="J47" t="n">
        <v>0.585</v>
      </c>
      <c r="K47" t="n">
        <v>2.493</v>
      </c>
      <c r="L47" t="n">
        <v>4.593</v>
      </c>
      <c r="M47" t="n">
        <v>10.34</v>
      </c>
    </row>
    <row r="48">
      <c r="A48" t="inlineStr">
        <is>
          <t>2024-11</t>
        </is>
      </c>
      <c r="B48" t="n">
        <v>80.98</v>
      </c>
      <c r="C48" t="n">
        <v>6.78</v>
      </c>
      <c r="D48" t="n">
        <v>18.8</v>
      </c>
      <c r="E48" t="n">
        <v>72.72</v>
      </c>
      <c r="F48" t="n">
        <v>127.04</v>
      </c>
      <c r="G48" t="n">
        <v>306.32</v>
      </c>
      <c r="H48" t="n">
        <v>2.699</v>
      </c>
      <c r="I48" t="n">
        <v>0.226</v>
      </c>
      <c r="J48" t="n">
        <v>0.627</v>
      </c>
      <c r="K48" t="n">
        <v>2.424</v>
      </c>
      <c r="L48" t="n">
        <v>4.235</v>
      </c>
      <c r="M48" t="n">
        <v>10.211</v>
      </c>
    </row>
    <row r="49">
      <c r="A49" t="inlineStr">
        <is>
          <t>2024-12</t>
        </is>
      </c>
      <c r="B49" t="n">
        <v>77.59999999999999</v>
      </c>
      <c r="C49" t="n">
        <v>6.44</v>
      </c>
      <c r="D49" t="n">
        <v>17.49</v>
      </c>
      <c r="E49" t="n">
        <v>86.44</v>
      </c>
      <c r="F49" t="n">
        <v>147.56</v>
      </c>
      <c r="G49" t="n">
        <v>335.53</v>
      </c>
      <c r="H49" t="n">
        <v>2.503</v>
      </c>
      <c r="I49" t="n">
        <v>0.208</v>
      </c>
      <c r="J49" t="n">
        <v>0.5639999999999999</v>
      </c>
      <c r="K49" t="n">
        <v>2.788</v>
      </c>
      <c r="L49" t="n">
        <v>4.76</v>
      </c>
      <c r="M49" t="n">
        <v>10.824</v>
      </c>
    </row>
    <row r="50">
      <c r="A50" t="inlineStr">
        <is>
          <t>2025-01</t>
        </is>
      </c>
      <c r="B50" t="n">
        <v>78.65000000000001</v>
      </c>
      <c r="C50" t="n">
        <v>7</v>
      </c>
      <c r="D50" t="n">
        <v>19.49</v>
      </c>
      <c r="E50" t="n">
        <v>72.66</v>
      </c>
      <c r="F50" t="n">
        <v>152.91</v>
      </c>
      <c r="G50" t="n">
        <v>330.72</v>
      </c>
      <c r="H50" t="n">
        <v>2.537</v>
      </c>
      <c r="I50" t="n">
        <v>0.226</v>
      </c>
      <c r="J50" t="n">
        <v>0.629</v>
      </c>
      <c r="K50" t="n">
        <v>2.344</v>
      </c>
      <c r="L50" t="n">
        <v>4.932</v>
      </c>
      <c r="M50" t="n">
        <v>10.668</v>
      </c>
    </row>
    <row r="51">
      <c r="A51" t="inlineStr">
        <is>
          <t>2025-02</t>
        </is>
      </c>
      <c r="B51" t="n">
        <v>78.84999999999999</v>
      </c>
      <c r="C51" t="n">
        <v>6.83</v>
      </c>
      <c r="D51" t="n">
        <v>18.6</v>
      </c>
      <c r="E51" t="n">
        <v>74.28</v>
      </c>
      <c r="F51" t="n">
        <v>183.72</v>
      </c>
      <c r="G51" t="n">
        <v>362.29</v>
      </c>
      <c r="H51" t="n">
        <v>2.816</v>
      </c>
      <c r="I51" t="n">
        <v>0.244</v>
      </c>
      <c r="J51" t="n">
        <v>0.664</v>
      </c>
      <c r="K51" t="n">
        <v>2.653</v>
      </c>
      <c r="L51" t="n">
        <v>6.562</v>
      </c>
      <c r="M51" t="n">
        <v>12.939</v>
      </c>
    </row>
    <row r="52">
      <c r="A52" t="inlineStr">
        <is>
          <t>2025-03</t>
        </is>
      </c>
      <c r="B52" t="n">
        <v>73.68000000000001</v>
      </c>
      <c r="C52" t="n">
        <v>6.86</v>
      </c>
      <c r="D52" t="n">
        <v>19.68</v>
      </c>
      <c r="E52" t="n">
        <v>73.48999999999999</v>
      </c>
      <c r="F52" t="n">
        <v>129.05</v>
      </c>
      <c r="G52" t="n">
        <v>302.76</v>
      </c>
      <c r="H52" t="n">
        <v>2.377</v>
      </c>
      <c r="I52" t="n">
        <v>0.221</v>
      </c>
      <c r="J52" t="n">
        <v>0.635</v>
      </c>
      <c r="K52" t="n">
        <v>2.371</v>
      </c>
      <c r="L52" t="n">
        <v>4.163</v>
      </c>
      <c r="M52" t="n">
        <v>9.766999999999999</v>
      </c>
    </row>
    <row r="53">
      <c r="A53" t="inlineStr">
        <is>
          <t>2025-04</t>
        </is>
      </c>
      <c r="B53" t="n">
        <v>81.34</v>
      </c>
      <c r="C53" t="n">
        <v>6.54</v>
      </c>
      <c r="D53" t="n">
        <v>18.47</v>
      </c>
      <c r="E53" t="n">
        <v>88.91</v>
      </c>
      <c r="F53" t="n">
        <v>116.66</v>
      </c>
      <c r="G53" t="n">
        <v>311.92</v>
      </c>
      <c r="H53" t="n">
        <v>2.711</v>
      </c>
      <c r="I53" t="n">
        <v>0.218</v>
      </c>
      <c r="J53" t="n">
        <v>0.616</v>
      </c>
      <c r="K53" t="n">
        <v>2.964</v>
      </c>
      <c r="L53" t="n">
        <v>3.889</v>
      </c>
      <c r="M53" t="n">
        <v>10.397</v>
      </c>
    </row>
    <row r="54">
      <c r="A54" t="inlineStr">
        <is>
          <t>2025-05</t>
        </is>
      </c>
      <c r="B54" t="n">
        <v>78.8</v>
      </c>
      <c r="C54" t="n">
        <v>7.53</v>
      </c>
      <c r="D54" t="n">
        <v>20.67</v>
      </c>
      <c r="E54" t="n">
        <v>88.26000000000001</v>
      </c>
      <c r="F54" t="n">
        <v>129.58</v>
      </c>
      <c r="G54" t="n">
        <v>324.83</v>
      </c>
      <c r="H54" t="n">
        <v>2.542</v>
      </c>
      <c r="I54" t="n">
        <v>0.243</v>
      </c>
      <c r="J54" t="n">
        <v>0.667</v>
      </c>
      <c r="K54" t="n">
        <v>2.847</v>
      </c>
      <c r="L54" t="n">
        <v>4.18</v>
      </c>
      <c r="M54" t="n">
        <v>10.478</v>
      </c>
    </row>
    <row r="55">
      <c r="A55" t="inlineStr">
        <is>
          <t>2025-06</t>
        </is>
      </c>
      <c r="B55" t="n">
        <v>83.18000000000001</v>
      </c>
      <c r="C55" t="n">
        <v>7.22</v>
      </c>
      <c r="D55" t="n">
        <v>20.57</v>
      </c>
      <c r="E55" t="n">
        <v>87.09</v>
      </c>
      <c r="F55" t="n">
        <v>120.45</v>
      </c>
      <c r="G55" t="n">
        <v>318.5</v>
      </c>
      <c r="H55" t="n">
        <v>2.773</v>
      </c>
      <c r="I55" t="n">
        <v>0.241</v>
      </c>
      <c r="J55" t="n">
        <v>0.6860000000000001</v>
      </c>
      <c r="K55" t="n">
        <v>2.903</v>
      </c>
      <c r="L55" t="n">
        <v>4.015</v>
      </c>
      <c r="M55" t="n">
        <v>10.617</v>
      </c>
    </row>
    <row r="56">
      <c r="A56" t="inlineStr">
        <is>
          <t>2025-07</t>
        </is>
      </c>
      <c r="B56" t="n">
        <v>79.81</v>
      </c>
      <c r="C56" t="n">
        <v>7.73</v>
      </c>
      <c r="D56" t="n">
        <v>21.76</v>
      </c>
      <c r="E56" t="n">
        <v>95.12</v>
      </c>
      <c r="F56" t="n">
        <v>135.88</v>
      </c>
      <c r="G56" t="n">
        <v>340.3</v>
      </c>
      <c r="H56" t="n">
        <v>2.574</v>
      </c>
      <c r="I56" t="n">
        <v>0.249</v>
      </c>
      <c r="J56" t="n">
        <v>0.702</v>
      </c>
      <c r="K56" t="n">
        <v>3.068</v>
      </c>
      <c r="L56" t="n">
        <v>4.383</v>
      </c>
      <c r="M56" t="n">
        <v>10.977</v>
      </c>
    </row>
    <row r="57">
      <c r="A57" t="inlineStr">
        <is>
          <t>2025-08</t>
        </is>
      </c>
      <c r="B57" t="n">
        <v>79.73999999999999</v>
      </c>
      <c r="C57" t="n">
        <v>8.460000000000001</v>
      </c>
      <c r="D57" t="n">
        <v>34.85</v>
      </c>
      <c r="E57" t="n">
        <v>90.19</v>
      </c>
      <c r="F57" t="n">
        <v>130.8</v>
      </c>
      <c r="G57" t="n">
        <v>344.04</v>
      </c>
      <c r="H57" t="n">
        <v>2.572</v>
      </c>
      <c r="I57" t="n">
        <v>0.273</v>
      </c>
      <c r="J57" t="n">
        <v>1.124</v>
      </c>
      <c r="K57" t="n">
        <v>2.909</v>
      </c>
      <c r="L57" t="n">
        <v>4.219</v>
      </c>
      <c r="M57" t="n">
        <v>11.098</v>
      </c>
    </row>
    <row r="58">
      <c r="A58" t="inlineStr">
        <is>
          <t>2025-09</t>
        </is>
      </c>
      <c r="B58" t="n">
        <v>81.44</v>
      </c>
      <c r="C58" t="n">
        <v>7.23</v>
      </c>
      <c r="D58" t="n">
        <v>20.46</v>
      </c>
      <c r="E58" t="n">
        <v>82.14</v>
      </c>
      <c r="F58" t="n">
        <v>159.14</v>
      </c>
      <c r="G58" t="n">
        <v>350.42</v>
      </c>
      <c r="H58" t="n">
        <v>2.715</v>
      </c>
      <c r="I58" t="n">
        <v>0.241</v>
      </c>
      <c r="J58" t="n">
        <v>0.6820000000000001</v>
      </c>
      <c r="K58" t="n">
        <v>2.738</v>
      </c>
      <c r="L58" t="n">
        <v>5.305</v>
      </c>
      <c r="M58" t="n">
        <v>11.681</v>
      </c>
    </row>
    <row r="59">
      <c r="A59" t="inlineStr">
        <is>
          <t>2025-10</t>
        </is>
      </c>
      <c r="B59" t="n">
        <v>78.91</v>
      </c>
      <c r="C59" t="n">
        <v>7.31</v>
      </c>
      <c r="D59" t="n">
        <v>19.88</v>
      </c>
      <c r="E59" t="n">
        <v>81.54000000000001</v>
      </c>
      <c r="F59" t="n">
        <v>141.9</v>
      </c>
      <c r="G59" t="n">
        <v>329.54</v>
      </c>
      <c r="H59" t="n">
        <v>2.546</v>
      </c>
      <c r="I59" t="n">
        <v>0.236</v>
      </c>
      <c r="J59" t="n">
        <v>0.641</v>
      </c>
      <c r="K59" t="n">
        <v>2.63</v>
      </c>
      <c r="L59" t="n">
        <v>4.577</v>
      </c>
      <c r="M59" t="n">
        <v>10.63</v>
      </c>
    </row>
    <row r="60">
      <c r="A60" t="inlineStr">
        <is>
          <t>2025-11</t>
        </is>
      </c>
      <c r="B60" t="n">
        <v>80.73</v>
      </c>
      <c r="C60" t="n">
        <v>7.52</v>
      </c>
      <c r="D60" t="n">
        <v>21.3</v>
      </c>
      <c r="E60" t="n">
        <v>82.73</v>
      </c>
      <c r="F60" t="n">
        <v>159.48</v>
      </c>
      <c r="G60" t="n">
        <v>351.76</v>
      </c>
      <c r="H60" t="n">
        <v>2.691</v>
      </c>
      <c r="I60" t="n">
        <v>0.251</v>
      </c>
      <c r="J60" t="n">
        <v>0.71</v>
      </c>
      <c r="K60" t="n">
        <v>2.758</v>
      </c>
      <c r="L60" t="n">
        <v>5.316</v>
      </c>
      <c r="M60" t="n">
        <v>11.725</v>
      </c>
    </row>
    <row r="61">
      <c r="A61" t="inlineStr">
        <is>
          <t>2025-12</t>
        </is>
      </c>
      <c r="B61" t="n">
        <v>67.59999999999999</v>
      </c>
      <c r="C61" t="n">
        <v>6.4</v>
      </c>
      <c r="D61" t="n">
        <v>17.68</v>
      </c>
      <c r="E61" t="n">
        <v>85.66</v>
      </c>
      <c r="F61" t="n">
        <v>156.13</v>
      </c>
      <c r="G61" t="n">
        <v>333.48</v>
      </c>
      <c r="H61" t="n">
        <v>2.181</v>
      </c>
      <c r="I61" t="n">
        <v>0.207</v>
      </c>
      <c r="J61" t="n">
        <v>0.57</v>
      </c>
      <c r="K61" t="n">
        <v>2.763</v>
      </c>
      <c r="L61" t="n">
        <v>5.037</v>
      </c>
      <c r="M61" t="n">
        <v>10.757</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11" customWidth="1" min="1" max="1"/>
  </cols>
  <sheetData>
    <row r="1">
      <c r="A1" t="inlineStr">
        <is>
          <t>Date</t>
        </is>
      </c>
      <c r="B1" t="inlineStr">
        <is>
          <t>Gas imports</t>
        </is>
      </c>
    </row>
    <row r="2">
      <c r="A2" s="5" t="n">
        <v>45870</v>
      </c>
      <c r="B2" t="n">
        <v>16.63</v>
      </c>
    </row>
    <row r="3">
      <c r="A3" s="5" t="n">
        <v>45901</v>
      </c>
      <c r="B3" t="n">
        <v>19.54</v>
      </c>
    </row>
    <row r="4">
      <c r="A4" s="5" t="n">
        <v>45931</v>
      </c>
      <c r="B4" t="n">
        <v>13.29</v>
      </c>
    </row>
    <row r="5">
      <c r="A5" s="5" t="n">
        <v>45962</v>
      </c>
      <c r="B5" t="n">
        <v>18.18</v>
      </c>
    </row>
    <row r="6">
      <c r="A6" s="5" t="n">
        <v>45992</v>
      </c>
      <c r="B6" t="n">
        <v>18.12</v>
      </c>
    </row>
    <row r="7">
      <c r="A7" s="5" t="n">
        <v>46023</v>
      </c>
      <c r="B7" t="n">
        <v>18.82</v>
      </c>
    </row>
    <row r="8">
      <c r="A8" s="5" t="n">
        <v>46054</v>
      </c>
      <c r="B8" t="n">
        <v>21.61</v>
      </c>
    </row>
    <row r="9">
      <c r="A9" s="5" t="n">
        <v>46113</v>
      </c>
      <c r="B9" t="n">
        <v>19.77</v>
      </c>
    </row>
    <row r="10">
      <c r="A10" s="5" t="n">
        <v>46143</v>
      </c>
      <c r="B10" t="n">
        <v>20.22</v>
      </c>
    </row>
    <row r="11">
      <c r="A11" s="5" t="n">
        <v>46174</v>
      </c>
      <c r="B11" t="n">
        <v>20.17</v>
      </c>
    </row>
    <row r="12">
      <c r="A12" s="5" t="n">
        <v>46204</v>
      </c>
      <c r="B12" t="n">
        <v>22.55</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2"/>
  <sheetViews>
    <sheetView workbookViewId="0">
      <pane ySplit="1" topLeftCell="A2" activePane="bottomLeft" state="frozen"/>
      <selection pane="bottomLeft" activeCell="A1" sqref="A1"/>
    </sheetView>
  </sheetViews>
  <sheetFormatPr baseColWidth="8" defaultRowHeight="15"/>
  <sheetData>
    <row r="1">
      <c r="A1" s="6" t="inlineStr">
        <is>
          <t>Month</t>
        </is>
      </c>
      <c r="B1" s="6" t="inlineStr">
        <is>
          <t>Imports_kt</t>
        </is>
      </c>
      <c r="C1" s="6" t="inlineStr">
        <is>
          <t>Imports_mcm_per_day_approx</t>
        </is>
      </c>
      <c r="D1" s="6" t="inlineStr">
        <is>
          <t>Origins</t>
        </is>
      </c>
      <c r="E1" s="6" t="inlineStr">
        <is>
          <t>Report</t>
        </is>
      </c>
    </row>
    <row r="2">
      <c r="A2" t="inlineStr">
        <is>
          <t>2025-08</t>
        </is>
      </c>
      <c r="B2" t="n">
        <v>379</v>
      </c>
      <c r="C2" t="n">
        <v>16.63</v>
      </c>
      <c r="D2" t="inlineStr">
        <is>
          <t>Nigeria, Estados Unidos, Trinidad y Tobago y Argentina</t>
        </is>
      </c>
      <c r="E2" t="inlineStr">
        <is>
          <t>https://www.cne.cl/wp-content/uploads/2025/10/RMensual_v202510.pdf</t>
        </is>
      </c>
    </row>
    <row r="3">
      <c r="A3" t="inlineStr">
        <is>
          <t>2025-09</t>
        </is>
      </c>
      <c r="B3" t="n">
        <v>431</v>
      </c>
      <c r="C3" t="n">
        <v>19.54</v>
      </c>
      <c r="D3" t="inlineStr">
        <is>
          <t>Estados Unidos, Nigeria, Trinidad y Tobago y Argentina</t>
        </is>
      </c>
      <c r="E3" t="inlineStr">
        <is>
          <t>https://www.cne.cl/wp-content/uploads/2025/11/RMensual_v202511.pdf</t>
        </is>
      </c>
    </row>
    <row r="4">
      <c r="A4" t="inlineStr">
        <is>
          <t>2025-10</t>
        </is>
      </c>
      <c r="B4" t="n">
        <v>303</v>
      </c>
      <c r="C4" t="n">
        <v>13.29</v>
      </c>
      <c r="D4" t="inlineStr">
        <is>
          <t>Trinidad y Tobago, Estados Unidos y Argentina</t>
        </is>
      </c>
      <c r="E4" t="inlineStr">
        <is>
          <t>https://www.cne.cl/wp-content/uploads/2025/12/RMensual_v202512.pdf</t>
        </is>
      </c>
    </row>
    <row r="5">
      <c r="A5" t="inlineStr">
        <is>
          <t>2025-11</t>
        </is>
      </c>
      <c r="B5" t="n">
        <v>401</v>
      </c>
      <c r="C5" t="n">
        <v>18.18</v>
      </c>
      <c r="D5" t="inlineStr">
        <is>
          <t>Australia, Estados Unidos, Trinidad y Tobago y Argentina</t>
        </is>
      </c>
      <c r="E5" t="inlineStr">
        <is>
          <t>https://www.cne.cl/wp-content/uploads/2026/01/RMensual_v202601.pdf</t>
        </is>
      </c>
    </row>
    <row r="6">
      <c r="A6" t="inlineStr">
        <is>
          <t>2025-12</t>
        </is>
      </c>
      <c r="B6" t="n">
        <v>413</v>
      </c>
      <c r="C6" t="n">
        <v>18.12</v>
      </c>
      <c r="D6" t="inlineStr">
        <is>
          <t>Australia, Estados Unidos, Trinidad y Tobago y Argentina</t>
        </is>
      </c>
      <c r="E6" t="inlineStr">
        <is>
          <t>https://www.cne.cl/wp-content/uploads/2026/02/RMensual_v202602.pdf</t>
        </is>
      </c>
    </row>
    <row r="7">
      <c r="A7" t="inlineStr">
        <is>
          <t>2026-01</t>
        </is>
      </c>
      <c r="B7" t="n">
        <v>429</v>
      </c>
      <c r="C7" t="n">
        <v>18.82</v>
      </c>
      <c r="D7" t="inlineStr">
        <is>
          <t>Trinidad y Tobago, Estados Unidos, y Argentina</t>
        </is>
      </c>
      <c r="E7" t="inlineStr">
        <is>
          <t>https://www.cne.cl/wp-content/uploads/2026/03/RMensual_v202603.pdf</t>
        </is>
      </c>
    </row>
    <row r="8">
      <c r="A8" t="inlineStr">
        <is>
          <t>2026-02</t>
        </is>
      </c>
      <c r="B8" t="n">
        <v>445</v>
      </c>
      <c r="C8" t="n">
        <v>21.61</v>
      </c>
      <c r="D8" t="inlineStr">
        <is>
          <t>Australia y Argentina</t>
        </is>
      </c>
      <c r="E8" t="inlineStr">
        <is>
          <t>https://www.cne.cl/wp-content/uploads/2026/04/RMensual_v202604.pdf</t>
        </is>
      </c>
    </row>
    <row r="9">
      <c r="A9" t="inlineStr">
        <is>
          <t>2026-04</t>
        </is>
      </c>
      <c r="B9" t="n">
        <v>436</v>
      </c>
      <c r="C9" t="n">
        <v>19.77</v>
      </c>
      <c r="D9" t="inlineStr">
        <is>
          <t>Trinidad y Tobago, Estados Unidos y Argentina</t>
        </is>
      </c>
      <c r="E9" t="inlineStr">
        <is>
          <t>https://www.cne.cl/wp-content/uploads/2026/06/RMensual_v202606.pdf</t>
        </is>
      </c>
    </row>
    <row r="10">
      <c r="A10" t="inlineStr">
        <is>
          <t>2026-05</t>
        </is>
      </c>
      <c r="B10" t="n">
        <v>461</v>
      </c>
      <c r="C10" t="n">
        <v>20.22</v>
      </c>
      <c r="E10" t="inlineStr">
        <is>
          <t>https://www.cne.cl/wp-content/uploads/2026/07/RMensual_v202607.pdf</t>
        </is>
      </c>
    </row>
    <row r="11">
      <c r="A11" t="inlineStr">
        <is>
          <t>2026-06</t>
        </is>
      </c>
      <c r="B11" t="n">
        <v>445</v>
      </c>
      <c r="C11" t="n">
        <v>20.17</v>
      </c>
      <c r="E11" t="inlineStr">
        <is>
          <t>https://www.cne.cl/wp-content/uploads/2026/08/RMensual_v202608.pdf</t>
        </is>
      </c>
    </row>
    <row r="12">
      <c r="A12" t="inlineStr">
        <is>
          <t>2026-07</t>
        </is>
      </c>
      <c r="B12" t="n">
        <v>514</v>
      </c>
      <c r="C12" t="n">
        <v>22.55</v>
      </c>
      <c r="D12" t="inlineStr">
        <is>
          <t>Trinidad y Tobago, Estados Unidos y Argentina</t>
        </is>
      </c>
      <c r="E12" t="inlineStr">
        <is>
          <t>https://www.cne.cl/wp-content/uploads/2026/09/RMensual_v202609.pdf</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65"/>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Other</t>
        </is>
      </c>
    </row>
    <row r="2">
      <c r="A2" s="5" t="n">
        <v>44197</v>
      </c>
      <c r="B2" t="n">
        <v>1870</v>
      </c>
      <c r="C2" t="n">
        <v>720</v>
      </c>
      <c r="D2" t="n">
        <v>540</v>
      </c>
      <c r="E2" t="n">
        <v>930</v>
      </c>
      <c r="F2" t="n">
        <v>2360</v>
      </c>
      <c r="G2" t="n">
        <v>360</v>
      </c>
    </row>
    <row r="3">
      <c r="A3" s="5" t="n">
        <v>44228</v>
      </c>
      <c r="B3" t="n">
        <v>1280</v>
      </c>
      <c r="C3" t="n">
        <v>1010</v>
      </c>
      <c r="D3" t="n">
        <v>430</v>
      </c>
      <c r="E3" t="n">
        <v>810</v>
      </c>
      <c r="F3" t="n">
        <v>2130</v>
      </c>
      <c r="G3" t="n">
        <v>510</v>
      </c>
    </row>
    <row r="4">
      <c r="A4" s="5" t="n">
        <v>44256</v>
      </c>
      <c r="B4" t="n">
        <v>1200</v>
      </c>
      <c r="C4" t="n">
        <v>1330</v>
      </c>
      <c r="D4" t="n">
        <v>480</v>
      </c>
      <c r="E4" t="n">
        <v>840</v>
      </c>
      <c r="F4" t="n">
        <v>2640</v>
      </c>
      <c r="G4" t="n">
        <v>490</v>
      </c>
    </row>
    <row r="5">
      <c r="A5" s="5" t="n">
        <v>44287</v>
      </c>
      <c r="B5" t="n">
        <v>890</v>
      </c>
      <c r="C5" t="n">
        <v>1600</v>
      </c>
      <c r="D5" t="n">
        <v>460</v>
      </c>
      <c r="E5" t="n">
        <v>730</v>
      </c>
      <c r="F5" t="n">
        <v>2510</v>
      </c>
      <c r="G5" t="n">
        <v>350</v>
      </c>
    </row>
    <row r="6">
      <c r="A6" s="5" t="n">
        <v>44317</v>
      </c>
      <c r="B6" t="n">
        <v>1170</v>
      </c>
      <c r="C6" t="n">
        <v>1540</v>
      </c>
      <c r="D6" t="n">
        <v>500</v>
      </c>
      <c r="E6" t="n">
        <v>630</v>
      </c>
      <c r="F6" t="n">
        <v>2670</v>
      </c>
      <c r="G6" t="n">
        <v>370</v>
      </c>
    </row>
    <row r="7">
      <c r="A7" s="5" t="n">
        <v>44348</v>
      </c>
      <c r="B7" t="n">
        <v>1670</v>
      </c>
      <c r="C7" t="n">
        <v>1110</v>
      </c>
      <c r="D7" t="n">
        <v>530</v>
      </c>
      <c r="E7" t="n">
        <v>590</v>
      </c>
      <c r="F7" t="n">
        <v>2580</v>
      </c>
      <c r="G7" t="n">
        <v>300</v>
      </c>
    </row>
    <row r="8">
      <c r="A8" s="5" t="n">
        <v>44378</v>
      </c>
      <c r="B8" t="n">
        <v>1110</v>
      </c>
      <c r="C8" t="n">
        <v>1310</v>
      </c>
      <c r="D8" t="n">
        <v>580</v>
      </c>
      <c r="E8" t="n">
        <v>670</v>
      </c>
      <c r="F8" t="n">
        <v>2830</v>
      </c>
      <c r="G8" t="n">
        <v>630</v>
      </c>
    </row>
    <row r="9">
      <c r="A9" s="5" t="n">
        <v>44409</v>
      </c>
      <c r="B9" t="n">
        <v>1150</v>
      </c>
      <c r="C9" t="n">
        <v>1540</v>
      </c>
      <c r="D9" t="n">
        <v>660</v>
      </c>
      <c r="E9" t="n">
        <v>810</v>
      </c>
      <c r="F9" t="n">
        <v>2260</v>
      </c>
      <c r="G9" t="n">
        <v>640</v>
      </c>
    </row>
    <row r="10">
      <c r="A10" s="5" t="n">
        <v>44440</v>
      </c>
      <c r="B10" t="n">
        <v>1360</v>
      </c>
      <c r="C10" t="n">
        <v>1120</v>
      </c>
      <c r="D10" t="n">
        <v>770</v>
      </c>
      <c r="E10" t="n">
        <v>970</v>
      </c>
      <c r="F10" t="n">
        <v>2060</v>
      </c>
      <c r="G10" t="n">
        <v>270</v>
      </c>
    </row>
    <row r="11">
      <c r="A11" s="5" t="n">
        <v>44470</v>
      </c>
      <c r="B11" t="n">
        <v>1510</v>
      </c>
      <c r="C11" t="n">
        <v>1130</v>
      </c>
      <c r="D11" t="n">
        <v>800</v>
      </c>
      <c r="E11" t="n">
        <v>1200</v>
      </c>
      <c r="F11" t="n">
        <v>1890</v>
      </c>
      <c r="G11" t="n">
        <v>290</v>
      </c>
    </row>
    <row r="12">
      <c r="A12" s="5" t="n">
        <v>44501</v>
      </c>
      <c r="B12" t="n">
        <v>1610</v>
      </c>
      <c r="C12" t="n">
        <v>970</v>
      </c>
      <c r="D12" t="n">
        <v>760</v>
      </c>
      <c r="E12" t="n">
        <v>1310</v>
      </c>
      <c r="F12" t="n">
        <v>1780</v>
      </c>
      <c r="G12" t="n">
        <v>300</v>
      </c>
    </row>
    <row r="13">
      <c r="A13" s="5" t="n">
        <v>44531</v>
      </c>
      <c r="B13" t="n">
        <v>1680</v>
      </c>
      <c r="C13" t="n">
        <v>1090</v>
      </c>
      <c r="D13" t="n">
        <v>740</v>
      </c>
      <c r="E13" t="n">
        <v>1300</v>
      </c>
      <c r="F13" t="n">
        <v>1960</v>
      </c>
      <c r="G13" t="n">
        <v>380</v>
      </c>
    </row>
    <row r="14">
      <c r="A14" s="5" t="n">
        <v>44562</v>
      </c>
      <c r="B14" t="n">
        <v>1530</v>
      </c>
      <c r="C14" t="n">
        <v>1200</v>
      </c>
      <c r="D14" t="n">
        <v>820</v>
      </c>
      <c r="E14" t="n">
        <v>1340</v>
      </c>
      <c r="F14" t="n">
        <v>1730</v>
      </c>
      <c r="G14" t="n">
        <v>390</v>
      </c>
    </row>
    <row r="15">
      <c r="A15" s="5" t="n">
        <v>44593</v>
      </c>
      <c r="B15" t="n">
        <v>1230</v>
      </c>
      <c r="C15" t="n">
        <v>1220</v>
      </c>
      <c r="D15" t="n">
        <v>680</v>
      </c>
      <c r="E15" t="n">
        <v>1250</v>
      </c>
      <c r="F15" t="n">
        <v>1680</v>
      </c>
      <c r="G15" t="n">
        <v>360</v>
      </c>
    </row>
    <row r="16">
      <c r="A16" s="5" t="n">
        <v>44621</v>
      </c>
      <c r="B16" t="n">
        <v>1120</v>
      </c>
      <c r="C16" t="n">
        <v>1490</v>
      </c>
      <c r="D16" t="n">
        <v>740</v>
      </c>
      <c r="E16" t="n">
        <v>1270</v>
      </c>
      <c r="F16" t="n">
        <v>2160</v>
      </c>
      <c r="G16" t="n">
        <v>350</v>
      </c>
    </row>
    <row r="17">
      <c r="A17" s="5" t="n">
        <v>44652</v>
      </c>
      <c r="B17" t="n">
        <v>920</v>
      </c>
      <c r="C17" t="n">
        <v>1520</v>
      </c>
      <c r="D17" t="n">
        <v>680</v>
      </c>
      <c r="E17" t="n">
        <v>1080</v>
      </c>
      <c r="F17" t="n">
        <v>1890</v>
      </c>
      <c r="G17" t="n">
        <v>540</v>
      </c>
    </row>
    <row r="18">
      <c r="A18" s="5" t="n">
        <v>44682</v>
      </c>
      <c r="B18" t="n">
        <v>1200</v>
      </c>
      <c r="C18" t="n">
        <v>1580</v>
      </c>
      <c r="D18" t="n">
        <v>760</v>
      </c>
      <c r="E18" t="n">
        <v>1020</v>
      </c>
      <c r="F18" t="n">
        <v>2140</v>
      </c>
      <c r="G18" t="n">
        <v>450</v>
      </c>
    </row>
    <row r="19">
      <c r="A19" s="5" t="n">
        <v>44713</v>
      </c>
      <c r="B19" t="n">
        <v>1460</v>
      </c>
      <c r="C19" t="n">
        <v>1610</v>
      </c>
      <c r="D19" t="n">
        <v>620</v>
      </c>
      <c r="E19" t="n">
        <v>840</v>
      </c>
      <c r="F19" t="n">
        <v>2020</v>
      </c>
      <c r="G19" t="n">
        <v>530</v>
      </c>
    </row>
    <row r="20">
      <c r="A20" s="5" t="n">
        <v>44743</v>
      </c>
      <c r="B20" t="n">
        <v>1840</v>
      </c>
      <c r="C20" t="n">
        <v>1350</v>
      </c>
      <c r="D20" t="n">
        <v>840</v>
      </c>
      <c r="E20" t="n">
        <v>840</v>
      </c>
      <c r="F20" t="n">
        <v>1990</v>
      </c>
      <c r="G20" t="n">
        <v>370</v>
      </c>
    </row>
    <row r="21">
      <c r="A21" s="5" t="n">
        <v>44774</v>
      </c>
      <c r="B21" t="n">
        <v>2050</v>
      </c>
      <c r="C21" t="n">
        <v>1270</v>
      </c>
      <c r="D21" t="n">
        <v>780</v>
      </c>
      <c r="E21" t="n">
        <v>1080</v>
      </c>
      <c r="F21" t="n">
        <v>1570</v>
      </c>
      <c r="G21" t="n">
        <v>290</v>
      </c>
    </row>
    <row r="22">
      <c r="A22" s="5" t="n">
        <v>44805</v>
      </c>
      <c r="B22" t="n">
        <v>1960</v>
      </c>
      <c r="C22" t="n">
        <v>1230</v>
      </c>
      <c r="D22" t="n">
        <v>750</v>
      </c>
      <c r="E22" t="n">
        <v>1260</v>
      </c>
      <c r="F22" t="n">
        <v>1070</v>
      </c>
      <c r="G22" t="n">
        <v>320</v>
      </c>
    </row>
    <row r="23">
      <c r="A23" s="5" t="n">
        <v>44835</v>
      </c>
      <c r="B23" t="n">
        <v>2400</v>
      </c>
      <c r="C23" t="n">
        <v>1020</v>
      </c>
      <c r="D23" t="n">
        <v>780</v>
      </c>
      <c r="E23" t="n">
        <v>1420</v>
      </c>
      <c r="F23" t="n">
        <v>920</v>
      </c>
      <c r="G23" t="n">
        <v>260</v>
      </c>
    </row>
    <row r="24">
      <c r="A24" s="5" t="n">
        <v>44866</v>
      </c>
      <c r="B24" t="n">
        <v>2500</v>
      </c>
      <c r="C24" t="n">
        <v>1060</v>
      </c>
      <c r="D24" t="n">
        <v>610</v>
      </c>
      <c r="E24" t="n">
        <v>1460</v>
      </c>
      <c r="F24" t="n">
        <v>890</v>
      </c>
      <c r="G24" t="n">
        <v>290</v>
      </c>
    </row>
    <row r="25">
      <c r="A25" s="5" t="n">
        <v>44896</v>
      </c>
      <c r="B25" t="n">
        <v>2090</v>
      </c>
      <c r="C25" t="n">
        <v>1320</v>
      </c>
      <c r="D25" t="n">
        <v>780</v>
      </c>
      <c r="E25" t="n">
        <v>1660</v>
      </c>
      <c r="F25" t="n">
        <v>1100</v>
      </c>
      <c r="G25" t="n">
        <v>320</v>
      </c>
    </row>
    <row r="26">
      <c r="A26" s="5" t="n">
        <v>44927</v>
      </c>
      <c r="B26" t="n">
        <v>1600</v>
      </c>
      <c r="C26" t="n">
        <v>1520</v>
      </c>
      <c r="D26" t="n">
        <v>830</v>
      </c>
      <c r="E26" t="n">
        <v>1730</v>
      </c>
      <c r="F26" t="n">
        <v>1070</v>
      </c>
      <c r="G26" t="n">
        <v>330</v>
      </c>
    </row>
    <row r="27">
      <c r="A27" s="5" t="n">
        <v>44958</v>
      </c>
      <c r="B27" t="n">
        <v>1390</v>
      </c>
      <c r="C27" t="n">
        <v>1490</v>
      </c>
      <c r="D27" t="n">
        <v>740</v>
      </c>
      <c r="E27" t="n">
        <v>1500</v>
      </c>
      <c r="F27" t="n">
        <v>1080</v>
      </c>
      <c r="G27" t="n">
        <v>330</v>
      </c>
    </row>
    <row r="28">
      <c r="A28" s="5" t="n">
        <v>44986</v>
      </c>
      <c r="B28" t="n">
        <v>1250</v>
      </c>
      <c r="C28" t="n">
        <v>1980</v>
      </c>
      <c r="D28" t="n">
        <v>720</v>
      </c>
      <c r="E28" t="n">
        <v>1600</v>
      </c>
      <c r="F28" t="n">
        <v>1350</v>
      </c>
      <c r="G28" t="n">
        <v>350</v>
      </c>
    </row>
    <row r="29">
      <c r="A29" s="5" t="n">
        <v>45017</v>
      </c>
      <c r="B29" t="n">
        <v>920</v>
      </c>
      <c r="C29" t="n">
        <v>1950</v>
      </c>
      <c r="D29" t="n">
        <v>650</v>
      </c>
      <c r="E29" t="n">
        <v>1350</v>
      </c>
      <c r="F29" t="n">
        <v>1440</v>
      </c>
      <c r="G29" t="n">
        <v>340</v>
      </c>
    </row>
    <row r="30">
      <c r="A30" s="5" t="n">
        <v>45047</v>
      </c>
      <c r="B30" t="n">
        <v>1080</v>
      </c>
      <c r="C30" t="n">
        <v>1970</v>
      </c>
      <c r="D30" t="n">
        <v>850</v>
      </c>
      <c r="E30" t="n">
        <v>1230</v>
      </c>
      <c r="F30" t="n">
        <v>1540</v>
      </c>
      <c r="G30" t="n">
        <v>370</v>
      </c>
    </row>
    <row r="31">
      <c r="A31" s="5" t="n">
        <v>45078</v>
      </c>
      <c r="B31" t="n">
        <v>1640</v>
      </c>
      <c r="C31" t="n">
        <v>1770</v>
      </c>
      <c r="D31" t="n">
        <v>970</v>
      </c>
      <c r="E31" t="n">
        <v>1070</v>
      </c>
      <c r="F31" t="n">
        <v>1300</v>
      </c>
      <c r="G31" t="n">
        <v>310</v>
      </c>
    </row>
    <row r="32">
      <c r="A32" s="5" t="n">
        <v>45108</v>
      </c>
      <c r="B32" t="n">
        <v>2660</v>
      </c>
      <c r="C32" t="n">
        <v>1230</v>
      </c>
      <c r="D32" t="n">
        <v>740</v>
      </c>
      <c r="E32" t="n">
        <v>1140</v>
      </c>
      <c r="F32" t="n">
        <v>1140</v>
      </c>
      <c r="G32" t="n">
        <v>290</v>
      </c>
    </row>
    <row r="33">
      <c r="A33" s="5" t="n">
        <v>45139</v>
      </c>
      <c r="B33" t="n">
        <v>2660</v>
      </c>
      <c r="C33" t="n">
        <v>1010</v>
      </c>
      <c r="D33" t="n">
        <v>780</v>
      </c>
      <c r="E33" t="n">
        <v>1190</v>
      </c>
      <c r="F33" t="n">
        <v>1190</v>
      </c>
      <c r="G33" t="n">
        <v>280</v>
      </c>
    </row>
    <row r="34">
      <c r="A34" s="5" t="n">
        <v>45170</v>
      </c>
      <c r="B34" t="n">
        <v>2710</v>
      </c>
      <c r="C34" t="n">
        <v>800</v>
      </c>
      <c r="D34" t="n">
        <v>910</v>
      </c>
      <c r="E34" t="n">
        <v>1180</v>
      </c>
      <c r="F34" t="n">
        <v>960</v>
      </c>
      <c r="G34" t="n">
        <v>290</v>
      </c>
    </row>
    <row r="35">
      <c r="A35" s="5" t="n">
        <v>45200</v>
      </c>
      <c r="B35" t="n">
        <v>2570</v>
      </c>
      <c r="C35" t="n">
        <v>650</v>
      </c>
      <c r="D35" t="n">
        <v>970</v>
      </c>
      <c r="E35" t="n">
        <v>1480</v>
      </c>
      <c r="F35" t="n">
        <v>980</v>
      </c>
      <c r="G35" t="n">
        <v>260</v>
      </c>
    </row>
    <row r="36">
      <c r="A36" s="5" t="n">
        <v>45231</v>
      </c>
      <c r="B36" t="n">
        <v>2760</v>
      </c>
      <c r="C36" t="n">
        <v>490</v>
      </c>
      <c r="D36" t="n">
        <v>870</v>
      </c>
      <c r="E36" t="n">
        <v>1520</v>
      </c>
      <c r="F36" t="n">
        <v>890</v>
      </c>
      <c r="G36" t="n">
        <v>270</v>
      </c>
    </row>
    <row r="37">
      <c r="A37" s="5" t="n">
        <v>45261</v>
      </c>
      <c r="B37" t="n">
        <v>2720</v>
      </c>
      <c r="C37" t="n">
        <v>540</v>
      </c>
      <c r="D37" t="n">
        <v>860</v>
      </c>
      <c r="E37" t="n">
        <v>1740</v>
      </c>
      <c r="F37" t="n">
        <v>1030</v>
      </c>
      <c r="G37" t="n">
        <v>310</v>
      </c>
    </row>
    <row r="38">
      <c r="A38" s="5" t="n">
        <v>45292</v>
      </c>
      <c r="B38" t="n">
        <v>2460</v>
      </c>
      <c r="C38" t="n">
        <v>850</v>
      </c>
      <c r="D38" t="n">
        <v>890</v>
      </c>
      <c r="E38" t="n">
        <v>1900</v>
      </c>
      <c r="F38" t="n">
        <v>960</v>
      </c>
      <c r="G38" t="n">
        <v>290</v>
      </c>
    </row>
    <row r="39">
      <c r="A39" s="5" t="n">
        <v>45323</v>
      </c>
      <c r="B39" t="n">
        <v>1920</v>
      </c>
      <c r="C39" t="n">
        <v>1170</v>
      </c>
      <c r="D39" t="n">
        <v>680</v>
      </c>
      <c r="E39" t="n">
        <v>1680</v>
      </c>
      <c r="F39" t="n">
        <v>1220</v>
      </c>
      <c r="G39" t="n">
        <v>340</v>
      </c>
    </row>
    <row r="40">
      <c r="A40" s="5" t="n">
        <v>45352</v>
      </c>
      <c r="B40" t="n">
        <v>1720</v>
      </c>
      <c r="C40" t="n">
        <v>1360</v>
      </c>
      <c r="D40" t="n">
        <v>910</v>
      </c>
      <c r="E40" t="n">
        <v>1720</v>
      </c>
      <c r="F40" t="n">
        <v>1280</v>
      </c>
      <c r="G40" t="n">
        <v>310</v>
      </c>
    </row>
    <row r="41">
      <c r="A41" s="5" t="n">
        <v>45383</v>
      </c>
      <c r="B41" t="n">
        <v>1330</v>
      </c>
      <c r="C41" t="n">
        <v>1410</v>
      </c>
      <c r="D41" t="n">
        <v>780</v>
      </c>
      <c r="E41" t="n">
        <v>1410</v>
      </c>
      <c r="F41" t="n">
        <v>1540</v>
      </c>
      <c r="G41" t="n">
        <v>320</v>
      </c>
    </row>
    <row r="42">
      <c r="A42" s="5" t="n">
        <v>45413</v>
      </c>
      <c r="B42" t="n">
        <v>1780</v>
      </c>
      <c r="C42" t="n">
        <v>1750</v>
      </c>
      <c r="D42" t="n">
        <v>850</v>
      </c>
      <c r="E42" t="n">
        <v>1270</v>
      </c>
      <c r="F42" t="n">
        <v>1500</v>
      </c>
      <c r="G42" t="n">
        <v>320</v>
      </c>
    </row>
    <row r="43">
      <c r="A43" s="5" t="n">
        <v>45444</v>
      </c>
      <c r="B43" t="n">
        <v>2560</v>
      </c>
      <c r="C43" t="n">
        <v>1300</v>
      </c>
      <c r="D43" t="n">
        <v>990</v>
      </c>
      <c r="E43" t="n">
        <v>1110</v>
      </c>
      <c r="F43" t="n">
        <v>1030</v>
      </c>
      <c r="G43" t="n">
        <v>250</v>
      </c>
    </row>
    <row r="44">
      <c r="A44" s="5" t="n">
        <v>45474</v>
      </c>
      <c r="B44" t="n">
        <v>2540</v>
      </c>
      <c r="C44" t="n">
        <v>1200</v>
      </c>
      <c r="D44" t="n">
        <v>1020</v>
      </c>
      <c r="E44" t="n">
        <v>1330</v>
      </c>
      <c r="F44" t="n">
        <v>1010</v>
      </c>
      <c r="G44" t="n">
        <v>280</v>
      </c>
    </row>
    <row r="45">
      <c r="A45" s="5" t="n">
        <v>45505</v>
      </c>
      <c r="B45" t="n">
        <v>2420</v>
      </c>
      <c r="C45" t="n">
        <v>1130</v>
      </c>
      <c r="D45" t="n">
        <v>990</v>
      </c>
      <c r="E45" t="n">
        <v>1410</v>
      </c>
      <c r="F45" t="n">
        <v>950</v>
      </c>
      <c r="G45" t="n">
        <v>290</v>
      </c>
    </row>
    <row r="46">
      <c r="A46" s="5" t="n">
        <v>45536</v>
      </c>
      <c r="B46" t="n">
        <v>2150</v>
      </c>
      <c r="C46" t="n">
        <v>670</v>
      </c>
      <c r="D46" t="n">
        <v>1100</v>
      </c>
      <c r="E46" t="n">
        <v>1590</v>
      </c>
      <c r="F46" t="n">
        <v>930</v>
      </c>
      <c r="G46" t="n">
        <v>290</v>
      </c>
    </row>
    <row r="47">
      <c r="A47" s="5" t="n">
        <v>45566</v>
      </c>
      <c r="B47" t="n">
        <v>2830</v>
      </c>
      <c r="C47" t="n">
        <v>540</v>
      </c>
      <c r="D47" t="n">
        <v>870</v>
      </c>
      <c r="E47" t="n">
        <v>1620</v>
      </c>
      <c r="F47" t="n">
        <v>800</v>
      </c>
      <c r="G47" t="n">
        <v>270</v>
      </c>
    </row>
    <row r="48">
      <c r="A48" s="5" t="n">
        <v>45597</v>
      </c>
      <c r="B48" t="n">
        <v>2860</v>
      </c>
      <c r="C48" t="n">
        <v>300</v>
      </c>
      <c r="D48" t="n">
        <v>930</v>
      </c>
      <c r="E48" t="n">
        <v>1700</v>
      </c>
      <c r="F48" t="n">
        <v>850</v>
      </c>
      <c r="G48" t="n">
        <v>220</v>
      </c>
    </row>
    <row r="49">
      <c r="A49" s="5" t="n">
        <v>45627</v>
      </c>
      <c r="B49" t="n">
        <v>2530</v>
      </c>
      <c r="C49" t="n">
        <v>660</v>
      </c>
      <c r="D49" t="n">
        <v>1040</v>
      </c>
      <c r="E49" t="n">
        <v>2120</v>
      </c>
      <c r="F49" t="n">
        <v>840</v>
      </c>
      <c r="G49" t="n">
        <v>220</v>
      </c>
    </row>
    <row r="50">
      <c r="A50" s="5" t="n">
        <v>45658</v>
      </c>
      <c r="B50" t="n">
        <v>2080</v>
      </c>
      <c r="C50" t="n">
        <v>1040</v>
      </c>
      <c r="D50" t="n">
        <v>1050</v>
      </c>
      <c r="E50" t="n">
        <v>2150</v>
      </c>
      <c r="F50" t="n">
        <v>790</v>
      </c>
      <c r="G50" t="n">
        <v>260</v>
      </c>
    </row>
    <row r="51">
      <c r="A51" s="5" t="n">
        <v>45689</v>
      </c>
      <c r="B51" t="n">
        <v>1620</v>
      </c>
      <c r="C51" t="n">
        <v>1120</v>
      </c>
      <c r="D51" t="n">
        <v>880</v>
      </c>
      <c r="E51" t="n">
        <v>1820</v>
      </c>
      <c r="F51" t="n">
        <v>940</v>
      </c>
      <c r="G51" t="n">
        <v>260</v>
      </c>
    </row>
    <row r="52">
      <c r="A52" s="5" t="n">
        <v>45717</v>
      </c>
      <c r="B52" t="n">
        <v>1570</v>
      </c>
      <c r="C52" t="n">
        <v>1340</v>
      </c>
      <c r="D52" t="n">
        <v>980</v>
      </c>
      <c r="E52" t="n">
        <v>1780</v>
      </c>
      <c r="F52" t="n">
        <v>1390</v>
      </c>
      <c r="G52" t="n">
        <v>260</v>
      </c>
    </row>
    <row r="53">
      <c r="A53" s="5" t="n">
        <v>45748</v>
      </c>
      <c r="B53" t="n">
        <v>1500</v>
      </c>
      <c r="C53" t="n">
        <v>1430</v>
      </c>
      <c r="D53" t="n">
        <v>870</v>
      </c>
      <c r="E53" t="n">
        <v>1470</v>
      </c>
      <c r="F53" t="n">
        <v>1180</v>
      </c>
      <c r="G53" t="n">
        <v>360</v>
      </c>
    </row>
    <row r="54">
      <c r="A54" s="5" t="n">
        <v>45778</v>
      </c>
      <c r="B54" t="n">
        <v>1910</v>
      </c>
      <c r="C54" t="n">
        <v>1280</v>
      </c>
      <c r="D54" t="n">
        <v>920</v>
      </c>
      <c r="E54" t="n">
        <v>1370</v>
      </c>
      <c r="F54" t="n">
        <v>1420</v>
      </c>
      <c r="G54" t="n">
        <v>320</v>
      </c>
    </row>
    <row r="55">
      <c r="A55" s="5" t="n">
        <v>45809</v>
      </c>
      <c r="B55" t="n">
        <v>1870</v>
      </c>
      <c r="C55" t="n">
        <v>1400</v>
      </c>
      <c r="D55" t="n">
        <v>1040</v>
      </c>
      <c r="E55" t="n">
        <v>1140</v>
      </c>
      <c r="F55" t="n">
        <v>1460</v>
      </c>
      <c r="G55" t="n">
        <v>380</v>
      </c>
    </row>
    <row r="56">
      <c r="A56" s="5" t="n">
        <v>45839</v>
      </c>
      <c r="B56" t="n">
        <v>1370</v>
      </c>
      <c r="C56" t="n">
        <v>1540</v>
      </c>
      <c r="D56" t="n">
        <v>1170</v>
      </c>
      <c r="E56" t="n">
        <v>1350</v>
      </c>
      <c r="F56" t="n">
        <v>1670</v>
      </c>
      <c r="G56" t="n">
        <v>310</v>
      </c>
    </row>
    <row r="57">
      <c r="A57" s="5" t="n">
        <v>45870</v>
      </c>
      <c r="B57" t="n">
        <v>1800</v>
      </c>
      <c r="C57" t="n">
        <v>1230</v>
      </c>
      <c r="D57" t="n">
        <v>1030</v>
      </c>
      <c r="E57" t="n">
        <v>1490</v>
      </c>
      <c r="F57" t="n">
        <v>1360</v>
      </c>
      <c r="G57" t="n">
        <v>270</v>
      </c>
    </row>
    <row r="58">
      <c r="A58" s="5" t="n">
        <v>45901</v>
      </c>
      <c r="B58" t="n">
        <v>1730</v>
      </c>
      <c r="C58" t="n">
        <v>670</v>
      </c>
      <c r="D58" t="n">
        <v>1000</v>
      </c>
      <c r="E58" t="n">
        <v>1760</v>
      </c>
      <c r="F58" t="n">
        <v>1340</v>
      </c>
      <c r="G58" t="n">
        <v>260</v>
      </c>
    </row>
    <row r="59">
      <c r="A59" s="5" t="n">
        <v>45931</v>
      </c>
      <c r="B59" t="n">
        <v>1970</v>
      </c>
      <c r="C59" t="n">
        <v>580</v>
      </c>
      <c r="D59" t="n">
        <v>1080</v>
      </c>
      <c r="E59" t="n">
        <v>2030</v>
      </c>
      <c r="F59" t="n">
        <v>1120</v>
      </c>
      <c r="G59" t="n">
        <v>270</v>
      </c>
    </row>
    <row r="60">
      <c r="A60" s="5" t="n">
        <v>45962</v>
      </c>
      <c r="B60" t="n">
        <v>1640</v>
      </c>
      <c r="C60" t="n">
        <v>760</v>
      </c>
      <c r="D60" t="n">
        <v>1050</v>
      </c>
      <c r="E60" t="n">
        <v>2140</v>
      </c>
      <c r="F60" t="n">
        <v>1140</v>
      </c>
      <c r="G60" t="n">
        <v>240</v>
      </c>
    </row>
    <row r="61">
      <c r="A61" s="5" t="n">
        <v>45992</v>
      </c>
      <c r="B61" t="n">
        <v>1720</v>
      </c>
      <c r="C61" t="n">
        <v>820</v>
      </c>
      <c r="D61" t="n">
        <v>1130</v>
      </c>
      <c r="E61" t="n">
        <v>2350</v>
      </c>
      <c r="F61" t="n">
        <v>1260</v>
      </c>
      <c r="G61" t="n">
        <v>240</v>
      </c>
    </row>
    <row r="62">
      <c r="A62" s="5" t="n">
        <v>46023</v>
      </c>
      <c r="B62" t="n">
        <v>1750</v>
      </c>
      <c r="C62" t="n">
        <v>1200</v>
      </c>
      <c r="D62" t="n">
        <v>990</v>
      </c>
      <c r="E62" t="n">
        <v>2360</v>
      </c>
      <c r="F62" t="n">
        <v>920</v>
      </c>
      <c r="G62" t="n">
        <v>260</v>
      </c>
    </row>
    <row r="63">
      <c r="A63" s="5" t="n">
        <v>46054</v>
      </c>
      <c r="B63" t="n">
        <v>1500</v>
      </c>
      <c r="C63" t="n">
        <v>1080</v>
      </c>
      <c r="D63" t="n">
        <v>940</v>
      </c>
      <c r="E63" t="n">
        <v>2040</v>
      </c>
      <c r="F63" t="n">
        <v>950</v>
      </c>
      <c r="G63" t="n">
        <v>250</v>
      </c>
    </row>
    <row r="64">
      <c r="A64" s="5" t="n">
        <v>46082</v>
      </c>
      <c r="B64" t="n">
        <v>1280</v>
      </c>
      <c r="C64" t="n">
        <v>1360</v>
      </c>
      <c r="D64" t="n">
        <v>970</v>
      </c>
      <c r="E64" t="n">
        <v>2150</v>
      </c>
      <c r="F64" t="n">
        <v>1440</v>
      </c>
      <c r="G64" t="n">
        <v>280</v>
      </c>
    </row>
    <row r="65">
      <c r="A65" s="5" t="n">
        <v>46113</v>
      </c>
      <c r="B65" t="n">
        <v>1210</v>
      </c>
      <c r="C65" t="n">
        <v>1230</v>
      </c>
      <c r="D65" t="n">
        <v>1090</v>
      </c>
      <c r="E65" t="n">
        <v>1810</v>
      </c>
      <c r="F65" t="n">
        <v>1280</v>
      </c>
      <c r="G65" t="n">
        <v>320</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65"/>
  <sheetViews>
    <sheetView workbookViewId="0">
      <pane ySplit="1" topLeftCell="A2" activePane="bottomLeft" state="frozen"/>
      <selection pane="bottomLeft" activeCell="A1" sqref="A1"/>
    </sheetView>
  </sheetViews>
  <sheetFormatPr baseColWidth="8" defaultRowHeight="15"/>
  <sheetData>
    <row r="1">
      <c r="A1" s="6" t="inlineStr">
        <is>
          <t>Month</t>
        </is>
      </c>
      <c r="B1" s="6" t="inlineStr">
        <is>
          <t>Bioenergy_GWh</t>
        </is>
      </c>
      <c r="C1" s="6" t="inlineStr">
        <is>
          <t>Coal_GWh</t>
        </is>
      </c>
      <c r="D1" s="6" t="inlineStr">
        <is>
          <t>Gas_GWh</t>
        </is>
      </c>
      <c r="E1" s="6" t="inlineStr">
        <is>
          <t>Hydro_GWh</t>
        </is>
      </c>
      <c r="F1" s="6" t="inlineStr">
        <is>
          <t>Other Fossil_GWh</t>
        </is>
      </c>
      <c r="G1" s="6" t="inlineStr">
        <is>
          <t>Other Renewables_GWh</t>
        </is>
      </c>
      <c r="H1" s="6" t="inlineStr">
        <is>
          <t>Solar_GWh</t>
        </is>
      </c>
      <c r="I1" s="6" t="inlineStr">
        <is>
          <t>Wind_GWh</t>
        </is>
      </c>
      <c r="J1" s="6" t="inlineStr">
        <is>
          <t>Total_GWh</t>
        </is>
      </c>
      <c r="K1" s="6" t="inlineStr">
        <is>
          <t>Gas_for_power_est_mcm_per_day</t>
        </is>
      </c>
    </row>
    <row r="2">
      <c r="A2" t="inlineStr">
        <is>
          <t>2021-01</t>
        </is>
      </c>
      <c r="B2" t="n">
        <v>160</v>
      </c>
      <c r="C2" t="n">
        <v>2360</v>
      </c>
      <c r="D2" t="n">
        <v>720</v>
      </c>
      <c r="E2" t="n">
        <v>1870</v>
      </c>
      <c r="F2" t="n">
        <v>180</v>
      </c>
      <c r="G2" t="n">
        <v>20</v>
      </c>
      <c r="H2" t="n">
        <v>930</v>
      </c>
      <c r="I2" t="n">
        <v>540</v>
      </c>
      <c r="J2" t="n">
        <v>6780</v>
      </c>
      <c r="K2" t="n">
        <v>4.4</v>
      </c>
    </row>
    <row r="3">
      <c r="A3" t="inlineStr">
        <is>
          <t>2021-02</t>
        </is>
      </c>
      <c r="B3" t="n">
        <v>140</v>
      </c>
      <c r="C3" t="n">
        <v>2130</v>
      </c>
      <c r="D3" t="n">
        <v>1010</v>
      </c>
      <c r="E3" t="n">
        <v>1280</v>
      </c>
      <c r="F3" t="n">
        <v>350</v>
      </c>
      <c r="G3" t="n">
        <v>20</v>
      </c>
      <c r="H3" t="n">
        <v>810</v>
      </c>
      <c r="I3" t="n">
        <v>430</v>
      </c>
      <c r="J3" t="n">
        <v>6170</v>
      </c>
      <c r="K3" t="n">
        <v>6.83</v>
      </c>
    </row>
    <row r="4">
      <c r="A4" t="inlineStr">
        <is>
          <t>2021-03</t>
        </is>
      </c>
      <c r="B4" t="n">
        <v>190</v>
      </c>
      <c r="C4" t="n">
        <v>2640</v>
      </c>
      <c r="D4" t="n">
        <v>1330</v>
      </c>
      <c r="E4" t="n">
        <v>1200</v>
      </c>
      <c r="F4" t="n">
        <v>270</v>
      </c>
      <c r="G4" t="n">
        <v>30</v>
      </c>
      <c r="H4" t="n">
        <v>840</v>
      </c>
      <c r="I4" t="n">
        <v>480</v>
      </c>
      <c r="J4" t="n">
        <v>6980</v>
      </c>
      <c r="K4" t="n">
        <v>8.130000000000001</v>
      </c>
    </row>
    <row r="5">
      <c r="A5" t="inlineStr">
        <is>
          <t>2021-04</t>
        </is>
      </c>
      <c r="B5" t="n">
        <v>190</v>
      </c>
      <c r="C5" t="n">
        <v>2510</v>
      </c>
      <c r="D5" t="n">
        <v>1600</v>
      </c>
      <c r="E5" t="n">
        <v>890</v>
      </c>
      <c r="F5" t="n">
        <v>130</v>
      </c>
      <c r="G5" t="n">
        <v>30</v>
      </c>
      <c r="H5" t="n">
        <v>730</v>
      </c>
      <c r="I5" t="n">
        <v>460</v>
      </c>
      <c r="J5" t="n">
        <v>6540</v>
      </c>
      <c r="K5" t="n">
        <v>10.11</v>
      </c>
    </row>
    <row r="6">
      <c r="A6" t="inlineStr">
        <is>
          <t>2021-05</t>
        </is>
      </c>
      <c r="B6" t="n">
        <v>200</v>
      </c>
      <c r="C6" t="n">
        <v>2670</v>
      </c>
      <c r="D6" t="n">
        <v>1540</v>
      </c>
      <c r="E6" t="n">
        <v>1170</v>
      </c>
      <c r="F6" t="n">
        <v>140</v>
      </c>
      <c r="G6" t="n">
        <v>30</v>
      </c>
      <c r="H6" t="n">
        <v>630</v>
      </c>
      <c r="I6" t="n">
        <v>500</v>
      </c>
      <c r="J6" t="n">
        <v>6880</v>
      </c>
      <c r="K6" t="n">
        <v>9.41</v>
      </c>
    </row>
    <row r="7">
      <c r="A7" t="inlineStr">
        <is>
          <t>2021-06</t>
        </is>
      </c>
      <c r="B7" t="n">
        <v>160</v>
      </c>
      <c r="C7" t="n">
        <v>2580</v>
      </c>
      <c r="D7" t="n">
        <v>1110</v>
      </c>
      <c r="E7" t="n">
        <v>1670</v>
      </c>
      <c r="F7" t="n">
        <v>110</v>
      </c>
      <c r="G7" t="n">
        <v>30</v>
      </c>
      <c r="H7" t="n">
        <v>590</v>
      </c>
      <c r="I7" t="n">
        <v>530</v>
      </c>
      <c r="J7" t="n">
        <v>6780</v>
      </c>
      <c r="K7" t="n">
        <v>7.01</v>
      </c>
    </row>
    <row r="8">
      <c r="A8" t="inlineStr">
        <is>
          <t>2021-07</t>
        </is>
      </c>
      <c r="B8" t="n">
        <v>170</v>
      </c>
      <c r="C8" t="n">
        <v>2830</v>
      </c>
      <c r="D8" t="n">
        <v>1310</v>
      </c>
      <c r="E8" t="n">
        <v>1110</v>
      </c>
      <c r="F8" t="n">
        <v>430</v>
      </c>
      <c r="G8" t="n">
        <v>30</v>
      </c>
      <c r="H8" t="n">
        <v>670</v>
      </c>
      <c r="I8" t="n">
        <v>580</v>
      </c>
      <c r="J8" t="n">
        <v>7130</v>
      </c>
      <c r="K8" t="n">
        <v>8.01</v>
      </c>
    </row>
    <row r="9">
      <c r="A9" t="inlineStr">
        <is>
          <t>2021-08</t>
        </is>
      </c>
      <c r="B9" t="n">
        <v>170</v>
      </c>
      <c r="C9" t="n">
        <v>2260</v>
      </c>
      <c r="D9" t="n">
        <v>1540</v>
      </c>
      <c r="E9" t="n">
        <v>1150</v>
      </c>
      <c r="F9" t="n">
        <v>440</v>
      </c>
      <c r="G9" t="n">
        <v>30</v>
      </c>
      <c r="H9" t="n">
        <v>810</v>
      </c>
      <c r="I9" t="n">
        <v>660</v>
      </c>
      <c r="J9" t="n">
        <v>7060</v>
      </c>
      <c r="K9" t="n">
        <v>9.41</v>
      </c>
    </row>
    <row r="10">
      <c r="A10" t="inlineStr">
        <is>
          <t>2021-09</t>
        </is>
      </c>
      <c r="B10" t="n">
        <v>150</v>
      </c>
      <c r="C10" t="n">
        <v>2060</v>
      </c>
      <c r="D10" t="n">
        <v>1120</v>
      </c>
      <c r="E10" t="n">
        <v>1360</v>
      </c>
      <c r="F10" t="n">
        <v>90</v>
      </c>
      <c r="G10" t="n">
        <v>30</v>
      </c>
      <c r="H10" t="n">
        <v>970</v>
      </c>
      <c r="I10" t="n">
        <v>770</v>
      </c>
      <c r="J10" t="n">
        <v>6550</v>
      </c>
      <c r="K10" t="n">
        <v>7.07</v>
      </c>
    </row>
    <row r="11">
      <c r="A11" t="inlineStr">
        <is>
          <t>2021-10</t>
        </is>
      </c>
      <c r="B11" t="n">
        <v>150</v>
      </c>
      <c r="C11" t="n">
        <v>1890</v>
      </c>
      <c r="D11" t="n">
        <v>1130</v>
      </c>
      <c r="E11" t="n">
        <v>1510</v>
      </c>
      <c r="F11" t="n">
        <v>110</v>
      </c>
      <c r="G11" t="n">
        <v>30</v>
      </c>
      <c r="H11" t="n">
        <v>1200</v>
      </c>
      <c r="I11" t="n">
        <v>800</v>
      </c>
      <c r="J11" t="n">
        <v>6820</v>
      </c>
      <c r="K11" t="n">
        <v>6.91</v>
      </c>
    </row>
    <row r="12">
      <c r="A12" t="inlineStr">
        <is>
          <t>2021-11</t>
        </is>
      </c>
      <c r="B12" t="n">
        <v>160</v>
      </c>
      <c r="C12" t="n">
        <v>1780</v>
      </c>
      <c r="D12" t="n">
        <v>970</v>
      </c>
      <c r="E12" t="n">
        <v>1610</v>
      </c>
      <c r="F12" t="n">
        <v>110</v>
      </c>
      <c r="G12" t="n">
        <v>30</v>
      </c>
      <c r="H12" t="n">
        <v>1310</v>
      </c>
      <c r="I12" t="n">
        <v>760</v>
      </c>
      <c r="J12" t="n">
        <v>6730</v>
      </c>
      <c r="K12" t="n">
        <v>6.13</v>
      </c>
    </row>
    <row r="13">
      <c r="A13" t="inlineStr">
        <is>
          <t>2021-12</t>
        </is>
      </c>
      <c r="B13" t="n">
        <v>180</v>
      </c>
      <c r="C13" t="n">
        <v>1960</v>
      </c>
      <c r="D13" t="n">
        <v>1090</v>
      </c>
      <c r="E13" t="n">
        <v>1680</v>
      </c>
      <c r="F13" t="n">
        <v>170</v>
      </c>
      <c r="G13" t="n">
        <v>30</v>
      </c>
      <c r="H13" t="n">
        <v>1300</v>
      </c>
      <c r="I13" t="n">
        <v>740</v>
      </c>
      <c r="J13" t="n">
        <v>7150</v>
      </c>
      <c r="K13" t="n">
        <v>6.66</v>
      </c>
    </row>
    <row r="14">
      <c r="A14" t="inlineStr">
        <is>
          <t>2022-01</t>
        </is>
      </c>
      <c r="B14" t="n">
        <v>170</v>
      </c>
      <c r="C14" t="n">
        <v>1730</v>
      </c>
      <c r="D14" t="n">
        <v>1200</v>
      </c>
      <c r="E14" t="n">
        <v>1530</v>
      </c>
      <c r="F14" t="n">
        <v>170</v>
      </c>
      <c r="G14" t="n">
        <v>50</v>
      </c>
      <c r="H14" t="n">
        <v>1340</v>
      </c>
      <c r="I14" t="n">
        <v>820</v>
      </c>
      <c r="J14" t="n">
        <v>7010</v>
      </c>
      <c r="K14" t="n">
        <v>7.33</v>
      </c>
    </row>
    <row r="15">
      <c r="A15" t="inlineStr">
        <is>
          <t>2022-02</t>
        </is>
      </c>
      <c r="B15" t="n">
        <v>170</v>
      </c>
      <c r="C15" t="n">
        <v>1680</v>
      </c>
      <c r="D15" t="n">
        <v>1220</v>
      </c>
      <c r="E15" t="n">
        <v>1230</v>
      </c>
      <c r="F15" t="n">
        <v>150</v>
      </c>
      <c r="G15" t="n">
        <v>40</v>
      </c>
      <c r="H15" t="n">
        <v>1250</v>
      </c>
      <c r="I15" t="n">
        <v>680</v>
      </c>
      <c r="J15" t="n">
        <v>6420</v>
      </c>
      <c r="K15" t="n">
        <v>8.26</v>
      </c>
    </row>
    <row r="16">
      <c r="A16" t="inlineStr">
        <is>
          <t>2022-03</t>
        </is>
      </c>
      <c r="B16" t="n">
        <v>170</v>
      </c>
      <c r="C16" t="n">
        <v>2160</v>
      </c>
      <c r="D16" t="n">
        <v>1490</v>
      </c>
      <c r="E16" t="n">
        <v>1120</v>
      </c>
      <c r="F16" t="n">
        <v>140</v>
      </c>
      <c r="G16" t="n">
        <v>40</v>
      </c>
      <c r="H16" t="n">
        <v>1270</v>
      </c>
      <c r="I16" t="n">
        <v>740</v>
      </c>
      <c r="J16" t="n">
        <v>7130</v>
      </c>
      <c r="K16" t="n">
        <v>9.109999999999999</v>
      </c>
    </row>
    <row r="17">
      <c r="A17" t="inlineStr">
        <is>
          <t>2022-04</t>
        </is>
      </c>
      <c r="B17" t="n">
        <v>180</v>
      </c>
      <c r="C17" t="n">
        <v>1890</v>
      </c>
      <c r="D17" t="n">
        <v>1520</v>
      </c>
      <c r="E17" t="n">
        <v>920</v>
      </c>
      <c r="F17" t="n">
        <v>320</v>
      </c>
      <c r="G17" t="n">
        <v>40</v>
      </c>
      <c r="H17" t="n">
        <v>1080</v>
      </c>
      <c r="I17" t="n">
        <v>680</v>
      </c>
      <c r="J17" t="n">
        <v>6630</v>
      </c>
      <c r="K17" t="n">
        <v>9.6</v>
      </c>
    </row>
    <row r="18">
      <c r="A18" t="inlineStr">
        <is>
          <t>2022-05</t>
        </is>
      </c>
      <c r="B18" t="n">
        <v>170</v>
      </c>
      <c r="C18" t="n">
        <v>2140</v>
      </c>
      <c r="D18" t="n">
        <v>1580</v>
      </c>
      <c r="E18" t="n">
        <v>1200</v>
      </c>
      <c r="F18" t="n">
        <v>230</v>
      </c>
      <c r="G18" t="n">
        <v>50</v>
      </c>
      <c r="H18" t="n">
        <v>1020</v>
      </c>
      <c r="I18" t="n">
        <v>760</v>
      </c>
      <c r="J18" t="n">
        <v>7150</v>
      </c>
      <c r="K18" t="n">
        <v>9.66</v>
      </c>
    </row>
    <row r="19">
      <c r="A19" t="inlineStr">
        <is>
          <t>2022-06</t>
        </is>
      </c>
      <c r="B19" t="n">
        <v>170</v>
      </c>
      <c r="C19" t="n">
        <v>2020</v>
      </c>
      <c r="D19" t="n">
        <v>1610</v>
      </c>
      <c r="E19" t="n">
        <v>1460</v>
      </c>
      <c r="F19" t="n">
        <v>340</v>
      </c>
      <c r="G19" t="n">
        <v>20</v>
      </c>
      <c r="H19" t="n">
        <v>840</v>
      </c>
      <c r="I19" t="n">
        <v>620</v>
      </c>
      <c r="J19" t="n">
        <v>7080</v>
      </c>
      <c r="K19" t="n">
        <v>10.17</v>
      </c>
    </row>
    <row r="20">
      <c r="A20" t="inlineStr">
        <is>
          <t>2022-07</t>
        </is>
      </c>
      <c r="B20" t="n">
        <v>160</v>
      </c>
      <c r="C20" t="n">
        <v>1990</v>
      </c>
      <c r="D20" t="n">
        <v>1350</v>
      </c>
      <c r="E20" t="n">
        <v>1840</v>
      </c>
      <c r="F20" t="n">
        <v>170</v>
      </c>
      <c r="G20" t="n">
        <v>40</v>
      </c>
      <c r="H20" t="n">
        <v>840</v>
      </c>
      <c r="I20" t="n">
        <v>840</v>
      </c>
      <c r="J20" t="n">
        <v>7230</v>
      </c>
      <c r="K20" t="n">
        <v>8.25</v>
      </c>
    </row>
    <row r="21">
      <c r="A21" t="inlineStr">
        <is>
          <t>2022-08</t>
        </is>
      </c>
      <c r="B21" t="n">
        <v>160</v>
      </c>
      <c r="C21" t="n">
        <v>1570</v>
      </c>
      <c r="D21" t="n">
        <v>1270</v>
      </c>
      <c r="E21" t="n">
        <v>2050</v>
      </c>
      <c r="F21" t="n">
        <v>90</v>
      </c>
      <c r="G21" t="n">
        <v>40</v>
      </c>
      <c r="H21" t="n">
        <v>1080</v>
      </c>
      <c r="I21" t="n">
        <v>780</v>
      </c>
      <c r="J21" t="n">
        <v>7040</v>
      </c>
      <c r="K21" t="n">
        <v>7.76</v>
      </c>
    </row>
    <row r="22">
      <c r="A22" t="inlineStr">
        <is>
          <t>2022-09</t>
        </is>
      </c>
      <c r="B22" t="n">
        <v>160</v>
      </c>
      <c r="C22" t="n">
        <v>1070</v>
      </c>
      <c r="D22" t="n">
        <v>1230</v>
      </c>
      <c r="E22" t="n">
        <v>1960</v>
      </c>
      <c r="F22" t="n">
        <v>120</v>
      </c>
      <c r="G22" t="n">
        <v>40</v>
      </c>
      <c r="H22" t="n">
        <v>1260</v>
      </c>
      <c r="I22" t="n">
        <v>750</v>
      </c>
      <c r="J22" t="n">
        <v>6590</v>
      </c>
      <c r="K22" t="n">
        <v>7.77</v>
      </c>
    </row>
    <row r="23">
      <c r="A23" t="inlineStr">
        <is>
          <t>2022-10</t>
        </is>
      </c>
      <c r="B23" t="n">
        <v>120</v>
      </c>
      <c r="C23" t="n">
        <v>920</v>
      </c>
      <c r="D23" t="n">
        <v>1020</v>
      </c>
      <c r="E23" t="n">
        <v>2400</v>
      </c>
      <c r="F23" t="n">
        <v>100</v>
      </c>
      <c r="G23" t="n">
        <v>40</v>
      </c>
      <c r="H23" t="n">
        <v>1420</v>
      </c>
      <c r="I23" t="n">
        <v>780</v>
      </c>
      <c r="J23" t="n">
        <v>6800</v>
      </c>
      <c r="K23" t="n">
        <v>6.23</v>
      </c>
    </row>
    <row r="24">
      <c r="A24" t="inlineStr">
        <is>
          <t>2022-11</t>
        </is>
      </c>
      <c r="B24" t="n">
        <v>130</v>
      </c>
      <c r="C24" t="n">
        <v>890</v>
      </c>
      <c r="D24" t="n">
        <v>1060</v>
      </c>
      <c r="E24" t="n">
        <v>2500</v>
      </c>
      <c r="F24" t="n">
        <v>130</v>
      </c>
      <c r="G24" t="n">
        <v>30</v>
      </c>
      <c r="H24" t="n">
        <v>1460</v>
      </c>
      <c r="I24" t="n">
        <v>610</v>
      </c>
      <c r="J24" t="n">
        <v>6810</v>
      </c>
      <c r="K24" t="n">
        <v>6.69</v>
      </c>
    </row>
    <row r="25">
      <c r="A25" t="inlineStr">
        <is>
          <t>2022-12</t>
        </is>
      </c>
      <c r="B25" t="n">
        <v>160</v>
      </c>
      <c r="C25" t="n">
        <v>1100</v>
      </c>
      <c r="D25" t="n">
        <v>1320</v>
      </c>
      <c r="E25" t="n">
        <v>2090</v>
      </c>
      <c r="F25" t="n">
        <v>120</v>
      </c>
      <c r="G25" t="n">
        <v>40</v>
      </c>
      <c r="H25" t="n">
        <v>1660</v>
      </c>
      <c r="I25" t="n">
        <v>780</v>
      </c>
      <c r="J25" t="n">
        <v>7270</v>
      </c>
      <c r="K25" t="n">
        <v>8.07</v>
      </c>
    </row>
    <row r="26">
      <c r="A26" t="inlineStr">
        <is>
          <t>2023-01</t>
        </is>
      </c>
      <c r="B26" t="n">
        <v>160</v>
      </c>
      <c r="C26" t="n">
        <v>1070</v>
      </c>
      <c r="D26" t="n">
        <v>1520</v>
      </c>
      <c r="E26" t="n">
        <v>1600</v>
      </c>
      <c r="F26" t="n">
        <v>140</v>
      </c>
      <c r="G26" t="n">
        <v>30</v>
      </c>
      <c r="H26" t="n">
        <v>1730</v>
      </c>
      <c r="I26" t="n">
        <v>830</v>
      </c>
      <c r="J26" t="n">
        <v>7080</v>
      </c>
      <c r="K26" t="n">
        <v>9.289999999999999</v>
      </c>
    </row>
    <row r="27">
      <c r="A27" t="inlineStr">
        <is>
          <t>2023-02</t>
        </is>
      </c>
      <c r="B27" t="n">
        <v>150</v>
      </c>
      <c r="C27" t="n">
        <v>1080</v>
      </c>
      <c r="D27" t="n">
        <v>1490</v>
      </c>
      <c r="E27" t="n">
        <v>1390</v>
      </c>
      <c r="F27" t="n">
        <v>150</v>
      </c>
      <c r="G27" t="n">
        <v>30</v>
      </c>
      <c r="H27" t="n">
        <v>1500</v>
      </c>
      <c r="I27" t="n">
        <v>740</v>
      </c>
      <c r="J27" t="n">
        <v>6530</v>
      </c>
      <c r="K27" t="n">
        <v>10.08</v>
      </c>
    </row>
    <row r="28">
      <c r="A28" t="inlineStr">
        <is>
          <t>2023-03</t>
        </is>
      </c>
      <c r="B28" t="n">
        <v>170</v>
      </c>
      <c r="C28" t="n">
        <v>1350</v>
      </c>
      <c r="D28" t="n">
        <v>1980</v>
      </c>
      <c r="E28" t="n">
        <v>1250</v>
      </c>
      <c r="F28" t="n">
        <v>150</v>
      </c>
      <c r="G28" t="n">
        <v>30</v>
      </c>
      <c r="H28" t="n">
        <v>1600</v>
      </c>
      <c r="I28" t="n">
        <v>720</v>
      </c>
      <c r="J28" t="n">
        <v>7250</v>
      </c>
      <c r="K28" t="n">
        <v>12.1</v>
      </c>
    </row>
    <row r="29">
      <c r="A29" t="inlineStr">
        <is>
          <t>2023-04</t>
        </is>
      </c>
      <c r="B29" t="n">
        <v>180</v>
      </c>
      <c r="C29" t="n">
        <v>1440</v>
      </c>
      <c r="D29" t="n">
        <v>1950</v>
      </c>
      <c r="E29" t="n">
        <v>920</v>
      </c>
      <c r="F29" t="n">
        <v>130</v>
      </c>
      <c r="G29" t="n">
        <v>30</v>
      </c>
      <c r="H29" t="n">
        <v>1350</v>
      </c>
      <c r="I29" t="n">
        <v>650</v>
      </c>
      <c r="J29" t="n">
        <v>6650</v>
      </c>
      <c r="K29" t="n">
        <v>12.32</v>
      </c>
    </row>
    <row r="30">
      <c r="A30" t="inlineStr">
        <is>
          <t>2023-05</t>
        </is>
      </c>
      <c r="B30" t="n">
        <v>190</v>
      </c>
      <c r="C30" t="n">
        <v>1540</v>
      </c>
      <c r="D30" t="n">
        <v>1970</v>
      </c>
      <c r="E30" t="n">
        <v>1080</v>
      </c>
      <c r="F30" t="n">
        <v>150</v>
      </c>
      <c r="G30" t="n">
        <v>30</v>
      </c>
      <c r="H30" t="n">
        <v>1230</v>
      </c>
      <c r="I30" t="n">
        <v>850</v>
      </c>
      <c r="J30" t="n">
        <v>7040</v>
      </c>
      <c r="K30" t="n">
        <v>12.04</v>
      </c>
    </row>
    <row r="31">
      <c r="A31" t="inlineStr">
        <is>
          <t>2023-06</t>
        </is>
      </c>
      <c r="B31" t="n">
        <v>170</v>
      </c>
      <c r="C31" t="n">
        <v>1300</v>
      </c>
      <c r="D31" t="n">
        <v>1770</v>
      </c>
      <c r="E31" t="n">
        <v>1640</v>
      </c>
      <c r="F31" t="n">
        <v>100</v>
      </c>
      <c r="G31" t="n">
        <v>40</v>
      </c>
      <c r="H31" t="n">
        <v>1070</v>
      </c>
      <c r="I31" t="n">
        <v>970</v>
      </c>
      <c r="J31" t="n">
        <v>7060</v>
      </c>
      <c r="K31" t="n">
        <v>11.18</v>
      </c>
    </row>
    <row r="32">
      <c r="A32" t="inlineStr">
        <is>
          <t>2023-07</t>
        </is>
      </c>
      <c r="B32" t="n">
        <v>160</v>
      </c>
      <c r="C32" t="n">
        <v>1140</v>
      </c>
      <c r="D32" t="n">
        <v>1230</v>
      </c>
      <c r="E32" t="n">
        <v>2660</v>
      </c>
      <c r="F32" t="n">
        <v>80</v>
      </c>
      <c r="G32" t="n">
        <v>50</v>
      </c>
      <c r="H32" t="n">
        <v>1140</v>
      </c>
      <c r="I32" t="n">
        <v>740</v>
      </c>
      <c r="J32" t="n">
        <v>7200</v>
      </c>
      <c r="K32" t="n">
        <v>7.52</v>
      </c>
    </row>
    <row r="33">
      <c r="A33" t="inlineStr">
        <is>
          <t>2023-08</t>
        </is>
      </c>
      <c r="B33" t="n">
        <v>170</v>
      </c>
      <c r="C33" t="n">
        <v>1190</v>
      </c>
      <c r="D33" t="n">
        <v>1010</v>
      </c>
      <c r="E33" t="n">
        <v>2660</v>
      </c>
      <c r="F33" t="n">
        <v>80</v>
      </c>
      <c r="G33" t="n">
        <v>30</v>
      </c>
      <c r="H33" t="n">
        <v>1190</v>
      </c>
      <c r="I33" t="n">
        <v>780</v>
      </c>
      <c r="J33" t="n">
        <v>7110</v>
      </c>
      <c r="K33" t="n">
        <v>6.17</v>
      </c>
    </row>
    <row r="34">
      <c r="A34" t="inlineStr">
        <is>
          <t>2023-09</t>
        </is>
      </c>
      <c r="B34" t="n">
        <v>160</v>
      </c>
      <c r="C34" t="n">
        <v>960</v>
      </c>
      <c r="D34" t="n">
        <v>800</v>
      </c>
      <c r="E34" t="n">
        <v>2710</v>
      </c>
      <c r="F34" t="n">
        <v>90</v>
      </c>
      <c r="G34" t="n">
        <v>40</v>
      </c>
      <c r="H34" t="n">
        <v>1180</v>
      </c>
      <c r="I34" t="n">
        <v>910</v>
      </c>
      <c r="J34" t="n">
        <v>6850</v>
      </c>
      <c r="K34" t="n">
        <v>5.05</v>
      </c>
    </row>
    <row r="35">
      <c r="A35" t="inlineStr">
        <is>
          <t>2023-10</t>
        </is>
      </c>
      <c r="B35" t="n">
        <v>160</v>
      </c>
      <c r="C35" t="n">
        <v>980</v>
      </c>
      <c r="D35" t="n">
        <v>650</v>
      </c>
      <c r="E35" t="n">
        <v>2570</v>
      </c>
      <c r="F35" t="n">
        <v>60</v>
      </c>
      <c r="G35" t="n">
        <v>40</v>
      </c>
      <c r="H35" t="n">
        <v>1480</v>
      </c>
      <c r="I35" t="n">
        <v>970</v>
      </c>
      <c r="J35" t="n">
        <v>6910</v>
      </c>
      <c r="K35" t="n">
        <v>3.97</v>
      </c>
    </row>
    <row r="36">
      <c r="A36" t="inlineStr">
        <is>
          <t>2023-11</t>
        </is>
      </c>
      <c r="B36" t="n">
        <v>130</v>
      </c>
      <c r="C36" t="n">
        <v>890</v>
      </c>
      <c r="D36" t="n">
        <v>490</v>
      </c>
      <c r="E36" t="n">
        <v>2760</v>
      </c>
      <c r="F36" t="n">
        <v>100</v>
      </c>
      <c r="G36" t="n">
        <v>40</v>
      </c>
      <c r="H36" t="n">
        <v>1520</v>
      </c>
      <c r="I36" t="n">
        <v>870</v>
      </c>
      <c r="J36" t="n">
        <v>6800</v>
      </c>
      <c r="K36" t="n">
        <v>3.09</v>
      </c>
    </row>
    <row r="37">
      <c r="A37" t="inlineStr">
        <is>
          <t>2023-12</t>
        </is>
      </c>
      <c r="B37" t="n">
        <v>160</v>
      </c>
      <c r="C37" t="n">
        <v>1030</v>
      </c>
      <c r="D37" t="n">
        <v>540</v>
      </c>
      <c r="E37" t="n">
        <v>2720</v>
      </c>
      <c r="F37" t="n">
        <v>110</v>
      </c>
      <c r="G37" t="n">
        <v>40</v>
      </c>
      <c r="H37" t="n">
        <v>1740</v>
      </c>
      <c r="I37" t="n">
        <v>860</v>
      </c>
      <c r="J37" t="n">
        <v>7200</v>
      </c>
      <c r="K37" t="n">
        <v>3.3</v>
      </c>
    </row>
    <row r="38">
      <c r="A38" t="inlineStr">
        <is>
          <t>2024-01</t>
        </is>
      </c>
      <c r="B38" t="n">
        <v>180</v>
      </c>
      <c r="C38" t="n">
        <v>960</v>
      </c>
      <c r="D38" t="n">
        <v>850</v>
      </c>
      <c r="E38" t="n">
        <v>2460</v>
      </c>
      <c r="F38" t="n">
        <v>70</v>
      </c>
      <c r="G38" t="n">
        <v>40</v>
      </c>
      <c r="H38" t="n">
        <v>1900</v>
      </c>
      <c r="I38" t="n">
        <v>890</v>
      </c>
      <c r="J38" t="n">
        <v>7350</v>
      </c>
      <c r="K38" t="n">
        <v>5.2</v>
      </c>
    </row>
    <row r="39">
      <c r="A39" t="inlineStr">
        <is>
          <t>2024-02</t>
        </is>
      </c>
      <c r="B39" t="n">
        <v>200</v>
      </c>
      <c r="C39" t="n">
        <v>1220</v>
      </c>
      <c r="D39" t="n">
        <v>1170</v>
      </c>
      <c r="E39" t="n">
        <v>1920</v>
      </c>
      <c r="F39" t="n">
        <v>110</v>
      </c>
      <c r="G39" t="n">
        <v>30</v>
      </c>
      <c r="H39" t="n">
        <v>1680</v>
      </c>
      <c r="I39" t="n">
        <v>680</v>
      </c>
      <c r="J39" t="n">
        <v>7010</v>
      </c>
      <c r="K39" t="n">
        <v>7.64</v>
      </c>
    </row>
    <row r="40">
      <c r="A40" t="inlineStr">
        <is>
          <t>2024-03</t>
        </is>
      </c>
      <c r="B40" t="n">
        <v>190</v>
      </c>
      <c r="C40" t="n">
        <v>1280</v>
      </c>
      <c r="D40" t="n">
        <v>1360</v>
      </c>
      <c r="E40" t="n">
        <v>1720</v>
      </c>
      <c r="F40" t="n">
        <v>90</v>
      </c>
      <c r="G40" t="n">
        <v>30</v>
      </c>
      <c r="H40" t="n">
        <v>1720</v>
      </c>
      <c r="I40" t="n">
        <v>910</v>
      </c>
      <c r="J40" t="n">
        <v>7300</v>
      </c>
      <c r="K40" t="n">
        <v>8.31</v>
      </c>
    </row>
    <row r="41">
      <c r="A41" t="inlineStr">
        <is>
          <t>2024-04</t>
        </is>
      </c>
      <c r="B41" t="n">
        <v>180</v>
      </c>
      <c r="C41" t="n">
        <v>1540</v>
      </c>
      <c r="D41" t="n">
        <v>1410</v>
      </c>
      <c r="E41" t="n">
        <v>1330</v>
      </c>
      <c r="F41" t="n">
        <v>110</v>
      </c>
      <c r="G41" t="n">
        <v>30</v>
      </c>
      <c r="H41" t="n">
        <v>1410</v>
      </c>
      <c r="I41" t="n">
        <v>780</v>
      </c>
      <c r="J41" t="n">
        <v>6790</v>
      </c>
      <c r="K41" t="n">
        <v>8.91</v>
      </c>
    </row>
    <row r="42">
      <c r="A42" t="inlineStr">
        <is>
          <t>2024-05</t>
        </is>
      </c>
      <c r="B42" t="n">
        <v>180</v>
      </c>
      <c r="C42" t="n">
        <v>1500</v>
      </c>
      <c r="D42" t="n">
        <v>1750</v>
      </c>
      <c r="E42" t="n">
        <v>1780</v>
      </c>
      <c r="F42" t="n">
        <v>110</v>
      </c>
      <c r="G42" t="n">
        <v>30</v>
      </c>
      <c r="H42" t="n">
        <v>1270</v>
      </c>
      <c r="I42" t="n">
        <v>850</v>
      </c>
      <c r="J42" t="n">
        <v>7470</v>
      </c>
      <c r="K42" t="n">
        <v>10.7</v>
      </c>
    </row>
    <row r="43">
      <c r="A43" t="inlineStr">
        <is>
          <t>2024-06</t>
        </is>
      </c>
      <c r="B43" t="n">
        <v>140</v>
      </c>
      <c r="C43" t="n">
        <v>1030</v>
      </c>
      <c r="D43" t="n">
        <v>1300</v>
      </c>
      <c r="E43" t="n">
        <v>2560</v>
      </c>
      <c r="F43" t="n">
        <v>80</v>
      </c>
      <c r="G43" t="n">
        <v>30</v>
      </c>
      <c r="H43" t="n">
        <v>1110</v>
      </c>
      <c r="I43" t="n">
        <v>990</v>
      </c>
      <c r="J43" t="n">
        <v>7240</v>
      </c>
      <c r="K43" t="n">
        <v>8.210000000000001</v>
      </c>
    </row>
    <row r="44">
      <c r="A44" t="inlineStr">
        <is>
          <t>2024-07</t>
        </is>
      </c>
      <c r="B44" t="n">
        <v>140</v>
      </c>
      <c r="C44" t="n">
        <v>1010</v>
      </c>
      <c r="D44" t="n">
        <v>1200</v>
      </c>
      <c r="E44" t="n">
        <v>2540</v>
      </c>
      <c r="F44" t="n">
        <v>110</v>
      </c>
      <c r="G44" t="n">
        <v>30</v>
      </c>
      <c r="H44" t="n">
        <v>1330</v>
      </c>
      <c r="I44" t="n">
        <v>1020</v>
      </c>
      <c r="J44" t="n">
        <v>7380</v>
      </c>
      <c r="K44" t="n">
        <v>7.33</v>
      </c>
    </row>
    <row r="45">
      <c r="A45" t="inlineStr">
        <is>
          <t>2024-08</t>
        </is>
      </c>
      <c r="B45" t="n">
        <v>160</v>
      </c>
      <c r="C45" t="n">
        <v>950</v>
      </c>
      <c r="D45" t="n">
        <v>1130</v>
      </c>
      <c r="E45" t="n">
        <v>2420</v>
      </c>
      <c r="F45" t="n">
        <v>110</v>
      </c>
      <c r="G45" t="n">
        <v>20</v>
      </c>
      <c r="H45" t="n">
        <v>1410</v>
      </c>
      <c r="I45" t="n">
        <v>990</v>
      </c>
      <c r="J45" t="n">
        <v>7190</v>
      </c>
      <c r="K45" t="n">
        <v>6.91</v>
      </c>
    </row>
    <row r="46">
      <c r="A46" t="inlineStr">
        <is>
          <t>2024-09</t>
        </is>
      </c>
      <c r="B46" t="n">
        <v>160</v>
      </c>
      <c r="C46" t="n">
        <v>930</v>
      </c>
      <c r="D46" t="n">
        <v>670</v>
      </c>
      <c r="E46" t="n">
        <v>2150</v>
      </c>
      <c r="F46" t="n">
        <v>110</v>
      </c>
      <c r="G46" t="n">
        <v>20</v>
      </c>
      <c r="H46" t="n">
        <v>1590</v>
      </c>
      <c r="I46" t="n">
        <v>1100</v>
      </c>
      <c r="J46" t="n">
        <v>6730</v>
      </c>
      <c r="K46" t="n">
        <v>4.23</v>
      </c>
    </row>
    <row r="47">
      <c r="A47" t="inlineStr">
        <is>
          <t>2024-10</t>
        </is>
      </c>
      <c r="B47" t="n">
        <v>150</v>
      </c>
      <c r="C47" t="n">
        <v>800</v>
      </c>
      <c r="D47" t="n">
        <v>540</v>
      </c>
      <c r="E47" t="n">
        <v>2830</v>
      </c>
      <c r="F47" t="n">
        <v>100</v>
      </c>
      <c r="G47" t="n">
        <v>20</v>
      </c>
      <c r="H47" t="n">
        <v>1620</v>
      </c>
      <c r="I47" t="n">
        <v>870</v>
      </c>
      <c r="J47" t="n">
        <v>6930</v>
      </c>
      <c r="K47" t="n">
        <v>3.3</v>
      </c>
    </row>
    <row r="48">
      <c r="A48" t="inlineStr">
        <is>
          <t>2024-11</t>
        </is>
      </c>
      <c r="B48" t="n">
        <v>130</v>
      </c>
      <c r="C48" t="n">
        <v>850</v>
      </c>
      <c r="D48" t="n">
        <v>300</v>
      </c>
      <c r="E48" t="n">
        <v>2860</v>
      </c>
      <c r="F48" t="n">
        <v>80</v>
      </c>
      <c r="G48" t="n">
        <v>10</v>
      </c>
      <c r="H48" t="n">
        <v>1700</v>
      </c>
      <c r="I48" t="n">
        <v>930</v>
      </c>
      <c r="J48" t="n">
        <v>6860</v>
      </c>
      <c r="K48" t="n">
        <v>1.89</v>
      </c>
    </row>
    <row r="49">
      <c r="A49" t="inlineStr">
        <is>
          <t>2024-12</t>
        </is>
      </c>
      <c r="B49" t="n">
        <v>130</v>
      </c>
      <c r="C49" t="n">
        <v>840</v>
      </c>
      <c r="D49" t="n">
        <v>660</v>
      </c>
      <c r="E49" t="n">
        <v>2530</v>
      </c>
      <c r="F49" t="n">
        <v>80</v>
      </c>
      <c r="G49" t="n">
        <v>10</v>
      </c>
      <c r="H49" t="n">
        <v>2120</v>
      </c>
      <c r="I49" t="n">
        <v>1040</v>
      </c>
      <c r="J49" t="n">
        <v>7410</v>
      </c>
      <c r="K49" t="n">
        <v>4.03</v>
      </c>
    </row>
    <row r="50">
      <c r="A50" t="inlineStr">
        <is>
          <t>2025-01</t>
        </is>
      </c>
      <c r="B50" t="n">
        <v>170</v>
      </c>
      <c r="C50" t="n">
        <v>790</v>
      </c>
      <c r="D50" t="n">
        <v>1040</v>
      </c>
      <c r="E50" t="n">
        <v>2080</v>
      </c>
      <c r="F50" t="n">
        <v>80</v>
      </c>
      <c r="G50" t="n">
        <v>10</v>
      </c>
      <c r="H50" t="n">
        <v>2150</v>
      </c>
      <c r="I50" t="n">
        <v>1050</v>
      </c>
      <c r="J50" t="n">
        <v>7370</v>
      </c>
      <c r="K50" t="n">
        <v>6.36</v>
      </c>
    </row>
    <row r="51">
      <c r="A51" t="inlineStr">
        <is>
          <t>2025-02</t>
        </is>
      </c>
      <c r="B51" t="n">
        <v>160</v>
      </c>
      <c r="C51" t="n">
        <v>940</v>
      </c>
      <c r="D51" t="n">
        <v>1120</v>
      </c>
      <c r="E51" t="n">
        <v>1620</v>
      </c>
      <c r="F51" t="n">
        <v>90</v>
      </c>
      <c r="G51" t="n">
        <v>10</v>
      </c>
      <c r="H51" t="n">
        <v>1820</v>
      </c>
      <c r="I51" t="n">
        <v>880</v>
      </c>
      <c r="J51" t="n">
        <v>6640</v>
      </c>
      <c r="K51" t="n">
        <v>7.58</v>
      </c>
    </row>
    <row r="52">
      <c r="A52" t="inlineStr">
        <is>
          <t>2025-03</t>
        </is>
      </c>
      <c r="B52" t="n">
        <v>160</v>
      </c>
      <c r="C52" t="n">
        <v>1390</v>
      </c>
      <c r="D52" t="n">
        <v>1340</v>
      </c>
      <c r="E52" t="n">
        <v>1570</v>
      </c>
      <c r="F52" t="n">
        <v>90</v>
      </c>
      <c r="G52" t="n">
        <v>10</v>
      </c>
      <c r="H52" t="n">
        <v>1780</v>
      </c>
      <c r="I52" t="n">
        <v>980</v>
      </c>
      <c r="J52" t="n">
        <v>7320</v>
      </c>
      <c r="K52" t="n">
        <v>8.19</v>
      </c>
    </row>
    <row r="53">
      <c r="A53" t="inlineStr">
        <is>
          <t>2025-04</t>
        </is>
      </c>
      <c r="B53" t="n">
        <v>190</v>
      </c>
      <c r="C53" t="n">
        <v>1180</v>
      </c>
      <c r="D53" t="n">
        <v>1430</v>
      </c>
      <c r="E53" t="n">
        <v>1500</v>
      </c>
      <c r="F53" t="n">
        <v>160</v>
      </c>
      <c r="G53" t="n">
        <v>10</v>
      </c>
      <c r="H53" t="n">
        <v>1470</v>
      </c>
      <c r="I53" t="n">
        <v>870</v>
      </c>
      <c r="J53" t="n">
        <v>6810</v>
      </c>
      <c r="K53" t="n">
        <v>9.029999999999999</v>
      </c>
    </row>
    <row r="54">
      <c r="A54" t="inlineStr">
        <is>
          <t>2025-05</t>
        </is>
      </c>
      <c r="B54" t="n">
        <v>200</v>
      </c>
      <c r="C54" t="n">
        <v>1420</v>
      </c>
      <c r="D54" t="n">
        <v>1280</v>
      </c>
      <c r="E54" t="n">
        <v>1910</v>
      </c>
      <c r="F54" t="n">
        <v>110</v>
      </c>
      <c r="G54" t="n">
        <v>10</v>
      </c>
      <c r="H54" t="n">
        <v>1370</v>
      </c>
      <c r="I54" t="n">
        <v>920</v>
      </c>
      <c r="J54" t="n">
        <v>7220</v>
      </c>
      <c r="K54" t="n">
        <v>7.82</v>
      </c>
    </row>
    <row r="55">
      <c r="A55" t="inlineStr">
        <is>
          <t>2025-06</t>
        </is>
      </c>
      <c r="B55" t="n">
        <v>180</v>
      </c>
      <c r="C55" t="n">
        <v>1460</v>
      </c>
      <c r="D55" t="n">
        <v>1400</v>
      </c>
      <c r="E55" t="n">
        <v>1870</v>
      </c>
      <c r="F55" t="n">
        <v>190</v>
      </c>
      <c r="G55" t="n">
        <v>10</v>
      </c>
      <c r="H55" t="n">
        <v>1140</v>
      </c>
      <c r="I55" t="n">
        <v>1040</v>
      </c>
      <c r="J55" t="n">
        <v>7290</v>
      </c>
      <c r="K55" t="n">
        <v>8.84</v>
      </c>
    </row>
    <row r="56">
      <c r="A56" t="inlineStr">
        <is>
          <t>2025-07</t>
        </is>
      </c>
      <c r="B56" t="n">
        <v>170</v>
      </c>
      <c r="C56" t="n">
        <v>1670</v>
      </c>
      <c r="D56" t="n">
        <v>1540</v>
      </c>
      <c r="E56" t="n">
        <v>1370</v>
      </c>
      <c r="F56" t="n">
        <v>130</v>
      </c>
      <c r="G56" t="n">
        <v>10</v>
      </c>
      <c r="H56" t="n">
        <v>1350</v>
      </c>
      <c r="I56" t="n">
        <v>1170</v>
      </c>
      <c r="J56" t="n">
        <v>7410</v>
      </c>
      <c r="K56" t="n">
        <v>9.41</v>
      </c>
    </row>
    <row r="57">
      <c r="A57" t="inlineStr">
        <is>
          <t>2025-08</t>
        </is>
      </c>
      <c r="B57" t="n">
        <v>180</v>
      </c>
      <c r="C57" t="n">
        <v>1360</v>
      </c>
      <c r="D57" t="n">
        <v>1230</v>
      </c>
      <c r="E57" t="n">
        <v>1800</v>
      </c>
      <c r="F57" t="n">
        <v>80</v>
      </c>
      <c r="G57" t="n">
        <v>10</v>
      </c>
      <c r="H57" t="n">
        <v>1490</v>
      </c>
      <c r="I57" t="n">
        <v>1030</v>
      </c>
      <c r="J57" t="n">
        <v>7180</v>
      </c>
      <c r="K57" t="n">
        <v>7.52</v>
      </c>
    </row>
    <row r="58">
      <c r="A58" t="inlineStr">
        <is>
          <t>2025-09</t>
        </is>
      </c>
      <c r="B58" t="n">
        <v>170</v>
      </c>
      <c r="C58" t="n">
        <v>1340</v>
      </c>
      <c r="D58" t="n">
        <v>670</v>
      </c>
      <c r="E58" t="n">
        <v>1730</v>
      </c>
      <c r="F58" t="n">
        <v>80</v>
      </c>
      <c r="G58" t="n">
        <v>10</v>
      </c>
      <c r="H58" t="n">
        <v>1760</v>
      </c>
      <c r="I58" t="n">
        <v>1000</v>
      </c>
      <c r="J58" t="n">
        <v>6760</v>
      </c>
      <c r="K58" t="n">
        <v>4.23</v>
      </c>
    </row>
    <row r="59">
      <c r="A59" t="inlineStr">
        <is>
          <t>2025-10</t>
        </is>
      </c>
      <c r="B59" t="n">
        <v>140</v>
      </c>
      <c r="C59" t="n">
        <v>1120</v>
      </c>
      <c r="D59" t="n">
        <v>580</v>
      </c>
      <c r="E59" t="n">
        <v>1970</v>
      </c>
      <c r="F59" t="n">
        <v>120</v>
      </c>
      <c r="G59" t="n">
        <v>10</v>
      </c>
      <c r="H59" t="n">
        <v>2030</v>
      </c>
      <c r="I59" t="n">
        <v>1080</v>
      </c>
      <c r="J59" t="n">
        <v>7050</v>
      </c>
      <c r="K59" t="n">
        <v>3.54</v>
      </c>
    </row>
    <row r="60">
      <c r="A60" t="inlineStr">
        <is>
          <t>2025-11</t>
        </is>
      </c>
      <c r="B60" t="n">
        <v>120</v>
      </c>
      <c r="C60" t="n">
        <v>1140</v>
      </c>
      <c r="D60" t="n">
        <v>760</v>
      </c>
      <c r="E60" t="n">
        <v>1640</v>
      </c>
      <c r="F60" t="n">
        <v>110</v>
      </c>
      <c r="G60" t="n">
        <v>10</v>
      </c>
      <c r="H60" t="n">
        <v>2140</v>
      </c>
      <c r="I60" t="n">
        <v>1050</v>
      </c>
      <c r="J60" t="n">
        <v>6970</v>
      </c>
      <c r="K60" t="n">
        <v>4.8</v>
      </c>
    </row>
    <row r="61">
      <c r="A61" t="inlineStr">
        <is>
          <t>2025-12</t>
        </is>
      </c>
      <c r="B61" t="n">
        <v>130</v>
      </c>
      <c r="C61" t="n">
        <v>1260</v>
      </c>
      <c r="D61" t="n">
        <v>820</v>
      </c>
      <c r="E61" t="n">
        <v>1720</v>
      </c>
      <c r="F61" t="n">
        <v>100</v>
      </c>
      <c r="G61" t="n">
        <v>10</v>
      </c>
      <c r="H61" t="n">
        <v>2350</v>
      </c>
      <c r="I61" t="n">
        <v>1130</v>
      </c>
      <c r="J61" t="n">
        <v>7520</v>
      </c>
      <c r="K61" t="n">
        <v>5.01</v>
      </c>
    </row>
    <row r="62">
      <c r="A62" t="inlineStr">
        <is>
          <t>2026-01</t>
        </is>
      </c>
      <c r="B62" t="n">
        <v>150</v>
      </c>
      <c r="C62" t="n">
        <v>920</v>
      </c>
      <c r="D62" t="n">
        <v>1200</v>
      </c>
      <c r="E62" t="n">
        <v>1750</v>
      </c>
      <c r="F62" t="n">
        <v>100</v>
      </c>
      <c r="G62" t="n">
        <v>10</v>
      </c>
      <c r="H62" t="n">
        <v>2360</v>
      </c>
      <c r="I62" t="n">
        <v>990</v>
      </c>
      <c r="J62" t="n">
        <v>7480</v>
      </c>
      <c r="K62" t="n">
        <v>7.33</v>
      </c>
    </row>
    <row r="63">
      <c r="A63" t="inlineStr">
        <is>
          <t>2026-02</t>
        </is>
      </c>
      <c r="B63" t="n">
        <v>130</v>
      </c>
      <c r="C63" t="n">
        <v>950</v>
      </c>
      <c r="D63" t="n">
        <v>1080</v>
      </c>
      <c r="E63" t="n">
        <v>1500</v>
      </c>
      <c r="F63" t="n">
        <v>110</v>
      </c>
      <c r="G63" t="n">
        <v>10</v>
      </c>
      <c r="H63" t="n">
        <v>2040</v>
      </c>
      <c r="I63" t="n">
        <v>940</v>
      </c>
      <c r="J63" t="n">
        <v>6760</v>
      </c>
      <c r="K63" t="n">
        <v>7.31</v>
      </c>
    </row>
    <row r="64">
      <c r="A64" t="inlineStr">
        <is>
          <t>2026-03</t>
        </is>
      </c>
      <c r="B64" t="n">
        <v>170</v>
      </c>
      <c r="C64" t="n">
        <v>1440</v>
      </c>
      <c r="D64" t="n">
        <v>1360</v>
      </c>
      <c r="E64" t="n">
        <v>1280</v>
      </c>
      <c r="F64" t="n">
        <v>100</v>
      </c>
      <c r="G64" t="n">
        <v>10</v>
      </c>
      <c r="H64" t="n">
        <v>2150</v>
      </c>
      <c r="I64" t="n">
        <v>970</v>
      </c>
      <c r="J64" t="n">
        <v>7480</v>
      </c>
      <c r="K64" t="n">
        <v>8.31</v>
      </c>
    </row>
    <row r="65">
      <c r="A65" t="inlineStr">
        <is>
          <t>2026-04</t>
        </is>
      </c>
      <c r="B65" t="n">
        <v>180</v>
      </c>
      <c r="C65" t="n">
        <v>1280</v>
      </c>
      <c r="D65" t="n">
        <v>1230</v>
      </c>
      <c r="E65" t="n">
        <v>1210</v>
      </c>
      <c r="F65" t="n">
        <v>130</v>
      </c>
      <c r="G65" t="n">
        <v>10</v>
      </c>
      <c r="H65" t="n">
        <v>1810</v>
      </c>
      <c r="I65" t="n">
        <v>1090</v>
      </c>
      <c r="J65" t="n">
        <v>6940</v>
      </c>
      <c r="K65" t="n">
        <v>7.77</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cols>
    <col width="11" customWidth="1" min="1" max="1"/>
  </cols>
  <sheetData>
    <row r="1">
      <c r="A1" t="inlineStr">
        <is>
          <t>Date</t>
        </is>
      </c>
      <c r="B1" t="inlineStr">
        <is>
          <t>Power</t>
        </is>
      </c>
      <c r="C1" t="inlineStr">
        <is>
          <t>Industrial (incl. oil sector)</t>
        </is>
      </c>
      <c r="D1" t="inlineStr">
        <is>
          <t>Residential &amp; commercial</t>
        </is>
      </c>
      <c r="E1" t="inlineStr">
        <is>
          <t>Refinery &amp; petrochemical</t>
        </is>
      </c>
      <c r="F1" t="inlineStr">
        <is>
          <t>Vehicle CNG &amp; compressors</t>
        </is>
      </c>
    </row>
    <row r="2">
      <c r="A2" s="5" t="n">
        <v>44197</v>
      </c>
      <c r="B2" t="n">
        <v>191</v>
      </c>
      <c r="C2" t="n">
        <v>258</v>
      </c>
      <c r="D2" t="n">
        <v>207</v>
      </c>
      <c r="E2" t="n">
        <v>164</v>
      </c>
      <c r="F2" t="n">
        <v>58</v>
      </c>
    </row>
    <row r="3">
      <c r="A3" s="5" t="n">
        <v>44228</v>
      </c>
      <c r="B3" t="n">
        <v>216</v>
      </c>
      <c r="C3" t="n">
        <v>276</v>
      </c>
      <c r="D3" t="n">
        <v>220</v>
      </c>
      <c r="E3" t="n">
        <v>162</v>
      </c>
      <c r="F3" t="n">
        <v>65</v>
      </c>
    </row>
    <row r="4">
      <c r="A4" s="5" t="n">
        <v>44256</v>
      </c>
      <c r="B4" t="n">
        <v>179</v>
      </c>
      <c r="C4" t="n">
        <v>268</v>
      </c>
      <c r="D4" t="n">
        <v>224</v>
      </c>
      <c r="E4" t="n">
        <v>152</v>
      </c>
      <c r="F4" t="n">
        <v>63.4</v>
      </c>
    </row>
    <row r="5">
      <c r="A5" s="5" t="n">
        <v>44287</v>
      </c>
      <c r="B5" t="n">
        <v>159</v>
      </c>
      <c r="C5" t="n">
        <v>256</v>
      </c>
      <c r="D5" t="n">
        <v>212</v>
      </c>
      <c r="E5" t="n">
        <v>161</v>
      </c>
      <c r="F5" t="n">
        <v>58.3</v>
      </c>
    </row>
    <row r="6">
      <c r="A6" s="5" t="n">
        <v>44317</v>
      </c>
      <c r="B6" t="n">
        <v>153</v>
      </c>
      <c r="C6" t="n">
        <v>230</v>
      </c>
      <c r="D6" t="n">
        <v>211</v>
      </c>
      <c r="E6" t="n">
        <v>143</v>
      </c>
      <c r="F6" t="n">
        <v>53</v>
      </c>
    </row>
    <row r="7">
      <c r="A7" s="5" t="n">
        <v>44348</v>
      </c>
      <c r="B7" t="n">
        <v>180</v>
      </c>
      <c r="C7" t="n">
        <v>260</v>
      </c>
      <c r="D7" t="n">
        <v>220</v>
      </c>
      <c r="E7" t="n">
        <v>153</v>
      </c>
      <c r="F7" t="n">
        <v>60.4</v>
      </c>
    </row>
    <row r="8">
      <c r="A8" s="5" t="n">
        <v>44378</v>
      </c>
      <c r="B8" t="n">
        <v>199</v>
      </c>
      <c r="C8" t="n">
        <v>257</v>
      </c>
      <c r="D8" t="n">
        <v>219</v>
      </c>
      <c r="E8" t="n">
        <v>151</v>
      </c>
      <c r="F8" t="n">
        <v>65</v>
      </c>
    </row>
    <row r="9">
      <c r="A9" s="5" t="n">
        <v>44409</v>
      </c>
      <c r="B9" t="n">
        <v>198</v>
      </c>
      <c r="C9" t="n">
        <v>263</v>
      </c>
      <c r="D9" t="n">
        <v>221</v>
      </c>
      <c r="E9" t="n">
        <v>128</v>
      </c>
      <c r="F9" t="n">
        <v>64</v>
      </c>
    </row>
    <row r="10">
      <c r="A10" s="5" t="n">
        <v>44440</v>
      </c>
      <c r="B10" t="n">
        <v>197</v>
      </c>
      <c r="C10" t="n">
        <v>271</v>
      </c>
      <c r="D10" t="n">
        <v>226</v>
      </c>
      <c r="E10" t="n">
        <v>127</v>
      </c>
      <c r="F10" t="n">
        <v>66</v>
      </c>
    </row>
    <row r="11">
      <c r="A11" s="5" t="n">
        <v>44470</v>
      </c>
      <c r="B11" t="n">
        <v>206</v>
      </c>
      <c r="C11" t="n">
        <v>280</v>
      </c>
      <c r="D11" t="n">
        <v>223</v>
      </c>
      <c r="E11" t="n">
        <v>129</v>
      </c>
      <c r="F11" t="n">
        <v>67</v>
      </c>
    </row>
    <row r="12">
      <c r="A12" s="5" t="n">
        <v>44501</v>
      </c>
      <c r="B12" t="n">
        <v>208</v>
      </c>
      <c r="C12" t="n">
        <v>279</v>
      </c>
      <c r="D12" t="n">
        <v>224</v>
      </c>
      <c r="E12" t="n">
        <v>141</v>
      </c>
      <c r="F12" t="n">
        <v>68</v>
      </c>
    </row>
    <row r="13">
      <c r="A13" s="5" t="n">
        <v>44531</v>
      </c>
      <c r="B13" t="n">
        <v>220</v>
      </c>
      <c r="C13" t="n">
        <v>273</v>
      </c>
      <c r="D13" t="n">
        <v>219</v>
      </c>
      <c r="E13" t="n">
        <v>163</v>
      </c>
      <c r="F13" t="n">
        <v>65</v>
      </c>
    </row>
    <row r="14">
      <c r="A14" s="5" t="n">
        <v>44562</v>
      </c>
      <c r="B14" t="n">
        <v>198</v>
      </c>
      <c r="C14" t="n">
        <v>275</v>
      </c>
      <c r="D14" t="n">
        <v>212</v>
      </c>
      <c r="E14" t="n">
        <v>145</v>
      </c>
      <c r="F14" t="n">
        <v>55</v>
      </c>
    </row>
    <row r="15">
      <c r="A15" s="5" t="n">
        <v>44593</v>
      </c>
      <c r="B15" t="n">
        <v>229</v>
      </c>
      <c r="C15" t="n">
        <v>291</v>
      </c>
      <c r="D15" t="n">
        <v>227</v>
      </c>
      <c r="E15" t="n">
        <v>137</v>
      </c>
      <c r="F15" t="n">
        <v>62</v>
      </c>
    </row>
    <row r="16">
      <c r="A16" s="5" t="n">
        <v>44621</v>
      </c>
      <c r="B16" t="n">
        <v>230</v>
      </c>
      <c r="C16" t="n">
        <v>289</v>
      </c>
      <c r="D16" t="n">
        <v>229</v>
      </c>
      <c r="E16" t="n">
        <v>144</v>
      </c>
      <c r="F16" t="n">
        <v>63</v>
      </c>
    </row>
    <row r="17">
      <c r="A17" s="5" t="n">
        <v>44652</v>
      </c>
      <c r="B17" t="n">
        <v>210</v>
      </c>
      <c r="C17" t="n">
        <v>301</v>
      </c>
      <c r="D17" t="n">
        <v>224</v>
      </c>
      <c r="E17" t="n">
        <v>157</v>
      </c>
      <c r="F17" t="n">
        <v>60.5</v>
      </c>
    </row>
    <row r="18">
      <c r="A18" s="5" t="n">
        <v>44682</v>
      </c>
      <c r="B18" t="n">
        <v>215</v>
      </c>
      <c r="C18" t="n">
        <v>295</v>
      </c>
      <c r="D18" t="n">
        <v>229</v>
      </c>
      <c r="E18" t="n">
        <v>168</v>
      </c>
      <c r="F18" t="n">
        <v>64</v>
      </c>
    </row>
    <row r="19">
      <c r="A19" s="5" t="n">
        <v>44713</v>
      </c>
      <c r="B19" t="n">
        <v>206</v>
      </c>
      <c r="C19" t="n">
        <v>282</v>
      </c>
      <c r="D19" t="n">
        <v>233</v>
      </c>
      <c r="E19" t="n">
        <v>159</v>
      </c>
      <c r="F19" t="n">
        <v>64</v>
      </c>
    </row>
    <row r="20">
      <c r="A20" s="5" t="n">
        <v>44743</v>
      </c>
      <c r="B20" t="n">
        <v>234</v>
      </c>
      <c r="C20" t="n">
        <v>284</v>
      </c>
      <c r="D20" t="n">
        <v>225</v>
      </c>
      <c r="E20" t="n">
        <v>168</v>
      </c>
      <c r="F20" t="n">
        <v>62</v>
      </c>
    </row>
    <row r="21">
      <c r="A21" s="5" t="n">
        <v>44774</v>
      </c>
      <c r="B21" t="n">
        <v>189</v>
      </c>
      <c r="C21" t="n">
        <v>279</v>
      </c>
      <c r="D21" t="n">
        <v>238</v>
      </c>
      <c r="E21" t="n">
        <v>176</v>
      </c>
      <c r="F21" t="n">
        <v>64</v>
      </c>
    </row>
    <row r="22">
      <c r="A22" s="5" t="n">
        <v>44805</v>
      </c>
      <c r="B22" t="n">
        <v>187</v>
      </c>
      <c r="C22" t="n">
        <v>277</v>
      </c>
      <c r="D22" t="n">
        <v>240</v>
      </c>
      <c r="E22" t="n">
        <v>184</v>
      </c>
      <c r="F22" t="n">
        <v>64</v>
      </c>
    </row>
    <row r="23">
      <c r="A23" s="5" t="n">
        <v>44835</v>
      </c>
      <c r="B23" t="n">
        <v>136</v>
      </c>
      <c r="C23" t="n">
        <v>248</v>
      </c>
      <c r="D23" t="n">
        <v>235</v>
      </c>
      <c r="E23" t="n">
        <v>151</v>
      </c>
      <c r="F23" t="n">
        <v>61</v>
      </c>
    </row>
    <row r="24">
      <c r="A24" s="5" t="n">
        <v>44866</v>
      </c>
      <c r="B24" t="n">
        <v>168</v>
      </c>
      <c r="C24" t="n">
        <v>277</v>
      </c>
      <c r="D24" t="n">
        <v>238</v>
      </c>
      <c r="E24" t="n">
        <v>161</v>
      </c>
      <c r="F24" t="n">
        <v>62</v>
      </c>
    </row>
    <row r="25">
      <c r="A25" s="5" t="n">
        <v>44896</v>
      </c>
      <c r="B25" t="n">
        <v>126</v>
      </c>
      <c r="C25" t="n">
        <v>271</v>
      </c>
      <c r="D25" t="n">
        <v>233</v>
      </c>
      <c r="E25" t="n">
        <v>158</v>
      </c>
      <c r="F25" t="n">
        <v>60</v>
      </c>
    </row>
    <row r="26">
      <c r="A26" s="5" t="n">
        <v>44927</v>
      </c>
      <c r="B26" t="n">
        <v>122</v>
      </c>
      <c r="C26" t="n">
        <v>261</v>
      </c>
      <c r="D26" t="n">
        <v>222</v>
      </c>
      <c r="E26" t="n">
        <v>170</v>
      </c>
      <c r="F26" t="n">
        <v>57</v>
      </c>
    </row>
    <row r="27">
      <c r="A27" s="5" t="n">
        <v>44958</v>
      </c>
      <c r="B27" t="n">
        <v>172</v>
      </c>
      <c r="C27" t="n">
        <v>274</v>
      </c>
      <c r="D27" t="n">
        <v>233</v>
      </c>
      <c r="E27" t="n">
        <v>170</v>
      </c>
      <c r="F27" t="n">
        <v>62</v>
      </c>
    </row>
    <row r="28">
      <c r="A28" s="5" t="n">
        <v>44986</v>
      </c>
      <c r="B28" t="n">
        <v>153</v>
      </c>
      <c r="C28" t="n">
        <v>287</v>
      </c>
      <c r="D28" t="n">
        <v>237</v>
      </c>
      <c r="E28" t="n">
        <v>163</v>
      </c>
      <c r="F28" t="n">
        <v>61</v>
      </c>
    </row>
    <row r="29">
      <c r="A29" s="5" t="n">
        <v>45017</v>
      </c>
      <c r="B29" t="n">
        <v>146</v>
      </c>
      <c r="C29" t="n">
        <v>281</v>
      </c>
      <c r="D29" t="n">
        <v>232</v>
      </c>
      <c r="E29" t="n">
        <v>175</v>
      </c>
      <c r="F29" t="n">
        <v>59</v>
      </c>
    </row>
    <row r="30">
      <c r="A30" s="5" t="n">
        <v>45047</v>
      </c>
      <c r="B30" t="n">
        <v>198</v>
      </c>
      <c r="C30" t="n">
        <v>269</v>
      </c>
      <c r="D30" t="n">
        <v>231</v>
      </c>
      <c r="E30" t="n">
        <v>173</v>
      </c>
      <c r="F30" t="n">
        <v>58</v>
      </c>
    </row>
    <row r="31">
      <c r="A31" s="5" t="n">
        <v>45078</v>
      </c>
      <c r="B31" t="n">
        <v>203</v>
      </c>
      <c r="C31" t="n">
        <v>274</v>
      </c>
      <c r="D31" t="n">
        <v>231</v>
      </c>
      <c r="E31" t="n">
        <v>170</v>
      </c>
      <c r="F31" t="n">
        <v>60</v>
      </c>
    </row>
    <row r="32">
      <c r="A32" s="5" t="n">
        <v>45108</v>
      </c>
      <c r="B32" t="n">
        <v>198</v>
      </c>
      <c r="C32" t="n">
        <v>272</v>
      </c>
      <c r="D32" t="n">
        <v>232</v>
      </c>
      <c r="E32" t="n">
        <v>169</v>
      </c>
      <c r="F32" t="n">
        <v>60</v>
      </c>
    </row>
    <row r="33">
      <c r="A33" s="5" t="n">
        <v>45139</v>
      </c>
      <c r="B33" t="n">
        <v>232</v>
      </c>
      <c r="C33" t="n">
        <v>272</v>
      </c>
      <c r="D33" t="n">
        <v>236</v>
      </c>
      <c r="E33" t="n">
        <v>178</v>
      </c>
      <c r="F33" t="n">
        <v>61</v>
      </c>
    </row>
    <row r="34">
      <c r="A34" s="5" t="n">
        <v>45170</v>
      </c>
      <c r="B34" t="n">
        <v>372</v>
      </c>
      <c r="C34" t="n">
        <v>265</v>
      </c>
      <c r="D34" t="n">
        <v>233</v>
      </c>
      <c r="E34" t="n">
        <v>162</v>
      </c>
      <c r="F34" t="n">
        <v>63</v>
      </c>
    </row>
    <row r="35">
      <c r="A35" s="5" t="n">
        <v>45200</v>
      </c>
      <c r="B35" t="n">
        <v>374</v>
      </c>
      <c r="C35" t="n">
        <v>268</v>
      </c>
      <c r="D35" t="n">
        <v>233</v>
      </c>
      <c r="E35" t="n">
        <v>165</v>
      </c>
      <c r="F35" t="n">
        <v>61</v>
      </c>
    </row>
    <row r="36">
      <c r="A36" s="5" t="n">
        <v>45231</v>
      </c>
      <c r="B36" t="n">
        <v>242</v>
      </c>
      <c r="C36" t="n">
        <v>270</v>
      </c>
      <c r="D36" t="n">
        <v>237</v>
      </c>
      <c r="E36" t="n">
        <v>163</v>
      </c>
      <c r="F36" t="n">
        <v>61</v>
      </c>
    </row>
    <row r="37">
      <c r="A37" s="5" t="n">
        <v>45261</v>
      </c>
      <c r="B37" t="n">
        <v>355</v>
      </c>
      <c r="C37" t="n">
        <v>268</v>
      </c>
      <c r="D37" t="n">
        <v>227</v>
      </c>
      <c r="E37" t="n">
        <v>165</v>
      </c>
      <c r="F37" t="n">
        <v>65</v>
      </c>
    </row>
    <row r="38">
      <c r="A38" s="5" t="n">
        <v>45292</v>
      </c>
      <c r="B38" t="n">
        <v>302</v>
      </c>
      <c r="C38" t="n">
        <v>255</v>
      </c>
      <c r="D38" t="n">
        <v>219</v>
      </c>
      <c r="E38" t="n">
        <v>169</v>
      </c>
      <c r="F38" t="n">
        <v>60</v>
      </c>
    </row>
    <row r="39">
      <c r="A39" s="5" t="n">
        <v>45323</v>
      </c>
      <c r="B39" t="n">
        <v>331</v>
      </c>
      <c r="C39" t="n">
        <v>278</v>
      </c>
      <c r="D39" t="n">
        <v>235</v>
      </c>
      <c r="E39" t="n">
        <v>172</v>
      </c>
      <c r="F39" t="n">
        <v>67</v>
      </c>
    </row>
    <row r="40">
      <c r="A40" s="5" t="n">
        <v>45352</v>
      </c>
      <c r="B40" t="n">
        <v>461</v>
      </c>
      <c r="C40" t="n">
        <v>265</v>
      </c>
      <c r="D40" t="n">
        <v>222</v>
      </c>
      <c r="E40" t="n">
        <v>165</v>
      </c>
      <c r="F40" t="n">
        <v>63</v>
      </c>
    </row>
    <row r="41">
      <c r="A41" s="5" t="n">
        <v>45383</v>
      </c>
      <c r="B41" t="n">
        <v>513</v>
      </c>
      <c r="C41" t="n">
        <v>276</v>
      </c>
      <c r="D41" t="n">
        <v>230</v>
      </c>
      <c r="E41" t="n">
        <v>149</v>
      </c>
      <c r="F41" t="n">
        <v>68</v>
      </c>
    </row>
    <row r="42">
      <c r="A42" s="5" t="n">
        <v>45413</v>
      </c>
      <c r="B42" t="n">
        <v>175</v>
      </c>
      <c r="C42" t="n">
        <v>273</v>
      </c>
      <c r="D42" t="n">
        <v>227</v>
      </c>
      <c r="E42" t="n">
        <v>164</v>
      </c>
      <c r="F42" t="n">
        <v>66</v>
      </c>
    </row>
    <row r="43">
      <c r="A43" s="5" t="n">
        <v>45444</v>
      </c>
      <c r="B43" t="n">
        <v>164</v>
      </c>
      <c r="C43" t="n">
        <v>269</v>
      </c>
      <c r="D43" t="n">
        <v>227</v>
      </c>
      <c r="E43" t="n">
        <v>162</v>
      </c>
      <c r="F43" t="n">
        <v>66</v>
      </c>
    </row>
    <row r="44">
      <c r="A44" s="5" t="n">
        <v>45474</v>
      </c>
      <c r="B44" t="n">
        <v>192</v>
      </c>
      <c r="C44" t="n">
        <v>272</v>
      </c>
      <c r="D44" t="n">
        <v>232</v>
      </c>
      <c r="E44" t="n">
        <v>144</v>
      </c>
      <c r="F44" t="n">
        <v>65</v>
      </c>
    </row>
    <row r="45">
      <c r="A45" s="5" t="n">
        <v>45505</v>
      </c>
      <c r="B45" t="n">
        <v>234</v>
      </c>
      <c r="C45" t="n">
        <v>276</v>
      </c>
      <c r="D45" t="n">
        <v>234</v>
      </c>
      <c r="E45" t="n">
        <v>134</v>
      </c>
      <c r="F45" t="n">
        <v>69</v>
      </c>
    </row>
    <row r="46">
      <c r="A46" s="5" t="n">
        <v>45536</v>
      </c>
      <c r="B46" t="n">
        <v>384</v>
      </c>
      <c r="C46" t="n">
        <v>271</v>
      </c>
      <c r="D46" t="n">
        <v>230</v>
      </c>
      <c r="E46" t="n">
        <v>138</v>
      </c>
      <c r="F46" t="n">
        <v>71</v>
      </c>
    </row>
    <row r="47">
      <c r="A47" s="5" t="n">
        <v>45566</v>
      </c>
      <c r="B47" t="n">
        <v>464</v>
      </c>
      <c r="C47" t="n">
        <v>263</v>
      </c>
      <c r="D47" t="n">
        <v>231</v>
      </c>
      <c r="E47" t="n">
        <v>148</v>
      </c>
      <c r="F47" t="n">
        <v>71</v>
      </c>
    </row>
    <row r="48">
      <c r="A48" s="5" t="n">
        <v>45597</v>
      </c>
      <c r="B48" t="n">
        <v>272</v>
      </c>
      <c r="C48" t="n">
        <v>267</v>
      </c>
      <c r="D48" t="n">
        <v>235</v>
      </c>
      <c r="E48" t="n">
        <v>155</v>
      </c>
      <c r="F48" t="n">
        <v>71</v>
      </c>
    </row>
    <row r="49">
      <c r="A49" s="5" t="n">
        <v>45627</v>
      </c>
      <c r="B49" t="n">
        <v>344</v>
      </c>
      <c r="C49" t="n">
        <v>251</v>
      </c>
      <c r="D49" t="n">
        <v>228</v>
      </c>
      <c r="E49" t="n">
        <v>155</v>
      </c>
      <c r="F49" t="n">
        <v>72</v>
      </c>
    </row>
    <row r="50">
      <c r="A50" s="5" t="n">
        <v>45658</v>
      </c>
      <c r="B50" t="n">
        <v>185</v>
      </c>
      <c r="C50" t="n">
        <v>253</v>
      </c>
      <c r="D50" t="n">
        <v>221</v>
      </c>
      <c r="E50" t="n">
        <v>149</v>
      </c>
      <c r="F50" t="n">
        <v>63</v>
      </c>
    </row>
    <row r="51">
      <c r="A51" s="5" t="n">
        <v>45689</v>
      </c>
      <c r="B51" t="n">
        <v>152</v>
      </c>
      <c r="C51" t="n">
        <v>264</v>
      </c>
      <c r="D51" t="n">
        <v>237</v>
      </c>
      <c r="E51" t="n">
        <v>147</v>
      </c>
      <c r="F51" t="n">
        <v>68</v>
      </c>
    </row>
    <row r="52">
      <c r="A52" s="5" t="n">
        <v>45717</v>
      </c>
      <c r="B52" t="n">
        <v>159</v>
      </c>
      <c r="C52" t="n">
        <v>253</v>
      </c>
      <c r="D52" t="n">
        <v>237</v>
      </c>
      <c r="E52" t="n">
        <v>146</v>
      </c>
      <c r="F52" t="n">
        <v>66</v>
      </c>
    </row>
    <row r="53">
      <c r="A53" s="5" t="n">
        <v>45748</v>
      </c>
      <c r="B53" t="n">
        <v>175</v>
      </c>
      <c r="C53" t="n">
        <v>260</v>
      </c>
      <c r="D53" t="n">
        <v>226</v>
      </c>
      <c r="E53" t="n">
        <v>146</v>
      </c>
      <c r="F53" t="n">
        <v>65</v>
      </c>
    </row>
    <row r="54">
      <c r="A54" s="5" t="n">
        <v>45778</v>
      </c>
      <c r="B54" t="n">
        <v>154</v>
      </c>
      <c r="C54" t="n">
        <v>255</v>
      </c>
      <c r="D54" t="n">
        <v>242</v>
      </c>
      <c r="E54" t="n">
        <v>154</v>
      </c>
      <c r="F54" t="n">
        <v>66</v>
      </c>
    </row>
    <row r="55">
      <c r="A55" s="5" t="n">
        <v>45809</v>
      </c>
      <c r="B55" t="n">
        <v>170</v>
      </c>
      <c r="C55" t="n">
        <v>250</v>
      </c>
      <c r="D55" t="n">
        <v>231</v>
      </c>
      <c r="E55" t="n">
        <v>151</v>
      </c>
      <c r="F55" t="n">
        <v>62</v>
      </c>
    </row>
    <row r="56">
      <c r="A56" s="5" t="n">
        <v>45839</v>
      </c>
      <c r="B56" t="n">
        <v>190</v>
      </c>
      <c r="C56" t="n">
        <v>256</v>
      </c>
      <c r="D56" t="n">
        <v>236</v>
      </c>
      <c r="E56" t="n">
        <v>142</v>
      </c>
      <c r="F56" t="n">
        <v>64</v>
      </c>
    </row>
    <row r="57">
      <c r="A57" s="5" t="n">
        <v>45870</v>
      </c>
      <c r="B57" t="n">
        <v>169</v>
      </c>
      <c r="C57" t="n">
        <v>249</v>
      </c>
      <c r="D57" t="n">
        <v>234</v>
      </c>
      <c r="E57" t="n">
        <v>143</v>
      </c>
      <c r="F57" t="n">
        <v>64</v>
      </c>
    </row>
    <row r="58">
      <c r="A58" s="5" t="n">
        <v>45901</v>
      </c>
      <c r="B58" t="n">
        <v>187</v>
      </c>
      <c r="C58" t="n">
        <v>255</v>
      </c>
      <c r="D58" t="n">
        <v>238</v>
      </c>
      <c r="E58" t="n">
        <v>144</v>
      </c>
      <c r="F58" t="n">
        <v>65</v>
      </c>
    </row>
    <row r="59">
      <c r="A59" s="5" t="n">
        <v>45931</v>
      </c>
      <c r="B59" t="n">
        <v>158</v>
      </c>
      <c r="C59" t="n">
        <v>243</v>
      </c>
      <c r="D59" t="n">
        <v>236</v>
      </c>
      <c r="E59" t="n">
        <v>139</v>
      </c>
      <c r="F59" t="n">
        <v>67</v>
      </c>
    </row>
    <row r="60">
      <c r="A60" s="5" t="n">
        <v>45962</v>
      </c>
      <c r="B60" t="n">
        <v>168</v>
      </c>
      <c r="C60" t="n">
        <v>241</v>
      </c>
      <c r="D60" t="n">
        <v>232</v>
      </c>
      <c r="E60" t="n">
        <v>132</v>
      </c>
      <c r="F60" t="n">
        <v>64</v>
      </c>
    </row>
    <row r="61">
      <c r="A61" s="5" t="n">
        <v>45992</v>
      </c>
      <c r="B61" t="n">
        <v>134</v>
      </c>
      <c r="C61" t="n">
        <v>199</v>
      </c>
      <c r="D61" t="n">
        <v>228</v>
      </c>
      <c r="E61" t="n">
        <v>145</v>
      </c>
      <c r="F61" t="n">
        <v>63</v>
      </c>
    </row>
    <row r="62">
      <c r="A62" s="5" t="n">
        <v>46023</v>
      </c>
      <c r="B62" t="n">
        <v>144</v>
      </c>
      <c r="C62" t="n">
        <v>194</v>
      </c>
      <c r="D62" t="n">
        <v>226</v>
      </c>
      <c r="E62" t="n">
        <v>153</v>
      </c>
      <c r="F62" t="n">
        <v>58</v>
      </c>
    </row>
    <row r="63">
      <c r="A63" s="5" t="n">
        <v>46054</v>
      </c>
      <c r="B63" t="n">
        <v>163</v>
      </c>
      <c r="C63" t="n">
        <v>205</v>
      </c>
      <c r="D63" t="n">
        <v>240</v>
      </c>
      <c r="E63" t="n">
        <v>143</v>
      </c>
      <c r="F63" t="n">
        <v>62</v>
      </c>
    </row>
    <row r="64">
      <c r="A64" s="5" t="n">
        <v>46082</v>
      </c>
      <c r="B64" t="n">
        <v>146</v>
      </c>
      <c r="C64" t="n">
        <v>200</v>
      </c>
      <c r="D64" t="n">
        <v>239</v>
      </c>
      <c r="E64" t="n">
        <v>138</v>
      </c>
      <c r="F64" t="n">
        <v>62</v>
      </c>
    </row>
    <row r="65">
      <c r="A65" s="5" t="n">
        <v>46113</v>
      </c>
      <c r="B65" t="n">
        <v>165</v>
      </c>
      <c r="C65" t="n">
        <v>200</v>
      </c>
      <c r="D65" t="n">
        <v>231</v>
      </c>
      <c r="E65" t="n">
        <v>152</v>
      </c>
      <c r="F65" t="n">
        <v>59</v>
      </c>
    </row>
    <row r="66">
      <c r="A66" s="5" t="n">
        <v>46143</v>
      </c>
      <c r="B66" t="n">
        <v>209</v>
      </c>
      <c r="C66" t="n">
        <v>212</v>
      </c>
      <c r="D66" t="n">
        <v>223</v>
      </c>
      <c r="E66" t="n">
        <v>154</v>
      </c>
      <c r="F66" t="n">
        <v>61</v>
      </c>
    </row>
    <row r="67">
      <c r="A67" s="5" t="n">
        <v>46174</v>
      </c>
      <c r="B67" t="n">
        <v>219</v>
      </c>
      <c r="C67" t="n">
        <v>213</v>
      </c>
      <c r="D67" t="n">
        <v>226</v>
      </c>
      <c r="E67" t="n">
        <v>161</v>
      </c>
      <c r="F67" t="n">
        <v>59</v>
      </c>
    </row>
    <row r="68">
      <c r="A68" s="5" t="n">
        <v>46204</v>
      </c>
      <c r="B68" t="n">
        <v>266</v>
      </c>
      <c r="C68" t="n">
        <v>210</v>
      </c>
      <c r="D68" t="n">
        <v>229</v>
      </c>
      <c r="E68" t="n">
        <v>146</v>
      </c>
      <c r="F68" t="n">
        <v>59</v>
      </c>
    </row>
    <row r="69">
      <c r="A69" s="5" t="n">
        <v>46235</v>
      </c>
      <c r="B69" t="n">
        <v>319</v>
      </c>
      <c r="C69" t="n">
        <v>204</v>
      </c>
      <c r="D69" t="n">
        <v>224</v>
      </c>
      <c r="E69" t="n">
        <v>145</v>
      </c>
      <c r="F69" t="n">
        <v>58</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69"/>
  <sheetViews>
    <sheetView workbookViewId="0">
      <pane ySplit="1" topLeftCell="A2" activePane="bottomLeft" state="frozen"/>
      <selection pane="bottomLeft" activeCell="A1" sqref="A1"/>
    </sheetView>
  </sheetViews>
  <sheetFormatPr baseColWidth="8" defaultRowHeight="15"/>
  <sheetData>
    <row r="1">
      <c r="A1" s="6" t="inlineStr">
        <is>
          <t>Month</t>
        </is>
      </c>
      <c r="B1" s="6" t="inlineStr">
        <is>
          <t>Power</t>
        </is>
      </c>
      <c r="C1" s="6" t="inlineStr">
        <is>
          <t>Industrial</t>
        </is>
      </c>
      <c r="D1" s="6" t="inlineStr">
        <is>
          <t>Residential</t>
        </is>
      </c>
      <c r="E1" s="6" t="inlineStr">
        <is>
          <t>Commercial</t>
        </is>
      </c>
      <c r="F1" s="6" t="inlineStr">
        <is>
          <t>Vehicle_CNG</t>
        </is>
      </c>
      <c r="G1" s="6" t="inlineStr">
        <is>
          <t>Refinery</t>
        </is>
      </c>
      <c r="H1" s="6" t="inlineStr">
        <is>
          <t>Petrochemical</t>
        </is>
      </c>
      <c r="I1" s="6" t="inlineStr">
        <is>
          <t>Oil_sector</t>
        </is>
      </c>
      <c r="J1" s="6" t="inlineStr">
        <is>
          <t>Compressors</t>
        </is>
      </c>
      <c r="K1" s="6" t="inlineStr">
        <is>
          <t>Sum_of_sectors</t>
        </is>
      </c>
      <c r="L1" s="6" t="inlineStr">
        <is>
          <t>Reported_total</t>
        </is>
      </c>
      <c r="M1" s="6" t="inlineStr">
        <is>
          <t>Source</t>
        </is>
      </c>
      <c r="N1" s="6" t="inlineStr">
        <is>
          <t>Report</t>
        </is>
      </c>
    </row>
    <row r="2">
      <c r="A2" t="inlineStr">
        <is>
          <t>2021-01</t>
        </is>
      </c>
      <c r="B2" t="n">
        <v>191</v>
      </c>
      <c r="C2" t="n">
        <v>258</v>
      </c>
      <c r="D2" t="n">
        <v>165</v>
      </c>
      <c r="E2" t="n">
        <v>42</v>
      </c>
      <c r="F2" t="n">
        <v>51</v>
      </c>
      <c r="G2" t="n">
        <v>143</v>
      </c>
      <c r="H2" t="n">
        <v>21</v>
      </c>
      <c r="J2" t="n">
        <v>7</v>
      </c>
      <c r="K2" t="n">
        <v>878</v>
      </c>
      <c r="M2" t="inlineStr">
        <is>
          <t>regional table</t>
        </is>
      </c>
      <c r="N2" t="inlineStr">
        <is>
          <t>https://www.bmcbec.com.co/sites/default/files/2021-02/Informe%20Mensual%20Enero%202021.pdf</t>
        </is>
      </c>
    </row>
    <row r="3">
      <c r="A3" t="inlineStr">
        <is>
          <t>2021-02</t>
        </is>
      </c>
      <c r="B3" t="n">
        <v>216</v>
      </c>
      <c r="C3" t="n">
        <v>276</v>
      </c>
      <c r="D3" t="n">
        <v>175</v>
      </c>
      <c r="E3" t="n">
        <v>45</v>
      </c>
      <c r="F3" t="n">
        <v>57</v>
      </c>
      <c r="G3" t="n">
        <v>146</v>
      </c>
      <c r="H3" t="n">
        <v>16</v>
      </c>
      <c r="J3" t="n">
        <v>8</v>
      </c>
      <c r="K3" t="n">
        <v>939</v>
      </c>
      <c r="M3" t="inlineStr">
        <is>
          <t>regional table</t>
        </is>
      </c>
      <c r="N3" t="inlineStr">
        <is>
          <t>https://www.bmcbec.com.co/sites/default/files/2021-03/Informe%20Mensual%20Febrero%202021.pdf</t>
        </is>
      </c>
    </row>
    <row r="4">
      <c r="A4" t="inlineStr">
        <is>
          <t>2021-03</t>
        </is>
      </c>
      <c r="B4" t="n">
        <v>179</v>
      </c>
      <c r="C4" t="n">
        <v>268</v>
      </c>
      <c r="D4" t="n">
        <v>178</v>
      </c>
      <c r="E4" t="n">
        <v>46</v>
      </c>
      <c r="F4" t="n">
        <v>56</v>
      </c>
      <c r="G4" t="n">
        <v>144</v>
      </c>
      <c r="H4" t="n">
        <v>8</v>
      </c>
      <c r="J4" t="n">
        <v>7.4</v>
      </c>
      <c r="K4" t="n">
        <v>886.4</v>
      </c>
      <c r="L4" t="n">
        <v>886</v>
      </c>
      <c r="M4" t="inlineStr">
        <is>
          <t>regional table</t>
        </is>
      </c>
      <c r="N4" t="inlineStr">
        <is>
          <t>https://www.bmcbec.com.co/sites/default/files/2021-04/Informe%20Mensual%20Marzo%202021.04.14.pdf</t>
        </is>
      </c>
    </row>
    <row r="5">
      <c r="A5" t="inlineStr">
        <is>
          <t>2021-04</t>
        </is>
      </c>
      <c r="B5" t="n">
        <v>159</v>
      </c>
      <c r="C5" t="n">
        <v>256</v>
      </c>
      <c r="D5" t="n">
        <v>168</v>
      </c>
      <c r="E5" t="n">
        <v>44</v>
      </c>
      <c r="F5" t="n">
        <v>52</v>
      </c>
      <c r="G5" t="n">
        <v>139</v>
      </c>
      <c r="H5" t="n">
        <v>22</v>
      </c>
      <c r="J5" t="n">
        <v>6.3</v>
      </c>
      <c r="K5" t="n">
        <v>846.3</v>
      </c>
      <c r="L5" t="n">
        <v>846</v>
      </c>
      <c r="M5" t="inlineStr">
        <is>
          <t>regional table</t>
        </is>
      </c>
      <c r="N5" t="inlineStr">
        <is>
          <t>https://www.bmcbec.com.co/sites/default/files/2021-05/Informe%20Mensual%20Abril%202021.pdf</t>
        </is>
      </c>
    </row>
    <row r="6">
      <c r="A6" t="inlineStr">
        <is>
          <t>2021-05</t>
        </is>
      </c>
      <c r="B6" t="n">
        <v>153</v>
      </c>
      <c r="C6" t="n">
        <v>230</v>
      </c>
      <c r="D6" t="n">
        <v>168</v>
      </c>
      <c r="E6" t="n">
        <v>43</v>
      </c>
      <c r="F6" t="n">
        <v>48</v>
      </c>
      <c r="G6" t="n">
        <v>118</v>
      </c>
      <c r="H6" t="n">
        <v>25</v>
      </c>
      <c r="J6" t="n">
        <v>5</v>
      </c>
      <c r="K6" t="n">
        <v>790</v>
      </c>
      <c r="L6" t="n">
        <v>790</v>
      </c>
      <c r="M6" t="inlineStr">
        <is>
          <t>regional table</t>
        </is>
      </c>
      <c r="N6" t="inlineStr">
        <is>
          <t>https://www.bmcbec.com.co/sites/default/files/2021-06/Informe%20Mensual%20Mayo%202021.pdf</t>
        </is>
      </c>
    </row>
    <row r="7">
      <c r="A7" t="inlineStr">
        <is>
          <t>2021-06</t>
        </is>
      </c>
      <c r="B7" t="n">
        <v>180</v>
      </c>
      <c r="C7" t="n">
        <v>260</v>
      </c>
      <c r="D7" t="n">
        <v>176</v>
      </c>
      <c r="E7" t="n">
        <v>44</v>
      </c>
      <c r="F7" t="n">
        <v>55</v>
      </c>
      <c r="G7" t="n">
        <v>129</v>
      </c>
      <c r="H7" t="n">
        <v>24</v>
      </c>
      <c r="J7" t="n">
        <v>5.4</v>
      </c>
      <c r="K7" t="n">
        <v>873.4</v>
      </c>
      <c r="L7" t="n">
        <v>875</v>
      </c>
      <c r="M7" t="inlineStr">
        <is>
          <t>regional table</t>
        </is>
      </c>
      <c r="N7" t="inlineStr">
        <is>
          <t>https://www.bmcbec.com.co/sites/default/files/2021-07/Informe%20Mensual%20junio.pdf</t>
        </is>
      </c>
    </row>
    <row r="8">
      <c r="A8" t="inlineStr">
        <is>
          <t>2021-07</t>
        </is>
      </c>
      <c r="B8" t="n">
        <v>199</v>
      </c>
      <c r="C8" t="n">
        <v>257</v>
      </c>
      <c r="D8" t="n">
        <v>174</v>
      </c>
      <c r="E8" t="n">
        <v>45</v>
      </c>
      <c r="F8" t="n">
        <v>57</v>
      </c>
      <c r="G8" t="n">
        <v>126</v>
      </c>
      <c r="H8" t="n">
        <v>25</v>
      </c>
      <c r="J8" t="n">
        <v>8</v>
      </c>
      <c r="K8" t="n">
        <v>891</v>
      </c>
      <c r="L8" t="n">
        <v>892</v>
      </c>
      <c r="M8" t="inlineStr">
        <is>
          <t>regional table</t>
        </is>
      </c>
      <c r="N8" t="inlineStr">
        <is>
          <t>https://www.bmcbec.com.co/sites/default/files/2021-08/Informe%20Mensual%20julio%2021.pdf</t>
        </is>
      </c>
    </row>
    <row r="9">
      <c r="A9" t="inlineStr">
        <is>
          <t>2021-08</t>
        </is>
      </c>
      <c r="B9" t="n">
        <v>198</v>
      </c>
      <c r="C9" t="n">
        <v>263</v>
      </c>
      <c r="D9" t="n">
        <v>176</v>
      </c>
      <c r="E9" t="n">
        <v>45</v>
      </c>
      <c r="F9" t="n">
        <v>56</v>
      </c>
      <c r="G9" t="n">
        <v>103</v>
      </c>
      <c r="H9" t="n">
        <v>25</v>
      </c>
      <c r="J9" t="n">
        <v>8</v>
      </c>
      <c r="K9" t="n">
        <v>874</v>
      </c>
      <c r="L9" t="n">
        <v>874</v>
      </c>
      <c r="M9" t="inlineStr">
        <is>
          <t>regional table</t>
        </is>
      </c>
      <c r="N9" t="inlineStr">
        <is>
          <t>https://www.bmcbec.com.co/sites/default/files/2021-09/Informe%20Mensual%20agosto.pdf</t>
        </is>
      </c>
    </row>
    <row r="10">
      <c r="A10" t="inlineStr">
        <is>
          <t>2021-09</t>
        </is>
      </c>
      <c r="B10" t="n">
        <v>197</v>
      </c>
      <c r="C10" t="n">
        <v>271</v>
      </c>
      <c r="D10" t="n">
        <v>180</v>
      </c>
      <c r="E10" t="n">
        <v>46</v>
      </c>
      <c r="F10" t="n">
        <v>58</v>
      </c>
      <c r="G10" t="n">
        <v>105</v>
      </c>
      <c r="H10" t="n">
        <v>22</v>
      </c>
      <c r="J10" t="n">
        <v>8</v>
      </c>
      <c r="K10" t="n">
        <v>887</v>
      </c>
      <c r="L10" t="n">
        <v>887</v>
      </c>
      <c r="M10" t="inlineStr">
        <is>
          <t>regional table</t>
        </is>
      </c>
      <c r="N10" t="inlineStr">
        <is>
          <t>https://www.bmcbec.com.co/sites/default/files/2021-10/Informe%20Mensual%20septiembre.pdf</t>
        </is>
      </c>
    </row>
    <row r="11">
      <c r="A11" t="inlineStr">
        <is>
          <t>2021-10</t>
        </is>
      </c>
      <c r="B11" t="n">
        <v>206</v>
      </c>
      <c r="C11" t="n">
        <v>280</v>
      </c>
      <c r="D11" t="n">
        <v>176</v>
      </c>
      <c r="E11" t="n">
        <v>47</v>
      </c>
      <c r="F11" t="n">
        <v>58</v>
      </c>
      <c r="G11" t="n">
        <v>108</v>
      </c>
      <c r="H11" t="n">
        <v>21</v>
      </c>
      <c r="J11" t="n">
        <v>9</v>
      </c>
      <c r="K11" t="n">
        <v>905</v>
      </c>
      <c r="L11" t="n">
        <v>904</v>
      </c>
      <c r="M11" t="inlineStr">
        <is>
          <t>regional table</t>
        </is>
      </c>
      <c r="N11" t="inlineStr">
        <is>
          <t>https://www.bmcbec.com.co/sites/default/files/2021-11/Informe%20Mensual%20-%20Octubre%202021.pdf</t>
        </is>
      </c>
    </row>
    <row r="12">
      <c r="A12" t="inlineStr">
        <is>
          <t>2021-11</t>
        </is>
      </c>
      <c r="B12" t="n">
        <v>208</v>
      </c>
      <c r="C12" t="n">
        <v>279</v>
      </c>
      <c r="D12" t="n">
        <v>177</v>
      </c>
      <c r="E12" t="n">
        <v>47</v>
      </c>
      <c r="F12" t="n">
        <v>59</v>
      </c>
      <c r="G12" t="n">
        <v>117</v>
      </c>
      <c r="H12" t="n">
        <v>24</v>
      </c>
      <c r="J12" t="n">
        <v>9</v>
      </c>
      <c r="K12" t="n">
        <v>920</v>
      </c>
      <c r="L12" t="n">
        <v>920</v>
      </c>
      <c r="M12" t="inlineStr">
        <is>
          <t>regional table</t>
        </is>
      </c>
      <c r="N12" t="inlineStr">
        <is>
          <t>https://www.bmcbec.com.co/sites/default/files/2021-12/Informe%20Mensual%202021.11.pdf</t>
        </is>
      </c>
    </row>
    <row r="13">
      <c r="A13" t="inlineStr">
        <is>
          <t>2021-12</t>
        </is>
      </c>
      <c r="B13" t="n">
        <v>220</v>
      </c>
      <c r="C13" t="n">
        <v>273</v>
      </c>
      <c r="D13" t="n">
        <v>173</v>
      </c>
      <c r="E13" t="n">
        <v>46</v>
      </c>
      <c r="F13" t="n">
        <v>57</v>
      </c>
      <c r="G13" t="n">
        <v>137</v>
      </c>
      <c r="H13" t="n">
        <v>26</v>
      </c>
      <c r="J13" t="n">
        <v>8</v>
      </c>
      <c r="K13" t="n">
        <v>940</v>
      </c>
      <c r="L13" t="n">
        <v>940</v>
      </c>
      <c r="M13" t="inlineStr">
        <is>
          <t>regional table</t>
        </is>
      </c>
      <c r="N13" t="inlineStr">
        <is>
          <t>https://www.bmcbec.com.co/sites/default/files/2022-01/Informe%20Mensual%20Diciembre%202021.pdf</t>
        </is>
      </c>
    </row>
    <row r="14">
      <c r="A14" t="inlineStr">
        <is>
          <t>2022-01</t>
        </is>
      </c>
      <c r="B14" t="n">
        <v>198</v>
      </c>
      <c r="C14" t="n">
        <v>275</v>
      </c>
      <c r="D14" t="n">
        <v>167</v>
      </c>
      <c r="E14" t="n">
        <v>45</v>
      </c>
      <c r="F14" t="n">
        <v>50</v>
      </c>
      <c r="G14" t="n">
        <v>121</v>
      </c>
      <c r="H14" t="n">
        <v>24</v>
      </c>
      <c r="J14" t="n">
        <v>5</v>
      </c>
      <c r="K14" t="n">
        <v>885</v>
      </c>
      <c r="L14" t="n">
        <v>885</v>
      </c>
      <c r="M14" t="inlineStr">
        <is>
          <t>regional table</t>
        </is>
      </c>
      <c r="N14" t="inlineStr">
        <is>
          <t>https://www.bmcbec.com.co/sites/default/files/2022-02/Informe%20Mensual%20ENERO%202022.pdf</t>
        </is>
      </c>
    </row>
    <row r="15">
      <c r="A15" t="inlineStr">
        <is>
          <t>2022-02</t>
        </is>
      </c>
      <c r="B15" t="n">
        <v>229</v>
      </c>
      <c r="C15" t="n">
        <v>291</v>
      </c>
      <c r="D15" t="n">
        <v>179</v>
      </c>
      <c r="E15" t="n">
        <v>48</v>
      </c>
      <c r="F15" t="n">
        <v>56</v>
      </c>
      <c r="G15" t="n">
        <v>114</v>
      </c>
      <c r="H15" t="n">
        <v>23</v>
      </c>
      <c r="J15" t="n">
        <v>6</v>
      </c>
      <c r="K15" t="n">
        <v>946</v>
      </c>
      <c r="L15" t="n">
        <v>946</v>
      </c>
      <c r="M15" t="inlineStr">
        <is>
          <t>regional table</t>
        </is>
      </c>
      <c r="N15" t="inlineStr">
        <is>
          <t>https://www.bmcbec.com.co/sites/default/files/2022-03/Informe%20Mensual%20FEBRERO%202022.pdf</t>
        </is>
      </c>
    </row>
    <row r="16">
      <c r="A16" t="inlineStr">
        <is>
          <t>2022-03</t>
        </is>
      </c>
      <c r="B16" t="n">
        <v>230</v>
      </c>
      <c r="C16" t="n">
        <v>289</v>
      </c>
      <c r="D16" t="n">
        <v>180</v>
      </c>
      <c r="E16" t="n">
        <v>49</v>
      </c>
      <c r="F16" t="n">
        <v>56</v>
      </c>
      <c r="G16" t="n">
        <v>122</v>
      </c>
      <c r="H16" t="n">
        <v>22</v>
      </c>
      <c r="J16" t="n">
        <v>7</v>
      </c>
      <c r="K16" t="n">
        <v>955</v>
      </c>
      <c r="L16" t="n">
        <v>956</v>
      </c>
      <c r="M16" t="inlineStr">
        <is>
          <t>regional table</t>
        </is>
      </c>
      <c r="N16" t="inlineStr">
        <is>
          <t>https://www.bmcbec.com.co/sites/default/files/2022-04/Informe%20Mensual%20MARZO%202022.pdf</t>
        </is>
      </c>
    </row>
    <row r="17">
      <c r="A17" t="inlineStr">
        <is>
          <t>2022-04</t>
        </is>
      </c>
      <c r="B17" t="n">
        <v>210</v>
      </c>
      <c r="C17" t="n">
        <v>301</v>
      </c>
      <c r="D17" t="n">
        <v>176</v>
      </c>
      <c r="E17" t="n">
        <v>48</v>
      </c>
      <c r="F17" t="n">
        <v>54</v>
      </c>
      <c r="G17" t="n">
        <v>133</v>
      </c>
      <c r="H17" t="n">
        <v>24</v>
      </c>
      <c r="J17" t="n">
        <v>6.5</v>
      </c>
      <c r="K17" t="n">
        <v>952.5</v>
      </c>
      <c r="L17" t="n">
        <v>953</v>
      </c>
      <c r="M17" t="inlineStr">
        <is>
          <t>regional table</t>
        </is>
      </c>
      <c r="N17" t="inlineStr">
        <is>
          <t>https://www.bmcbec.com.co/sites/default/files/2022-05/Informe%20Mensual%20Abril%202022.pdf</t>
        </is>
      </c>
    </row>
    <row r="18">
      <c r="A18" t="inlineStr">
        <is>
          <t>2022-05</t>
        </is>
      </c>
      <c r="B18" t="n">
        <v>215</v>
      </c>
      <c r="C18" t="n">
        <v>295</v>
      </c>
      <c r="D18" t="n">
        <v>180</v>
      </c>
      <c r="E18" t="n">
        <v>49</v>
      </c>
      <c r="F18" t="n">
        <v>55</v>
      </c>
      <c r="G18" t="n">
        <v>142</v>
      </c>
      <c r="H18" t="n">
        <v>26</v>
      </c>
      <c r="J18" t="n">
        <v>9</v>
      </c>
      <c r="K18" t="n">
        <v>971</v>
      </c>
      <c r="L18" t="n">
        <v>970</v>
      </c>
      <c r="M18" t="inlineStr">
        <is>
          <t>regional table</t>
        </is>
      </c>
      <c r="N18" t="inlineStr">
        <is>
          <t>https://www.bmcbec.com.co/sites/default/files/2022-09/5_Informe%20Mensual%20Mayo%202022.pdf</t>
        </is>
      </c>
    </row>
    <row r="19">
      <c r="A19" t="inlineStr">
        <is>
          <t>2022-06</t>
        </is>
      </c>
      <c r="B19" t="n">
        <v>206</v>
      </c>
      <c r="C19" t="n">
        <v>282</v>
      </c>
      <c r="D19" t="n">
        <v>183</v>
      </c>
      <c r="E19" t="n">
        <v>50</v>
      </c>
      <c r="F19" t="n">
        <v>55</v>
      </c>
      <c r="G19" t="n">
        <v>134</v>
      </c>
      <c r="H19" t="n">
        <v>25</v>
      </c>
      <c r="J19" t="n">
        <v>9</v>
      </c>
      <c r="K19" t="n">
        <v>944</v>
      </c>
      <c r="L19" t="n">
        <v>944</v>
      </c>
      <c r="M19" t="inlineStr">
        <is>
          <t>regional table</t>
        </is>
      </c>
      <c r="N19" t="inlineStr">
        <is>
          <t>https://www.bmcbec.com.co/sites/default/files/2022-09/6_Informe%20Mensual%20Junio%202022.pdf</t>
        </is>
      </c>
    </row>
    <row r="20">
      <c r="A20" t="inlineStr">
        <is>
          <t>2022-07</t>
        </is>
      </c>
      <c r="B20" t="n">
        <v>234</v>
      </c>
      <c r="C20" t="n">
        <v>284</v>
      </c>
      <c r="D20" t="n">
        <v>177</v>
      </c>
      <c r="E20" t="n">
        <v>48</v>
      </c>
      <c r="F20" t="n">
        <v>54</v>
      </c>
      <c r="G20" t="n">
        <v>144</v>
      </c>
      <c r="H20" t="n">
        <v>24</v>
      </c>
      <c r="J20" t="n">
        <v>8</v>
      </c>
      <c r="K20" t="n">
        <v>973</v>
      </c>
      <c r="L20" t="n">
        <v>973</v>
      </c>
      <c r="M20" t="inlineStr">
        <is>
          <t>regional table</t>
        </is>
      </c>
      <c r="N20" t="inlineStr">
        <is>
          <t>https://www.bmcbec.com.co/sites/default/files/2022-09/7_Informe%20Mensual%20Julio%202022.pdf</t>
        </is>
      </c>
    </row>
    <row r="21">
      <c r="A21" t="inlineStr">
        <is>
          <t>2022-08</t>
        </is>
      </c>
      <c r="B21" t="n">
        <v>189</v>
      </c>
      <c r="C21" t="n">
        <v>279</v>
      </c>
      <c r="D21" t="n">
        <v>180</v>
      </c>
      <c r="E21" t="n">
        <v>58</v>
      </c>
      <c r="F21" t="n">
        <v>56</v>
      </c>
      <c r="G21" t="n">
        <v>151</v>
      </c>
      <c r="H21" t="n">
        <v>25</v>
      </c>
      <c r="J21" t="n">
        <v>8</v>
      </c>
      <c r="K21" t="n">
        <v>946</v>
      </c>
      <c r="L21" t="n">
        <v>946</v>
      </c>
      <c r="M21" t="inlineStr">
        <is>
          <t>department table (power = total - others)</t>
        </is>
      </c>
      <c r="N21" t="inlineStr">
        <is>
          <t>https://www.bmcbec.com.co/sites/default/files/2023-01/8_Informe%20Mensual%20Agosto%202022.pdf</t>
        </is>
      </c>
    </row>
    <row r="22">
      <c r="A22" t="inlineStr">
        <is>
          <t>2022-09</t>
        </is>
      </c>
      <c r="B22" t="n">
        <v>187</v>
      </c>
      <c r="C22" t="n">
        <v>277</v>
      </c>
      <c r="D22" t="n">
        <v>181</v>
      </c>
      <c r="E22" t="n">
        <v>59</v>
      </c>
      <c r="F22" t="n">
        <v>56</v>
      </c>
      <c r="G22" t="n">
        <v>160</v>
      </c>
      <c r="H22" t="n">
        <v>24</v>
      </c>
      <c r="J22" t="n">
        <v>8</v>
      </c>
      <c r="K22" t="n">
        <v>952</v>
      </c>
      <c r="L22" t="n">
        <v>952</v>
      </c>
      <c r="M22" t="inlineStr">
        <is>
          <t>regional table</t>
        </is>
      </c>
      <c r="N22" t="inlineStr">
        <is>
          <t>https://www.bmcbec.com.co/sites/default/files/2023-01/9_Informe%20Mensual%20Septiembre%202022.pdf</t>
        </is>
      </c>
    </row>
    <row r="23">
      <c r="A23" t="inlineStr">
        <is>
          <t>2022-10</t>
        </is>
      </c>
      <c r="B23" t="n">
        <v>136</v>
      </c>
      <c r="C23" t="n">
        <v>248</v>
      </c>
      <c r="D23" t="n">
        <v>178</v>
      </c>
      <c r="E23" t="n">
        <v>57</v>
      </c>
      <c r="F23" t="n">
        <v>55</v>
      </c>
      <c r="G23" t="n">
        <v>129</v>
      </c>
      <c r="H23" t="n">
        <v>22</v>
      </c>
      <c r="J23" t="n">
        <v>6</v>
      </c>
      <c r="K23" t="n">
        <v>831</v>
      </c>
      <c r="L23" t="n">
        <v>830</v>
      </c>
      <c r="M23" t="inlineStr">
        <is>
          <t>regional table</t>
        </is>
      </c>
      <c r="N23" t="inlineStr">
        <is>
          <t>https://www.bmcbec.com.co/sites/default/files/2023-01/10_Informe%20Mensual%20Octubre%202022.pdf</t>
        </is>
      </c>
    </row>
    <row r="24">
      <c r="A24" t="inlineStr">
        <is>
          <t>2022-11</t>
        </is>
      </c>
      <c r="B24" t="n">
        <v>168</v>
      </c>
      <c r="C24" t="n">
        <v>277</v>
      </c>
      <c r="D24" t="n">
        <v>181</v>
      </c>
      <c r="E24" t="n">
        <v>57</v>
      </c>
      <c r="F24" t="n">
        <v>55</v>
      </c>
      <c r="G24" t="n">
        <v>136</v>
      </c>
      <c r="H24" t="n">
        <v>25</v>
      </c>
      <c r="J24" t="n">
        <v>7</v>
      </c>
      <c r="K24" t="n">
        <v>906</v>
      </c>
      <c r="L24" t="n">
        <v>906</v>
      </c>
      <c r="M24" t="inlineStr">
        <is>
          <t>regional table</t>
        </is>
      </c>
      <c r="N24" t="inlineStr">
        <is>
          <t>https://www.bmcbec.com.co/sites/default/files/2023-01/11_Informe%20Mensual%20Noviembre.pdf</t>
        </is>
      </c>
    </row>
    <row r="25">
      <c r="A25" t="inlineStr">
        <is>
          <t>2022-12</t>
        </is>
      </c>
      <c r="B25" t="n">
        <v>126</v>
      </c>
      <c r="C25" t="n">
        <v>271</v>
      </c>
      <c r="D25" t="n">
        <v>177</v>
      </c>
      <c r="E25" t="n">
        <v>56</v>
      </c>
      <c r="F25" t="n">
        <v>54</v>
      </c>
      <c r="G25" t="n">
        <v>133</v>
      </c>
      <c r="H25" t="n">
        <v>25</v>
      </c>
      <c r="J25" t="n">
        <v>6</v>
      </c>
      <c r="K25" t="n">
        <v>848</v>
      </c>
      <c r="L25" t="n">
        <v>847</v>
      </c>
      <c r="M25" t="inlineStr">
        <is>
          <t>regional table</t>
        </is>
      </c>
      <c r="N25" t="inlineStr">
        <is>
          <t>https://www.bmcbec.com.co/sites/default/files/2023-03/12_Informe%20Mensual%20Diciembre.pdf</t>
        </is>
      </c>
    </row>
    <row r="26">
      <c r="A26" t="inlineStr">
        <is>
          <t>2023-01</t>
        </is>
      </c>
      <c r="B26" t="n">
        <v>122</v>
      </c>
      <c r="C26" t="n">
        <v>261</v>
      </c>
      <c r="D26" t="n">
        <v>167</v>
      </c>
      <c r="E26" t="n">
        <v>55</v>
      </c>
      <c r="F26" t="n">
        <v>51</v>
      </c>
      <c r="G26" t="n">
        <v>146</v>
      </c>
      <c r="H26" t="n">
        <v>24</v>
      </c>
      <c r="J26" t="n">
        <v>6</v>
      </c>
      <c r="K26" t="n">
        <v>832</v>
      </c>
      <c r="L26" t="n">
        <v>831</v>
      </c>
      <c r="M26" t="inlineStr">
        <is>
          <t>regional table</t>
        </is>
      </c>
      <c r="N26" t="inlineStr">
        <is>
          <t>https://www.bmcbec.com.co/sites/default/files/2023-02/1_Informe%20Mensual%202023%20Enero.pdf</t>
        </is>
      </c>
    </row>
    <row r="27">
      <c r="A27" t="inlineStr">
        <is>
          <t>2023-02</t>
        </is>
      </c>
      <c r="B27" t="n">
        <v>172</v>
      </c>
      <c r="C27" t="n">
        <v>274</v>
      </c>
      <c r="D27" t="n">
        <v>176</v>
      </c>
      <c r="E27" t="n">
        <v>57</v>
      </c>
      <c r="F27" t="n">
        <v>54</v>
      </c>
      <c r="G27" t="n">
        <v>146</v>
      </c>
      <c r="H27" t="n">
        <v>24</v>
      </c>
      <c r="J27" t="n">
        <v>8</v>
      </c>
      <c r="K27" t="n">
        <v>911</v>
      </c>
      <c r="L27" t="n">
        <v>911</v>
      </c>
      <c r="M27" t="inlineStr">
        <is>
          <t>regional table</t>
        </is>
      </c>
      <c r="N27" t="inlineStr">
        <is>
          <t>https://www.bmcbec.com.co/sites/default/files/2023-03/2_Informe%20Mensual%202023%20Febrero.pdf</t>
        </is>
      </c>
    </row>
    <row r="28">
      <c r="A28" t="inlineStr">
        <is>
          <t>2023-03</t>
        </is>
      </c>
      <c r="B28" t="n">
        <v>153</v>
      </c>
      <c r="C28" t="n">
        <v>287</v>
      </c>
      <c r="D28" t="n">
        <v>178</v>
      </c>
      <c r="E28" t="n">
        <v>59</v>
      </c>
      <c r="F28" t="n">
        <v>54</v>
      </c>
      <c r="G28" t="n">
        <v>138</v>
      </c>
      <c r="H28" t="n">
        <v>25</v>
      </c>
      <c r="J28" t="n">
        <v>7</v>
      </c>
      <c r="K28" t="n">
        <v>901</v>
      </c>
      <c r="L28" t="n">
        <v>901</v>
      </c>
      <c r="M28" t="inlineStr">
        <is>
          <t>regional table</t>
        </is>
      </c>
      <c r="N28" t="inlineStr">
        <is>
          <t>https://www.bmcbec.com.co/sites/default/files/2023-04/Informe%20Mensual%202023%20Marzo.pdf</t>
        </is>
      </c>
    </row>
    <row r="29">
      <c r="A29" t="inlineStr">
        <is>
          <t>2023-04</t>
        </is>
      </c>
      <c r="B29" t="n">
        <v>146</v>
      </c>
      <c r="C29" t="n">
        <v>281</v>
      </c>
      <c r="D29" t="n">
        <v>175</v>
      </c>
      <c r="E29" t="n">
        <v>57</v>
      </c>
      <c r="F29" t="n">
        <v>52</v>
      </c>
      <c r="G29" t="n">
        <v>147</v>
      </c>
      <c r="H29" t="n">
        <v>28</v>
      </c>
      <c r="J29" t="n">
        <v>7</v>
      </c>
      <c r="K29" t="n">
        <v>893</v>
      </c>
      <c r="L29" t="n">
        <v>893</v>
      </c>
      <c r="M29" t="inlineStr">
        <is>
          <t>regional table</t>
        </is>
      </c>
      <c r="N29" t="inlineStr">
        <is>
          <t>https://www.bmcbec.com.co/sites/default/files/2023-05/Informe%20Mensual%202023%20Abril_0.pdf</t>
        </is>
      </c>
    </row>
    <row r="30">
      <c r="A30" t="inlineStr">
        <is>
          <t>2023-05</t>
        </is>
      </c>
      <c r="B30" t="n">
        <v>198</v>
      </c>
      <c r="C30" t="n">
        <v>269</v>
      </c>
      <c r="D30" t="n">
        <v>174</v>
      </c>
      <c r="E30" t="n">
        <v>57</v>
      </c>
      <c r="F30" t="n">
        <v>51</v>
      </c>
      <c r="G30" t="n">
        <v>146</v>
      </c>
      <c r="H30" t="n">
        <v>27</v>
      </c>
      <c r="J30" t="n">
        <v>7</v>
      </c>
      <c r="K30" t="n">
        <v>929</v>
      </c>
      <c r="L30" t="n">
        <v>929</v>
      </c>
      <c r="M30" t="inlineStr">
        <is>
          <t>regional table</t>
        </is>
      </c>
      <c r="N30" t="inlineStr">
        <is>
          <t>https://www.bmcbec.com.co/sites/default/files/2023-06/5_Informe%20Mensual%202023%20Mayo.pdf</t>
        </is>
      </c>
    </row>
    <row r="31">
      <c r="A31" t="inlineStr">
        <is>
          <t>2023-06</t>
        </is>
      </c>
      <c r="B31" t="n">
        <v>203</v>
      </c>
      <c r="C31" t="n">
        <v>274</v>
      </c>
      <c r="D31" t="n">
        <v>174</v>
      </c>
      <c r="E31" t="n">
        <v>57</v>
      </c>
      <c r="F31" t="n">
        <v>52</v>
      </c>
      <c r="G31" t="n">
        <v>145</v>
      </c>
      <c r="H31" t="n">
        <v>25</v>
      </c>
      <c r="J31" t="n">
        <v>8</v>
      </c>
      <c r="K31" t="n">
        <v>938</v>
      </c>
      <c r="L31" t="n">
        <v>938</v>
      </c>
      <c r="M31" t="inlineStr">
        <is>
          <t>regional table</t>
        </is>
      </c>
      <c r="N31" t="inlineStr">
        <is>
          <t>https://www.bmcbec.com.co/sites/default/files/2023-07/Informe_Mensual_2023_Junio_2.pdf</t>
        </is>
      </c>
    </row>
    <row r="32">
      <c r="A32" t="inlineStr">
        <is>
          <t>2023-07</t>
        </is>
      </c>
      <c r="B32" t="n">
        <v>198</v>
      </c>
      <c r="C32" t="n">
        <v>272</v>
      </c>
      <c r="D32" t="n">
        <v>175</v>
      </c>
      <c r="E32" t="n">
        <v>57</v>
      </c>
      <c r="F32" t="n">
        <v>52</v>
      </c>
      <c r="G32" t="n">
        <v>147</v>
      </c>
      <c r="H32" t="n">
        <v>22</v>
      </c>
      <c r="J32" t="n">
        <v>8</v>
      </c>
      <c r="K32" t="n">
        <v>931</v>
      </c>
      <c r="L32" t="n">
        <v>930</v>
      </c>
      <c r="M32" t="inlineStr">
        <is>
          <t>regional table</t>
        </is>
      </c>
      <c r="N32" t="inlineStr">
        <is>
          <t>https://www.bmcbec.com.co/sites/default/files/2023-08/7_Informe%20Mensual%202023%20Julio.pdf</t>
        </is>
      </c>
    </row>
    <row r="33">
      <c r="A33" t="inlineStr">
        <is>
          <t>2023-08</t>
        </is>
      </c>
      <c r="B33" t="n">
        <v>232</v>
      </c>
      <c r="C33" t="n">
        <v>272</v>
      </c>
      <c r="D33" t="n">
        <v>178</v>
      </c>
      <c r="E33" t="n">
        <v>58</v>
      </c>
      <c r="F33" t="n">
        <v>53</v>
      </c>
      <c r="G33" t="n">
        <v>159</v>
      </c>
      <c r="H33" t="n">
        <v>19</v>
      </c>
      <c r="J33" t="n">
        <v>8</v>
      </c>
      <c r="K33" t="n">
        <v>979</v>
      </c>
      <c r="L33" t="n">
        <v>978</v>
      </c>
      <c r="M33" t="inlineStr">
        <is>
          <t>regional table</t>
        </is>
      </c>
      <c r="N33" t="inlineStr">
        <is>
          <t>https://www.bmcbec.com.co/sites/default/files/2023-09/Informe%20Mensual%202023%20Agosto_0.pdf</t>
        </is>
      </c>
    </row>
    <row r="34">
      <c r="A34" t="inlineStr">
        <is>
          <t>2023-09</t>
        </is>
      </c>
      <c r="B34" t="n">
        <v>372</v>
      </c>
      <c r="C34" t="n">
        <v>265</v>
      </c>
      <c r="D34" t="n">
        <v>176</v>
      </c>
      <c r="E34" t="n">
        <v>57</v>
      </c>
      <c r="F34" t="n">
        <v>55</v>
      </c>
      <c r="G34" t="n">
        <v>143</v>
      </c>
      <c r="H34" t="n">
        <v>19</v>
      </c>
      <c r="J34" t="n">
        <v>8</v>
      </c>
      <c r="K34" t="n">
        <v>1095</v>
      </c>
      <c r="L34" t="n">
        <v>1097</v>
      </c>
      <c r="M34" t="inlineStr">
        <is>
          <t>regional table</t>
        </is>
      </c>
      <c r="N34" t="inlineStr">
        <is>
          <t>https://www.bmcbec.com.co/sites/default/files/2023-10/Informe%20Mensual%202023%20Septiembre.pdf</t>
        </is>
      </c>
    </row>
    <row r="35">
      <c r="A35" t="inlineStr">
        <is>
          <t>2023-10</t>
        </is>
      </c>
      <c r="B35" t="n">
        <v>374</v>
      </c>
      <c r="C35" t="n">
        <v>268</v>
      </c>
      <c r="D35" t="n">
        <v>175</v>
      </c>
      <c r="E35" t="n">
        <v>58</v>
      </c>
      <c r="F35" t="n">
        <v>53</v>
      </c>
      <c r="G35" t="n">
        <v>143</v>
      </c>
      <c r="H35" t="n">
        <v>22</v>
      </c>
      <c r="J35" t="n">
        <v>8</v>
      </c>
      <c r="K35" t="n">
        <v>1101</v>
      </c>
      <c r="L35" t="n">
        <v>1101</v>
      </c>
      <c r="M35" t="inlineStr">
        <is>
          <t>regional table</t>
        </is>
      </c>
      <c r="N35" t="inlineStr">
        <is>
          <t>https://www.bmcbec.com.co/sites/default/files/2023-11/Informe%20Mensual%202023%20Octubre_0.pdf</t>
        </is>
      </c>
    </row>
    <row r="36">
      <c r="A36" t="inlineStr">
        <is>
          <t>2023-11</t>
        </is>
      </c>
      <c r="B36" t="n">
        <v>242</v>
      </c>
      <c r="C36" t="n">
        <v>270</v>
      </c>
      <c r="D36" t="n">
        <v>178</v>
      </c>
      <c r="E36" t="n">
        <v>59</v>
      </c>
      <c r="F36" t="n">
        <v>54</v>
      </c>
      <c r="G36" t="n">
        <v>142</v>
      </c>
      <c r="H36" t="n">
        <v>21</v>
      </c>
      <c r="J36" t="n">
        <v>7</v>
      </c>
      <c r="K36" t="n">
        <v>973</v>
      </c>
      <c r="L36" t="n">
        <v>974</v>
      </c>
      <c r="M36" t="inlineStr">
        <is>
          <t>regional table</t>
        </is>
      </c>
      <c r="N36" t="inlineStr">
        <is>
          <t>https://www.bmcbec.com.co/sites/default/files/2023-12/Informe%20Mensual%202023%20Noviembre.pdf</t>
        </is>
      </c>
    </row>
    <row r="37">
      <c r="A37" t="inlineStr">
        <is>
          <t>2023-12</t>
        </is>
      </c>
      <c r="B37" t="n">
        <v>355</v>
      </c>
      <c r="C37" t="n">
        <v>268</v>
      </c>
      <c r="D37" t="n">
        <v>171</v>
      </c>
      <c r="E37" t="n">
        <v>56</v>
      </c>
      <c r="F37" t="n">
        <v>57</v>
      </c>
      <c r="G37" t="n">
        <v>142</v>
      </c>
      <c r="H37" t="n">
        <v>23</v>
      </c>
      <c r="J37" t="n">
        <v>8</v>
      </c>
      <c r="K37" t="n">
        <v>1080</v>
      </c>
      <c r="L37" t="n">
        <v>1079</v>
      </c>
      <c r="M37" t="inlineStr">
        <is>
          <t>regional table</t>
        </is>
      </c>
      <c r="N37" t="inlineStr">
        <is>
          <t>https://www.bmcbec.com.co/sites/default/files/2024-01/Informe%20Mensual%202023%20Diciembre_.pdf</t>
        </is>
      </c>
    </row>
    <row r="38">
      <c r="A38" t="inlineStr">
        <is>
          <t>2024-01</t>
        </is>
      </c>
      <c r="B38" t="n">
        <v>302</v>
      </c>
      <c r="C38" t="n">
        <v>255</v>
      </c>
      <c r="D38" t="n">
        <v>167</v>
      </c>
      <c r="E38" t="n">
        <v>52</v>
      </c>
      <c r="F38" t="n">
        <v>55</v>
      </c>
      <c r="G38" t="n">
        <v>152</v>
      </c>
      <c r="H38" t="n">
        <v>17</v>
      </c>
      <c r="J38" t="n">
        <v>5</v>
      </c>
      <c r="K38" t="n">
        <v>1005</v>
      </c>
      <c r="L38" t="n">
        <v>1004</v>
      </c>
      <c r="M38" t="inlineStr">
        <is>
          <t>regional table</t>
        </is>
      </c>
      <c r="N38" t="inlineStr">
        <is>
          <t>https://www.bmcbec.com.co/sites/default/files/2024-02/Informe%20Mensual%202024%20Enero_0.pdf</t>
        </is>
      </c>
    </row>
    <row r="39">
      <c r="A39" t="inlineStr">
        <is>
          <t>2024-02</t>
        </is>
      </c>
      <c r="B39" t="n">
        <v>331</v>
      </c>
      <c r="C39" t="n">
        <v>278</v>
      </c>
      <c r="D39" t="n">
        <v>182</v>
      </c>
      <c r="E39" t="n">
        <v>53</v>
      </c>
      <c r="F39" t="n">
        <v>60</v>
      </c>
      <c r="G39" t="n">
        <v>149</v>
      </c>
      <c r="H39" t="n">
        <v>23</v>
      </c>
      <c r="J39" t="n">
        <v>7</v>
      </c>
      <c r="K39" t="n">
        <v>1083</v>
      </c>
      <c r="L39" t="n">
        <v>1082</v>
      </c>
      <c r="M39" t="inlineStr">
        <is>
          <t>regional table</t>
        </is>
      </c>
      <c r="N39" t="inlineStr">
        <is>
          <t>https://www.bmcbec.com.co/sites/default/files/2024-03/Informe%20Mensual%202024%20Febrero.pdf</t>
        </is>
      </c>
    </row>
    <row r="40">
      <c r="A40" t="inlineStr">
        <is>
          <t>2024-03</t>
        </is>
      </c>
      <c r="B40" t="n">
        <v>461</v>
      </c>
      <c r="C40" t="n">
        <v>265</v>
      </c>
      <c r="D40" t="n">
        <v>172</v>
      </c>
      <c r="E40" t="n">
        <v>50</v>
      </c>
      <c r="F40" t="n">
        <v>56</v>
      </c>
      <c r="G40" t="n">
        <v>144</v>
      </c>
      <c r="H40" t="n">
        <v>21</v>
      </c>
      <c r="J40" t="n">
        <v>7</v>
      </c>
      <c r="K40" t="n">
        <v>1176</v>
      </c>
      <c r="L40" t="n">
        <v>1177</v>
      </c>
      <c r="M40" t="inlineStr">
        <is>
          <t>regional table</t>
        </is>
      </c>
      <c r="N40" t="inlineStr">
        <is>
          <t>https://www.bmcbec.com.co/sites/default/files/2024-04/Informe%20Mensual%202024%20Marzo.pdf</t>
        </is>
      </c>
    </row>
    <row r="41">
      <c r="A41" t="inlineStr">
        <is>
          <t>2024-04</t>
        </is>
      </c>
      <c r="B41" t="n">
        <v>513</v>
      </c>
      <c r="C41" t="n">
        <v>276</v>
      </c>
      <c r="D41" t="n">
        <v>178</v>
      </c>
      <c r="E41" t="n">
        <v>52</v>
      </c>
      <c r="F41" t="n">
        <v>60</v>
      </c>
      <c r="G41" t="n">
        <v>141</v>
      </c>
      <c r="H41" t="n">
        <v>8</v>
      </c>
      <c r="J41" t="n">
        <v>8</v>
      </c>
      <c r="K41" t="n">
        <v>1236</v>
      </c>
      <c r="L41" t="n">
        <v>1236</v>
      </c>
      <c r="M41" t="inlineStr">
        <is>
          <t>regional table</t>
        </is>
      </c>
      <c r="N41" t="inlineStr">
        <is>
          <t>https://www.bmcbec.com.co/sites/default/files/2024-05/Informe%20Mensual%202024%20Abril_1.pdf</t>
        </is>
      </c>
    </row>
    <row r="42">
      <c r="A42" t="inlineStr">
        <is>
          <t>2024-05</t>
        </is>
      </c>
      <c r="B42" t="n">
        <v>175</v>
      </c>
      <c r="C42" t="n">
        <v>273</v>
      </c>
      <c r="D42" t="n">
        <v>176</v>
      </c>
      <c r="E42" t="n">
        <v>51</v>
      </c>
      <c r="F42" t="n">
        <v>61</v>
      </c>
      <c r="G42" t="n">
        <v>149</v>
      </c>
      <c r="H42" t="n">
        <v>15</v>
      </c>
      <c r="J42" t="n">
        <v>5</v>
      </c>
      <c r="K42" t="n">
        <v>905</v>
      </c>
      <c r="L42" t="n">
        <v>905</v>
      </c>
      <c r="M42" t="inlineStr">
        <is>
          <t>regional table</t>
        </is>
      </c>
      <c r="N42" t="inlineStr">
        <is>
          <t>https://www.bmcbec.com.co/sites/default/files/2024-06/Informe%20Mensual%202024%20Mayo.pdf</t>
        </is>
      </c>
    </row>
    <row r="43">
      <c r="A43" t="inlineStr">
        <is>
          <t>2024-06</t>
        </is>
      </c>
      <c r="B43" t="n">
        <v>164</v>
      </c>
      <c r="C43" t="n">
        <v>269</v>
      </c>
      <c r="D43" t="n">
        <v>176</v>
      </c>
      <c r="E43" t="n">
        <v>51</v>
      </c>
      <c r="F43" t="n">
        <v>60</v>
      </c>
      <c r="G43" t="n">
        <v>142</v>
      </c>
      <c r="H43" t="n">
        <v>20</v>
      </c>
      <c r="J43" t="n">
        <v>6</v>
      </c>
      <c r="K43" t="n">
        <v>888</v>
      </c>
      <c r="L43" t="n">
        <v>888</v>
      </c>
      <c r="M43" t="inlineStr">
        <is>
          <t>regional table</t>
        </is>
      </c>
      <c r="N43" t="inlineStr">
        <is>
          <t>https://www.bmcbec.com.co/sites/default/files/2024-07/Informe%20Mensual%202024%20Junio.pdf</t>
        </is>
      </c>
    </row>
    <row r="44">
      <c r="A44" t="inlineStr">
        <is>
          <t>2024-07</t>
        </is>
      </c>
      <c r="B44" t="n">
        <v>192</v>
      </c>
      <c r="C44" t="n">
        <v>272</v>
      </c>
      <c r="D44" t="n">
        <v>180</v>
      </c>
      <c r="E44" t="n">
        <v>52</v>
      </c>
      <c r="F44" t="n">
        <v>60</v>
      </c>
      <c r="G44" t="n">
        <v>125</v>
      </c>
      <c r="H44" t="n">
        <v>19</v>
      </c>
      <c r="J44" t="n">
        <v>5</v>
      </c>
      <c r="K44" t="n">
        <v>905</v>
      </c>
      <c r="L44" t="n">
        <v>905</v>
      </c>
      <c r="M44" t="inlineStr">
        <is>
          <t>regional table</t>
        </is>
      </c>
      <c r="N44" t="inlineStr">
        <is>
          <t>https://www.bmcbec.com.co/sites/default/files/2024-08/Informe%20Mensual%202024%20Julio.pdf</t>
        </is>
      </c>
    </row>
    <row r="45">
      <c r="A45" t="inlineStr">
        <is>
          <t>2024-08</t>
        </is>
      </c>
      <c r="B45" t="n">
        <v>234</v>
      </c>
      <c r="C45" t="n">
        <v>276</v>
      </c>
      <c r="D45" t="n">
        <v>181</v>
      </c>
      <c r="E45" t="n">
        <v>53</v>
      </c>
      <c r="F45" t="n">
        <v>63</v>
      </c>
      <c r="G45" t="n">
        <v>111</v>
      </c>
      <c r="H45" t="n">
        <v>23</v>
      </c>
      <c r="J45" t="n">
        <v>6</v>
      </c>
      <c r="K45" t="n">
        <v>947</v>
      </c>
      <c r="L45" t="n">
        <v>948</v>
      </c>
      <c r="M45" t="inlineStr">
        <is>
          <t>regional table</t>
        </is>
      </c>
      <c r="N45" t="inlineStr">
        <is>
          <t>https://www.bmcbec.com.co/sites/default/files/2024-09/Informe%20Mensual%202024%20Agosto.pdf</t>
        </is>
      </c>
    </row>
    <row r="46">
      <c r="A46" t="inlineStr">
        <is>
          <t>2024-09</t>
        </is>
      </c>
      <c r="B46" t="n">
        <v>384</v>
      </c>
      <c r="C46" t="n">
        <v>271</v>
      </c>
      <c r="D46" t="n">
        <v>178</v>
      </c>
      <c r="E46" t="n">
        <v>52</v>
      </c>
      <c r="F46" t="n">
        <v>61</v>
      </c>
      <c r="G46" t="n">
        <v>127</v>
      </c>
      <c r="H46" t="n">
        <v>11</v>
      </c>
      <c r="J46" t="n">
        <v>10</v>
      </c>
      <c r="K46" t="n">
        <v>1094</v>
      </c>
      <c r="L46" t="n">
        <v>1094</v>
      </c>
      <c r="M46" t="inlineStr">
        <is>
          <t>regional table</t>
        </is>
      </c>
      <c r="N46" t="inlineStr">
        <is>
          <t>https://www.bmcbec.com.co/sites/default/files/2024-10/Informe%20Mensual%202024%20Septiembre.pdf</t>
        </is>
      </c>
    </row>
    <row r="47">
      <c r="A47" t="inlineStr">
        <is>
          <t>2024-10</t>
        </is>
      </c>
      <c r="B47" t="n">
        <v>464</v>
      </c>
      <c r="C47" t="n">
        <v>263</v>
      </c>
      <c r="D47" t="n">
        <v>178</v>
      </c>
      <c r="E47" t="n">
        <v>53</v>
      </c>
      <c r="F47" t="n">
        <v>62</v>
      </c>
      <c r="G47" t="n">
        <v>140</v>
      </c>
      <c r="H47" t="n">
        <v>8</v>
      </c>
      <c r="J47" t="n">
        <v>9</v>
      </c>
      <c r="K47" t="n">
        <v>1177</v>
      </c>
      <c r="L47" t="n">
        <v>1177</v>
      </c>
      <c r="M47" t="inlineStr">
        <is>
          <t>regional table</t>
        </is>
      </c>
      <c r="N47" t="inlineStr">
        <is>
          <t>https://www.bmcbec.com.co/sites/default/files/2024-11/Informe%20Mensual%202024%20Octubre.pdf</t>
        </is>
      </c>
    </row>
    <row r="48">
      <c r="A48" t="inlineStr">
        <is>
          <t>2024-11</t>
        </is>
      </c>
      <c r="B48" t="n">
        <v>272</v>
      </c>
      <c r="C48" t="n">
        <v>267</v>
      </c>
      <c r="D48" t="n">
        <v>181</v>
      </c>
      <c r="E48" t="n">
        <v>54</v>
      </c>
      <c r="F48" t="n">
        <v>63</v>
      </c>
      <c r="G48" t="n">
        <v>147</v>
      </c>
      <c r="H48" t="n">
        <v>8</v>
      </c>
      <c r="J48" t="n">
        <v>8</v>
      </c>
      <c r="K48" t="n">
        <v>1000</v>
      </c>
      <c r="L48" t="n">
        <v>1000</v>
      </c>
      <c r="M48" t="inlineStr">
        <is>
          <t>regional table</t>
        </is>
      </c>
      <c r="N48" t="inlineStr">
        <is>
          <t>https://www.bmcbec.com.co/sites/default/files/2024-12/Informe%20Mensual%202024%20Noviembre.pdf</t>
        </is>
      </c>
    </row>
    <row r="49">
      <c r="A49" t="inlineStr">
        <is>
          <t>2024-12</t>
        </is>
      </c>
      <c r="B49" t="n">
        <v>344</v>
      </c>
      <c r="C49" t="n">
        <v>251</v>
      </c>
      <c r="D49" t="n">
        <v>176</v>
      </c>
      <c r="E49" t="n">
        <v>52</v>
      </c>
      <c r="F49" t="n">
        <v>64</v>
      </c>
      <c r="G49" t="n">
        <v>146</v>
      </c>
      <c r="H49" t="n">
        <v>9</v>
      </c>
      <c r="J49" t="n">
        <v>8</v>
      </c>
      <c r="K49" t="n">
        <v>1050</v>
      </c>
      <c r="L49" t="n">
        <v>1050</v>
      </c>
      <c r="M49" t="inlineStr">
        <is>
          <t>regional table</t>
        </is>
      </c>
      <c r="N49" t="inlineStr">
        <is>
          <t>https://www.bmcbec.com.co/sites/default/files/2025-01/Informe%20Mensual%202024%20Diciembre_0.pdf</t>
        </is>
      </c>
    </row>
    <row r="50">
      <c r="A50" t="inlineStr">
        <is>
          <t>2025-01</t>
        </is>
      </c>
      <c r="B50" t="n">
        <v>185</v>
      </c>
      <c r="C50" t="n">
        <v>253</v>
      </c>
      <c r="D50" t="n">
        <v>171</v>
      </c>
      <c r="E50" t="n">
        <v>50</v>
      </c>
      <c r="F50" t="n">
        <v>57</v>
      </c>
      <c r="G50" t="n">
        <v>140</v>
      </c>
      <c r="H50" t="n">
        <v>9</v>
      </c>
      <c r="J50" t="n">
        <v>6</v>
      </c>
      <c r="K50" t="n">
        <v>871</v>
      </c>
      <c r="L50" t="n">
        <v>869</v>
      </c>
      <c r="M50" t="inlineStr">
        <is>
          <t>regional table</t>
        </is>
      </c>
      <c r="N50" t="inlineStr">
        <is>
          <t>https://www.bmcbec.com.co/sites/default/files/2025-02/Informe%20Mensual%202025%20Enero_0.pdf</t>
        </is>
      </c>
    </row>
    <row r="51">
      <c r="A51" t="inlineStr">
        <is>
          <t>2025-02</t>
        </is>
      </c>
      <c r="B51" t="n">
        <v>152</v>
      </c>
      <c r="C51" t="n">
        <v>264</v>
      </c>
      <c r="D51" t="n">
        <v>183</v>
      </c>
      <c r="E51" t="n">
        <v>54</v>
      </c>
      <c r="F51" t="n">
        <v>62</v>
      </c>
      <c r="G51" t="n">
        <v>138</v>
      </c>
      <c r="H51" t="n">
        <v>9</v>
      </c>
      <c r="J51" t="n">
        <v>6</v>
      </c>
      <c r="K51" t="n">
        <v>868</v>
      </c>
      <c r="L51" t="n">
        <v>867</v>
      </c>
      <c r="M51" t="inlineStr">
        <is>
          <t>regional table</t>
        </is>
      </c>
      <c r="N51" t="inlineStr">
        <is>
          <t>https://www.bmcbec.com.co/sites/default/files/2025-03/Informe%20Mensual%202025%20Febrero.pdf</t>
        </is>
      </c>
    </row>
    <row r="52">
      <c r="A52" t="inlineStr">
        <is>
          <t>2025-03</t>
        </is>
      </c>
      <c r="B52" t="n">
        <v>159</v>
      </c>
      <c r="C52" t="n">
        <v>253</v>
      </c>
      <c r="D52" t="n">
        <v>175</v>
      </c>
      <c r="E52" t="n">
        <v>62</v>
      </c>
      <c r="F52" t="n">
        <v>61</v>
      </c>
      <c r="G52" t="n">
        <v>137</v>
      </c>
      <c r="H52" t="n">
        <v>9</v>
      </c>
      <c r="J52" t="n">
        <v>5</v>
      </c>
      <c r="K52" t="n">
        <v>861</v>
      </c>
      <c r="L52" t="n">
        <v>862</v>
      </c>
      <c r="M52" t="inlineStr">
        <is>
          <t>regional table</t>
        </is>
      </c>
      <c r="N52" t="inlineStr">
        <is>
          <t>https://www.bmcbec.com.co/sites/default/files/2025-04/Informe%20Mensual%202025%20Marzo.pdf</t>
        </is>
      </c>
    </row>
    <row r="53">
      <c r="A53" t="inlineStr">
        <is>
          <t>2025-04</t>
        </is>
      </c>
      <c r="B53" t="n">
        <v>175</v>
      </c>
      <c r="C53" t="n">
        <v>260</v>
      </c>
      <c r="D53" t="n">
        <v>168</v>
      </c>
      <c r="E53" t="n">
        <v>58</v>
      </c>
      <c r="F53" t="n">
        <v>60</v>
      </c>
      <c r="G53" t="n">
        <v>137</v>
      </c>
      <c r="H53" t="n">
        <v>9</v>
      </c>
      <c r="J53" t="n">
        <v>5</v>
      </c>
      <c r="K53" t="n">
        <v>872</v>
      </c>
      <c r="L53" t="n">
        <v>871</v>
      </c>
      <c r="M53" t="inlineStr">
        <is>
          <t>regional table</t>
        </is>
      </c>
      <c r="N53" t="inlineStr">
        <is>
          <t>https://www.bmcbec.com.co/sites/default/files/2025-05/Informe%20Mensual%202025%20Abril.pdf</t>
        </is>
      </c>
    </row>
    <row r="54">
      <c r="A54" t="inlineStr">
        <is>
          <t>2025-05</t>
        </is>
      </c>
      <c r="B54" t="n">
        <v>154</v>
      </c>
      <c r="C54" t="n">
        <v>255</v>
      </c>
      <c r="D54" t="n">
        <v>179</v>
      </c>
      <c r="E54" t="n">
        <v>63</v>
      </c>
      <c r="F54" t="n">
        <v>61</v>
      </c>
      <c r="G54" t="n">
        <v>145</v>
      </c>
      <c r="H54" t="n">
        <v>9</v>
      </c>
      <c r="J54" t="n">
        <v>5</v>
      </c>
      <c r="K54" t="n">
        <v>871</v>
      </c>
      <c r="L54" t="n">
        <v>870</v>
      </c>
      <c r="M54" t="inlineStr">
        <is>
          <t>regional table</t>
        </is>
      </c>
      <c r="N54" t="inlineStr">
        <is>
          <t>https://www.bmcbec.com.co/sites/default/files/2025-06/Informe%20Mensual%202025%20Mayo.pdf</t>
        </is>
      </c>
    </row>
    <row r="55">
      <c r="A55" t="inlineStr">
        <is>
          <t>2025-06</t>
        </is>
      </c>
      <c r="B55" t="n">
        <v>170</v>
      </c>
      <c r="C55" t="n">
        <v>250</v>
      </c>
      <c r="D55" t="n">
        <v>168</v>
      </c>
      <c r="E55" t="n">
        <v>63</v>
      </c>
      <c r="F55" t="n">
        <v>57</v>
      </c>
      <c r="G55" t="n">
        <v>142</v>
      </c>
      <c r="H55" t="n">
        <v>9</v>
      </c>
      <c r="J55" t="n">
        <v>5</v>
      </c>
      <c r="K55" t="n">
        <v>864</v>
      </c>
      <c r="L55" t="n">
        <v>862</v>
      </c>
      <c r="M55" t="inlineStr">
        <is>
          <t>regional table</t>
        </is>
      </c>
      <c r="N55" t="inlineStr">
        <is>
          <t>https://www.bmcbec.com.co/sites/default/files/2025-07/Informe%20Mensual%202025%20Junio.pdf</t>
        </is>
      </c>
    </row>
    <row r="56">
      <c r="A56" t="inlineStr">
        <is>
          <t>2025-07</t>
        </is>
      </c>
      <c r="B56" t="n">
        <v>190</v>
      </c>
      <c r="C56" t="n">
        <v>256</v>
      </c>
      <c r="D56" t="n">
        <v>170</v>
      </c>
      <c r="E56" t="n">
        <v>66</v>
      </c>
      <c r="F56" t="n">
        <v>60</v>
      </c>
      <c r="G56" t="n">
        <v>133</v>
      </c>
      <c r="H56" t="n">
        <v>9</v>
      </c>
      <c r="J56" t="n">
        <v>4</v>
      </c>
      <c r="K56" t="n">
        <v>888</v>
      </c>
      <c r="L56" t="n">
        <v>887</v>
      </c>
      <c r="M56" t="inlineStr">
        <is>
          <t>regional table</t>
        </is>
      </c>
      <c r="N56" t="inlineStr">
        <is>
          <t>https://www.bmcbec.com.co/sites/default/files/2025-08/Informe%20Mensual%202025%20Julio.pdf</t>
        </is>
      </c>
    </row>
    <row r="57">
      <c r="A57" t="inlineStr">
        <is>
          <t>2025-08</t>
        </is>
      </c>
      <c r="B57" t="n">
        <v>169</v>
      </c>
      <c r="C57" t="n">
        <v>224</v>
      </c>
      <c r="D57" t="n">
        <v>168</v>
      </c>
      <c r="E57" t="n">
        <v>66</v>
      </c>
      <c r="F57" t="n">
        <v>60</v>
      </c>
      <c r="G57" t="n">
        <v>135</v>
      </c>
      <c r="H57" t="n">
        <v>8</v>
      </c>
      <c r="I57" t="n">
        <v>25</v>
      </c>
      <c r="J57" t="n">
        <v>4</v>
      </c>
      <c r="K57" t="n">
        <v>859</v>
      </c>
      <c r="L57" t="n">
        <v>859</v>
      </c>
      <c r="M57" t="inlineStr">
        <is>
          <t>regional table</t>
        </is>
      </c>
      <c r="N57" t="inlineStr">
        <is>
          <t>https://www.bmcbec.com.co/sites/default/files/2025-09/Informe%20Mensual%202025%20Agosto.pdf</t>
        </is>
      </c>
    </row>
    <row r="58">
      <c r="A58" t="inlineStr">
        <is>
          <t>2025-09</t>
        </is>
      </c>
      <c r="B58" t="n">
        <v>187</v>
      </c>
      <c r="C58" t="n">
        <v>230</v>
      </c>
      <c r="D58" t="n">
        <v>172</v>
      </c>
      <c r="E58" t="n">
        <v>66</v>
      </c>
      <c r="F58" t="n">
        <v>60</v>
      </c>
      <c r="G58" t="n">
        <v>135</v>
      </c>
      <c r="H58" t="n">
        <v>9</v>
      </c>
      <c r="I58" t="n">
        <v>25</v>
      </c>
      <c r="J58" t="n">
        <v>5</v>
      </c>
      <c r="K58" t="n">
        <v>889</v>
      </c>
      <c r="L58" t="n">
        <v>889</v>
      </c>
      <c r="M58" t="inlineStr">
        <is>
          <t>department table (power = total - others)</t>
        </is>
      </c>
      <c r="N58" t="inlineStr">
        <is>
          <t>https://www.bmcbec.com.co/sites/default/files/2025-10/Informe%20Mensual%202025%20Septiembre.pdf</t>
        </is>
      </c>
    </row>
    <row r="59">
      <c r="A59" t="inlineStr">
        <is>
          <t>2025-10</t>
        </is>
      </c>
      <c r="B59" t="n">
        <v>158</v>
      </c>
      <c r="C59" t="n">
        <v>218</v>
      </c>
      <c r="D59" t="n">
        <v>171</v>
      </c>
      <c r="E59" t="n">
        <v>65</v>
      </c>
      <c r="F59" t="n">
        <v>61</v>
      </c>
      <c r="G59" t="n">
        <v>131</v>
      </c>
      <c r="H59" t="n">
        <v>8</v>
      </c>
      <c r="I59" t="n">
        <v>25</v>
      </c>
      <c r="J59" t="n">
        <v>6</v>
      </c>
      <c r="K59" t="n">
        <v>843</v>
      </c>
      <c r="L59" t="n">
        <v>844</v>
      </c>
      <c r="M59" t="inlineStr">
        <is>
          <t>regional table</t>
        </is>
      </c>
      <c r="N59" t="inlineStr">
        <is>
          <t>https://www.bmcbec.com.co/sites/default/files/2025-11/Informe%20Mensual%202025%20Octubre.pdf</t>
        </is>
      </c>
    </row>
    <row r="60">
      <c r="A60" t="inlineStr">
        <is>
          <t>2025-11</t>
        </is>
      </c>
      <c r="B60" t="n">
        <v>168</v>
      </c>
      <c r="C60" t="n">
        <v>217</v>
      </c>
      <c r="D60" t="n">
        <v>167</v>
      </c>
      <c r="E60" t="n">
        <v>65</v>
      </c>
      <c r="F60" t="n">
        <v>60</v>
      </c>
      <c r="G60" t="n">
        <v>124</v>
      </c>
      <c r="H60" t="n">
        <v>8</v>
      </c>
      <c r="I60" t="n">
        <v>24</v>
      </c>
      <c r="J60" t="n">
        <v>4</v>
      </c>
      <c r="K60" t="n">
        <v>837</v>
      </c>
      <c r="L60" t="n">
        <v>841</v>
      </c>
      <c r="M60" t="inlineStr">
        <is>
          <t>regional table</t>
        </is>
      </c>
      <c r="N60" t="inlineStr">
        <is>
          <t>https://www.bmcbec.com.co/sites/default/files/2026-01/Informe%20Mensual%202025%20noviembre.pdf</t>
        </is>
      </c>
    </row>
    <row r="61">
      <c r="A61" t="inlineStr">
        <is>
          <t>2025-12</t>
        </is>
      </c>
      <c r="B61" t="n">
        <v>134</v>
      </c>
      <c r="C61" t="n">
        <v>170</v>
      </c>
      <c r="D61" t="n">
        <v>166</v>
      </c>
      <c r="E61" t="n">
        <v>62</v>
      </c>
      <c r="F61" t="n">
        <v>59</v>
      </c>
      <c r="G61" t="n">
        <v>137</v>
      </c>
      <c r="H61" t="n">
        <v>8</v>
      </c>
      <c r="I61" t="n">
        <v>29</v>
      </c>
      <c r="J61" t="n">
        <v>4</v>
      </c>
      <c r="K61" t="n">
        <v>769</v>
      </c>
      <c r="L61" t="n">
        <v>770</v>
      </c>
      <c r="M61" t="inlineStr">
        <is>
          <t>regional table</t>
        </is>
      </c>
      <c r="N61" t="inlineStr">
        <is>
          <t>https://www.bmcbec.com.co/sites/default/files/2026-01/Informe%20Mensual%202025%20diciembre.pdf</t>
        </is>
      </c>
    </row>
    <row r="62">
      <c r="A62" t="inlineStr">
        <is>
          <t>2026-01</t>
        </is>
      </c>
      <c r="B62" t="n">
        <v>144</v>
      </c>
      <c r="C62" t="n">
        <v>167</v>
      </c>
      <c r="D62" t="n">
        <v>164</v>
      </c>
      <c r="E62" t="n">
        <v>62</v>
      </c>
      <c r="F62" t="n">
        <v>54</v>
      </c>
      <c r="G62" t="n">
        <v>145</v>
      </c>
      <c r="H62" t="n">
        <v>8</v>
      </c>
      <c r="I62" t="n">
        <v>27</v>
      </c>
      <c r="J62" t="n">
        <v>4</v>
      </c>
      <c r="K62" t="n">
        <v>775</v>
      </c>
      <c r="L62" t="n">
        <v>773</v>
      </c>
      <c r="M62" t="inlineStr">
        <is>
          <t>regional table</t>
        </is>
      </c>
      <c r="N62" t="inlineStr">
        <is>
          <t>https://www.bmcbec.com.co/sites/default/files/2026-02/Informe%20Mensual%202026%20Enero%20%281%29.pdf</t>
        </is>
      </c>
    </row>
    <row r="63">
      <c r="A63" t="inlineStr">
        <is>
          <t>2026-02</t>
        </is>
      </c>
      <c r="B63" t="n">
        <v>163</v>
      </c>
      <c r="C63" t="n">
        <v>173</v>
      </c>
      <c r="D63" t="n">
        <v>173</v>
      </c>
      <c r="E63" t="n">
        <v>67</v>
      </c>
      <c r="F63" t="n">
        <v>58</v>
      </c>
      <c r="G63" t="n">
        <v>135</v>
      </c>
      <c r="H63" t="n">
        <v>8</v>
      </c>
      <c r="I63" t="n">
        <v>32</v>
      </c>
      <c r="J63" t="n">
        <v>4</v>
      </c>
      <c r="K63" t="n">
        <v>813</v>
      </c>
      <c r="L63" t="n">
        <v>813</v>
      </c>
      <c r="M63" t="inlineStr">
        <is>
          <t>regional table</t>
        </is>
      </c>
      <c r="N63" t="inlineStr">
        <is>
          <t>https://www.bmcbec.com.co/sites/default/files/2026-03/Informe%20Mensual%202026%20Febrero.pdf</t>
        </is>
      </c>
    </row>
    <row r="64">
      <c r="A64" t="inlineStr">
        <is>
          <t>2026-03</t>
        </is>
      </c>
      <c r="B64" t="n">
        <v>146</v>
      </c>
      <c r="C64" t="n">
        <v>167</v>
      </c>
      <c r="D64" t="n">
        <v>173</v>
      </c>
      <c r="E64" t="n">
        <v>66</v>
      </c>
      <c r="F64" t="n">
        <v>58</v>
      </c>
      <c r="G64" t="n">
        <v>131</v>
      </c>
      <c r="H64" t="n">
        <v>7</v>
      </c>
      <c r="I64" t="n">
        <v>33</v>
      </c>
      <c r="J64" t="n">
        <v>4</v>
      </c>
      <c r="K64" t="n">
        <v>785</v>
      </c>
      <c r="L64" t="n">
        <v>786</v>
      </c>
      <c r="M64" t="inlineStr">
        <is>
          <t>regional table</t>
        </is>
      </c>
      <c r="N64" t="inlineStr">
        <is>
          <t>https://www.bmcbec.com.co/sites/default/files/2026-04/Informe%20Mensual%202026%20Marzo.pdf</t>
        </is>
      </c>
    </row>
    <row r="65">
      <c r="A65" t="inlineStr">
        <is>
          <t>2026-04</t>
        </is>
      </c>
      <c r="B65" t="n">
        <v>165</v>
      </c>
      <c r="C65" t="n">
        <v>164</v>
      </c>
      <c r="D65" t="n">
        <v>168</v>
      </c>
      <c r="E65" t="n">
        <v>63</v>
      </c>
      <c r="F65" t="n">
        <v>56</v>
      </c>
      <c r="G65" t="n">
        <v>145</v>
      </c>
      <c r="H65" t="n">
        <v>7</v>
      </c>
      <c r="I65" t="n">
        <v>36</v>
      </c>
      <c r="J65" t="n">
        <v>3</v>
      </c>
      <c r="K65" t="n">
        <v>807</v>
      </c>
      <c r="L65" t="n">
        <v>807</v>
      </c>
      <c r="M65" t="inlineStr">
        <is>
          <t>department table (power = total - others)</t>
        </is>
      </c>
      <c r="N65" t="inlineStr">
        <is>
          <t>https://www.bmcbec.com.co/sites/default/files/2026-05/Informe%20Mensual%202026%20Abril.pdf</t>
        </is>
      </c>
    </row>
    <row r="66">
      <c r="A66" t="inlineStr">
        <is>
          <t>2026-05</t>
        </is>
      </c>
      <c r="B66" t="n">
        <v>209</v>
      </c>
      <c r="C66" t="n">
        <v>170</v>
      </c>
      <c r="D66" t="n">
        <v>162</v>
      </c>
      <c r="E66" t="n">
        <v>61</v>
      </c>
      <c r="F66" t="n">
        <v>57</v>
      </c>
      <c r="G66" t="n">
        <v>148</v>
      </c>
      <c r="H66" t="n">
        <v>6</v>
      </c>
      <c r="I66" t="n">
        <v>42</v>
      </c>
      <c r="J66" t="n">
        <v>4</v>
      </c>
      <c r="K66" t="n">
        <v>859</v>
      </c>
      <c r="L66" t="n">
        <v>860</v>
      </c>
      <c r="M66" t="inlineStr">
        <is>
          <t>regional table</t>
        </is>
      </c>
      <c r="N66" t="inlineStr">
        <is>
          <t>https://www.bmcbec.com.co/sites/default/files/2026-06/Informe%20Mensual%202026%20Mayo.pdf</t>
        </is>
      </c>
    </row>
    <row r="67">
      <c r="A67" t="inlineStr">
        <is>
          <t>2026-06</t>
        </is>
      </c>
      <c r="B67" t="n">
        <v>219</v>
      </c>
      <c r="C67" t="n">
        <v>168</v>
      </c>
      <c r="D67" t="n">
        <v>164</v>
      </c>
      <c r="E67" t="n">
        <v>62</v>
      </c>
      <c r="F67" t="n">
        <v>54</v>
      </c>
      <c r="G67" t="n">
        <v>152</v>
      </c>
      <c r="H67" t="n">
        <v>9</v>
      </c>
      <c r="I67" t="n">
        <v>45</v>
      </c>
      <c r="J67" t="n">
        <v>5</v>
      </c>
      <c r="K67" t="n">
        <v>878</v>
      </c>
      <c r="L67" t="n">
        <v>878</v>
      </c>
      <c r="M67" t="inlineStr">
        <is>
          <t>department table (power = total - others)</t>
        </is>
      </c>
      <c r="N67" t="inlineStr">
        <is>
          <t>https://www.bmcbec.com.co/sites/default/files/2026-07/Informe%20Mensual%202026%20Junio.pdf</t>
        </is>
      </c>
    </row>
    <row r="68">
      <c r="A68" t="inlineStr">
        <is>
          <t>2026-07</t>
        </is>
      </c>
      <c r="B68" t="n">
        <v>266</v>
      </c>
      <c r="C68" t="n">
        <v>166</v>
      </c>
      <c r="D68" t="n">
        <v>166</v>
      </c>
      <c r="E68" t="n">
        <v>63</v>
      </c>
      <c r="F68" t="n">
        <v>55</v>
      </c>
      <c r="G68" t="n">
        <v>138</v>
      </c>
      <c r="H68" t="n">
        <v>8</v>
      </c>
      <c r="I68" t="n">
        <v>44</v>
      </c>
      <c r="J68" t="n">
        <v>4</v>
      </c>
      <c r="K68" t="n">
        <v>910</v>
      </c>
      <c r="L68" t="n">
        <v>910</v>
      </c>
      <c r="M68" t="inlineStr">
        <is>
          <t>regional table</t>
        </is>
      </c>
      <c r="N68" t="inlineStr">
        <is>
          <t>https://www.bmcbec.com.co/sites/default/files/2026-08/Informe%20Mensual%202026%20Julio.pdf</t>
        </is>
      </c>
    </row>
    <row r="69">
      <c r="A69" t="inlineStr">
        <is>
          <t>2026-08</t>
        </is>
      </c>
      <c r="B69" t="n">
        <v>319</v>
      </c>
      <c r="C69" t="n">
        <v>157</v>
      </c>
      <c r="D69" t="n">
        <v>163</v>
      </c>
      <c r="E69" t="n">
        <v>61</v>
      </c>
      <c r="F69" t="n">
        <v>54</v>
      </c>
      <c r="G69" t="n">
        <v>137</v>
      </c>
      <c r="H69" t="n">
        <v>8</v>
      </c>
      <c r="I69" t="n">
        <v>47</v>
      </c>
      <c r="J69" t="n">
        <v>4</v>
      </c>
      <c r="K69" t="n">
        <v>950</v>
      </c>
      <c r="L69" t="n">
        <v>950</v>
      </c>
      <c r="M69" t="inlineStr">
        <is>
          <t>regional table</t>
        </is>
      </c>
      <c r="N69" t="inlineStr">
        <is>
          <t>https://www.bmcbec.com.co/sites/default/files/2026-09/Informe%20Mensual%202026%20Agosto.pdf</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9"/>
  <sheetViews>
    <sheetView workbookViewId="0">
      <selection activeCell="A1" sqref="A1"/>
    </sheetView>
  </sheetViews>
  <sheetFormatPr baseColWidth="8" defaultRowHeight="15"/>
  <cols>
    <col width="11" customWidth="1" min="1" max="1"/>
  </cols>
  <sheetData>
    <row r="1">
      <c r="A1" t="inlineStr">
        <is>
          <t>Date</t>
        </is>
      </c>
      <c r="B1" t="inlineStr">
        <is>
          <t>Power (Machala)</t>
        </is>
      </c>
      <c r="C1" t="inlineStr">
        <is>
          <t>Industry (Bajo Alto LNG)</t>
        </is>
      </c>
    </row>
    <row r="2">
      <c r="A2" s="5" t="n">
        <v>44197</v>
      </c>
      <c r="B2" t="n">
        <v>23316</v>
      </c>
      <c r="C2" t="n">
        <v>2957</v>
      </c>
    </row>
    <row r="3">
      <c r="A3" s="5" t="n">
        <v>44228</v>
      </c>
      <c r="B3" t="n">
        <v>21764</v>
      </c>
      <c r="C3" t="n">
        <v>5024</v>
      </c>
    </row>
    <row r="4">
      <c r="A4" s="5" t="n">
        <v>44256</v>
      </c>
      <c r="B4" t="n">
        <v>22610</v>
      </c>
      <c r="C4" t="n">
        <v>3071</v>
      </c>
    </row>
    <row r="5">
      <c r="A5" s="5" t="n">
        <v>44287</v>
      </c>
      <c r="B5" t="n">
        <v>20480</v>
      </c>
      <c r="C5" t="n">
        <v>4962</v>
      </c>
    </row>
    <row r="6">
      <c r="A6" s="5" t="n">
        <v>44317</v>
      </c>
      <c r="B6" t="n">
        <v>19232</v>
      </c>
      <c r="C6" t="n">
        <v>5036</v>
      </c>
    </row>
    <row r="7">
      <c r="A7" s="5" t="n">
        <v>44348</v>
      </c>
      <c r="B7" t="n">
        <v>19965</v>
      </c>
      <c r="C7" t="n">
        <v>4857</v>
      </c>
    </row>
    <row r="8">
      <c r="A8" s="5" t="n">
        <v>44378</v>
      </c>
      <c r="B8" t="n">
        <v>19294</v>
      </c>
      <c r="C8" t="n">
        <v>5049</v>
      </c>
    </row>
    <row r="9">
      <c r="A9" s="5" t="n">
        <v>44409</v>
      </c>
      <c r="B9" t="n">
        <v>18431</v>
      </c>
      <c r="C9" t="n">
        <v>5239</v>
      </c>
    </row>
    <row r="10">
      <c r="A10" s="5" t="n">
        <v>44440</v>
      </c>
      <c r="B10" t="n">
        <v>18239</v>
      </c>
      <c r="C10" t="n">
        <v>5179</v>
      </c>
    </row>
    <row r="11">
      <c r="A11" s="5" t="n">
        <v>44470</v>
      </c>
      <c r="B11" t="n">
        <v>18350</v>
      </c>
      <c r="C11" t="n">
        <v>5003</v>
      </c>
    </row>
    <row r="12">
      <c r="A12" s="5" t="n">
        <v>44501</v>
      </c>
      <c r="B12" t="n">
        <v>18126</v>
      </c>
      <c r="C12" t="n">
        <v>4919</v>
      </c>
    </row>
    <row r="13">
      <c r="A13" s="5" t="n">
        <v>44531</v>
      </c>
      <c r="B13" t="n">
        <v>17341</v>
      </c>
      <c r="C13" t="n">
        <v>5054</v>
      </c>
    </row>
    <row r="14">
      <c r="A14" s="5" t="n">
        <v>44562</v>
      </c>
      <c r="B14" t="n">
        <v>19207</v>
      </c>
      <c r="C14" t="n">
        <v>4732</v>
      </c>
    </row>
    <row r="15">
      <c r="A15" s="5" t="n">
        <v>44593</v>
      </c>
      <c r="B15" t="n">
        <v>18061</v>
      </c>
      <c r="C15" t="n">
        <v>4752</v>
      </c>
    </row>
    <row r="16">
      <c r="A16" s="5" t="n">
        <v>44621</v>
      </c>
      <c r="B16" t="n">
        <v>19597</v>
      </c>
      <c r="C16" t="n">
        <v>3446</v>
      </c>
    </row>
    <row r="17">
      <c r="A17" s="5" t="n">
        <v>44652</v>
      </c>
      <c r="B17" t="n">
        <v>18570</v>
      </c>
      <c r="C17" t="n">
        <v>3657</v>
      </c>
    </row>
    <row r="18">
      <c r="A18" s="5" t="n">
        <v>44682</v>
      </c>
      <c r="B18" t="n">
        <v>17008</v>
      </c>
      <c r="C18" t="n">
        <v>4944</v>
      </c>
    </row>
    <row r="19">
      <c r="A19" s="5" t="n">
        <v>44713</v>
      </c>
      <c r="B19" t="n">
        <v>18264</v>
      </c>
      <c r="C19" t="n">
        <v>3307</v>
      </c>
    </row>
    <row r="20">
      <c r="A20" s="5" t="n">
        <v>44743</v>
      </c>
      <c r="B20" t="n">
        <v>18906</v>
      </c>
      <c r="C20" t="n">
        <v>3310</v>
      </c>
    </row>
    <row r="21">
      <c r="A21" s="5" t="n">
        <v>44774</v>
      </c>
      <c r="B21" t="n">
        <v>18284</v>
      </c>
      <c r="C21" t="n">
        <v>2521</v>
      </c>
    </row>
    <row r="22">
      <c r="A22" s="5" t="n">
        <v>44805</v>
      </c>
      <c r="B22" t="n">
        <v>17680</v>
      </c>
      <c r="C22" t="n">
        <v>3716</v>
      </c>
    </row>
    <row r="23">
      <c r="A23" s="5" t="n">
        <v>44835</v>
      </c>
      <c r="B23" t="n">
        <v>15246</v>
      </c>
      <c r="C23" t="n">
        <v>5011</v>
      </c>
    </row>
    <row r="24">
      <c r="A24" s="5" t="n">
        <v>44866</v>
      </c>
      <c r="B24" t="n">
        <v>15000</v>
      </c>
      <c r="C24" t="n">
        <v>5442</v>
      </c>
    </row>
    <row r="25">
      <c r="A25" s="5" t="n">
        <v>44896</v>
      </c>
      <c r="B25" t="n">
        <v>14898</v>
      </c>
      <c r="C25" t="n">
        <v>4473</v>
      </c>
    </row>
    <row r="26">
      <c r="A26" s="5" t="n">
        <v>44927</v>
      </c>
      <c r="B26" t="n">
        <v>17113</v>
      </c>
      <c r="C26" t="n">
        <v>4017</v>
      </c>
    </row>
    <row r="27">
      <c r="A27" s="5" t="n">
        <v>44958</v>
      </c>
      <c r="B27" t="n">
        <v>15799</v>
      </c>
      <c r="C27" t="n">
        <v>3812</v>
      </c>
    </row>
    <row r="28">
      <c r="A28" s="5" t="n">
        <v>44986</v>
      </c>
      <c r="B28" t="n">
        <v>16102</v>
      </c>
      <c r="C28" t="n">
        <v>3375</v>
      </c>
    </row>
    <row r="29">
      <c r="A29" s="5" t="n">
        <v>45017</v>
      </c>
      <c r="B29" t="n">
        <v>15361</v>
      </c>
      <c r="C29" t="n">
        <v>4010</v>
      </c>
    </row>
    <row r="30">
      <c r="A30" s="5" t="n">
        <v>45047</v>
      </c>
      <c r="B30" t="n">
        <v>15501</v>
      </c>
      <c r="C30" t="n">
        <v>4159</v>
      </c>
    </row>
    <row r="31">
      <c r="A31" s="5" t="n">
        <v>45078</v>
      </c>
      <c r="B31" t="n">
        <v>16199</v>
      </c>
      <c r="C31" t="n">
        <v>3376</v>
      </c>
    </row>
    <row r="32">
      <c r="A32" s="5" t="n">
        <v>45108</v>
      </c>
      <c r="B32" t="n">
        <v>15303</v>
      </c>
      <c r="C32" t="n">
        <v>3742</v>
      </c>
    </row>
    <row r="33">
      <c r="A33" s="5" t="n">
        <v>45139</v>
      </c>
      <c r="B33" t="n">
        <v>14918</v>
      </c>
      <c r="C33" t="n">
        <v>4591</v>
      </c>
    </row>
    <row r="34">
      <c r="A34" s="5" t="n">
        <v>45170</v>
      </c>
      <c r="B34" t="n">
        <v>14266</v>
      </c>
      <c r="C34" t="n">
        <v>4564</v>
      </c>
    </row>
    <row r="35">
      <c r="A35" s="5" t="n">
        <v>45200</v>
      </c>
      <c r="B35" t="n">
        <v>14319</v>
      </c>
      <c r="C35" t="n">
        <v>4484</v>
      </c>
    </row>
    <row r="36">
      <c r="A36" s="5" t="n">
        <v>45231</v>
      </c>
      <c r="B36" t="n">
        <v>19047</v>
      </c>
      <c r="C36" t="n">
        <v>885</v>
      </c>
    </row>
    <row r="37">
      <c r="A37" s="5" t="n">
        <v>45261</v>
      </c>
      <c r="B37" t="n">
        <v>14178</v>
      </c>
      <c r="C37" t="n">
        <v>4591</v>
      </c>
    </row>
    <row r="38">
      <c r="A38" s="5" t="n">
        <v>45292</v>
      </c>
      <c r="B38" t="n">
        <v>14904</v>
      </c>
      <c r="C38" t="n">
        <v>4261</v>
      </c>
    </row>
    <row r="39">
      <c r="A39" s="5" t="n">
        <v>45323</v>
      </c>
      <c r="B39" t="n">
        <v>15610</v>
      </c>
      <c r="C39" t="n">
        <v>3329</v>
      </c>
    </row>
    <row r="40">
      <c r="A40" s="5" t="n">
        <v>45352</v>
      </c>
      <c r="B40" t="n">
        <v>14572</v>
      </c>
      <c r="C40" t="n">
        <v>3534</v>
      </c>
    </row>
    <row r="41">
      <c r="A41" s="5" t="n">
        <v>45383</v>
      </c>
      <c r="B41" t="n">
        <v>15318</v>
      </c>
      <c r="C41" t="n">
        <v>3749</v>
      </c>
    </row>
    <row r="42">
      <c r="A42" s="5" t="n">
        <v>45413</v>
      </c>
      <c r="B42" t="n">
        <v>14635</v>
      </c>
      <c r="C42" t="n">
        <v>4118</v>
      </c>
    </row>
    <row r="43">
      <c r="A43" s="5" t="n">
        <v>45444</v>
      </c>
      <c r="B43" t="n">
        <v>14502</v>
      </c>
      <c r="C43" t="n">
        <v>4392</v>
      </c>
    </row>
    <row r="44">
      <c r="A44" s="5" t="n">
        <v>45474</v>
      </c>
      <c r="B44" t="n">
        <v>14238</v>
      </c>
      <c r="C44" t="n">
        <v>5146</v>
      </c>
    </row>
    <row r="45">
      <c r="A45" s="5" t="n">
        <v>45505</v>
      </c>
      <c r="B45" t="n">
        <v>13807</v>
      </c>
      <c r="C45" t="n">
        <v>5050</v>
      </c>
    </row>
    <row r="46">
      <c r="A46" s="5" t="n">
        <v>45536</v>
      </c>
      <c r="B46" t="n">
        <v>16802</v>
      </c>
      <c r="C46" t="n">
        <v>3003</v>
      </c>
    </row>
    <row r="47">
      <c r="A47" s="5" t="n">
        <v>45566</v>
      </c>
      <c r="B47" t="n">
        <v>18919</v>
      </c>
      <c r="C47" t="n">
        <v>468</v>
      </c>
    </row>
    <row r="48">
      <c r="A48" s="5" t="n">
        <v>45597</v>
      </c>
      <c r="B48" t="n">
        <v>18556</v>
      </c>
      <c r="C48" t="n">
        <v>361</v>
      </c>
    </row>
    <row r="49">
      <c r="A49" s="5" t="n">
        <v>45627</v>
      </c>
      <c r="B49" t="n">
        <v>17498</v>
      </c>
      <c r="C49" t="n">
        <v>330</v>
      </c>
    </row>
    <row r="50">
      <c r="A50" s="5" t="n">
        <v>45658</v>
      </c>
      <c r="B50" t="n">
        <v>19130</v>
      </c>
      <c r="C50" t="n">
        <v>545</v>
      </c>
    </row>
    <row r="51">
      <c r="A51" s="5" t="n">
        <v>45689</v>
      </c>
      <c r="B51" t="n">
        <v>16046</v>
      </c>
      <c r="C51" t="n">
        <v>2807</v>
      </c>
    </row>
    <row r="52">
      <c r="A52" s="5" t="n">
        <v>45717</v>
      </c>
      <c r="B52" t="n">
        <v>17658</v>
      </c>
      <c r="C52" t="n">
        <v>1173</v>
      </c>
    </row>
    <row r="53">
      <c r="A53" s="5" t="n">
        <v>45748</v>
      </c>
      <c r="B53" t="n">
        <v>15550</v>
      </c>
      <c r="C53" t="n">
        <v>2017</v>
      </c>
    </row>
    <row r="54">
      <c r="A54" s="5" t="n">
        <v>45778</v>
      </c>
      <c r="B54" t="n">
        <v>16762</v>
      </c>
      <c r="C54" t="n">
        <v>1974</v>
      </c>
    </row>
    <row r="55">
      <c r="A55" s="5" t="n">
        <v>45809</v>
      </c>
      <c r="B55" t="n">
        <v>15723</v>
      </c>
      <c r="C55" t="n">
        <v>2038</v>
      </c>
    </row>
    <row r="56">
      <c r="A56" s="5" t="n">
        <v>45839</v>
      </c>
      <c r="B56" t="n">
        <v>15420</v>
      </c>
      <c r="C56" t="n">
        <v>2517</v>
      </c>
    </row>
    <row r="57">
      <c r="A57" s="5" t="n">
        <v>45870</v>
      </c>
      <c r="B57" t="n">
        <v>15396</v>
      </c>
      <c r="C57" t="n">
        <v>2887</v>
      </c>
    </row>
    <row r="58">
      <c r="A58" s="5" t="n">
        <v>45901</v>
      </c>
      <c r="B58" t="n">
        <v>16556</v>
      </c>
      <c r="C58" t="n">
        <v>1876</v>
      </c>
    </row>
    <row r="59">
      <c r="A59" s="5" t="n">
        <v>45931</v>
      </c>
      <c r="B59" t="n">
        <v>14295</v>
      </c>
      <c r="C59" t="n">
        <v>3184</v>
      </c>
    </row>
    <row r="60">
      <c r="A60" s="5" t="n">
        <v>45962</v>
      </c>
      <c r="B60" t="n">
        <v>16283</v>
      </c>
      <c r="C60" t="n">
        <v>1487</v>
      </c>
    </row>
    <row r="61">
      <c r="A61" s="5" t="n">
        <v>45992</v>
      </c>
      <c r="B61" t="n">
        <v>14918</v>
      </c>
      <c r="C61" t="n">
        <v>2196</v>
      </c>
    </row>
    <row r="62">
      <c r="A62" s="5" t="n">
        <v>46023</v>
      </c>
      <c r="B62" t="n">
        <v>17760</v>
      </c>
      <c r="C62" t="n">
        <v>736</v>
      </c>
    </row>
    <row r="63">
      <c r="A63" s="5" t="n">
        <v>46054</v>
      </c>
      <c r="B63" t="n">
        <v>17426</v>
      </c>
      <c r="C63" t="n">
        <v>0</v>
      </c>
    </row>
    <row r="64">
      <c r="A64" s="5" t="n">
        <v>46082</v>
      </c>
      <c r="B64" t="n">
        <v>19257</v>
      </c>
      <c r="C64" t="n">
        <v>0</v>
      </c>
    </row>
    <row r="65">
      <c r="A65" s="5" t="n">
        <v>46113</v>
      </c>
      <c r="B65" t="n">
        <v>23454</v>
      </c>
      <c r="C65" t="n">
        <v>421</v>
      </c>
    </row>
    <row r="66">
      <c r="A66" s="5" t="n">
        <v>46143</v>
      </c>
      <c r="B66" t="n">
        <v>25336</v>
      </c>
      <c r="C66" t="n">
        <v>1171</v>
      </c>
    </row>
    <row r="67">
      <c r="A67" s="5" t="n">
        <v>46174</v>
      </c>
      <c r="B67" t="n">
        <v>23871</v>
      </c>
      <c r="C67" t="n">
        <v>2335</v>
      </c>
    </row>
    <row r="68">
      <c r="A68" s="5" t="n">
        <v>46204</v>
      </c>
      <c r="B68" t="n">
        <v>22176</v>
      </c>
      <c r="C68" t="n">
        <v>2958</v>
      </c>
    </row>
    <row r="69">
      <c r="A69" s="5" t="n">
        <v>46235</v>
      </c>
      <c r="B69" t="n">
        <v>20252</v>
      </c>
      <c r="C69" t="n">
        <v>4044</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69"/>
  <sheetViews>
    <sheetView workbookViewId="0">
      <pane ySplit="1" topLeftCell="A2" activePane="bottomLeft" state="frozen"/>
      <selection pane="bottomLeft" activeCell="A1" sqref="A1"/>
    </sheetView>
  </sheetViews>
  <sheetFormatPr baseColWidth="8" defaultRowHeight="15"/>
  <sheetData>
    <row r="1">
      <c r="A1" s="6" t="inlineStr">
        <is>
          <t>Month</t>
        </is>
      </c>
      <c r="B1" s="6" t="inlineStr">
        <is>
          <t>Amistad_production_BOE_per_day</t>
        </is>
      </c>
      <c r="C1" s="6" t="inlineStr">
        <is>
          <t>Power_MMBtu_per_day</t>
        </is>
      </c>
      <c r="D1" s="6" t="inlineStr">
        <is>
          <t>Industrial_LNG_MMBtu_per_day</t>
        </is>
      </c>
      <c r="E1" s="6" t="inlineStr">
        <is>
          <t>Total_sales_MMBtu_per_day</t>
        </is>
      </c>
      <c r="F1" s="6" t="inlineStr">
        <is>
          <t>Total_sales_MMcf_per_day_approx</t>
        </is>
      </c>
      <c r="G1" s="6" t="inlineStr">
        <is>
          <t>Amistad_production_MMBtu_per_day</t>
        </is>
      </c>
    </row>
    <row r="2">
      <c r="A2" t="inlineStr">
        <is>
          <t>2021-01</t>
        </is>
      </c>
      <c r="C2" t="n">
        <v>23316</v>
      </c>
      <c r="D2" t="n">
        <v>2957</v>
      </c>
      <c r="E2" t="n">
        <v>26273</v>
      </c>
      <c r="F2" t="n">
        <v>25.51</v>
      </c>
    </row>
    <row r="3">
      <c r="A3" t="inlineStr">
        <is>
          <t>2021-02</t>
        </is>
      </c>
      <c r="C3" t="n">
        <v>21764</v>
      </c>
      <c r="D3" t="n">
        <v>5024</v>
      </c>
      <c r="E3" t="n">
        <v>26788</v>
      </c>
      <c r="F3" t="n">
        <v>26.01</v>
      </c>
    </row>
    <row r="4">
      <c r="A4" t="inlineStr">
        <is>
          <t>2021-03</t>
        </is>
      </c>
      <c r="C4" t="n">
        <v>22610</v>
      </c>
      <c r="D4" t="n">
        <v>3071</v>
      </c>
      <c r="E4" t="n">
        <v>25681</v>
      </c>
      <c r="F4" t="n">
        <v>24.93</v>
      </c>
    </row>
    <row r="5">
      <c r="A5" t="inlineStr">
        <is>
          <t>2021-04</t>
        </is>
      </c>
      <c r="C5" t="n">
        <v>20480</v>
      </c>
      <c r="D5" t="n">
        <v>4962</v>
      </c>
      <c r="E5" t="n">
        <v>25442</v>
      </c>
      <c r="F5" t="n">
        <v>24.7</v>
      </c>
    </row>
    <row r="6">
      <c r="A6" t="inlineStr">
        <is>
          <t>2021-05</t>
        </is>
      </c>
      <c r="C6" t="n">
        <v>19232</v>
      </c>
      <c r="D6" t="n">
        <v>5036</v>
      </c>
      <c r="E6" t="n">
        <v>24268</v>
      </c>
      <c r="F6" t="n">
        <v>23.56</v>
      </c>
    </row>
    <row r="7">
      <c r="A7" t="inlineStr">
        <is>
          <t>2021-06</t>
        </is>
      </c>
      <c r="C7" t="n">
        <v>19965</v>
      </c>
      <c r="D7" t="n">
        <v>4857</v>
      </c>
      <c r="E7" t="n">
        <v>24822</v>
      </c>
      <c r="F7" t="n">
        <v>24.1</v>
      </c>
    </row>
    <row r="8">
      <c r="A8" t="inlineStr">
        <is>
          <t>2021-07</t>
        </is>
      </c>
      <c r="C8" t="n">
        <v>19294</v>
      </c>
      <c r="D8" t="n">
        <v>5049</v>
      </c>
      <c r="E8" t="n">
        <v>24343</v>
      </c>
      <c r="F8" t="n">
        <v>23.63</v>
      </c>
    </row>
    <row r="9">
      <c r="A9" t="inlineStr">
        <is>
          <t>2021-08</t>
        </is>
      </c>
      <c r="C9" t="n">
        <v>18431</v>
      </c>
      <c r="D9" t="n">
        <v>5239</v>
      </c>
      <c r="E9" t="n">
        <v>23670</v>
      </c>
      <c r="F9" t="n">
        <v>22.98</v>
      </c>
    </row>
    <row r="10">
      <c r="A10" t="inlineStr">
        <is>
          <t>2021-09</t>
        </is>
      </c>
      <c r="C10" t="n">
        <v>18239</v>
      </c>
      <c r="D10" t="n">
        <v>5179</v>
      </c>
      <c r="E10" t="n">
        <v>23418</v>
      </c>
      <c r="F10" t="n">
        <v>22.74</v>
      </c>
    </row>
    <row r="11">
      <c r="A11" t="inlineStr">
        <is>
          <t>2021-10</t>
        </is>
      </c>
      <c r="C11" t="n">
        <v>18350</v>
      </c>
      <c r="D11" t="n">
        <v>5003</v>
      </c>
      <c r="E11" t="n">
        <v>23353</v>
      </c>
      <c r="F11" t="n">
        <v>22.67</v>
      </c>
    </row>
    <row r="12">
      <c r="A12" t="inlineStr">
        <is>
          <t>2021-11</t>
        </is>
      </c>
      <c r="C12" t="n">
        <v>18126</v>
      </c>
      <c r="D12" t="n">
        <v>4919</v>
      </c>
      <c r="E12" t="n">
        <v>23045</v>
      </c>
      <c r="F12" t="n">
        <v>22.37</v>
      </c>
    </row>
    <row r="13">
      <c r="A13" t="inlineStr">
        <is>
          <t>2021-12</t>
        </is>
      </c>
      <c r="C13" t="n">
        <v>17341</v>
      </c>
      <c r="D13" t="n">
        <v>5054</v>
      </c>
      <c r="E13" t="n">
        <v>22395</v>
      </c>
      <c r="F13" t="n">
        <v>21.74</v>
      </c>
    </row>
    <row r="14">
      <c r="A14" t="inlineStr">
        <is>
          <t>2022-01</t>
        </is>
      </c>
      <c r="C14" t="n">
        <v>19207</v>
      </c>
      <c r="D14" t="n">
        <v>4732</v>
      </c>
      <c r="E14" t="n">
        <v>23939</v>
      </c>
      <c r="F14" t="n">
        <v>23.24</v>
      </c>
    </row>
    <row r="15">
      <c r="A15" t="inlineStr">
        <is>
          <t>2022-02</t>
        </is>
      </c>
      <c r="C15" t="n">
        <v>18061</v>
      </c>
      <c r="D15" t="n">
        <v>4752</v>
      </c>
      <c r="E15" t="n">
        <v>22813</v>
      </c>
      <c r="F15" t="n">
        <v>22.15</v>
      </c>
    </row>
    <row r="16">
      <c r="A16" t="inlineStr">
        <is>
          <t>2022-03</t>
        </is>
      </c>
      <c r="C16" t="n">
        <v>19597</v>
      </c>
      <c r="D16" t="n">
        <v>3446</v>
      </c>
      <c r="E16" t="n">
        <v>23043</v>
      </c>
      <c r="F16" t="n">
        <v>22.37</v>
      </c>
    </row>
    <row r="17">
      <c r="A17" t="inlineStr">
        <is>
          <t>2022-04</t>
        </is>
      </c>
      <c r="C17" t="n">
        <v>18570</v>
      </c>
      <c r="D17" t="n">
        <v>3657</v>
      </c>
      <c r="E17" t="n">
        <v>22227</v>
      </c>
      <c r="F17" t="n">
        <v>21.58</v>
      </c>
    </row>
    <row r="18">
      <c r="A18" t="inlineStr">
        <is>
          <t>2022-05</t>
        </is>
      </c>
      <c r="C18" t="n">
        <v>17008</v>
      </c>
      <c r="D18" t="n">
        <v>4944</v>
      </c>
      <c r="E18" t="n">
        <v>21952</v>
      </c>
      <c r="F18" t="n">
        <v>21.31</v>
      </c>
    </row>
    <row r="19">
      <c r="A19" t="inlineStr">
        <is>
          <t>2022-06</t>
        </is>
      </c>
      <c r="C19" t="n">
        <v>18264</v>
      </c>
      <c r="D19" t="n">
        <v>3307</v>
      </c>
      <c r="E19" t="n">
        <v>21571</v>
      </c>
      <c r="F19" t="n">
        <v>20.94</v>
      </c>
    </row>
    <row r="20">
      <c r="A20" t="inlineStr">
        <is>
          <t>2022-07</t>
        </is>
      </c>
      <c r="C20" t="n">
        <v>18906</v>
      </c>
      <c r="D20" t="n">
        <v>3310</v>
      </c>
      <c r="E20" t="n">
        <v>22216</v>
      </c>
      <c r="F20" t="n">
        <v>21.57</v>
      </c>
    </row>
    <row r="21">
      <c r="A21" t="inlineStr">
        <is>
          <t>2022-08</t>
        </is>
      </c>
      <c r="C21" t="n">
        <v>18284</v>
      </c>
      <c r="D21" t="n">
        <v>2521</v>
      </c>
      <c r="E21" t="n">
        <v>20805</v>
      </c>
      <c r="F21" t="n">
        <v>20.2</v>
      </c>
    </row>
    <row r="22">
      <c r="A22" t="inlineStr">
        <is>
          <t>2022-09</t>
        </is>
      </c>
      <c r="C22" t="n">
        <v>17680</v>
      </c>
      <c r="D22" t="n">
        <v>3716</v>
      </c>
      <c r="E22" t="n">
        <v>21396</v>
      </c>
      <c r="F22" t="n">
        <v>20.77</v>
      </c>
    </row>
    <row r="23">
      <c r="A23" t="inlineStr">
        <is>
          <t>2022-10</t>
        </is>
      </c>
      <c r="C23" t="n">
        <v>15246</v>
      </c>
      <c r="D23" t="n">
        <v>5011</v>
      </c>
      <c r="E23" t="n">
        <v>20257</v>
      </c>
      <c r="F23" t="n">
        <v>19.67</v>
      </c>
    </row>
    <row r="24">
      <c r="A24" t="inlineStr">
        <is>
          <t>2022-11</t>
        </is>
      </c>
      <c r="C24" t="n">
        <v>15000</v>
      </c>
      <c r="D24" t="n">
        <v>5442</v>
      </c>
      <c r="E24" t="n">
        <v>20442</v>
      </c>
      <c r="F24" t="n">
        <v>19.85</v>
      </c>
    </row>
    <row r="25">
      <c r="A25" t="inlineStr">
        <is>
          <t>2022-12</t>
        </is>
      </c>
      <c r="C25" t="n">
        <v>14898</v>
      </c>
      <c r="D25" t="n">
        <v>4473</v>
      </c>
      <c r="E25" t="n">
        <v>19371</v>
      </c>
      <c r="F25" t="n">
        <v>18.81</v>
      </c>
    </row>
    <row r="26">
      <c r="A26" t="inlineStr">
        <is>
          <t>2023-01</t>
        </is>
      </c>
      <c r="B26" t="n">
        <v>3702</v>
      </c>
      <c r="C26" t="n">
        <v>17113</v>
      </c>
      <c r="D26" t="n">
        <v>4017</v>
      </c>
      <c r="E26" t="n">
        <v>21130</v>
      </c>
      <c r="F26" t="n">
        <v>20.51</v>
      </c>
      <c r="G26" t="n">
        <v>21472</v>
      </c>
    </row>
    <row r="27">
      <c r="A27" t="inlineStr">
        <is>
          <t>2023-02</t>
        </is>
      </c>
      <c r="B27" t="n">
        <v>3671</v>
      </c>
      <c r="C27" t="n">
        <v>15799</v>
      </c>
      <c r="D27" t="n">
        <v>3812</v>
      </c>
      <c r="E27" t="n">
        <v>19611</v>
      </c>
      <c r="F27" t="n">
        <v>19.04</v>
      </c>
      <c r="G27" t="n">
        <v>21292</v>
      </c>
    </row>
    <row r="28">
      <c r="A28" t="inlineStr">
        <is>
          <t>2023-03</t>
        </is>
      </c>
      <c r="B28" t="n">
        <v>3605</v>
      </c>
      <c r="C28" t="n">
        <v>16102</v>
      </c>
      <c r="D28" t="n">
        <v>3375</v>
      </c>
      <c r="E28" t="n">
        <v>19477</v>
      </c>
      <c r="F28" t="n">
        <v>18.91</v>
      </c>
      <c r="G28" t="n">
        <v>20909</v>
      </c>
    </row>
    <row r="29">
      <c r="A29" t="inlineStr">
        <is>
          <t>2023-04</t>
        </is>
      </c>
      <c r="B29" t="n">
        <v>3587</v>
      </c>
      <c r="C29" t="n">
        <v>15361</v>
      </c>
      <c r="D29" t="n">
        <v>4010</v>
      </c>
      <c r="E29" t="n">
        <v>19371</v>
      </c>
      <c r="F29" t="n">
        <v>18.81</v>
      </c>
      <c r="G29" t="n">
        <v>20805</v>
      </c>
    </row>
    <row r="30">
      <c r="A30" t="inlineStr">
        <is>
          <t>2023-05</t>
        </is>
      </c>
      <c r="B30" t="n">
        <v>3569</v>
      </c>
      <c r="C30" t="n">
        <v>15501</v>
      </c>
      <c r="D30" t="n">
        <v>4159</v>
      </c>
      <c r="E30" t="n">
        <v>19660</v>
      </c>
      <c r="F30" t="n">
        <v>19.09</v>
      </c>
      <c r="G30" t="n">
        <v>20700</v>
      </c>
    </row>
    <row r="31">
      <c r="A31" t="inlineStr">
        <is>
          <t>2023-06</t>
        </is>
      </c>
      <c r="B31" t="n">
        <v>3550</v>
      </c>
      <c r="C31" t="n">
        <v>16199</v>
      </c>
      <c r="D31" t="n">
        <v>3376</v>
      </c>
      <c r="E31" t="n">
        <v>19575</v>
      </c>
      <c r="F31" t="n">
        <v>19</v>
      </c>
      <c r="G31" t="n">
        <v>20590</v>
      </c>
    </row>
    <row r="32">
      <c r="A32" t="inlineStr">
        <is>
          <t>2023-07</t>
        </is>
      </c>
      <c r="B32" t="n">
        <v>3549</v>
      </c>
      <c r="C32" t="n">
        <v>15303</v>
      </c>
      <c r="D32" t="n">
        <v>3742</v>
      </c>
      <c r="E32" t="n">
        <v>19045</v>
      </c>
      <c r="F32" t="n">
        <v>18.49</v>
      </c>
      <c r="G32" t="n">
        <v>20584</v>
      </c>
    </row>
    <row r="33">
      <c r="A33" t="inlineStr">
        <is>
          <t>2023-08</t>
        </is>
      </c>
      <c r="B33" t="n">
        <v>3541</v>
      </c>
      <c r="C33" t="n">
        <v>14918</v>
      </c>
      <c r="D33" t="n">
        <v>4591</v>
      </c>
      <c r="E33" t="n">
        <v>19509</v>
      </c>
      <c r="F33" t="n">
        <v>18.94</v>
      </c>
      <c r="G33" t="n">
        <v>20538</v>
      </c>
    </row>
    <row r="34">
      <c r="A34" t="inlineStr">
        <is>
          <t>2023-09</t>
        </is>
      </c>
      <c r="B34" t="n">
        <v>3530</v>
      </c>
      <c r="C34" t="n">
        <v>14266</v>
      </c>
      <c r="D34" t="n">
        <v>4564</v>
      </c>
      <c r="E34" t="n">
        <v>18830</v>
      </c>
      <c r="F34" t="n">
        <v>18.28</v>
      </c>
      <c r="G34" t="n">
        <v>20474</v>
      </c>
    </row>
    <row r="35">
      <c r="A35" t="inlineStr">
        <is>
          <t>2023-10</t>
        </is>
      </c>
      <c r="B35" t="n">
        <v>3503</v>
      </c>
      <c r="C35" t="n">
        <v>14319</v>
      </c>
      <c r="D35" t="n">
        <v>4484</v>
      </c>
      <c r="E35" t="n">
        <v>18803</v>
      </c>
      <c r="F35" t="n">
        <v>18.26</v>
      </c>
      <c r="G35" t="n">
        <v>20317</v>
      </c>
    </row>
    <row r="36">
      <c r="A36" t="inlineStr">
        <is>
          <t>2023-11</t>
        </is>
      </c>
      <c r="B36" t="n">
        <v>3454</v>
      </c>
      <c r="C36" t="n">
        <v>19047</v>
      </c>
      <c r="D36" t="n">
        <v>885</v>
      </c>
      <c r="E36" t="n">
        <v>19932</v>
      </c>
      <c r="F36" t="n">
        <v>19.35</v>
      </c>
      <c r="G36" t="n">
        <v>20033</v>
      </c>
    </row>
    <row r="37">
      <c r="A37" t="inlineStr">
        <is>
          <t>2023-12</t>
        </is>
      </c>
      <c r="B37" t="n">
        <v>3485</v>
      </c>
      <c r="C37" t="n">
        <v>14178</v>
      </c>
      <c r="D37" t="n">
        <v>4591</v>
      </c>
      <c r="E37" t="n">
        <v>18769</v>
      </c>
      <c r="F37" t="n">
        <v>18.22</v>
      </c>
      <c r="G37" t="n">
        <v>20213</v>
      </c>
    </row>
    <row r="38">
      <c r="A38" t="inlineStr">
        <is>
          <t>2024-01</t>
        </is>
      </c>
      <c r="B38" t="n">
        <v>3507</v>
      </c>
      <c r="C38" t="n">
        <v>14904</v>
      </c>
      <c r="D38" t="n">
        <v>4261</v>
      </c>
      <c r="E38" t="n">
        <v>19165</v>
      </c>
      <c r="F38" t="n">
        <v>18.61</v>
      </c>
      <c r="G38" t="n">
        <v>20341</v>
      </c>
    </row>
    <row r="39">
      <c r="A39" t="inlineStr">
        <is>
          <t>2024-02</t>
        </is>
      </c>
      <c r="B39" t="n">
        <v>3506</v>
      </c>
      <c r="C39" t="n">
        <v>15610</v>
      </c>
      <c r="D39" t="n">
        <v>3329</v>
      </c>
      <c r="E39" t="n">
        <v>18939</v>
      </c>
      <c r="F39" t="n">
        <v>18.39</v>
      </c>
      <c r="G39" t="n">
        <v>20335</v>
      </c>
    </row>
    <row r="40">
      <c r="A40" t="inlineStr">
        <is>
          <t>2024-03</t>
        </is>
      </c>
      <c r="B40" t="n">
        <v>3500</v>
      </c>
      <c r="C40" t="n">
        <v>14572</v>
      </c>
      <c r="D40" t="n">
        <v>3534</v>
      </c>
      <c r="E40" t="n">
        <v>18106</v>
      </c>
      <c r="F40" t="n">
        <v>17.58</v>
      </c>
      <c r="G40" t="n">
        <v>20300</v>
      </c>
    </row>
    <row r="41">
      <c r="A41" t="inlineStr">
        <is>
          <t>2024-04</t>
        </is>
      </c>
      <c r="B41" t="n">
        <v>3469</v>
      </c>
      <c r="C41" t="n">
        <v>15318</v>
      </c>
      <c r="D41" t="n">
        <v>3749</v>
      </c>
      <c r="E41" t="n">
        <v>19067</v>
      </c>
      <c r="F41" t="n">
        <v>18.51</v>
      </c>
      <c r="G41" t="n">
        <v>20120</v>
      </c>
    </row>
    <row r="42">
      <c r="A42" t="inlineStr">
        <is>
          <t>2024-05</t>
        </is>
      </c>
      <c r="B42" t="n">
        <v>3450</v>
      </c>
      <c r="C42" t="n">
        <v>14635</v>
      </c>
      <c r="D42" t="n">
        <v>4118</v>
      </c>
      <c r="E42" t="n">
        <v>18753</v>
      </c>
      <c r="F42" t="n">
        <v>18.21</v>
      </c>
      <c r="G42" t="n">
        <v>20010</v>
      </c>
    </row>
    <row r="43">
      <c r="A43" t="inlineStr">
        <is>
          <t>2024-06</t>
        </is>
      </c>
      <c r="B43" t="n">
        <v>3431</v>
      </c>
      <c r="C43" t="n">
        <v>14502</v>
      </c>
      <c r="D43" t="n">
        <v>4392</v>
      </c>
      <c r="E43" t="n">
        <v>18894</v>
      </c>
      <c r="F43" t="n">
        <v>18.34</v>
      </c>
      <c r="G43" t="n">
        <v>19900</v>
      </c>
    </row>
    <row r="44">
      <c r="A44" t="inlineStr">
        <is>
          <t>2024-07</t>
        </is>
      </c>
      <c r="B44" t="n">
        <v>3414</v>
      </c>
      <c r="C44" t="n">
        <v>14238</v>
      </c>
      <c r="D44" t="n">
        <v>5146</v>
      </c>
      <c r="E44" t="n">
        <v>19384</v>
      </c>
      <c r="F44" t="n">
        <v>18.82</v>
      </c>
      <c r="G44" t="n">
        <v>19801</v>
      </c>
    </row>
    <row r="45">
      <c r="A45" t="inlineStr">
        <is>
          <t>2024-08</t>
        </is>
      </c>
      <c r="B45" t="n">
        <v>3340</v>
      </c>
      <c r="C45" t="n">
        <v>13807</v>
      </c>
      <c r="D45" t="n">
        <v>5050</v>
      </c>
      <c r="E45" t="n">
        <v>18857</v>
      </c>
      <c r="F45" t="n">
        <v>18.31</v>
      </c>
      <c r="G45" t="n">
        <v>19372</v>
      </c>
    </row>
    <row r="46">
      <c r="A46" t="inlineStr">
        <is>
          <t>2024-09</t>
        </is>
      </c>
      <c r="B46" t="n">
        <v>3334</v>
      </c>
      <c r="C46" t="n">
        <v>16802</v>
      </c>
      <c r="D46" t="n">
        <v>3003</v>
      </c>
      <c r="E46" t="n">
        <v>19805</v>
      </c>
      <c r="F46" t="n">
        <v>19.23</v>
      </c>
      <c r="G46" t="n">
        <v>19337</v>
      </c>
    </row>
    <row r="47">
      <c r="A47" t="inlineStr">
        <is>
          <t>2024-10</t>
        </is>
      </c>
      <c r="B47" t="n">
        <v>3298</v>
      </c>
      <c r="C47" t="n">
        <v>18919</v>
      </c>
      <c r="D47" t="n">
        <v>468</v>
      </c>
      <c r="E47" t="n">
        <v>19387</v>
      </c>
      <c r="F47" t="n">
        <v>18.82</v>
      </c>
      <c r="G47" t="n">
        <v>19128</v>
      </c>
    </row>
    <row r="48">
      <c r="A48" t="inlineStr">
        <is>
          <t>2024-11</t>
        </is>
      </c>
      <c r="B48" t="n">
        <v>3287</v>
      </c>
      <c r="C48" t="n">
        <v>18556</v>
      </c>
      <c r="D48" t="n">
        <v>361</v>
      </c>
      <c r="E48" t="n">
        <v>18917</v>
      </c>
      <c r="F48" t="n">
        <v>18.37</v>
      </c>
      <c r="G48" t="n">
        <v>19065</v>
      </c>
    </row>
    <row r="49">
      <c r="A49" t="inlineStr">
        <is>
          <t>2024-12</t>
        </is>
      </c>
      <c r="B49" t="n">
        <v>3228</v>
      </c>
      <c r="C49" t="n">
        <v>17498</v>
      </c>
      <c r="D49" t="n">
        <v>330</v>
      </c>
      <c r="E49" t="n">
        <v>17828</v>
      </c>
      <c r="F49" t="n">
        <v>17.31</v>
      </c>
      <c r="G49" t="n">
        <v>18722</v>
      </c>
    </row>
    <row r="50">
      <c r="A50" t="inlineStr">
        <is>
          <t>2025-01</t>
        </is>
      </c>
      <c r="B50" t="n">
        <v>3212</v>
      </c>
      <c r="C50" t="n">
        <v>19130</v>
      </c>
      <c r="D50" t="n">
        <v>545</v>
      </c>
      <c r="E50" t="n">
        <v>19675</v>
      </c>
      <c r="F50" t="n">
        <v>19.1</v>
      </c>
      <c r="G50" t="n">
        <v>18630</v>
      </c>
    </row>
    <row r="51">
      <c r="A51" t="inlineStr">
        <is>
          <t>2025-02</t>
        </is>
      </c>
      <c r="B51" t="n">
        <v>3173</v>
      </c>
      <c r="C51" t="n">
        <v>16046</v>
      </c>
      <c r="D51" t="n">
        <v>2807</v>
      </c>
      <c r="E51" t="n">
        <v>18853</v>
      </c>
      <c r="F51" t="n">
        <v>18.3</v>
      </c>
      <c r="G51" t="n">
        <v>18403</v>
      </c>
    </row>
    <row r="52">
      <c r="A52" t="inlineStr">
        <is>
          <t>2025-03</t>
        </is>
      </c>
      <c r="B52" t="n">
        <v>3179</v>
      </c>
      <c r="C52" t="n">
        <v>17658</v>
      </c>
      <c r="D52" t="n">
        <v>1173</v>
      </c>
      <c r="E52" t="n">
        <v>18831</v>
      </c>
      <c r="F52" t="n">
        <v>18.28</v>
      </c>
      <c r="G52" t="n">
        <v>18438</v>
      </c>
    </row>
    <row r="53">
      <c r="A53" t="inlineStr">
        <is>
          <t>2025-04</t>
        </is>
      </c>
      <c r="B53" t="n">
        <v>3078</v>
      </c>
      <c r="C53" t="n">
        <v>15550</v>
      </c>
      <c r="D53" t="n">
        <v>2017</v>
      </c>
      <c r="E53" t="n">
        <v>17567</v>
      </c>
      <c r="F53" t="n">
        <v>17.06</v>
      </c>
      <c r="G53" t="n">
        <v>17852</v>
      </c>
    </row>
    <row r="54">
      <c r="A54" t="inlineStr">
        <is>
          <t>2025-05</t>
        </is>
      </c>
      <c r="B54" t="n">
        <v>3113</v>
      </c>
      <c r="C54" t="n">
        <v>16762</v>
      </c>
      <c r="D54" t="n">
        <v>1974</v>
      </c>
      <c r="E54" t="n">
        <v>18736</v>
      </c>
      <c r="F54" t="n">
        <v>18.19</v>
      </c>
      <c r="G54" t="n">
        <v>18055</v>
      </c>
    </row>
    <row r="55">
      <c r="A55" t="inlineStr">
        <is>
          <t>2025-06</t>
        </is>
      </c>
      <c r="B55" t="n">
        <v>3088</v>
      </c>
      <c r="C55" t="n">
        <v>15723</v>
      </c>
      <c r="D55" t="n">
        <v>2038</v>
      </c>
      <c r="E55" t="n">
        <v>17761</v>
      </c>
      <c r="F55" t="n">
        <v>17.24</v>
      </c>
      <c r="G55" t="n">
        <v>17910</v>
      </c>
    </row>
    <row r="56">
      <c r="A56" t="inlineStr">
        <is>
          <t>2025-07</t>
        </is>
      </c>
      <c r="B56" t="n">
        <v>3103</v>
      </c>
      <c r="C56" t="n">
        <v>15420</v>
      </c>
      <c r="D56" t="n">
        <v>2517</v>
      </c>
      <c r="E56" t="n">
        <v>17937</v>
      </c>
      <c r="F56" t="n">
        <v>17.41</v>
      </c>
      <c r="G56" t="n">
        <v>17997</v>
      </c>
    </row>
    <row r="57">
      <c r="A57" t="inlineStr">
        <is>
          <t>2025-08</t>
        </is>
      </c>
      <c r="B57" t="n">
        <v>3077</v>
      </c>
      <c r="C57" t="n">
        <v>15396</v>
      </c>
      <c r="D57" t="n">
        <v>2887</v>
      </c>
      <c r="E57" t="n">
        <v>18283</v>
      </c>
      <c r="F57" t="n">
        <v>17.75</v>
      </c>
      <c r="G57" t="n">
        <v>17847</v>
      </c>
    </row>
    <row r="58">
      <c r="A58" t="inlineStr">
        <is>
          <t>2025-09</t>
        </is>
      </c>
      <c r="B58" t="n">
        <v>3205</v>
      </c>
      <c r="C58" t="n">
        <v>16556</v>
      </c>
      <c r="D58" t="n">
        <v>1876</v>
      </c>
      <c r="E58" t="n">
        <v>18432</v>
      </c>
      <c r="F58" t="n">
        <v>17.9</v>
      </c>
      <c r="G58" t="n">
        <v>18589</v>
      </c>
    </row>
    <row r="59">
      <c r="A59" t="inlineStr">
        <is>
          <t>2025-10</t>
        </is>
      </c>
      <c r="B59" t="n">
        <v>3057</v>
      </c>
      <c r="C59" t="n">
        <v>14295</v>
      </c>
      <c r="D59" t="n">
        <v>3184</v>
      </c>
      <c r="E59" t="n">
        <v>17479</v>
      </c>
      <c r="F59" t="n">
        <v>16.97</v>
      </c>
      <c r="G59" t="n">
        <v>17731</v>
      </c>
    </row>
    <row r="60">
      <c r="A60" t="inlineStr">
        <is>
          <t>2025-11</t>
        </is>
      </c>
      <c r="B60" t="n">
        <v>2942</v>
      </c>
      <c r="C60" t="n">
        <v>16283</v>
      </c>
      <c r="D60" t="n">
        <v>1487</v>
      </c>
      <c r="E60" t="n">
        <v>17770</v>
      </c>
      <c r="F60" t="n">
        <v>17.25</v>
      </c>
      <c r="G60" t="n">
        <v>17064</v>
      </c>
    </row>
    <row r="61">
      <c r="A61" t="inlineStr">
        <is>
          <t>2025-12</t>
        </is>
      </c>
      <c r="B61" t="n">
        <v>3104</v>
      </c>
      <c r="C61" t="n">
        <v>14918</v>
      </c>
      <c r="D61" t="n">
        <v>2196</v>
      </c>
      <c r="E61" t="n">
        <v>17114</v>
      </c>
      <c r="F61" t="n">
        <v>16.62</v>
      </c>
      <c r="G61" t="n">
        <v>18003</v>
      </c>
    </row>
    <row r="62">
      <c r="A62" t="inlineStr">
        <is>
          <t>2026-01</t>
        </is>
      </c>
      <c r="B62" t="n">
        <v>2963</v>
      </c>
      <c r="C62" t="n">
        <v>17760</v>
      </c>
      <c r="D62" t="n">
        <v>736</v>
      </c>
      <c r="E62" t="n">
        <v>18496</v>
      </c>
      <c r="F62" t="n">
        <v>17.96</v>
      </c>
      <c r="G62" t="n">
        <v>17185</v>
      </c>
    </row>
    <row r="63">
      <c r="A63" t="inlineStr">
        <is>
          <t>2026-02</t>
        </is>
      </c>
      <c r="B63" t="n">
        <v>2957</v>
      </c>
      <c r="C63" t="n">
        <v>17426</v>
      </c>
      <c r="D63" t="n">
        <v>0</v>
      </c>
      <c r="E63" t="n">
        <v>17426</v>
      </c>
      <c r="F63" t="n">
        <v>16.92</v>
      </c>
      <c r="G63" t="n">
        <v>17151</v>
      </c>
    </row>
    <row r="64">
      <c r="A64" t="inlineStr">
        <is>
          <t>2026-03</t>
        </is>
      </c>
      <c r="B64" t="n">
        <v>3242</v>
      </c>
      <c r="C64" t="n">
        <v>19257</v>
      </c>
      <c r="D64" t="n">
        <v>0</v>
      </c>
      <c r="E64" t="n">
        <v>19257</v>
      </c>
      <c r="F64" t="n">
        <v>18.7</v>
      </c>
      <c r="G64" t="n">
        <v>18804</v>
      </c>
    </row>
    <row r="65">
      <c r="A65" t="inlineStr">
        <is>
          <t>2026-04</t>
        </is>
      </c>
      <c r="B65" t="n">
        <v>4135</v>
      </c>
      <c r="C65" t="n">
        <v>23454</v>
      </c>
      <c r="D65" t="n">
        <v>421</v>
      </c>
      <c r="E65" t="n">
        <v>23875</v>
      </c>
      <c r="F65" t="n">
        <v>23.18</v>
      </c>
      <c r="G65" t="n">
        <v>23983</v>
      </c>
    </row>
    <row r="66">
      <c r="A66" t="inlineStr">
        <is>
          <t>2026-05</t>
        </is>
      </c>
      <c r="B66" t="n">
        <v>4591</v>
      </c>
      <c r="C66" t="n">
        <v>25336</v>
      </c>
      <c r="D66" t="n">
        <v>1171</v>
      </c>
      <c r="E66" t="n">
        <v>26507</v>
      </c>
      <c r="F66" t="n">
        <v>25.73</v>
      </c>
      <c r="G66" t="n">
        <v>26628</v>
      </c>
    </row>
    <row r="67">
      <c r="A67" t="inlineStr">
        <is>
          <t>2026-06</t>
        </is>
      </c>
      <c r="B67" t="n">
        <v>4516</v>
      </c>
      <c r="C67" t="n">
        <v>23871</v>
      </c>
      <c r="D67" t="n">
        <v>2335</v>
      </c>
      <c r="E67" t="n">
        <v>26206</v>
      </c>
      <c r="F67" t="n">
        <v>25.44</v>
      </c>
      <c r="G67" t="n">
        <v>26193</v>
      </c>
    </row>
    <row r="68">
      <c r="A68" t="inlineStr">
        <is>
          <t>2026-07</t>
        </is>
      </c>
      <c r="B68" t="n">
        <v>4322</v>
      </c>
      <c r="C68" t="n">
        <v>22176</v>
      </c>
      <c r="D68" t="n">
        <v>2958</v>
      </c>
      <c r="E68" t="n">
        <v>25134</v>
      </c>
      <c r="F68" t="n">
        <v>24.4</v>
      </c>
      <c r="G68" t="n">
        <v>25068</v>
      </c>
    </row>
    <row r="69">
      <c r="A69" t="inlineStr">
        <is>
          <t>2026-08</t>
        </is>
      </c>
      <c r="B69" t="n">
        <v>4179</v>
      </c>
      <c r="C69" t="n">
        <v>20252</v>
      </c>
      <c r="D69" t="n">
        <v>4044</v>
      </c>
      <c r="E69" t="n">
        <v>24296</v>
      </c>
      <c r="F69" t="n">
        <v>23.59</v>
      </c>
      <c r="G69" t="n">
        <v>24238</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12" customWidth="1" min="1" max="1"/>
    <col width="14" customWidth="1" min="2" max="2"/>
    <col width="38" customWidth="1" min="3" max="3"/>
    <col width="160" customWidth="1" min="4" max="4"/>
  </cols>
  <sheetData>
    <row r="1">
      <c r="A1" s="6" t="inlineStr">
        <is>
          <t>Country</t>
        </is>
      </c>
      <c r="B1" s="6" t="inlineStr">
        <is>
          <t>Dataset</t>
        </is>
      </c>
      <c r="C1" s="6" t="inlineStr">
        <is>
          <t>Workbook</t>
        </is>
      </c>
      <c r="D1" s="6" t="inlineStr">
        <is>
          <t>Units and notes (from the source workbook)</t>
        </is>
      </c>
    </row>
    <row r="2">
      <c r="A2" t="inlineStr">
        <is>
          <t>Argentina</t>
        </is>
      </c>
      <c r="B2" t="inlineStr">
        <is>
          <t>gas</t>
        </is>
      </c>
      <c r="C2" t="inlineStr">
        <is>
          <t>argentina_gas_monthly.xlsx</t>
        </is>
      </c>
      <c r="D2" t="inlineStr">
        <is>
          <t>Notes UNITS All values in millones de metros cubicos (million m3) per month, as published. SECTORS 'National': produccion_gas_natural (national gas production) plus 6 use-sector consumption columns - residencial, comercial, entes_oficiales (official/government bodies), industria, centrales_electricas (gas burned for power generation), gnc (compressed gas for vehicles). 'By sector (long)' reshapes the 6 sector columns long. REGIONS 'By distributor': consumption by each of Argentina's licensed gas distribution companies. 'By region (long)' adds a region column via REGION_MAP - the 9 classic 1992-privatization distribution licensees, each with one well-defined service territory. 'sdb' and 'redengas' are smaller/newer entities not confidently placeable in a single province - left region=None (printed as unmapped) rather than guessed. SOURCE apis.datos.gob.ar/series/api/series - Secretaria de Energia, Ministerio de Economia, dataset 'Produccion y consumo de gas natural'. Monthly; this archive starts 2021-01-01 (the source goes back to 1996-01 - rerun with --start-date to pull more).</t>
        </is>
      </c>
    </row>
    <row r="3">
      <c r="A3" t="inlineStr">
        <is>
          <t>Brazil</t>
        </is>
      </c>
      <c r="B3" t="inlineStr">
        <is>
          <t>gas</t>
        </is>
      </c>
      <c r="C3" t="inlineStr">
        <is>
          <t>brazil_gas_monthly.xlsx</t>
        </is>
      </c>
      <c r="D3" t="inlineStr">
        <is>
          <t>Notes UNITS Million m3 per day (monthly average), as published by MME. SEGMENTS Industrial (includes refineries and fertiliser plants, per MME's footnote), Automotive (vehicle CNG sold at the pump), Residential, Commercial, Power_Generation (gas-fired power plants), Cogeneration, Other_incl_CNG, Total_Demand (MME's own total). BALANCE 'Balance (all rows)' keeps every labelled line of MME's sheet, including the supply side (domestic production, imports from Bolivia, LNG imports, E&amp;P own use, pipeline consumption/imbalance, total supply), under MME's own Portuguese labels. COVERAGE Monthly from 2021-01-01; MME's file goes further back - rerun with --start-date to pull more. SOURCE MME, Boletim Mensal de Acompanhamento da Industria de Gas Natural, annex: https://www.gov.br/mme/pt-br/assuntos/secretarias/petroleo-gas-natural-e-biocombustiveis/publicacoes-1/boletim-mensal-de-acompanhamento-da-industria-de-gas-natural/anexos/historico-balanco-boletim.xlsx</t>
        </is>
      </c>
    </row>
    <row r="4">
      <c r="A4" t="inlineStr">
        <is>
          <t>Bolivia</t>
        </is>
      </c>
      <c r="B4" t="inlineStr">
        <is>
          <t>gas</t>
        </is>
      </c>
      <c r="C4" t="inlineStr">
        <is>
          <t>bolivia_gas_demand_by_sector.xlsx</t>
        </is>
      </c>
      <c r="D4" t="inlineStr">
        <is>
          <t>Notes UNITS *_mcm_month: millions of cubic metres per month, as published by INE. *_mcm_per_day: the same divided by days in the month. Source sheet header: BOLIVIA: VOLUMEN COMERCIALIZADO DE GAS NATURAL POR RED DE DISTRIBUCIÓN SEGÚN MES, 2006 - 2025 | (En millones de metros cúbicos) Unit read from that header: million m3 SECTORS Power (generadoras electricas), Industrial, Residential (domestico), Commercial, Vehicle_CNG (GNV). Domestic market only - exports to Brazil and Argentina are not included. COVERAGE Monthly from 2021. INE publishes with a lag; the latest year is preliminary (p) and may be revised. Each run re-reads the whole table, which is small. SOURCE Instituto Nacional de Estadistica (INE), 'Volumen Comercializado de Gas Natural segun Red de Distribucion': https://www.ine.gob.bo/index.php/estadisticas-economicas/hidrocarburos-mineria/hidrocarburo-cuadros-estadisticos/</t>
        </is>
      </c>
    </row>
    <row r="5">
      <c r="A5" t="inlineStr">
        <is>
          <t>Chile</t>
        </is>
      </c>
      <c r="B5" t="inlineStr">
        <is>
          <t>gas imports</t>
        </is>
      </c>
      <c r="C5" t="inlineStr">
        <is>
          <t>chile_gas_imports.xlsx</t>
        </is>
      </c>
      <c r="D5" t="inlineStr">
        <is>
          <t>Notes UNITS Imports_kt: natural gas imports in thousand tonnes per month, as published by CNE from customs data (LNG cargoes plus pipeline gas from Argentina). Imports_mcm_per_day_approx: million m3 per day at 1360 m3 of gas per tonne, a standard LNG conversion; approximate. COVERAGE Monthly from 2021. The data month lags the report by about two months; it is read from the report's own text. Origins lists the source countries the report names for that month's gas imports. SOURCE Comision Nacional de Energia (CNE), Reporte Mensual del Sector Energetico, section 'Importaciones y Exportaciones de Combustibles' (Aduana data via COMEX). The Report column holds the PDF used.</t>
        </is>
      </c>
    </row>
    <row r="6">
      <c r="A6" t="inlineStr">
        <is>
          <t>Chile</t>
        </is>
      </c>
      <c r="B6" t="inlineStr">
        <is>
          <t>power</t>
        </is>
      </c>
      <c r="C6" t="inlineStr">
        <is>
          <t>chile_power_by_type.xlsx</t>
        </is>
      </c>
      <c r="D6" t="inlineStr">
        <is>
          <t>Notes UNITS Generation in GWh per month (Ember publishes TWh; multiplied by 1,000). Gas_for_power_est_mcm_per_day: ESTIMATED gas burned by gas-fired plants, million m3 per day = gas generation / 50% assumed fleet efficiency, at 38 MJ/m3. A proxy, not a published figure: actual efficiency varies with the plant mix (open-cycle and diesel-capable units are less efficient), so treat the level as approximate and the month-to-month shape as the signal. COVERAGE Chile, monthly from 2021-01 to 2026-04. Ember lags real time by a few months; the weekly run picks up new months as they're released. SOURCE Ember monthly electricity data (free, CC-BY-4.0): https://storage.googleapis.com/emb-prod-bkt-publicdata/public-downloads/monthly_full_release_long_format.csv. For Chile Ember's source is the Coordinador Electrico Nacional.</t>
        </is>
      </c>
    </row>
    <row r="7">
      <c r="A7" t="inlineStr">
        <is>
          <t>Colombia</t>
        </is>
      </c>
      <c r="B7" t="inlineStr">
        <is>
          <t>gas</t>
        </is>
      </c>
      <c r="C7" t="inlineStr">
        <is>
          <t>colombia_gas_demand_by_sector.xlsx</t>
        </is>
      </c>
      <c r="D7" t="inlineStr">
        <is>
          <t>Notes UNITS GBTUD = billion BTU per day, the month's average daily energy delivered to end users. 1 GBTUD is about 0.027 million m3/day (roughly 1 MMcf/d) at Colombian gas heating values. SECTORS Power (gas-fired thermal plants), Industrial, Residential, Commercial, Vehicle_CNG (GNVC), Refinery, Petrochemical, Oil_sector ('Petrolero' - oil-industry use, reported separately from Aug 2025; before that it was inside Industrial, so add the two for a consistent industrial series), Compressors (gas burned by pipeline compressor stations on the national grid, SNT). Each is Costa (Caribbean coast) + Interior, as published. CHECKS Sum_of_sectors is compared to Reported_total, the report's headline 'demanda promedio' figure. Source says which table was read. 'department table' means the regional table could not be read, so Power is Reported_total minus the other sectors. SOURCE Gestor del Mercado de Gas Natural (Bolsa Mercantil de Colombia), monthly reports: https://www.bmcbec.com.co/informes/informes-mensuales. Report holds the PDF used for each month. Figures come from SEGAS end-user delivery reports and may include estimates for distribution-network sectors.</t>
        </is>
      </c>
    </row>
    <row r="8">
      <c r="A8" t="inlineStr">
        <is>
          <t>Ecuador</t>
        </is>
      </c>
      <c r="B8" t="inlineStr">
        <is>
          <t>gas</t>
        </is>
      </c>
      <c r="C8" t="inlineStr">
        <is>
          <t>ecuador_gas.xlsx</t>
        </is>
      </c>
      <c r="D8" t="inlineStr">
        <is>
          <t>Notes UNITS MMBtu per day = monthly dispatch in MMBtu (as published) / days in month. MMcf/d approx at 1,030 Btu per cubic foot. Amistad production is published in barrels of oil equivalent per day; MMBtu at 5.8 MMBtu/BOE. SECTORS Power_MMBtu_per_day: Petroecuador's 'GAS NATURAL (MMBTU)' dispatches - pipeline gas from the Amistad field to the Termogas Machala power plant. Industrial_LNG_MMBtu_per_day: 'GAS NATURAL LICUADO (MMBTU)' - LNG from the Bajo Alto liquefaction plant, trucked to industrial users (mainly ceramics in Cuenca). These two are effectively all of Ecuador's commercial natural gas. COVERAGE Monthly from 2021. Past years from Petroecuador's annual statistical reports, the current year from the year-to-date monthly report. Runs are incremental: complete years in this archive aren't re-read. SOURCE EP Petroecuador, Informes Estadisticos (Cifras Institucionales): https://www.eppetroecuador.ec/?p=3721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2026-10-01T01:58:33Z</dcterms:created>
  <dcterms:modified xsi:type="dcterms:W3CDTF">2026-10-01T01:58:34Z</dcterms:modified>
</cp:coreProperties>
</file>