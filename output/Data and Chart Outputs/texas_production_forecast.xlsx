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Chart" sheetId="2" state="visible" r:id="rId2"/>
    <sheet name="Chart - Demand to 2033" sheetId="3" state="visible" r:id="rId3"/>
    <sheet name="Chart - Outflow to 2033" sheetId="4" state="visible" r:id="rId4"/>
    <sheet name="Chart - Production" sheetId="5" state="visible" r:id="rId5"/>
    <sheet name="Chart - Net outflow" sheetId="6" state="visible" r:id="rId6"/>
    <sheet name="Chart - Permian cap" sheetId="7" state="visible" r:id="rId7"/>
    <sheet name="Summary" sheetId="8" state="visible" r:id="rId8"/>
    <sheet name="Assumptions" sheetId="9" state="visible" r:id="rId9"/>
    <sheet name="Takeaway" sheetId="10" state="visible" r:id="rId10"/>
    <sheet name="Forecast" sheetId="11" state="visible" r:id="rId11"/>
    <sheet name="Supply and demand" sheetId="12" state="visible" r:id="rId12"/>
    <sheet name="Assump - Data centres" sheetId="13" state="visible" r:id="rId13"/>
    <sheet name="Data centres" sheetId="14" state="visible" r:id="rId14"/>
    <sheet name="Demand to 2033" sheetId="15" state="visible" r:id="rId15"/>
    <sheet name="STEO raw" sheetId="16" state="visible" r:id="rId16"/>
  </sheets>
  <definedNames/>
  <calcPr calcId="124519" fullCalcOnLoad="1"/>
</workbook>
</file>

<file path=xl/styles.xml><?xml version="1.0" encoding="utf-8"?>
<styleSheet xmlns="http://schemas.openxmlformats.org/spreadsheetml/2006/main">
  <numFmts count="7">
    <numFmt numFmtId="164" formatCode="YYYY-MM-DD HH:MM:SS"/>
    <numFmt numFmtId="165" formatCode="0.0"/>
    <numFmt numFmtId="166" formatCode="0.000"/>
    <numFmt numFmtId="167" formatCode="0.0000"/>
    <numFmt numFmtId="168" formatCode="0.0%"/>
    <numFmt numFmtId="169" formatCode="mmm/yy"/>
    <numFmt numFmtId="170" formatCode="yyyy-mm-dd h:mm:ss"/>
  </numFmts>
  <fonts count="3">
    <font>
      <name val="Calibri"/>
      <family val="2"/>
      <color theme="1"/>
      <sz val="11"/>
      <scheme val="minor"/>
    </font>
    <font>
      <b val="1"/>
    </font>
    <font>
      <b val="1"/>
      <sz val="13"/>
    </font>
  </fonts>
  <fills count="5">
    <fill>
      <patternFill/>
    </fill>
    <fill>
      <patternFill patternType="gray125"/>
    </fill>
    <fill>
      <patternFill patternType="solid">
        <fgColor rgb="00FFF2CC"/>
        <bgColor rgb="00FFF2CC"/>
      </patternFill>
    </fill>
    <fill>
      <patternFill patternType="solid">
        <fgColor rgb="00DDEBF7"/>
        <bgColor rgb="00DDEBF7"/>
      </patternFill>
    </fill>
    <fill>
      <patternFill patternType="solid">
        <fgColor rgb="00EDEDED"/>
        <bgColor rgb="00EDEDED"/>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pivotButton="0" quotePrefix="0" xfId="0"/>
    <xf numFmtId="164" fontId="0" fillId="0" borderId="0" pivotButton="0" quotePrefix="0" xfId="0"/>
    <xf numFmtId="164" fontId="0" fillId="0" borderId="0" pivotButton="0" quotePrefix="0" xfId="0"/>
    <xf numFmtId="0" fontId="2" fillId="0" borderId="0" pivotButton="0" quotePrefix="0" xfId="0"/>
    <xf numFmtId="0" fontId="0" fillId="0" borderId="0" applyAlignment="1" pivotButton="0" quotePrefix="0" xfId="0">
      <alignment wrapText="1"/>
    </xf>
    <xf numFmtId="0" fontId="1" fillId="3" borderId="0" applyAlignment="1" pivotButton="0" quotePrefix="0" xfId="0">
      <alignment vertical="top" wrapText="1"/>
    </xf>
    <xf numFmtId="165" fontId="0" fillId="2" borderId="0" pivotButton="0" quotePrefix="0" xfId="0"/>
    <xf numFmtId="2" fontId="0" fillId="2" borderId="0" pivotButton="0" quotePrefix="0" xfId="0"/>
    <xf numFmtId="166" fontId="0" fillId="2" borderId="0" pivotButton="0" quotePrefix="0" xfId="0"/>
    <xf numFmtId="0" fontId="1" fillId="0" borderId="0" pivotButton="0" quotePrefix="0" xfId="0"/>
    <xf numFmtId="167" fontId="0" fillId="0" borderId="0" pivotButton="0" quotePrefix="0" xfId="0"/>
    <xf numFmtId="1" fontId="0" fillId="2" borderId="0" pivotButton="0" quotePrefix="0" xfId="0"/>
    <xf numFmtId="168" fontId="0" fillId="0" borderId="0" pivotButton="0" quotePrefix="0" xfId="0"/>
    <xf numFmtId="165" fontId="0" fillId="0" borderId="0" pivotButton="0" quotePrefix="0" xfId="0"/>
    <xf numFmtId="2" fontId="0" fillId="0" borderId="0" pivotButton="0" quotePrefix="0" xfId="0"/>
    <xf numFmtId="0" fontId="0" fillId="4" borderId="0" pivotButton="0" quotePrefix="0" xfId="0"/>
    <xf numFmtId="165" fontId="0" fillId="4" borderId="0" pivotButton="0" quotePrefix="0" xfId="0"/>
    <xf numFmtId="2" fontId="0" fillId="4" borderId="0" pivotButton="0" quotePrefix="0" xfId="0"/>
    <xf numFmtId="169" fontId="0" fillId="0" borderId="0" pivotButton="0" quotePrefix="0" xfId="0"/>
    <xf numFmtId="16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chart>
    <title>
      <tx>
        <rich>
          <a:bodyPr/>
          <a:p>
            <a:pPr>
              <a:defRPr/>
            </a:pPr>
            <a:r>
              <a:t>Texas gas supply and demand: dry production vs demand incl. LNG; gap = net outflow (to Dec/28; forecast from Aug/26, lighter bars)</a:t>
            </a:r>
          </a:p>
        </rich>
      </tx>
      <overlay val="0"/>
    </title>
    <plotArea>
      <barChart>
        <barDir val="col"/>
        <grouping val="stacked"/>
        <ser>
          <idx val="0"/>
          <order val="0"/>
          <tx>
            <strRef>
              <f>'Chart'!B1</f>
            </strRef>
          </tx>
          <spPr>
            <a:solidFill>
              <a:srgbClr val="2A78D6"/>
            </a:solidFill>
            <a:ln>
              <a:noFill/>
              <a:prstDash val="solid"/>
            </a:ln>
          </spPr>
          <dPt>
            <idx val="67"/>
            <invertIfNegative val="0"/>
            <spPr>
              <a:solidFill>
                <a:srgbClr val="9FC2EC"/>
              </a:solidFill>
              <a:ln>
                <a:noFill/>
                <a:prstDash val="solid"/>
              </a:ln>
            </spPr>
          </dPt>
          <dPt>
            <idx val="68"/>
            <invertIfNegative val="0"/>
            <spPr>
              <a:solidFill>
                <a:srgbClr val="9FC2EC"/>
              </a:solidFill>
              <a:ln>
                <a:noFill/>
                <a:prstDash val="solid"/>
              </a:ln>
            </spPr>
          </dPt>
          <dPt>
            <idx val="69"/>
            <invertIfNegative val="0"/>
            <spPr>
              <a:solidFill>
                <a:srgbClr val="9FC2EC"/>
              </a:solidFill>
              <a:ln>
                <a:noFill/>
                <a:prstDash val="solid"/>
              </a:ln>
            </spPr>
          </dPt>
          <dPt>
            <idx val="70"/>
            <invertIfNegative val="0"/>
            <spPr>
              <a:solidFill>
                <a:srgbClr val="9FC2EC"/>
              </a:solidFill>
              <a:ln>
                <a:noFill/>
                <a:prstDash val="solid"/>
              </a:ln>
            </spPr>
          </dPt>
          <dPt>
            <idx val="71"/>
            <invertIfNegative val="0"/>
            <spPr>
              <a:solidFill>
                <a:srgbClr val="9FC2EC"/>
              </a:solidFill>
              <a:ln>
                <a:noFill/>
                <a:prstDash val="solid"/>
              </a:ln>
            </spPr>
          </dPt>
          <dPt>
            <idx val="72"/>
            <invertIfNegative val="0"/>
            <spPr>
              <a:solidFill>
                <a:srgbClr val="9FC2EC"/>
              </a:solidFill>
              <a:ln>
                <a:noFill/>
                <a:prstDash val="solid"/>
              </a:ln>
            </spPr>
          </dPt>
          <dPt>
            <idx val="73"/>
            <invertIfNegative val="0"/>
            <spPr>
              <a:solidFill>
                <a:srgbClr val="9FC2EC"/>
              </a:solidFill>
              <a:ln>
                <a:noFill/>
                <a:prstDash val="solid"/>
              </a:ln>
            </spPr>
          </dPt>
          <dPt>
            <idx val="74"/>
            <invertIfNegative val="0"/>
            <spPr>
              <a:solidFill>
                <a:srgbClr val="9FC2EC"/>
              </a:solidFill>
              <a:ln>
                <a:noFill/>
                <a:prstDash val="solid"/>
              </a:ln>
            </spPr>
          </dPt>
          <dPt>
            <idx val="75"/>
            <invertIfNegative val="0"/>
            <spPr>
              <a:solidFill>
                <a:srgbClr val="9FC2EC"/>
              </a:solidFill>
              <a:ln>
                <a:noFill/>
                <a:prstDash val="solid"/>
              </a:ln>
            </spPr>
          </dPt>
          <dPt>
            <idx val="76"/>
            <invertIfNegative val="0"/>
            <spPr>
              <a:solidFill>
                <a:srgbClr val="9FC2EC"/>
              </a:solidFill>
              <a:ln>
                <a:noFill/>
                <a:prstDash val="solid"/>
              </a:ln>
            </spPr>
          </dPt>
          <dPt>
            <idx val="77"/>
            <invertIfNegative val="0"/>
            <spPr>
              <a:solidFill>
                <a:srgbClr val="9FC2EC"/>
              </a:solidFill>
              <a:ln>
                <a:noFill/>
                <a:prstDash val="solid"/>
              </a:ln>
            </spPr>
          </dPt>
          <dPt>
            <idx val="78"/>
            <invertIfNegative val="0"/>
            <spPr>
              <a:solidFill>
                <a:srgbClr val="9FC2EC"/>
              </a:solidFill>
              <a:ln>
                <a:noFill/>
                <a:prstDash val="solid"/>
              </a:ln>
            </spPr>
          </dPt>
          <dPt>
            <idx val="79"/>
            <invertIfNegative val="0"/>
            <spPr>
              <a:solidFill>
                <a:srgbClr val="9FC2EC"/>
              </a:solidFill>
              <a:ln>
                <a:noFill/>
                <a:prstDash val="solid"/>
              </a:ln>
            </spPr>
          </dPt>
          <dPt>
            <idx val="80"/>
            <invertIfNegative val="0"/>
            <spPr>
              <a:solidFill>
                <a:srgbClr val="9FC2EC"/>
              </a:solidFill>
              <a:ln>
                <a:noFill/>
                <a:prstDash val="solid"/>
              </a:ln>
            </spPr>
          </dPt>
          <dPt>
            <idx val="81"/>
            <invertIfNegative val="0"/>
            <spPr>
              <a:solidFill>
                <a:srgbClr val="9FC2EC"/>
              </a:solidFill>
              <a:ln>
                <a:noFill/>
                <a:prstDash val="solid"/>
              </a:ln>
            </spPr>
          </dPt>
          <dPt>
            <idx val="82"/>
            <invertIfNegative val="0"/>
            <spPr>
              <a:solidFill>
                <a:srgbClr val="9FC2EC"/>
              </a:solidFill>
              <a:ln>
                <a:noFill/>
                <a:prstDash val="solid"/>
              </a:ln>
            </spPr>
          </dPt>
          <dPt>
            <idx val="83"/>
            <invertIfNegative val="0"/>
            <spPr>
              <a:solidFill>
                <a:srgbClr val="9FC2EC"/>
              </a:solidFill>
              <a:ln>
                <a:noFill/>
                <a:prstDash val="solid"/>
              </a:ln>
            </spPr>
          </dPt>
          <dPt>
            <idx val="84"/>
            <invertIfNegative val="0"/>
            <spPr>
              <a:solidFill>
                <a:srgbClr val="9FC2EC"/>
              </a:solidFill>
              <a:ln>
                <a:noFill/>
                <a:prstDash val="solid"/>
              </a:ln>
            </spPr>
          </dPt>
          <dPt>
            <idx val="85"/>
            <invertIfNegative val="0"/>
            <spPr>
              <a:solidFill>
                <a:srgbClr val="9FC2EC"/>
              </a:solidFill>
              <a:ln>
                <a:noFill/>
                <a:prstDash val="solid"/>
              </a:ln>
            </spPr>
          </dPt>
          <dPt>
            <idx val="86"/>
            <invertIfNegative val="0"/>
            <spPr>
              <a:solidFill>
                <a:srgbClr val="9FC2EC"/>
              </a:solidFill>
              <a:ln>
                <a:noFill/>
                <a:prstDash val="solid"/>
              </a:ln>
            </spPr>
          </dPt>
          <dPt>
            <idx val="87"/>
            <invertIfNegative val="0"/>
            <spPr>
              <a:solidFill>
                <a:srgbClr val="9FC2EC"/>
              </a:solidFill>
              <a:ln>
                <a:noFill/>
                <a:prstDash val="solid"/>
              </a:ln>
            </spPr>
          </dPt>
          <dPt>
            <idx val="88"/>
            <invertIfNegative val="0"/>
            <spPr>
              <a:solidFill>
                <a:srgbClr val="9FC2EC"/>
              </a:solidFill>
              <a:ln>
                <a:noFill/>
                <a:prstDash val="solid"/>
              </a:ln>
            </spPr>
          </dPt>
          <dPt>
            <idx val="89"/>
            <invertIfNegative val="0"/>
            <spPr>
              <a:solidFill>
                <a:srgbClr val="9FC2EC"/>
              </a:solidFill>
              <a:ln>
                <a:noFill/>
                <a:prstDash val="solid"/>
              </a:ln>
            </spPr>
          </dPt>
          <dPt>
            <idx val="90"/>
            <invertIfNegative val="0"/>
            <spPr>
              <a:solidFill>
                <a:srgbClr val="9FC2EC"/>
              </a:solidFill>
              <a:ln>
                <a:noFill/>
                <a:prstDash val="solid"/>
              </a:ln>
            </spPr>
          </dPt>
          <dPt>
            <idx val="91"/>
            <invertIfNegative val="0"/>
            <spPr>
              <a:solidFill>
                <a:srgbClr val="9FC2EC"/>
              </a:solidFill>
              <a:ln>
                <a:noFill/>
                <a:prstDash val="solid"/>
              </a:ln>
            </spPr>
          </dPt>
          <dPt>
            <idx val="92"/>
            <invertIfNegative val="0"/>
            <spPr>
              <a:solidFill>
                <a:srgbClr val="9FC2EC"/>
              </a:solidFill>
              <a:ln>
                <a:noFill/>
                <a:prstDash val="solid"/>
              </a:ln>
            </spPr>
          </dPt>
          <dPt>
            <idx val="93"/>
            <invertIfNegative val="0"/>
            <spPr>
              <a:solidFill>
                <a:srgbClr val="9FC2EC"/>
              </a:solidFill>
              <a:ln>
                <a:noFill/>
                <a:prstDash val="solid"/>
              </a:ln>
            </spPr>
          </dPt>
          <dPt>
            <idx val="94"/>
            <invertIfNegative val="0"/>
            <spPr>
              <a:solidFill>
                <a:srgbClr val="9FC2EC"/>
              </a:solidFill>
              <a:ln>
                <a:noFill/>
                <a:prstDash val="solid"/>
              </a:ln>
            </spPr>
          </dPt>
          <dPt>
            <idx val="95"/>
            <invertIfNegative val="0"/>
            <spPr>
              <a:solidFill>
                <a:srgbClr val="9FC2EC"/>
              </a:solidFill>
              <a:ln>
                <a:noFill/>
                <a:prstDash val="solid"/>
              </a:ln>
            </spPr>
          </dPt>
          <cat>
            <numRef>
              <f>'Chart'!$A$2:$A$97</f>
            </numRef>
          </cat>
          <val>
            <numRef>
              <f>'Chart'!$B$2:$B$97</f>
            </numRef>
          </val>
        </ser>
        <ser>
          <idx val="1"/>
          <order val="1"/>
          <tx>
            <strRef>
              <f>'Chart'!C1</f>
            </strRef>
          </tx>
          <spPr>
            <a:solidFill>
              <a:srgbClr val="EB6834"/>
            </a:solidFill>
            <a:ln>
              <a:noFill/>
              <a:prstDash val="solid"/>
            </a:ln>
          </spPr>
          <dPt>
            <idx val="67"/>
            <invertIfNegative val="0"/>
            <spPr>
              <a:solidFill>
                <a:srgbClr val="F6BBA3"/>
              </a:solidFill>
              <a:ln>
                <a:noFill/>
                <a:prstDash val="solid"/>
              </a:ln>
            </spPr>
          </dPt>
          <dPt>
            <idx val="68"/>
            <invertIfNegative val="0"/>
            <spPr>
              <a:solidFill>
                <a:srgbClr val="F6BBA3"/>
              </a:solidFill>
              <a:ln>
                <a:noFill/>
                <a:prstDash val="solid"/>
              </a:ln>
            </spPr>
          </dPt>
          <dPt>
            <idx val="69"/>
            <invertIfNegative val="0"/>
            <spPr>
              <a:solidFill>
                <a:srgbClr val="F6BBA3"/>
              </a:solidFill>
              <a:ln>
                <a:noFill/>
                <a:prstDash val="solid"/>
              </a:ln>
            </spPr>
          </dPt>
          <dPt>
            <idx val="70"/>
            <invertIfNegative val="0"/>
            <spPr>
              <a:solidFill>
                <a:srgbClr val="F6BBA3"/>
              </a:solidFill>
              <a:ln>
                <a:noFill/>
                <a:prstDash val="solid"/>
              </a:ln>
            </spPr>
          </dPt>
          <dPt>
            <idx val="71"/>
            <invertIfNegative val="0"/>
            <spPr>
              <a:solidFill>
                <a:srgbClr val="F6BBA3"/>
              </a:solidFill>
              <a:ln>
                <a:noFill/>
                <a:prstDash val="solid"/>
              </a:ln>
            </spPr>
          </dPt>
          <dPt>
            <idx val="72"/>
            <invertIfNegative val="0"/>
            <spPr>
              <a:solidFill>
                <a:srgbClr val="F6BBA3"/>
              </a:solidFill>
              <a:ln>
                <a:noFill/>
                <a:prstDash val="solid"/>
              </a:ln>
            </spPr>
          </dPt>
          <dPt>
            <idx val="73"/>
            <invertIfNegative val="0"/>
            <spPr>
              <a:solidFill>
                <a:srgbClr val="F6BBA3"/>
              </a:solidFill>
              <a:ln>
                <a:noFill/>
                <a:prstDash val="solid"/>
              </a:ln>
            </spPr>
          </dPt>
          <dPt>
            <idx val="74"/>
            <invertIfNegative val="0"/>
            <spPr>
              <a:solidFill>
                <a:srgbClr val="F6BBA3"/>
              </a:solidFill>
              <a:ln>
                <a:noFill/>
                <a:prstDash val="solid"/>
              </a:ln>
            </spPr>
          </dPt>
          <dPt>
            <idx val="75"/>
            <invertIfNegative val="0"/>
            <spPr>
              <a:solidFill>
                <a:srgbClr val="F6BBA3"/>
              </a:solidFill>
              <a:ln>
                <a:noFill/>
                <a:prstDash val="solid"/>
              </a:ln>
            </spPr>
          </dPt>
          <dPt>
            <idx val="76"/>
            <invertIfNegative val="0"/>
            <spPr>
              <a:solidFill>
                <a:srgbClr val="F6BBA3"/>
              </a:solidFill>
              <a:ln>
                <a:noFill/>
                <a:prstDash val="solid"/>
              </a:ln>
            </spPr>
          </dPt>
          <dPt>
            <idx val="77"/>
            <invertIfNegative val="0"/>
            <spPr>
              <a:solidFill>
                <a:srgbClr val="F6BBA3"/>
              </a:solidFill>
              <a:ln>
                <a:noFill/>
                <a:prstDash val="solid"/>
              </a:ln>
            </spPr>
          </dPt>
          <dPt>
            <idx val="78"/>
            <invertIfNegative val="0"/>
            <spPr>
              <a:solidFill>
                <a:srgbClr val="F6BBA3"/>
              </a:solidFill>
              <a:ln>
                <a:noFill/>
                <a:prstDash val="solid"/>
              </a:ln>
            </spPr>
          </dPt>
          <dPt>
            <idx val="79"/>
            <invertIfNegative val="0"/>
            <spPr>
              <a:solidFill>
                <a:srgbClr val="F6BBA3"/>
              </a:solidFill>
              <a:ln>
                <a:noFill/>
                <a:prstDash val="solid"/>
              </a:ln>
            </spPr>
          </dPt>
          <dPt>
            <idx val="80"/>
            <invertIfNegative val="0"/>
            <spPr>
              <a:solidFill>
                <a:srgbClr val="F6BBA3"/>
              </a:solidFill>
              <a:ln>
                <a:noFill/>
                <a:prstDash val="solid"/>
              </a:ln>
            </spPr>
          </dPt>
          <dPt>
            <idx val="81"/>
            <invertIfNegative val="0"/>
            <spPr>
              <a:solidFill>
                <a:srgbClr val="F6BBA3"/>
              </a:solidFill>
              <a:ln>
                <a:noFill/>
                <a:prstDash val="solid"/>
              </a:ln>
            </spPr>
          </dPt>
          <dPt>
            <idx val="82"/>
            <invertIfNegative val="0"/>
            <spPr>
              <a:solidFill>
                <a:srgbClr val="F6BBA3"/>
              </a:solidFill>
              <a:ln>
                <a:noFill/>
                <a:prstDash val="solid"/>
              </a:ln>
            </spPr>
          </dPt>
          <dPt>
            <idx val="83"/>
            <invertIfNegative val="0"/>
            <spPr>
              <a:solidFill>
                <a:srgbClr val="F6BBA3"/>
              </a:solidFill>
              <a:ln>
                <a:noFill/>
                <a:prstDash val="solid"/>
              </a:ln>
            </spPr>
          </dPt>
          <dPt>
            <idx val="84"/>
            <invertIfNegative val="0"/>
            <spPr>
              <a:solidFill>
                <a:srgbClr val="F6BBA3"/>
              </a:solidFill>
              <a:ln>
                <a:noFill/>
                <a:prstDash val="solid"/>
              </a:ln>
            </spPr>
          </dPt>
          <dPt>
            <idx val="85"/>
            <invertIfNegative val="0"/>
            <spPr>
              <a:solidFill>
                <a:srgbClr val="F6BBA3"/>
              </a:solidFill>
              <a:ln>
                <a:noFill/>
                <a:prstDash val="solid"/>
              </a:ln>
            </spPr>
          </dPt>
          <dPt>
            <idx val="86"/>
            <invertIfNegative val="0"/>
            <spPr>
              <a:solidFill>
                <a:srgbClr val="F6BBA3"/>
              </a:solidFill>
              <a:ln>
                <a:noFill/>
                <a:prstDash val="solid"/>
              </a:ln>
            </spPr>
          </dPt>
          <dPt>
            <idx val="87"/>
            <invertIfNegative val="0"/>
            <spPr>
              <a:solidFill>
                <a:srgbClr val="F6BBA3"/>
              </a:solidFill>
              <a:ln>
                <a:noFill/>
                <a:prstDash val="solid"/>
              </a:ln>
            </spPr>
          </dPt>
          <dPt>
            <idx val="88"/>
            <invertIfNegative val="0"/>
            <spPr>
              <a:solidFill>
                <a:srgbClr val="F6BBA3"/>
              </a:solidFill>
              <a:ln>
                <a:noFill/>
                <a:prstDash val="solid"/>
              </a:ln>
            </spPr>
          </dPt>
          <dPt>
            <idx val="89"/>
            <invertIfNegative val="0"/>
            <spPr>
              <a:solidFill>
                <a:srgbClr val="F6BBA3"/>
              </a:solidFill>
              <a:ln>
                <a:noFill/>
                <a:prstDash val="solid"/>
              </a:ln>
            </spPr>
          </dPt>
          <dPt>
            <idx val="90"/>
            <invertIfNegative val="0"/>
            <spPr>
              <a:solidFill>
                <a:srgbClr val="F6BBA3"/>
              </a:solidFill>
              <a:ln>
                <a:noFill/>
                <a:prstDash val="solid"/>
              </a:ln>
            </spPr>
          </dPt>
          <dPt>
            <idx val="91"/>
            <invertIfNegative val="0"/>
            <spPr>
              <a:solidFill>
                <a:srgbClr val="F6BBA3"/>
              </a:solidFill>
              <a:ln>
                <a:noFill/>
                <a:prstDash val="solid"/>
              </a:ln>
            </spPr>
          </dPt>
          <dPt>
            <idx val="92"/>
            <invertIfNegative val="0"/>
            <spPr>
              <a:solidFill>
                <a:srgbClr val="F6BBA3"/>
              </a:solidFill>
              <a:ln>
                <a:noFill/>
                <a:prstDash val="solid"/>
              </a:ln>
            </spPr>
          </dPt>
          <dPt>
            <idx val="93"/>
            <invertIfNegative val="0"/>
            <spPr>
              <a:solidFill>
                <a:srgbClr val="F6BBA3"/>
              </a:solidFill>
              <a:ln>
                <a:noFill/>
                <a:prstDash val="solid"/>
              </a:ln>
            </spPr>
          </dPt>
          <dPt>
            <idx val="94"/>
            <invertIfNegative val="0"/>
            <spPr>
              <a:solidFill>
                <a:srgbClr val="F6BBA3"/>
              </a:solidFill>
              <a:ln>
                <a:noFill/>
                <a:prstDash val="solid"/>
              </a:ln>
            </spPr>
          </dPt>
          <dPt>
            <idx val="95"/>
            <invertIfNegative val="0"/>
            <spPr>
              <a:solidFill>
                <a:srgbClr val="F6BBA3"/>
              </a:solidFill>
              <a:ln>
                <a:noFill/>
                <a:prstDash val="solid"/>
              </a:ln>
            </spPr>
          </dPt>
          <cat>
            <numRef>
              <f>'Chart'!$A$2:$A$97</f>
            </numRef>
          </cat>
          <val>
            <numRef>
              <f>'Chart'!$C$2:$C$97</f>
            </numRef>
          </val>
        </ser>
        <ser>
          <idx val="2"/>
          <order val="2"/>
          <tx>
            <strRef>
              <f>'Chart'!D1</f>
            </strRef>
          </tx>
          <spPr>
            <a:solidFill>
              <a:srgbClr val="1BAF7A"/>
            </a:solidFill>
            <a:ln>
              <a:noFill/>
              <a:prstDash val="solid"/>
            </a:ln>
          </spPr>
          <dPt>
            <idx val="67"/>
            <invertIfNegative val="0"/>
            <spPr>
              <a:solidFill>
                <a:srgbClr val="98DBC3"/>
              </a:solidFill>
              <a:ln>
                <a:noFill/>
                <a:prstDash val="solid"/>
              </a:ln>
            </spPr>
          </dPt>
          <dPt>
            <idx val="68"/>
            <invertIfNegative val="0"/>
            <spPr>
              <a:solidFill>
                <a:srgbClr val="98DBC3"/>
              </a:solidFill>
              <a:ln>
                <a:noFill/>
                <a:prstDash val="solid"/>
              </a:ln>
            </spPr>
          </dPt>
          <dPt>
            <idx val="69"/>
            <invertIfNegative val="0"/>
            <spPr>
              <a:solidFill>
                <a:srgbClr val="98DBC3"/>
              </a:solidFill>
              <a:ln>
                <a:noFill/>
                <a:prstDash val="solid"/>
              </a:ln>
            </spPr>
          </dPt>
          <dPt>
            <idx val="70"/>
            <invertIfNegative val="0"/>
            <spPr>
              <a:solidFill>
                <a:srgbClr val="98DBC3"/>
              </a:solidFill>
              <a:ln>
                <a:noFill/>
                <a:prstDash val="solid"/>
              </a:ln>
            </spPr>
          </dPt>
          <dPt>
            <idx val="71"/>
            <invertIfNegative val="0"/>
            <spPr>
              <a:solidFill>
                <a:srgbClr val="98DBC3"/>
              </a:solidFill>
              <a:ln>
                <a:noFill/>
                <a:prstDash val="solid"/>
              </a:ln>
            </spPr>
          </dPt>
          <dPt>
            <idx val="72"/>
            <invertIfNegative val="0"/>
            <spPr>
              <a:solidFill>
                <a:srgbClr val="98DBC3"/>
              </a:solidFill>
              <a:ln>
                <a:noFill/>
                <a:prstDash val="solid"/>
              </a:ln>
            </spPr>
          </dPt>
          <dPt>
            <idx val="73"/>
            <invertIfNegative val="0"/>
            <spPr>
              <a:solidFill>
                <a:srgbClr val="98DBC3"/>
              </a:solidFill>
              <a:ln>
                <a:noFill/>
                <a:prstDash val="solid"/>
              </a:ln>
            </spPr>
          </dPt>
          <dPt>
            <idx val="74"/>
            <invertIfNegative val="0"/>
            <spPr>
              <a:solidFill>
                <a:srgbClr val="98DBC3"/>
              </a:solidFill>
              <a:ln>
                <a:noFill/>
                <a:prstDash val="solid"/>
              </a:ln>
            </spPr>
          </dPt>
          <dPt>
            <idx val="75"/>
            <invertIfNegative val="0"/>
            <spPr>
              <a:solidFill>
                <a:srgbClr val="98DBC3"/>
              </a:solidFill>
              <a:ln>
                <a:noFill/>
                <a:prstDash val="solid"/>
              </a:ln>
            </spPr>
          </dPt>
          <dPt>
            <idx val="76"/>
            <invertIfNegative val="0"/>
            <spPr>
              <a:solidFill>
                <a:srgbClr val="98DBC3"/>
              </a:solidFill>
              <a:ln>
                <a:noFill/>
                <a:prstDash val="solid"/>
              </a:ln>
            </spPr>
          </dPt>
          <dPt>
            <idx val="77"/>
            <invertIfNegative val="0"/>
            <spPr>
              <a:solidFill>
                <a:srgbClr val="98DBC3"/>
              </a:solidFill>
              <a:ln>
                <a:noFill/>
                <a:prstDash val="solid"/>
              </a:ln>
            </spPr>
          </dPt>
          <dPt>
            <idx val="78"/>
            <invertIfNegative val="0"/>
            <spPr>
              <a:solidFill>
                <a:srgbClr val="98DBC3"/>
              </a:solidFill>
              <a:ln>
                <a:noFill/>
                <a:prstDash val="solid"/>
              </a:ln>
            </spPr>
          </dPt>
          <dPt>
            <idx val="79"/>
            <invertIfNegative val="0"/>
            <spPr>
              <a:solidFill>
                <a:srgbClr val="98DBC3"/>
              </a:solidFill>
              <a:ln>
                <a:noFill/>
                <a:prstDash val="solid"/>
              </a:ln>
            </spPr>
          </dPt>
          <dPt>
            <idx val="80"/>
            <invertIfNegative val="0"/>
            <spPr>
              <a:solidFill>
                <a:srgbClr val="98DBC3"/>
              </a:solidFill>
              <a:ln>
                <a:noFill/>
                <a:prstDash val="solid"/>
              </a:ln>
            </spPr>
          </dPt>
          <dPt>
            <idx val="81"/>
            <invertIfNegative val="0"/>
            <spPr>
              <a:solidFill>
                <a:srgbClr val="98DBC3"/>
              </a:solidFill>
              <a:ln>
                <a:noFill/>
                <a:prstDash val="solid"/>
              </a:ln>
            </spPr>
          </dPt>
          <dPt>
            <idx val="82"/>
            <invertIfNegative val="0"/>
            <spPr>
              <a:solidFill>
                <a:srgbClr val="98DBC3"/>
              </a:solidFill>
              <a:ln>
                <a:noFill/>
                <a:prstDash val="solid"/>
              </a:ln>
            </spPr>
          </dPt>
          <dPt>
            <idx val="83"/>
            <invertIfNegative val="0"/>
            <spPr>
              <a:solidFill>
                <a:srgbClr val="98DBC3"/>
              </a:solidFill>
              <a:ln>
                <a:noFill/>
                <a:prstDash val="solid"/>
              </a:ln>
            </spPr>
          </dPt>
          <dPt>
            <idx val="84"/>
            <invertIfNegative val="0"/>
            <spPr>
              <a:solidFill>
                <a:srgbClr val="98DBC3"/>
              </a:solidFill>
              <a:ln>
                <a:noFill/>
                <a:prstDash val="solid"/>
              </a:ln>
            </spPr>
          </dPt>
          <dPt>
            <idx val="85"/>
            <invertIfNegative val="0"/>
            <spPr>
              <a:solidFill>
                <a:srgbClr val="98DBC3"/>
              </a:solidFill>
              <a:ln>
                <a:noFill/>
                <a:prstDash val="solid"/>
              </a:ln>
            </spPr>
          </dPt>
          <dPt>
            <idx val="86"/>
            <invertIfNegative val="0"/>
            <spPr>
              <a:solidFill>
                <a:srgbClr val="98DBC3"/>
              </a:solidFill>
              <a:ln>
                <a:noFill/>
                <a:prstDash val="solid"/>
              </a:ln>
            </spPr>
          </dPt>
          <dPt>
            <idx val="87"/>
            <invertIfNegative val="0"/>
            <spPr>
              <a:solidFill>
                <a:srgbClr val="98DBC3"/>
              </a:solidFill>
              <a:ln>
                <a:noFill/>
                <a:prstDash val="solid"/>
              </a:ln>
            </spPr>
          </dPt>
          <dPt>
            <idx val="88"/>
            <invertIfNegative val="0"/>
            <spPr>
              <a:solidFill>
                <a:srgbClr val="98DBC3"/>
              </a:solidFill>
              <a:ln>
                <a:noFill/>
                <a:prstDash val="solid"/>
              </a:ln>
            </spPr>
          </dPt>
          <dPt>
            <idx val="89"/>
            <invertIfNegative val="0"/>
            <spPr>
              <a:solidFill>
                <a:srgbClr val="98DBC3"/>
              </a:solidFill>
              <a:ln>
                <a:noFill/>
                <a:prstDash val="solid"/>
              </a:ln>
            </spPr>
          </dPt>
          <dPt>
            <idx val="90"/>
            <invertIfNegative val="0"/>
            <spPr>
              <a:solidFill>
                <a:srgbClr val="98DBC3"/>
              </a:solidFill>
              <a:ln>
                <a:noFill/>
                <a:prstDash val="solid"/>
              </a:ln>
            </spPr>
          </dPt>
          <dPt>
            <idx val="91"/>
            <invertIfNegative val="0"/>
            <spPr>
              <a:solidFill>
                <a:srgbClr val="98DBC3"/>
              </a:solidFill>
              <a:ln>
                <a:noFill/>
                <a:prstDash val="solid"/>
              </a:ln>
            </spPr>
          </dPt>
          <dPt>
            <idx val="92"/>
            <invertIfNegative val="0"/>
            <spPr>
              <a:solidFill>
                <a:srgbClr val="98DBC3"/>
              </a:solidFill>
              <a:ln>
                <a:noFill/>
                <a:prstDash val="solid"/>
              </a:ln>
            </spPr>
          </dPt>
          <dPt>
            <idx val="93"/>
            <invertIfNegative val="0"/>
            <spPr>
              <a:solidFill>
                <a:srgbClr val="98DBC3"/>
              </a:solidFill>
              <a:ln>
                <a:noFill/>
                <a:prstDash val="solid"/>
              </a:ln>
            </spPr>
          </dPt>
          <dPt>
            <idx val="94"/>
            <invertIfNegative val="0"/>
            <spPr>
              <a:solidFill>
                <a:srgbClr val="98DBC3"/>
              </a:solidFill>
              <a:ln>
                <a:noFill/>
                <a:prstDash val="solid"/>
              </a:ln>
            </spPr>
          </dPt>
          <dPt>
            <idx val="95"/>
            <invertIfNegative val="0"/>
            <spPr>
              <a:solidFill>
                <a:srgbClr val="98DBC3"/>
              </a:solidFill>
              <a:ln>
                <a:noFill/>
                <a:prstDash val="solid"/>
              </a:ln>
            </spPr>
          </dPt>
          <cat>
            <numRef>
              <f>'Chart'!$A$2:$A$97</f>
            </numRef>
          </cat>
          <val>
            <numRef>
              <f>'Chart'!$D$2:$D$97</f>
            </numRef>
          </val>
        </ser>
        <ser>
          <idx val="3"/>
          <order val="3"/>
          <tx>
            <strRef>
              <f>'Chart'!E1</f>
            </strRef>
          </tx>
          <spPr>
            <a:solidFill>
              <a:srgbClr val="EDA100"/>
            </a:solidFill>
            <a:ln>
              <a:noFill/>
              <a:prstDash val="solid"/>
            </a:ln>
          </spPr>
          <dPt>
            <idx val="67"/>
            <invertIfNegative val="0"/>
            <spPr>
              <a:solidFill>
                <a:srgbClr val="F6D48C"/>
              </a:solidFill>
              <a:ln>
                <a:noFill/>
                <a:prstDash val="solid"/>
              </a:ln>
            </spPr>
          </dPt>
          <dPt>
            <idx val="68"/>
            <invertIfNegative val="0"/>
            <spPr>
              <a:solidFill>
                <a:srgbClr val="F6D48C"/>
              </a:solidFill>
              <a:ln>
                <a:noFill/>
                <a:prstDash val="solid"/>
              </a:ln>
            </spPr>
          </dPt>
          <dPt>
            <idx val="69"/>
            <invertIfNegative val="0"/>
            <spPr>
              <a:solidFill>
                <a:srgbClr val="F6D48C"/>
              </a:solidFill>
              <a:ln>
                <a:noFill/>
                <a:prstDash val="solid"/>
              </a:ln>
            </spPr>
          </dPt>
          <dPt>
            <idx val="70"/>
            <invertIfNegative val="0"/>
            <spPr>
              <a:solidFill>
                <a:srgbClr val="F6D48C"/>
              </a:solidFill>
              <a:ln>
                <a:noFill/>
                <a:prstDash val="solid"/>
              </a:ln>
            </spPr>
          </dPt>
          <dPt>
            <idx val="71"/>
            <invertIfNegative val="0"/>
            <spPr>
              <a:solidFill>
                <a:srgbClr val="F6D48C"/>
              </a:solidFill>
              <a:ln>
                <a:noFill/>
                <a:prstDash val="solid"/>
              </a:ln>
            </spPr>
          </dPt>
          <dPt>
            <idx val="72"/>
            <invertIfNegative val="0"/>
            <spPr>
              <a:solidFill>
                <a:srgbClr val="F6D48C"/>
              </a:solidFill>
              <a:ln>
                <a:noFill/>
                <a:prstDash val="solid"/>
              </a:ln>
            </spPr>
          </dPt>
          <dPt>
            <idx val="73"/>
            <invertIfNegative val="0"/>
            <spPr>
              <a:solidFill>
                <a:srgbClr val="F6D48C"/>
              </a:solidFill>
              <a:ln>
                <a:noFill/>
                <a:prstDash val="solid"/>
              </a:ln>
            </spPr>
          </dPt>
          <dPt>
            <idx val="74"/>
            <invertIfNegative val="0"/>
            <spPr>
              <a:solidFill>
                <a:srgbClr val="F6D48C"/>
              </a:solidFill>
              <a:ln>
                <a:noFill/>
                <a:prstDash val="solid"/>
              </a:ln>
            </spPr>
          </dPt>
          <dPt>
            <idx val="75"/>
            <invertIfNegative val="0"/>
            <spPr>
              <a:solidFill>
                <a:srgbClr val="F6D48C"/>
              </a:solidFill>
              <a:ln>
                <a:noFill/>
                <a:prstDash val="solid"/>
              </a:ln>
            </spPr>
          </dPt>
          <dPt>
            <idx val="76"/>
            <invertIfNegative val="0"/>
            <spPr>
              <a:solidFill>
                <a:srgbClr val="F6D48C"/>
              </a:solidFill>
              <a:ln>
                <a:noFill/>
                <a:prstDash val="solid"/>
              </a:ln>
            </spPr>
          </dPt>
          <dPt>
            <idx val="77"/>
            <invertIfNegative val="0"/>
            <spPr>
              <a:solidFill>
                <a:srgbClr val="F6D48C"/>
              </a:solidFill>
              <a:ln>
                <a:noFill/>
                <a:prstDash val="solid"/>
              </a:ln>
            </spPr>
          </dPt>
          <dPt>
            <idx val="78"/>
            <invertIfNegative val="0"/>
            <spPr>
              <a:solidFill>
                <a:srgbClr val="F6D48C"/>
              </a:solidFill>
              <a:ln>
                <a:noFill/>
                <a:prstDash val="solid"/>
              </a:ln>
            </spPr>
          </dPt>
          <dPt>
            <idx val="79"/>
            <invertIfNegative val="0"/>
            <spPr>
              <a:solidFill>
                <a:srgbClr val="F6D48C"/>
              </a:solidFill>
              <a:ln>
                <a:noFill/>
                <a:prstDash val="solid"/>
              </a:ln>
            </spPr>
          </dPt>
          <dPt>
            <idx val="80"/>
            <invertIfNegative val="0"/>
            <spPr>
              <a:solidFill>
                <a:srgbClr val="F6D48C"/>
              </a:solidFill>
              <a:ln>
                <a:noFill/>
                <a:prstDash val="solid"/>
              </a:ln>
            </spPr>
          </dPt>
          <dPt>
            <idx val="81"/>
            <invertIfNegative val="0"/>
            <spPr>
              <a:solidFill>
                <a:srgbClr val="F6D48C"/>
              </a:solidFill>
              <a:ln>
                <a:noFill/>
                <a:prstDash val="solid"/>
              </a:ln>
            </spPr>
          </dPt>
          <dPt>
            <idx val="82"/>
            <invertIfNegative val="0"/>
            <spPr>
              <a:solidFill>
                <a:srgbClr val="F6D48C"/>
              </a:solidFill>
              <a:ln>
                <a:noFill/>
                <a:prstDash val="solid"/>
              </a:ln>
            </spPr>
          </dPt>
          <dPt>
            <idx val="83"/>
            <invertIfNegative val="0"/>
            <spPr>
              <a:solidFill>
                <a:srgbClr val="F6D48C"/>
              </a:solidFill>
              <a:ln>
                <a:noFill/>
                <a:prstDash val="solid"/>
              </a:ln>
            </spPr>
          </dPt>
          <dPt>
            <idx val="84"/>
            <invertIfNegative val="0"/>
            <spPr>
              <a:solidFill>
                <a:srgbClr val="F6D48C"/>
              </a:solidFill>
              <a:ln>
                <a:noFill/>
                <a:prstDash val="solid"/>
              </a:ln>
            </spPr>
          </dPt>
          <dPt>
            <idx val="85"/>
            <invertIfNegative val="0"/>
            <spPr>
              <a:solidFill>
                <a:srgbClr val="F6D48C"/>
              </a:solidFill>
              <a:ln>
                <a:noFill/>
                <a:prstDash val="solid"/>
              </a:ln>
            </spPr>
          </dPt>
          <dPt>
            <idx val="86"/>
            <invertIfNegative val="0"/>
            <spPr>
              <a:solidFill>
                <a:srgbClr val="F6D48C"/>
              </a:solidFill>
              <a:ln>
                <a:noFill/>
                <a:prstDash val="solid"/>
              </a:ln>
            </spPr>
          </dPt>
          <dPt>
            <idx val="87"/>
            <invertIfNegative val="0"/>
            <spPr>
              <a:solidFill>
                <a:srgbClr val="F6D48C"/>
              </a:solidFill>
              <a:ln>
                <a:noFill/>
                <a:prstDash val="solid"/>
              </a:ln>
            </spPr>
          </dPt>
          <dPt>
            <idx val="88"/>
            <invertIfNegative val="0"/>
            <spPr>
              <a:solidFill>
                <a:srgbClr val="F6D48C"/>
              </a:solidFill>
              <a:ln>
                <a:noFill/>
                <a:prstDash val="solid"/>
              </a:ln>
            </spPr>
          </dPt>
          <dPt>
            <idx val="89"/>
            <invertIfNegative val="0"/>
            <spPr>
              <a:solidFill>
                <a:srgbClr val="F6D48C"/>
              </a:solidFill>
              <a:ln>
                <a:noFill/>
                <a:prstDash val="solid"/>
              </a:ln>
            </spPr>
          </dPt>
          <dPt>
            <idx val="90"/>
            <invertIfNegative val="0"/>
            <spPr>
              <a:solidFill>
                <a:srgbClr val="F6D48C"/>
              </a:solidFill>
              <a:ln>
                <a:noFill/>
                <a:prstDash val="solid"/>
              </a:ln>
            </spPr>
          </dPt>
          <dPt>
            <idx val="91"/>
            <invertIfNegative val="0"/>
            <spPr>
              <a:solidFill>
                <a:srgbClr val="F6D48C"/>
              </a:solidFill>
              <a:ln>
                <a:noFill/>
                <a:prstDash val="solid"/>
              </a:ln>
            </spPr>
          </dPt>
          <dPt>
            <idx val="92"/>
            <invertIfNegative val="0"/>
            <spPr>
              <a:solidFill>
                <a:srgbClr val="F6D48C"/>
              </a:solidFill>
              <a:ln>
                <a:noFill/>
                <a:prstDash val="solid"/>
              </a:ln>
            </spPr>
          </dPt>
          <dPt>
            <idx val="93"/>
            <invertIfNegative val="0"/>
            <spPr>
              <a:solidFill>
                <a:srgbClr val="F6D48C"/>
              </a:solidFill>
              <a:ln>
                <a:noFill/>
                <a:prstDash val="solid"/>
              </a:ln>
            </spPr>
          </dPt>
          <dPt>
            <idx val="94"/>
            <invertIfNegative val="0"/>
            <spPr>
              <a:solidFill>
                <a:srgbClr val="F6D48C"/>
              </a:solidFill>
              <a:ln>
                <a:noFill/>
                <a:prstDash val="solid"/>
              </a:ln>
            </spPr>
          </dPt>
          <dPt>
            <idx val="95"/>
            <invertIfNegative val="0"/>
            <spPr>
              <a:solidFill>
                <a:srgbClr val="F6D48C"/>
              </a:solidFill>
              <a:ln>
                <a:noFill/>
                <a:prstDash val="solid"/>
              </a:ln>
            </spPr>
          </dPt>
          <cat>
            <numRef>
              <f>'Chart'!$A$2:$A$97</f>
            </numRef>
          </cat>
          <val>
            <numRef>
              <f>'Chart'!$E$2:$E$97</f>
            </numRef>
          </val>
        </ser>
        <ser>
          <idx val="4"/>
          <order val="4"/>
          <tx>
            <strRef>
              <f>'Chart'!F1</f>
            </strRef>
          </tx>
          <spPr>
            <a:solidFill>
              <a:srgbClr val="E87BA4"/>
            </a:solidFill>
            <a:ln>
              <a:noFill/>
              <a:prstDash val="solid"/>
            </a:ln>
          </spPr>
          <dPt>
            <idx val="67"/>
            <invertIfNegative val="0"/>
            <spPr>
              <a:solidFill>
                <a:srgbClr val="F4C3D6"/>
              </a:solidFill>
              <a:ln>
                <a:noFill/>
                <a:prstDash val="solid"/>
              </a:ln>
            </spPr>
          </dPt>
          <dPt>
            <idx val="68"/>
            <invertIfNegative val="0"/>
            <spPr>
              <a:solidFill>
                <a:srgbClr val="F4C3D6"/>
              </a:solidFill>
              <a:ln>
                <a:noFill/>
                <a:prstDash val="solid"/>
              </a:ln>
            </spPr>
          </dPt>
          <dPt>
            <idx val="69"/>
            <invertIfNegative val="0"/>
            <spPr>
              <a:solidFill>
                <a:srgbClr val="F4C3D6"/>
              </a:solidFill>
              <a:ln>
                <a:noFill/>
                <a:prstDash val="solid"/>
              </a:ln>
            </spPr>
          </dPt>
          <dPt>
            <idx val="70"/>
            <invertIfNegative val="0"/>
            <spPr>
              <a:solidFill>
                <a:srgbClr val="F4C3D6"/>
              </a:solidFill>
              <a:ln>
                <a:noFill/>
                <a:prstDash val="solid"/>
              </a:ln>
            </spPr>
          </dPt>
          <dPt>
            <idx val="71"/>
            <invertIfNegative val="0"/>
            <spPr>
              <a:solidFill>
                <a:srgbClr val="F4C3D6"/>
              </a:solidFill>
              <a:ln>
                <a:noFill/>
                <a:prstDash val="solid"/>
              </a:ln>
            </spPr>
          </dPt>
          <dPt>
            <idx val="72"/>
            <invertIfNegative val="0"/>
            <spPr>
              <a:solidFill>
                <a:srgbClr val="F4C3D6"/>
              </a:solidFill>
              <a:ln>
                <a:noFill/>
                <a:prstDash val="solid"/>
              </a:ln>
            </spPr>
          </dPt>
          <dPt>
            <idx val="73"/>
            <invertIfNegative val="0"/>
            <spPr>
              <a:solidFill>
                <a:srgbClr val="F4C3D6"/>
              </a:solidFill>
              <a:ln>
                <a:noFill/>
                <a:prstDash val="solid"/>
              </a:ln>
            </spPr>
          </dPt>
          <dPt>
            <idx val="74"/>
            <invertIfNegative val="0"/>
            <spPr>
              <a:solidFill>
                <a:srgbClr val="F4C3D6"/>
              </a:solidFill>
              <a:ln>
                <a:noFill/>
                <a:prstDash val="solid"/>
              </a:ln>
            </spPr>
          </dPt>
          <dPt>
            <idx val="75"/>
            <invertIfNegative val="0"/>
            <spPr>
              <a:solidFill>
                <a:srgbClr val="F4C3D6"/>
              </a:solidFill>
              <a:ln>
                <a:noFill/>
                <a:prstDash val="solid"/>
              </a:ln>
            </spPr>
          </dPt>
          <dPt>
            <idx val="76"/>
            <invertIfNegative val="0"/>
            <spPr>
              <a:solidFill>
                <a:srgbClr val="F4C3D6"/>
              </a:solidFill>
              <a:ln>
                <a:noFill/>
                <a:prstDash val="solid"/>
              </a:ln>
            </spPr>
          </dPt>
          <dPt>
            <idx val="77"/>
            <invertIfNegative val="0"/>
            <spPr>
              <a:solidFill>
                <a:srgbClr val="F4C3D6"/>
              </a:solidFill>
              <a:ln>
                <a:noFill/>
                <a:prstDash val="solid"/>
              </a:ln>
            </spPr>
          </dPt>
          <dPt>
            <idx val="78"/>
            <invertIfNegative val="0"/>
            <spPr>
              <a:solidFill>
                <a:srgbClr val="F4C3D6"/>
              </a:solidFill>
              <a:ln>
                <a:noFill/>
                <a:prstDash val="solid"/>
              </a:ln>
            </spPr>
          </dPt>
          <dPt>
            <idx val="79"/>
            <invertIfNegative val="0"/>
            <spPr>
              <a:solidFill>
                <a:srgbClr val="F4C3D6"/>
              </a:solidFill>
              <a:ln>
                <a:noFill/>
                <a:prstDash val="solid"/>
              </a:ln>
            </spPr>
          </dPt>
          <dPt>
            <idx val="80"/>
            <invertIfNegative val="0"/>
            <spPr>
              <a:solidFill>
                <a:srgbClr val="F4C3D6"/>
              </a:solidFill>
              <a:ln>
                <a:noFill/>
                <a:prstDash val="solid"/>
              </a:ln>
            </spPr>
          </dPt>
          <dPt>
            <idx val="81"/>
            <invertIfNegative val="0"/>
            <spPr>
              <a:solidFill>
                <a:srgbClr val="F4C3D6"/>
              </a:solidFill>
              <a:ln>
                <a:noFill/>
                <a:prstDash val="solid"/>
              </a:ln>
            </spPr>
          </dPt>
          <dPt>
            <idx val="82"/>
            <invertIfNegative val="0"/>
            <spPr>
              <a:solidFill>
                <a:srgbClr val="F4C3D6"/>
              </a:solidFill>
              <a:ln>
                <a:noFill/>
                <a:prstDash val="solid"/>
              </a:ln>
            </spPr>
          </dPt>
          <dPt>
            <idx val="83"/>
            <invertIfNegative val="0"/>
            <spPr>
              <a:solidFill>
                <a:srgbClr val="F4C3D6"/>
              </a:solidFill>
              <a:ln>
                <a:noFill/>
                <a:prstDash val="solid"/>
              </a:ln>
            </spPr>
          </dPt>
          <dPt>
            <idx val="84"/>
            <invertIfNegative val="0"/>
            <spPr>
              <a:solidFill>
                <a:srgbClr val="F4C3D6"/>
              </a:solidFill>
              <a:ln>
                <a:noFill/>
                <a:prstDash val="solid"/>
              </a:ln>
            </spPr>
          </dPt>
          <dPt>
            <idx val="85"/>
            <invertIfNegative val="0"/>
            <spPr>
              <a:solidFill>
                <a:srgbClr val="F4C3D6"/>
              </a:solidFill>
              <a:ln>
                <a:noFill/>
                <a:prstDash val="solid"/>
              </a:ln>
            </spPr>
          </dPt>
          <dPt>
            <idx val="86"/>
            <invertIfNegative val="0"/>
            <spPr>
              <a:solidFill>
                <a:srgbClr val="F4C3D6"/>
              </a:solidFill>
              <a:ln>
                <a:noFill/>
                <a:prstDash val="solid"/>
              </a:ln>
            </spPr>
          </dPt>
          <dPt>
            <idx val="87"/>
            <invertIfNegative val="0"/>
            <spPr>
              <a:solidFill>
                <a:srgbClr val="F4C3D6"/>
              </a:solidFill>
              <a:ln>
                <a:noFill/>
                <a:prstDash val="solid"/>
              </a:ln>
            </spPr>
          </dPt>
          <dPt>
            <idx val="88"/>
            <invertIfNegative val="0"/>
            <spPr>
              <a:solidFill>
                <a:srgbClr val="F4C3D6"/>
              </a:solidFill>
              <a:ln>
                <a:noFill/>
                <a:prstDash val="solid"/>
              </a:ln>
            </spPr>
          </dPt>
          <dPt>
            <idx val="89"/>
            <invertIfNegative val="0"/>
            <spPr>
              <a:solidFill>
                <a:srgbClr val="F4C3D6"/>
              </a:solidFill>
              <a:ln>
                <a:noFill/>
                <a:prstDash val="solid"/>
              </a:ln>
            </spPr>
          </dPt>
          <dPt>
            <idx val="90"/>
            <invertIfNegative val="0"/>
            <spPr>
              <a:solidFill>
                <a:srgbClr val="F4C3D6"/>
              </a:solidFill>
              <a:ln>
                <a:noFill/>
                <a:prstDash val="solid"/>
              </a:ln>
            </spPr>
          </dPt>
          <dPt>
            <idx val="91"/>
            <invertIfNegative val="0"/>
            <spPr>
              <a:solidFill>
                <a:srgbClr val="F4C3D6"/>
              </a:solidFill>
              <a:ln>
                <a:noFill/>
                <a:prstDash val="solid"/>
              </a:ln>
            </spPr>
          </dPt>
          <dPt>
            <idx val="92"/>
            <invertIfNegative val="0"/>
            <spPr>
              <a:solidFill>
                <a:srgbClr val="F4C3D6"/>
              </a:solidFill>
              <a:ln>
                <a:noFill/>
                <a:prstDash val="solid"/>
              </a:ln>
            </spPr>
          </dPt>
          <dPt>
            <idx val="93"/>
            <invertIfNegative val="0"/>
            <spPr>
              <a:solidFill>
                <a:srgbClr val="F4C3D6"/>
              </a:solidFill>
              <a:ln>
                <a:noFill/>
                <a:prstDash val="solid"/>
              </a:ln>
            </spPr>
          </dPt>
          <dPt>
            <idx val="94"/>
            <invertIfNegative val="0"/>
            <spPr>
              <a:solidFill>
                <a:srgbClr val="F4C3D6"/>
              </a:solidFill>
              <a:ln>
                <a:noFill/>
                <a:prstDash val="solid"/>
              </a:ln>
            </spPr>
          </dPt>
          <dPt>
            <idx val="95"/>
            <invertIfNegative val="0"/>
            <spPr>
              <a:solidFill>
                <a:srgbClr val="F4C3D6"/>
              </a:solidFill>
              <a:ln>
                <a:noFill/>
                <a:prstDash val="solid"/>
              </a:ln>
            </spPr>
          </dPt>
          <cat>
            <numRef>
              <f>'Chart'!$A$2:$A$97</f>
            </numRef>
          </cat>
          <val>
            <numRef>
              <f>'Chart'!$F$2:$F$97</f>
            </numRef>
          </val>
        </ser>
        <ser>
          <idx val="5"/>
          <order val="5"/>
          <tx>
            <strRef>
              <f>'Chart'!G1</f>
            </strRef>
          </tx>
          <spPr>
            <a:solidFill>
              <a:srgbClr val="008300"/>
            </a:solidFill>
            <a:ln>
              <a:noFill/>
              <a:prstDash val="solid"/>
            </a:ln>
          </spPr>
          <dPt>
            <idx val="67"/>
            <invertIfNegative val="0"/>
            <spPr>
              <a:solidFill>
                <a:srgbClr val="8CC78C"/>
              </a:solidFill>
              <a:ln>
                <a:noFill/>
                <a:prstDash val="solid"/>
              </a:ln>
            </spPr>
          </dPt>
          <dPt>
            <idx val="68"/>
            <invertIfNegative val="0"/>
            <spPr>
              <a:solidFill>
                <a:srgbClr val="8CC78C"/>
              </a:solidFill>
              <a:ln>
                <a:noFill/>
                <a:prstDash val="solid"/>
              </a:ln>
            </spPr>
          </dPt>
          <dPt>
            <idx val="69"/>
            <invertIfNegative val="0"/>
            <spPr>
              <a:solidFill>
                <a:srgbClr val="8CC78C"/>
              </a:solidFill>
              <a:ln>
                <a:noFill/>
                <a:prstDash val="solid"/>
              </a:ln>
            </spPr>
          </dPt>
          <dPt>
            <idx val="70"/>
            <invertIfNegative val="0"/>
            <spPr>
              <a:solidFill>
                <a:srgbClr val="8CC78C"/>
              </a:solidFill>
              <a:ln>
                <a:noFill/>
                <a:prstDash val="solid"/>
              </a:ln>
            </spPr>
          </dPt>
          <dPt>
            <idx val="71"/>
            <invertIfNegative val="0"/>
            <spPr>
              <a:solidFill>
                <a:srgbClr val="8CC78C"/>
              </a:solidFill>
              <a:ln>
                <a:noFill/>
                <a:prstDash val="solid"/>
              </a:ln>
            </spPr>
          </dPt>
          <dPt>
            <idx val="72"/>
            <invertIfNegative val="0"/>
            <spPr>
              <a:solidFill>
                <a:srgbClr val="8CC78C"/>
              </a:solidFill>
              <a:ln>
                <a:noFill/>
                <a:prstDash val="solid"/>
              </a:ln>
            </spPr>
          </dPt>
          <dPt>
            <idx val="73"/>
            <invertIfNegative val="0"/>
            <spPr>
              <a:solidFill>
                <a:srgbClr val="8CC78C"/>
              </a:solidFill>
              <a:ln>
                <a:noFill/>
                <a:prstDash val="solid"/>
              </a:ln>
            </spPr>
          </dPt>
          <dPt>
            <idx val="74"/>
            <invertIfNegative val="0"/>
            <spPr>
              <a:solidFill>
                <a:srgbClr val="8CC78C"/>
              </a:solidFill>
              <a:ln>
                <a:noFill/>
                <a:prstDash val="solid"/>
              </a:ln>
            </spPr>
          </dPt>
          <dPt>
            <idx val="75"/>
            <invertIfNegative val="0"/>
            <spPr>
              <a:solidFill>
                <a:srgbClr val="8CC78C"/>
              </a:solidFill>
              <a:ln>
                <a:noFill/>
                <a:prstDash val="solid"/>
              </a:ln>
            </spPr>
          </dPt>
          <dPt>
            <idx val="76"/>
            <invertIfNegative val="0"/>
            <spPr>
              <a:solidFill>
                <a:srgbClr val="8CC78C"/>
              </a:solidFill>
              <a:ln>
                <a:noFill/>
                <a:prstDash val="solid"/>
              </a:ln>
            </spPr>
          </dPt>
          <dPt>
            <idx val="77"/>
            <invertIfNegative val="0"/>
            <spPr>
              <a:solidFill>
                <a:srgbClr val="8CC78C"/>
              </a:solidFill>
              <a:ln>
                <a:noFill/>
                <a:prstDash val="solid"/>
              </a:ln>
            </spPr>
          </dPt>
          <dPt>
            <idx val="78"/>
            <invertIfNegative val="0"/>
            <spPr>
              <a:solidFill>
                <a:srgbClr val="8CC78C"/>
              </a:solidFill>
              <a:ln>
                <a:noFill/>
                <a:prstDash val="solid"/>
              </a:ln>
            </spPr>
          </dPt>
          <dPt>
            <idx val="79"/>
            <invertIfNegative val="0"/>
            <spPr>
              <a:solidFill>
                <a:srgbClr val="8CC78C"/>
              </a:solidFill>
              <a:ln>
                <a:noFill/>
                <a:prstDash val="solid"/>
              </a:ln>
            </spPr>
          </dPt>
          <dPt>
            <idx val="80"/>
            <invertIfNegative val="0"/>
            <spPr>
              <a:solidFill>
                <a:srgbClr val="8CC78C"/>
              </a:solidFill>
              <a:ln>
                <a:noFill/>
                <a:prstDash val="solid"/>
              </a:ln>
            </spPr>
          </dPt>
          <dPt>
            <idx val="81"/>
            <invertIfNegative val="0"/>
            <spPr>
              <a:solidFill>
                <a:srgbClr val="8CC78C"/>
              </a:solidFill>
              <a:ln>
                <a:noFill/>
                <a:prstDash val="solid"/>
              </a:ln>
            </spPr>
          </dPt>
          <dPt>
            <idx val="82"/>
            <invertIfNegative val="0"/>
            <spPr>
              <a:solidFill>
                <a:srgbClr val="8CC78C"/>
              </a:solidFill>
              <a:ln>
                <a:noFill/>
                <a:prstDash val="solid"/>
              </a:ln>
            </spPr>
          </dPt>
          <dPt>
            <idx val="83"/>
            <invertIfNegative val="0"/>
            <spPr>
              <a:solidFill>
                <a:srgbClr val="8CC78C"/>
              </a:solidFill>
              <a:ln>
                <a:noFill/>
                <a:prstDash val="solid"/>
              </a:ln>
            </spPr>
          </dPt>
          <dPt>
            <idx val="84"/>
            <invertIfNegative val="0"/>
            <spPr>
              <a:solidFill>
                <a:srgbClr val="8CC78C"/>
              </a:solidFill>
              <a:ln>
                <a:noFill/>
                <a:prstDash val="solid"/>
              </a:ln>
            </spPr>
          </dPt>
          <dPt>
            <idx val="85"/>
            <invertIfNegative val="0"/>
            <spPr>
              <a:solidFill>
                <a:srgbClr val="8CC78C"/>
              </a:solidFill>
              <a:ln>
                <a:noFill/>
                <a:prstDash val="solid"/>
              </a:ln>
            </spPr>
          </dPt>
          <dPt>
            <idx val="86"/>
            <invertIfNegative val="0"/>
            <spPr>
              <a:solidFill>
                <a:srgbClr val="8CC78C"/>
              </a:solidFill>
              <a:ln>
                <a:noFill/>
                <a:prstDash val="solid"/>
              </a:ln>
            </spPr>
          </dPt>
          <dPt>
            <idx val="87"/>
            <invertIfNegative val="0"/>
            <spPr>
              <a:solidFill>
                <a:srgbClr val="8CC78C"/>
              </a:solidFill>
              <a:ln>
                <a:noFill/>
                <a:prstDash val="solid"/>
              </a:ln>
            </spPr>
          </dPt>
          <dPt>
            <idx val="88"/>
            <invertIfNegative val="0"/>
            <spPr>
              <a:solidFill>
                <a:srgbClr val="8CC78C"/>
              </a:solidFill>
              <a:ln>
                <a:noFill/>
                <a:prstDash val="solid"/>
              </a:ln>
            </spPr>
          </dPt>
          <dPt>
            <idx val="89"/>
            <invertIfNegative val="0"/>
            <spPr>
              <a:solidFill>
                <a:srgbClr val="8CC78C"/>
              </a:solidFill>
              <a:ln>
                <a:noFill/>
                <a:prstDash val="solid"/>
              </a:ln>
            </spPr>
          </dPt>
          <dPt>
            <idx val="90"/>
            <invertIfNegative val="0"/>
            <spPr>
              <a:solidFill>
                <a:srgbClr val="8CC78C"/>
              </a:solidFill>
              <a:ln>
                <a:noFill/>
                <a:prstDash val="solid"/>
              </a:ln>
            </spPr>
          </dPt>
          <dPt>
            <idx val="91"/>
            <invertIfNegative val="0"/>
            <spPr>
              <a:solidFill>
                <a:srgbClr val="8CC78C"/>
              </a:solidFill>
              <a:ln>
                <a:noFill/>
                <a:prstDash val="solid"/>
              </a:ln>
            </spPr>
          </dPt>
          <dPt>
            <idx val="92"/>
            <invertIfNegative val="0"/>
            <spPr>
              <a:solidFill>
                <a:srgbClr val="8CC78C"/>
              </a:solidFill>
              <a:ln>
                <a:noFill/>
                <a:prstDash val="solid"/>
              </a:ln>
            </spPr>
          </dPt>
          <dPt>
            <idx val="93"/>
            <invertIfNegative val="0"/>
            <spPr>
              <a:solidFill>
                <a:srgbClr val="8CC78C"/>
              </a:solidFill>
              <a:ln>
                <a:noFill/>
                <a:prstDash val="solid"/>
              </a:ln>
            </spPr>
          </dPt>
          <dPt>
            <idx val="94"/>
            <invertIfNegative val="0"/>
            <spPr>
              <a:solidFill>
                <a:srgbClr val="8CC78C"/>
              </a:solidFill>
              <a:ln>
                <a:noFill/>
                <a:prstDash val="solid"/>
              </a:ln>
            </spPr>
          </dPt>
          <dPt>
            <idx val="95"/>
            <invertIfNegative val="0"/>
            <spPr>
              <a:solidFill>
                <a:srgbClr val="8CC78C"/>
              </a:solidFill>
              <a:ln>
                <a:noFill/>
                <a:prstDash val="solid"/>
              </a:ln>
            </spPr>
          </dPt>
          <cat>
            <numRef>
              <f>'Chart'!$A$2:$A$97</f>
            </numRef>
          </cat>
          <val>
            <numRef>
              <f>'Chart'!$G$2:$G$97</f>
            </numRef>
          </val>
        </ser>
        <ser>
          <idx val="6"/>
          <order val="6"/>
          <tx>
            <strRef>
              <f>'Chart'!H1</f>
            </strRef>
          </tx>
          <spPr>
            <a:solidFill>
              <a:srgbClr val="4A3AA7"/>
            </a:solidFill>
            <a:ln>
              <a:noFill/>
              <a:prstDash val="solid"/>
            </a:ln>
          </spPr>
          <dPt>
            <idx val="67"/>
            <invertIfNegative val="0"/>
            <spPr>
              <a:solidFill>
                <a:srgbClr val="ADA6D7"/>
              </a:solidFill>
              <a:ln>
                <a:noFill/>
                <a:prstDash val="solid"/>
              </a:ln>
            </spPr>
          </dPt>
          <dPt>
            <idx val="68"/>
            <invertIfNegative val="0"/>
            <spPr>
              <a:solidFill>
                <a:srgbClr val="ADA6D7"/>
              </a:solidFill>
              <a:ln>
                <a:noFill/>
                <a:prstDash val="solid"/>
              </a:ln>
            </spPr>
          </dPt>
          <dPt>
            <idx val="69"/>
            <invertIfNegative val="0"/>
            <spPr>
              <a:solidFill>
                <a:srgbClr val="ADA6D7"/>
              </a:solidFill>
              <a:ln>
                <a:noFill/>
                <a:prstDash val="solid"/>
              </a:ln>
            </spPr>
          </dPt>
          <dPt>
            <idx val="70"/>
            <invertIfNegative val="0"/>
            <spPr>
              <a:solidFill>
                <a:srgbClr val="ADA6D7"/>
              </a:solidFill>
              <a:ln>
                <a:noFill/>
                <a:prstDash val="solid"/>
              </a:ln>
            </spPr>
          </dPt>
          <dPt>
            <idx val="71"/>
            <invertIfNegative val="0"/>
            <spPr>
              <a:solidFill>
                <a:srgbClr val="ADA6D7"/>
              </a:solidFill>
              <a:ln>
                <a:noFill/>
                <a:prstDash val="solid"/>
              </a:ln>
            </spPr>
          </dPt>
          <dPt>
            <idx val="72"/>
            <invertIfNegative val="0"/>
            <spPr>
              <a:solidFill>
                <a:srgbClr val="ADA6D7"/>
              </a:solidFill>
              <a:ln>
                <a:noFill/>
                <a:prstDash val="solid"/>
              </a:ln>
            </spPr>
          </dPt>
          <dPt>
            <idx val="73"/>
            <invertIfNegative val="0"/>
            <spPr>
              <a:solidFill>
                <a:srgbClr val="ADA6D7"/>
              </a:solidFill>
              <a:ln>
                <a:noFill/>
                <a:prstDash val="solid"/>
              </a:ln>
            </spPr>
          </dPt>
          <dPt>
            <idx val="74"/>
            <invertIfNegative val="0"/>
            <spPr>
              <a:solidFill>
                <a:srgbClr val="ADA6D7"/>
              </a:solidFill>
              <a:ln>
                <a:noFill/>
                <a:prstDash val="solid"/>
              </a:ln>
            </spPr>
          </dPt>
          <dPt>
            <idx val="75"/>
            <invertIfNegative val="0"/>
            <spPr>
              <a:solidFill>
                <a:srgbClr val="ADA6D7"/>
              </a:solidFill>
              <a:ln>
                <a:noFill/>
                <a:prstDash val="solid"/>
              </a:ln>
            </spPr>
          </dPt>
          <dPt>
            <idx val="76"/>
            <invertIfNegative val="0"/>
            <spPr>
              <a:solidFill>
                <a:srgbClr val="ADA6D7"/>
              </a:solidFill>
              <a:ln>
                <a:noFill/>
                <a:prstDash val="solid"/>
              </a:ln>
            </spPr>
          </dPt>
          <dPt>
            <idx val="77"/>
            <invertIfNegative val="0"/>
            <spPr>
              <a:solidFill>
                <a:srgbClr val="ADA6D7"/>
              </a:solidFill>
              <a:ln>
                <a:noFill/>
                <a:prstDash val="solid"/>
              </a:ln>
            </spPr>
          </dPt>
          <dPt>
            <idx val="78"/>
            <invertIfNegative val="0"/>
            <spPr>
              <a:solidFill>
                <a:srgbClr val="ADA6D7"/>
              </a:solidFill>
              <a:ln>
                <a:noFill/>
                <a:prstDash val="solid"/>
              </a:ln>
            </spPr>
          </dPt>
          <dPt>
            <idx val="79"/>
            <invertIfNegative val="0"/>
            <spPr>
              <a:solidFill>
                <a:srgbClr val="ADA6D7"/>
              </a:solidFill>
              <a:ln>
                <a:noFill/>
                <a:prstDash val="solid"/>
              </a:ln>
            </spPr>
          </dPt>
          <dPt>
            <idx val="80"/>
            <invertIfNegative val="0"/>
            <spPr>
              <a:solidFill>
                <a:srgbClr val="ADA6D7"/>
              </a:solidFill>
              <a:ln>
                <a:noFill/>
                <a:prstDash val="solid"/>
              </a:ln>
            </spPr>
          </dPt>
          <dPt>
            <idx val="81"/>
            <invertIfNegative val="0"/>
            <spPr>
              <a:solidFill>
                <a:srgbClr val="ADA6D7"/>
              </a:solidFill>
              <a:ln>
                <a:noFill/>
                <a:prstDash val="solid"/>
              </a:ln>
            </spPr>
          </dPt>
          <dPt>
            <idx val="82"/>
            <invertIfNegative val="0"/>
            <spPr>
              <a:solidFill>
                <a:srgbClr val="ADA6D7"/>
              </a:solidFill>
              <a:ln>
                <a:noFill/>
                <a:prstDash val="solid"/>
              </a:ln>
            </spPr>
          </dPt>
          <dPt>
            <idx val="83"/>
            <invertIfNegative val="0"/>
            <spPr>
              <a:solidFill>
                <a:srgbClr val="ADA6D7"/>
              </a:solidFill>
              <a:ln>
                <a:noFill/>
                <a:prstDash val="solid"/>
              </a:ln>
            </spPr>
          </dPt>
          <dPt>
            <idx val="84"/>
            <invertIfNegative val="0"/>
            <spPr>
              <a:solidFill>
                <a:srgbClr val="ADA6D7"/>
              </a:solidFill>
              <a:ln>
                <a:noFill/>
                <a:prstDash val="solid"/>
              </a:ln>
            </spPr>
          </dPt>
          <dPt>
            <idx val="85"/>
            <invertIfNegative val="0"/>
            <spPr>
              <a:solidFill>
                <a:srgbClr val="ADA6D7"/>
              </a:solidFill>
              <a:ln>
                <a:noFill/>
                <a:prstDash val="solid"/>
              </a:ln>
            </spPr>
          </dPt>
          <dPt>
            <idx val="86"/>
            <invertIfNegative val="0"/>
            <spPr>
              <a:solidFill>
                <a:srgbClr val="ADA6D7"/>
              </a:solidFill>
              <a:ln>
                <a:noFill/>
                <a:prstDash val="solid"/>
              </a:ln>
            </spPr>
          </dPt>
          <dPt>
            <idx val="87"/>
            <invertIfNegative val="0"/>
            <spPr>
              <a:solidFill>
                <a:srgbClr val="ADA6D7"/>
              </a:solidFill>
              <a:ln>
                <a:noFill/>
                <a:prstDash val="solid"/>
              </a:ln>
            </spPr>
          </dPt>
          <dPt>
            <idx val="88"/>
            <invertIfNegative val="0"/>
            <spPr>
              <a:solidFill>
                <a:srgbClr val="ADA6D7"/>
              </a:solidFill>
              <a:ln>
                <a:noFill/>
                <a:prstDash val="solid"/>
              </a:ln>
            </spPr>
          </dPt>
          <dPt>
            <idx val="89"/>
            <invertIfNegative val="0"/>
            <spPr>
              <a:solidFill>
                <a:srgbClr val="ADA6D7"/>
              </a:solidFill>
              <a:ln>
                <a:noFill/>
                <a:prstDash val="solid"/>
              </a:ln>
            </spPr>
          </dPt>
          <dPt>
            <idx val="90"/>
            <invertIfNegative val="0"/>
            <spPr>
              <a:solidFill>
                <a:srgbClr val="ADA6D7"/>
              </a:solidFill>
              <a:ln>
                <a:noFill/>
                <a:prstDash val="solid"/>
              </a:ln>
            </spPr>
          </dPt>
          <dPt>
            <idx val="91"/>
            <invertIfNegative val="0"/>
            <spPr>
              <a:solidFill>
                <a:srgbClr val="ADA6D7"/>
              </a:solidFill>
              <a:ln>
                <a:noFill/>
                <a:prstDash val="solid"/>
              </a:ln>
            </spPr>
          </dPt>
          <dPt>
            <idx val="92"/>
            <invertIfNegative val="0"/>
            <spPr>
              <a:solidFill>
                <a:srgbClr val="ADA6D7"/>
              </a:solidFill>
              <a:ln>
                <a:noFill/>
                <a:prstDash val="solid"/>
              </a:ln>
            </spPr>
          </dPt>
          <dPt>
            <idx val="93"/>
            <invertIfNegative val="0"/>
            <spPr>
              <a:solidFill>
                <a:srgbClr val="ADA6D7"/>
              </a:solidFill>
              <a:ln>
                <a:noFill/>
                <a:prstDash val="solid"/>
              </a:ln>
            </spPr>
          </dPt>
          <dPt>
            <idx val="94"/>
            <invertIfNegative val="0"/>
            <spPr>
              <a:solidFill>
                <a:srgbClr val="ADA6D7"/>
              </a:solidFill>
              <a:ln>
                <a:noFill/>
                <a:prstDash val="solid"/>
              </a:ln>
            </spPr>
          </dPt>
          <dPt>
            <idx val="95"/>
            <invertIfNegative val="0"/>
            <spPr>
              <a:solidFill>
                <a:srgbClr val="ADA6D7"/>
              </a:solidFill>
              <a:ln>
                <a:noFill/>
                <a:prstDash val="solid"/>
              </a:ln>
            </spPr>
          </dPt>
          <cat>
            <numRef>
              <f>'Chart'!$A$2:$A$97</f>
            </numRef>
          </cat>
          <val>
            <numRef>
              <f>'Chart'!$H$2:$H$97</f>
            </numRef>
          </val>
        </ser>
        <gapWidth val="30"/>
        <overlap val="100"/>
        <axId val="10"/>
        <axId val="100"/>
      </barChart>
      <lineChart>
        <grouping val="standard"/>
        <ser>
          <idx val="7"/>
          <order val="7"/>
          <tx>
            <strRef>
              <f>'Chart'!I1</f>
            </strRef>
          </tx>
          <spPr>
            <a:ln w="28575">
              <a:solidFill>
                <a:srgbClr val="252525"/>
              </a:solidFill>
              <a:prstDash val="solid"/>
            </a:ln>
          </spPr>
          <marker>
            <symbol val="none"/>
            <spPr>
              <a:ln>
                <a:prstDash val="solid"/>
              </a:ln>
            </spPr>
          </marker>
          <cat>
            <numRef>
              <f>'Chart'!$A$2:$A$97</f>
            </numRef>
          </cat>
          <val>
            <numRef>
              <f>'Chart'!$I$2:$I$97</f>
            </numRef>
          </val>
          <smooth val="0"/>
        </ser>
        <ser>
          <idx val="8"/>
          <order val="8"/>
          <tx>
            <strRef>
              <f>'Chart'!J1</f>
            </strRef>
          </tx>
          <spPr>
            <a:ln w="28575">
              <a:solidFill>
                <a:srgbClr val="252525"/>
              </a:solidFill>
              <a:prstDash val="dash"/>
            </a:ln>
          </spPr>
          <marker>
            <symbol val="none"/>
            <spPr>
              <a:ln>
                <a:prstDash val="solid"/>
              </a:ln>
            </spPr>
          </marker>
          <cat>
            <numRef>
              <f>'Chart'!$A$2:$A$97</f>
            </numRef>
          </cat>
          <val>
            <numRef>
              <f>'Chart'!$J$2:$J$97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t>Texas gas demand to 2033: sectors + LNG feedgas + data centres (scenario after Dec/28) (to Dec/33; forecast from Aug/26, scenario from Jan/29, lightest bars)</a:t>
            </a:r>
          </a:p>
        </rich>
      </tx>
      <overlay val="0"/>
    </title>
    <plotArea>
      <barChart>
        <barDir val="col"/>
        <grouping val="stacked"/>
        <ser>
          <idx val="0"/>
          <order val="0"/>
          <tx>
            <strRef>
              <f>'Chart - Demand to 2033'!B1</f>
            </strRef>
          </tx>
          <spPr>
            <a:solidFill>
              <a:srgbClr val="2A78D6"/>
            </a:solidFill>
            <a:ln>
              <a:noFill/>
              <a:prstDash val="solid"/>
            </a:ln>
          </spPr>
          <dPt>
            <idx val="31"/>
            <invertIfNegative val="0"/>
            <spPr>
              <a:solidFill>
                <a:srgbClr val="9FC2EC"/>
              </a:solidFill>
              <a:ln>
                <a:noFill/>
                <a:prstDash val="solid"/>
              </a:ln>
            </spPr>
          </dPt>
          <dPt>
            <idx val="32"/>
            <invertIfNegative val="0"/>
            <spPr>
              <a:solidFill>
                <a:srgbClr val="9FC2EC"/>
              </a:solidFill>
              <a:ln>
                <a:noFill/>
                <a:prstDash val="solid"/>
              </a:ln>
            </spPr>
          </dPt>
          <dPt>
            <idx val="33"/>
            <invertIfNegative val="0"/>
            <spPr>
              <a:solidFill>
                <a:srgbClr val="9FC2EC"/>
              </a:solidFill>
              <a:ln>
                <a:noFill/>
                <a:prstDash val="solid"/>
              </a:ln>
            </spPr>
          </dPt>
          <dPt>
            <idx val="34"/>
            <invertIfNegative val="0"/>
            <spPr>
              <a:solidFill>
                <a:srgbClr val="9FC2EC"/>
              </a:solidFill>
              <a:ln>
                <a:noFill/>
                <a:prstDash val="solid"/>
              </a:ln>
            </spPr>
          </dPt>
          <dPt>
            <idx val="35"/>
            <invertIfNegative val="0"/>
            <spPr>
              <a:solidFill>
                <a:srgbClr val="9FC2EC"/>
              </a:solidFill>
              <a:ln>
                <a:noFill/>
                <a:prstDash val="solid"/>
              </a:ln>
            </spPr>
          </dPt>
          <dPt>
            <idx val="36"/>
            <invertIfNegative val="0"/>
            <spPr>
              <a:solidFill>
                <a:srgbClr val="9FC2EC"/>
              </a:solidFill>
              <a:ln>
                <a:noFill/>
                <a:prstDash val="solid"/>
              </a:ln>
            </spPr>
          </dPt>
          <dPt>
            <idx val="37"/>
            <invertIfNegative val="0"/>
            <spPr>
              <a:solidFill>
                <a:srgbClr val="9FC2EC"/>
              </a:solidFill>
              <a:ln>
                <a:noFill/>
                <a:prstDash val="solid"/>
              </a:ln>
            </spPr>
          </dPt>
          <dPt>
            <idx val="38"/>
            <invertIfNegative val="0"/>
            <spPr>
              <a:solidFill>
                <a:srgbClr val="9FC2EC"/>
              </a:solidFill>
              <a:ln>
                <a:noFill/>
                <a:prstDash val="solid"/>
              </a:ln>
            </spPr>
          </dPt>
          <dPt>
            <idx val="39"/>
            <invertIfNegative val="0"/>
            <spPr>
              <a:solidFill>
                <a:srgbClr val="9FC2EC"/>
              </a:solidFill>
              <a:ln>
                <a:noFill/>
                <a:prstDash val="solid"/>
              </a:ln>
            </spPr>
          </dPt>
          <dPt>
            <idx val="40"/>
            <invertIfNegative val="0"/>
            <spPr>
              <a:solidFill>
                <a:srgbClr val="9FC2EC"/>
              </a:solidFill>
              <a:ln>
                <a:noFill/>
                <a:prstDash val="solid"/>
              </a:ln>
            </spPr>
          </dPt>
          <dPt>
            <idx val="41"/>
            <invertIfNegative val="0"/>
            <spPr>
              <a:solidFill>
                <a:srgbClr val="9FC2EC"/>
              </a:solidFill>
              <a:ln>
                <a:noFill/>
                <a:prstDash val="solid"/>
              </a:ln>
            </spPr>
          </dPt>
          <dPt>
            <idx val="42"/>
            <invertIfNegative val="0"/>
            <spPr>
              <a:solidFill>
                <a:srgbClr val="9FC2EC"/>
              </a:solidFill>
              <a:ln>
                <a:noFill/>
                <a:prstDash val="solid"/>
              </a:ln>
            </spPr>
          </dPt>
          <dPt>
            <idx val="43"/>
            <invertIfNegative val="0"/>
            <spPr>
              <a:solidFill>
                <a:srgbClr val="9FC2EC"/>
              </a:solidFill>
              <a:ln>
                <a:noFill/>
                <a:prstDash val="solid"/>
              </a:ln>
            </spPr>
          </dPt>
          <dPt>
            <idx val="44"/>
            <invertIfNegative val="0"/>
            <spPr>
              <a:solidFill>
                <a:srgbClr val="9FC2EC"/>
              </a:solidFill>
              <a:ln>
                <a:noFill/>
                <a:prstDash val="solid"/>
              </a:ln>
            </spPr>
          </dPt>
          <dPt>
            <idx val="45"/>
            <invertIfNegative val="0"/>
            <spPr>
              <a:solidFill>
                <a:srgbClr val="9FC2EC"/>
              </a:solidFill>
              <a:ln>
                <a:noFill/>
                <a:prstDash val="solid"/>
              </a:ln>
            </spPr>
          </dPt>
          <dPt>
            <idx val="46"/>
            <invertIfNegative val="0"/>
            <spPr>
              <a:solidFill>
                <a:srgbClr val="9FC2EC"/>
              </a:solidFill>
              <a:ln>
                <a:noFill/>
                <a:prstDash val="solid"/>
              </a:ln>
            </spPr>
          </dPt>
          <dPt>
            <idx val="47"/>
            <invertIfNegative val="0"/>
            <spPr>
              <a:solidFill>
                <a:srgbClr val="9FC2EC"/>
              </a:solidFill>
              <a:ln>
                <a:noFill/>
                <a:prstDash val="solid"/>
              </a:ln>
            </spPr>
          </dPt>
          <dPt>
            <idx val="48"/>
            <invertIfNegative val="0"/>
            <spPr>
              <a:solidFill>
                <a:srgbClr val="9FC2EC"/>
              </a:solidFill>
              <a:ln>
                <a:noFill/>
                <a:prstDash val="solid"/>
              </a:ln>
            </spPr>
          </dPt>
          <dPt>
            <idx val="49"/>
            <invertIfNegative val="0"/>
            <spPr>
              <a:solidFill>
                <a:srgbClr val="9FC2EC"/>
              </a:solidFill>
              <a:ln>
                <a:noFill/>
                <a:prstDash val="solid"/>
              </a:ln>
            </spPr>
          </dPt>
          <dPt>
            <idx val="50"/>
            <invertIfNegative val="0"/>
            <spPr>
              <a:solidFill>
                <a:srgbClr val="9FC2EC"/>
              </a:solidFill>
              <a:ln>
                <a:noFill/>
                <a:prstDash val="solid"/>
              </a:ln>
            </spPr>
          </dPt>
          <dPt>
            <idx val="51"/>
            <invertIfNegative val="0"/>
            <spPr>
              <a:solidFill>
                <a:srgbClr val="9FC2EC"/>
              </a:solidFill>
              <a:ln>
                <a:noFill/>
                <a:prstDash val="solid"/>
              </a:ln>
            </spPr>
          </dPt>
          <dPt>
            <idx val="52"/>
            <invertIfNegative val="0"/>
            <spPr>
              <a:solidFill>
                <a:srgbClr val="9FC2EC"/>
              </a:solidFill>
              <a:ln>
                <a:noFill/>
                <a:prstDash val="solid"/>
              </a:ln>
            </spPr>
          </dPt>
          <dPt>
            <idx val="53"/>
            <invertIfNegative val="0"/>
            <spPr>
              <a:solidFill>
                <a:srgbClr val="9FC2EC"/>
              </a:solidFill>
              <a:ln>
                <a:noFill/>
                <a:prstDash val="solid"/>
              </a:ln>
            </spPr>
          </dPt>
          <dPt>
            <idx val="54"/>
            <invertIfNegative val="0"/>
            <spPr>
              <a:solidFill>
                <a:srgbClr val="9FC2EC"/>
              </a:solidFill>
              <a:ln>
                <a:noFill/>
                <a:prstDash val="solid"/>
              </a:ln>
            </spPr>
          </dPt>
          <dPt>
            <idx val="55"/>
            <invertIfNegative val="0"/>
            <spPr>
              <a:solidFill>
                <a:srgbClr val="9FC2EC"/>
              </a:solidFill>
              <a:ln>
                <a:noFill/>
                <a:prstDash val="solid"/>
              </a:ln>
            </spPr>
          </dPt>
          <dPt>
            <idx val="56"/>
            <invertIfNegative val="0"/>
            <spPr>
              <a:solidFill>
                <a:srgbClr val="9FC2EC"/>
              </a:solidFill>
              <a:ln>
                <a:noFill/>
                <a:prstDash val="solid"/>
              </a:ln>
            </spPr>
          </dPt>
          <dPt>
            <idx val="57"/>
            <invertIfNegative val="0"/>
            <spPr>
              <a:solidFill>
                <a:srgbClr val="9FC2EC"/>
              </a:solidFill>
              <a:ln>
                <a:noFill/>
                <a:prstDash val="solid"/>
              </a:ln>
            </spPr>
          </dPt>
          <dPt>
            <idx val="58"/>
            <invertIfNegative val="0"/>
            <spPr>
              <a:solidFill>
                <a:srgbClr val="9FC2EC"/>
              </a:solidFill>
              <a:ln>
                <a:noFill/>
                <a:prstDash val="solid"/>
              </a:ln>
            </spPr>
          </dPt>
          <dPt>
            <idx val="59"/>
            <invertIfNegative val="0"/>
            <spPr>
              <a:solidFill>
                <a:srgbClr val="9FC2EC"/>
              </a:solidFill>
              <a:ln>
                <a:noFill/>
                <a:prstDash val="solid"/>
              </a:ln>
            </spPr>
          </dPt>
          <dPt>
            <idx val="60"/>
            <invertIfNegative val="0"/>
            <spPr>
              <a:solidFill>
                <a:srgbClr val="D4E4F6"/>
              </a:solidFill>
              <a:ln>
                <a:noFill/>
                <a:prstDash val="solid"/>
              </a:ln>
            </spPr>
          </dPt>
          <dPt>
            <idx val="61"/>
            <invertIfNegative val="0"/>
            <spPr>
              <a:solidFill>
                <a:srgbClr val="D4E4F6"/>
              </a:solidFill>
              <a:ln>
                <a:noFill/>
                <a:prstDash val="solid"/>
              </a:ln>
            </spPr>
          </dPt>
          <dPt>
            <idx val="62"/>
            <invertIfNegative val="0"/>
            <spPr>
              <a:solidFill>
                <a:srgbClr val="D4E4F6"/>
              </a:solidFill>
              <a:ln>
                <a:noFill/>
                <a:prstDash val="solid"/>
              </a:ln>
            </spPr>
          </dPt>
          <dPt>
            <idx val="63"/>
            <invertIfNegative val="0"/>
            <spPr>
              <a:solidFill>
                <a:srgbClr val="D4E4F6"/>
              </a:solidFill>
              <a:ln>
                <a:noFill/>
                <a:prstDash val="solid"/>
              </a:ln>
            </spPr>
          </dPt>
          <dPt>
            <idx val="64"/>
            <invertIfNegative val="0"/>
            <spPr>
              <a:solidFill>
                <a:srgbClr val="D4E4F6"/>
              </a:solidFill>
              <a:ln>
                <a:noFill/>
                <a:prstDash val="solid"/>
              </a:ln>
            </spPr>
          </dPt>
          <dPt>
            <idx val="65"/>
            <invertIfNegative val="0"/>
            <spPr>
              <a:solidFill>
                <a:srgbClr val="D4E4F6"/>
              </a:solidFill>
              <a:ln>
                <a:noFill/>
                <a:prstDash val="solid"/>
              </a:ln>
            </spPr>
          </dPt>
          <dPt>
            <idx val="66"/>
            <invertIfNegative val="0"/>
            <spPr>
              <a:solidFill>
                <a:srgbClr val="D4E4F6"/>
              </a:solidFill>
              <a:ln>
                <a:noFill/>
                <a:prstDash val="solid"/>
              </a:ln>
            </spPr>
          </dPt>
          <dPt>
            <idx val="67"/>
            <invertIfNegative val="0"/>
            <spPr>
              <a:solidFill>
                <a:srgbClr val="D4E4F6"/>
              </a:solidFill>
              <a:ln>
                <a:noFill/>
                <a:prstDash val="solid"/>
              </a:ln>
            </spPr>
          </dPt>
          <dPt>
            <idx val="68"/>
            <invertIfNegative val="0"/>
            <spPr>
              <a:solidFill>
                <a:srgbClr val="D4E4F6"/>
              </a:solidFill>
              <a:ln>
                <a:noFill/>
                <a:prstDash val="solid"/>
              </a:ln>
            </spPr>
          </dPt>
          <dPt>
            <idx val="69"/>
            <invertIfNegative val="0"/>
            <spPr>
              <a:solidFill>
                <a:srgbClr val="D4E4F6"/>
              </a:solidFill>
              <a:ln>
                <a:noFill/>
                <a:prstDash val="solid"/>
              </a:ln>
            </spPr>
          </dPt>
          <dPt>
            <idx val="70"/>
            <invertIfNegative val="0"/>
            <spPr>
              <a:solidFill>
                <a:srgbClr val="D4E4F6"/>
              </a:solidFill>
              <a:ln>
                <a:noFill/>
                <a:prstDash val="solid"/>
              </a:ln>
            </spPr>
          </dPt>
          <dPt>
            <idx val="71"/>
            <invertIfNegative val="0"/>
            <spPr>
              <a:solidFill>
                <a:srgbClr val="D4E4F6"/>
              </a:solidFill>
              <a:ln>
                <a:noFill/>
                <a:prstDash val="solid"/>
              </a:ln>
            </spPr>
          </dPt>
          <dPt>
            <idx val="72"/>
            <invertIfNegative val="0"/>
            <spPr>
              <a:solidFill>
                <a:srgbClr val="D4E4F6"/>
              </a:solidFill>
              <a:ln>
                <a:noFill/>
                <a:prstDash val="solid"/>
              </a:ln>
            </spPr>
          </dPt>
          <dPt>
            <idx val="73"/>
            <invertIfNegative val="0"/>
            <spPr>
              <a:solidFill>
                <a:srgbClr val="D4E4F6"/>
              </a:solidFill>
              <a:ln>
                <a:noFill/>
                <a:prstDash val="solid"/>
              </a:ln>
            </spPr>
          </dPt>
          <dPt>
            <idx val="74"/>
            <invertIfNegative val="0"/>
            <spPr>
              <a:solidFill>
                <a:srgbClr val="D4E4F6"/>
              </a:solidFill>
              <a:ln>
                <a:noFill/>
                <a:prstDash val="solid"/>
              </a:ln>
            </spPr>
          </dPt>
          <dPt>
            <idx val="75"/>
            <invertIfNegative val="0"/>
            <spPr>
              <a:solidFill>
                <a:srgbClr val="D4E4F6"/>
              </a:solidFill>
              <a:ln>
                <a:noFill/>
                <a:prstDash val="solid"/>
              </a:ln>
            </spPr>
          </dPt>
          <dPt>
            <idx val="76"/>
            <invertIfNegative val="0"/>
            <spPr>
              <a:solidFill>
                <a:srgbClr val="D4E4F6"/>
              </a:solidFill>
              <a:ln>
                <a:noFill/>
                <a:prstDash val="solid"/>
              </a:ln>
            </spPr>
          </dPt>
          <dPt>
            <idx val="77"/>
            <invertIfNegative val="0"/>
            <spPr>
              <a:solidFill>
                <a:srgbClr val="D4E4F6"/>
              </a:solidFill>
              <a:ln>
                <a:noFill/>
                <a:prstDash val="solid"/>
              </a:ln>
            </spPr>
          </dPt>
          <dPt>
            <idx val="78"/>
            <invertIfNegative val="0"/>
            <spPr>
              <a:solidFill>
                <a:srgbClr val="D4E4F6"/>
              </a:solidFill>
              <a:ln>
                <a:noFill/>
                <a:prstDash val="solid"/>
              </a:ln>
            </spPr>
          </dPt>
          <dPt>
            <idx val="79"/>
            <invertIfNegative val="0"/>
            <spPr>
              <a:solidFill>
                <a:srgbClr val="D4E4F6"/>
              </a:solidFill>
              <a:ln>
                <a:noFill/>
                <a:prstDash val="solid"/>
              </a:ln>
            </spPr>
          </dPt>
          <dPt>
            <idx val="80"/>
            <invertIfNegative val="0"/>
            <spPr>
              <a:solidFill>
                <a:srgbClr val="D4E4F6"/>
              </a:solidFill>
              <a:ln>
                <a:noFill/>
                <a:prstDash val="solid"/>
              </a:ln>
            </spPr>
          </dPt>
          <dPt>
            <idx val="81"/>
            <invertIfNegative val="0"/>
            <spPr>
              <a:solidFill>
                <a:srgbClr val="D4E4F6"/>
              </a:solidFill>
              <a:ln>
                <a:noFill/>
                <a:prstDash val="solid"/>
              </a:ln>
            </spPr>
          </dPt>
          <dPt>
            <idx val="82"/>
            <invertIfNegative val="0"/>
            <spPr>
              <a:solidFill>
                <a:srgbClr val="D4E4F6"/>
              </a:solidFill>
              <a:ln>
                <a:noFill/>
                <a:prstDash val="solid"/>
              </a:ln>
            </spPr>
          </dPt>
          <dPt>
            <idx val="83"/>
            <invertIfNegative val="0"/>
            <spPr>
              <a:solidFill>
                <a:srgbClr val="D4E4F6"/>
              </a:solidFill>
              <a:ln>
                <a:noFill/>
                <a:prstDash val="solid"/>
              </a:ln>
            </spPr>
          </dPt>
          <dPt>
            <idx val="84"/>
            <invertIfNegative val="0"/>
            <spPr>
              <a:solidFill>
                <a:srgbClr val="D4E4F6"/>
              </a:solidFill>
              <a:ln>
                <a:noFill/>
                <a:prstDash val="solid"/>
              </a:ln>
            </spPr>
          </dPt>
          <dPt>
            <idx val="85"/>
            <invertIfNegative val="0"/>
            <spPr>
              <a:solidFill>
                <a:srgbClr val="D4E4F6"/>
              </a:solidFill>
              <a:ln>
                <a:noFill/>
                <a:prstDash val="solid"/>
              </a:ln>
            </spPr>
          </dPt>
          <dPt>
            <idx val="86"/>
            <invertIfNegative val="0"/>
            <spPr>
              <a:solidFill>
                <a:srgbClr val="D4E4F6"/>
              </a:solidFill>
              <a:ln>
                <a:noFill/>
                <a:prstDash val="solid"/>
              </a:ln>
            </spPr>
          </dPt>
          <dPt>
            <idx val="87"/>
            <invertIfNegative val="0"/>
            <spPr>
              <a:solidFill>
                <a:srgbClr val="D4E4F6"/>
              </a:solidFill>
              <a:ln>
                <a:noFill/>
                <a:prstDash val="solid"/>
              </a:ln>
            </spPr>
          </dPt>
          <dPt>
            <idx val="88"/>
            <invertIfNegative val="0"/>
            <spPr>
              <a:solidFill>
                <a:srgbClr val="D4E4F6"/>
              </a:solidFill>
              <a:ln>
                <a:noFill/>
                <a:prstDash val="solid"/>
              </a:ln>
            </spPr>
          </dPt>
          <dPt>
            <idx val="89"/>
            <invertIfNegative val="0"/>
            <spPr>
              <a:solidFill>
                <a:srgbClr val="D4E4F6"/>
              </a:solidFill>
              <a:ln>
                <a:noFill/>
                <a:prstDash val="solid"/>
              </a:ln>
            </spPr>
          </dPt>
          <dPt>
            <idx val="90"/>
            <invertIfNegative val="0"/>
            <spPr>
              <a:solidFill>
                <a:srgbClr val="D4E4F6"/>
              </a:solidFill>
              <a:ln>
                <a:noFill/>
                <a:prstDash val="solid"/>
              </a:ln>
            </spPr>
          </dPt>
          <dPt>
            <idx val="91"/>
            <invertIfNegative val="0"/>
            <spPr>
              <a:solidFill>
                <a:srgbClr val="D4E4F6"/>
              </a:solidFill>
              <a:ln>
                <a:noFill/>
                <a:prstDash val="solid"/>
              </a:ln>
            </spPr>
          </dPt>
          <dPt>
            <idx val="92"/>
            <invertIfNegative val="0"/>
            <spPr>
              <a:solidFill>
                <a:srgbClr val="D4E4F6"/>
              </a:solidFill>
              <a:ln>
                <a:noFill/>
                <a:prstDash val="solid"/>
              </a:ln>
            </spPr>
          </dPt>
          <dPt>
            <idx val="93"/>
            <invertIfNegative val="0"/>
            <spPr>
              <a:solidFill>
                <a:srgbClr val="D4E4F6"/>
              </a:solidFill>
              <a:ln>
                <a:noFill/>
                <a:prstDash val="solid"/>
              </a:ln>
            </spPr>
          </dPt>
          <dPt>
            <idx val="94"/>
            <invertIfNegative val="0"/>
            <spPr>
              <a:solidFill>
                <a:srgbClr val="D4E4F6"/>
              </a:solidFill>
              <a:ln>
                <a:noFill/>
                <a:prstDash val="solid"/>
              </a:ln>
            </spPr>
          </dPt>
          <dPt>
            <idx val="95"/>
            <invertIfNegative val="0"/>
            <spPr>
              <a:solidFill>
                <a:srgbClr val="D4E4F6"/>
              </a:solidFill>
              <a:ln>
                <a:noFill/>
                <a:prstDash val="solid"/>
              </a:ln>
            </spPr>
          </dPt>
          <dPt>
            <idx val="96"/>
            <invertIfNegative val="0"/>
            <spPr>
              <a:solidFill>
                <a:srgbClr val="D4E4F6"/>
              </a:solidFill>
              <a:ln>
                <a:noFill/>
                <a:prstDash val="solid"/>
              </a:ln>
            </spPr>
          </dPt>
          <dPt>
            <idx val="97"/>
            <invertIfNegative val="0"/>
            <spPr>
              <a:solidFill>
                <a:srgbClr val="D4E4F6"/>
              </a:solidFill>
              <a:ln>
                <a:noFill/>
                <a:prstDash val="solid"/>
              </a:ln>
            </spPr>
          </dPt>
          <dPt>
            <idx val="98"/>
            <invertIfNegative val="0"/>
            <spPr>
              <a:solidFill>
                <a:srgbClr val="D4E4F6"/>
              </a:solidFill>
              <a:ln>
                <a:noFill/>
                <a:prstDash val="solid"/>
              </a:ln>
            </spPr>
          </dPt>
          <dPt>
            <idx val="99"/>
            <invertIfNegative val="0"/>
            <spPr>
              <a:solidFill>
                <a:srgbClr val="D4E4F6"/>
              </a:solidFill>
              <a:ln>
                <a:noFill/>
                <a:prstDash val="solid"/>
              </a:ln>
            </spPr>
          </dPt>
          <dPt>
            <idx val="100"/>
            <invertIfNegative val="0"/>
            <spPr>
              <a:solidFill>
                <a:srgbClr val="D4E4F6"/>
              </a:solidFill>
              <a:ln>
                <a:noFill/>
                <a:prstDash val="solid"/>
              </a:ln>
            </spPr>
          </dPt>
          <dPt>
            <idx val="101"/>
            <invertIfNegative val="0"/>
            <spPr>
              <a:solidFill>
                <a:srgbClr val="D4E4F6"/>
              </a:solidFill>
              <a:ln>
                <a:noFill/>
                <a:prstDash val="solid"/>
              </a:ln>
            </spPr>
          </dPt>
          <dPt>
            <idx val="102"/>
            <invertIfNegative val="0"/>
            <spPr>
              <a:solidFill>
                <a:srgbClr val="D4E4F6"/>
              </a:solidFill>
              <a:ln>
                <a:noFill/>
                <a:prstDash val="solid"/>
              </a:ln>
            </spPr>
          </dPt>
          <dPt>
            <idx val="103"/>
            <invertIfNegative val="0"/>
            <spPr>
              <a:solidFill>
                <a:srgbClr val="D4E4F6"/>
              </a:solidFill>
              <a:ln>
                <a:noFill/>
                <a:prstDash val="solid"/>
              </a:ln>
            </spPr>
          </dPt>
          <dPt>
            <idx val="104"/>
            <invertIfNegative val="0"/>
            <spPr>
              <a:solidFill>
                <a:srgbClr val="D4E4F6"/>
              </a:solidFill>
              <a:ln>
                <a:noFill/>
                <a:prstDash val="solid"/>
              </a:ln>
            </spPr>
          </dPt>
          <dPt>
            <idx val="105"/>
            <invertIfNegative val="0"/>
            <spPr>
              <a:solidFill>
                <a:srgbClr val="D4E4F6"/>
              </a:solidFill>
              <a:ln>
                <a:noFill/>
                <a:prstDash val="solid"/>
              </a:ln>
            </spPr>
          </dPt>
          <dPt>
            <idx val="106"/>
            <invertIfNegative val="0"/>
            <spPr>
              <a:solidFill>
                <a:srgbClr val="D4E4F6"/>
              </a:solidFill>
              <a:ln>
                <a:noFill/>
                <a:prstDash val="solid"/>
              </a:ln>
            </spPr>
          </dPt>
          <dPt>
            <idx val="107"/>
            <invertIfNegative val="0"/>
            <spPr>
              <a:solidFill>
                <a:srgbClr val="D4E4F6"/>
              </a:solidFill>
              <a:ln>
                <a:noFill/>
                <a:prstDash val="solid"/>
              </a:ln>
            </spPr>
          </dPt>
          <dPt>
            <idx val="108"/>
            <invertIfNegative val="0"/>
            <spPr>
              <a:solidFill>
                <a:srgbClr val="D4E4F6"/>
              </a:solidFill>
              <a:ln>
                <a:noFill/>
                <a:prstDash val="solid"/>
              </a:ln>
            </spPr>
          </dPt>
          <dPt>
            <idx val="109"/>
            <invertIfNegative val="0"/>
            <spPr>
              <a:solidFill>
                <a:srgbClr val="D4E4F6"/>
              </a:solidFill>
              <a:ln>
                <a:noFill/>
                <a:prstDash val="solid"/>
              </a:ln>
            </spPr>
          </dPt>
          <dPt>
            <idx val="110"/>
            <invertIfNegative val="0"/>
            <spPr>
              <a:solidFill>
                <a:srgbClr val="D4E4F6"/>
              </a:solidFill>
              <a:ln>
                <a:noFill/>
                <a:prstDash val="solid"/>
              </a:ln>
            </spPr>
          </dPt>
          <dPt>
            <idx val="111"/>
            <invertIfNegative val="0"/>
            <spPr>
              <a:solidFill>
                <a:srgbClr val="D4E4F6"/>
              </a:solidFill>
              <a:ln>
                <a:noFill/>
                <a:prstDash val="solid"/>
              </a:ln>
            </spPr>
          </dPt>
          <dPt>
            <idx val="112"/>
            <invertIfNegative val="0"/>
            <spPr>
              <a:solidFill>
                <a:srgbClr val="D4E4F6"/>
              </a:solidFill>
              <a:ln>
                <a:noFill/>
                <a:prstDash val="solid"/>
              </a:ln>
            </spPr>
          </dPt>
          <dPt>
            <idx val="113"/>
            <invertIfNegative val="0"/>
            <spPr>
              <a:solidFill>
                <a:srgbClr val="D4E4F6"/>
              </a:solidFill>
              <a:ln>
                <a:noFill/>
                <a:prstDash val="solid"/>
              </a:ln>
            </spPr>
          </dPt>
          <dPt>
            <idx val="114"/>
            <invertIfNegative val="0"/>
            <spPr>
              <a:solidFill>
                <a:srgbClr val="D4E4F6"/>
              </a:solidFill>
              <a:ln>
                <a:noFill/>
                <a:prstDash val="solid"/>
              </a:ln>
            </spPr>
          </dPt>
          <dPt>
            <idx val="115"/>
            <invertIfNegative val="0"/>
            <spPr>
              <a:solidFill>
                <a:srgbClr val="D4E4F6"/>
              </a:solidFill>
              <a:ln>
                <a:noFill/>
                <a:prstDash val="solid"/>
              </a:ln>
            </spPr>
          </dPt>
          <dPt>
            <idx val="116"/>
            <invertIfNegative val="0"/>
            <spPr>
              <a:solidFill>
                <a:srgbClr val="D4E4F6"/>
              </a:solidFill>
              <a:ln>
                <a:noFill/>
                <a:prstDash val="solid"/>
              </a:ln>
            </spPr>
          </dPt>
          <dPt>
            <idx val="117"/>
            <invertIfNegative val="0"/>
            <spPr>
              <a:solidFill>
                <a:srgbClr val="D4E4F6"/>
              </a:solidFill>
              <a:ln>
                <a:noFill/>
                <a:prstDash val="solid"/>
              </a:ln>
            </spPr>
          </dPt>
          <dPt>
            <idx val="118"/>
            <invertIfNegative val="0"/>
            <spPr>
              <a:solidFill>
                <a:srgbClr val="D4E4F6"/>
              </a:solidFill>
              <a:ln>
                <a:noFill/>
                <a:prstDash val="solid"/>
              </a:ln>
            </spPr>
          </dPt>
          <dPt>
            <idx val="119"/>
            <invertIfNegative val="0"/>
            <spPr>
              <a:solidFill>
                <a:srgbClr val="D4E4F6"/>
              </a:solidFill>
              <a:ln>
                <a:noFill/>
                <a:prstDash val="solid"/>
              </a:ln>
            </spPr>
          </dPt>
          <cat>
            <numRef>
              <f>'Chart - Demand to 2033'!$A$2:$A$121</f>
            </numRef>
          </cat>
          <val>
            <numRef>
              <f>'Chart - Demand to 2033'!$B$2:$B$121</f>
            </numRef>
          </val>
        </ser>
        <ser>
          <idx val="1"/>
          <order val="1"/>
          <tx>
            <strRef>
              <f>'Chart - Demand to 2033'!C1</f>
            </strRef>
          </tx>
          <spPr>
            <a:solidFill>
              <a:srgbClr val="EB6834"/>
            </a:solidFill>
            <a:ln>
              <a:noFill/>
              <a:prstDash val="solid"/>
            </a:ln>
          </spPr>
          <dPt>
            <idx val="31"/>
            <invertIfNegative val="0"/>
            <spPr>
              <a:solidFill>
                <a:srgbClr val="F6BBA3"/>
              </a:solidFill>
              <a:ln>
                <a:noFill/>
                <a:prstDash val="solid"/>
              </a:ln>
            </spPr>
          </dPt>
          <dPt>
            <idx val="32"/>
            <invertIfNegative val="0"/>
            <spPr>
              <a:solidFill>
                <a:srgbClr val="F6BBA3"/>
              </a:solidFill>
              <a:ln>
                <a:noFill/>
                <a:prstDash val="solid"/>
              </a:ln>
            </spPr>
          </dPt>
          <dPt>
            <idx val="33"/>
            <invertIfNegative val="0"/>
            <spPr>
              <a:solidFill>
                <a:srgbClr val="F6BBA3"/>
              </a:solidFill>
              <a:ln>
                <a:noFill/>
                <a:prstDash val="solid"/>
              </a:ln>
            </spPr>
          </dPt>
          <dPt>
            <idx val="34"/>
            <invertIfNegative val="0"/>
            <spPr>
              <a:solidFill>
                <a:srgbClr val="F6BBA3"/>
              </a:solidFill>
              <a:ln>
                <a:noFill/>
                <a:prstDash val="solid"/>
              </a:ln>
            </spPr>
          </dPt>
          <dPt>
            <idx val="35"/>
            <invertIfNegative val="0"/>
            <spPr>
              <a:solidFill>
                <a:srgbClr val="F6BBA3"/>
              </a:solidFill>
              <a:ln>
                <a:noFill/>
                <a:prstDash val="solid"/>
              </a:ln>
            </spPr>
          </dPt>
          <dPt>
            <idx val="36"/>
            <invertIfNegative val="0"/>
            <spPr>
              <a:solidFill>
                <a:srgbClr val="F6BBA3"/>
              </a:solidFill>
              <a:ln>
                <a:noFill/>
                <a:prstDash val="solid"/>
              </a:ln>
            </spPr>
          </dPt>
          <dPt>
            <idx val="37"/>
            <invertIfNegative val="0"/>
            <spPr>
              <a:solidFill>
                <a:srgbClr val="F6BBA3"/>
              </a:solidFill>
              <a:ln>
                <a:noFill/>
                <a:prstDash val="solid"/>
              </a:ln>
            </spPr>
          </dPt>
          <dPt>
            <idx val="38"/>
            <invertIfNegative val="0"/>
            <spPr>
              <a:solidFill>
                <a:srgbClr val="F6BBA3"/>
              </a:solidFill>
              <a:ln>
                <a:noFill/>
                <a:prstDash val="solid"/>
              </a:ln>
            </spPr>
          </dPt>
          <dPt>
            <idx val="39"/>
            <invertIfNegative val="0"/>
            <spPr>
              <a:solidFill>
                <a:srgbClr val="F6BBA3"/>
              </a:solidFill>
              <a:ln>
                <a:noFill/>
                <a:prstDash val="solid"/>
              </a:ln>
            </spPr>
          </dPt>
          <dPt>
            <idx val="40"/>
            <invertIfNegative val="0"/>
            <spPr>
              <a:solidFill>
                <a:srgbClr val="F6BBA3"/>
              </a:solidFill>
              <a:ln>
                <a:noFill/>
                <a:prstDash val="solid"/>
              </a:ln>
            </spPr>
          </dPt>
          <dPt>
            <idx val="41"/>
            <invertIfNegative val="0"/>
            <spPr>
              <a:solidFill>
                <a:srgbClr val="F6BBA3"/>
              </a:solidFill>
              <a:ln>
                <a:noFill/>
                <a:prstDash val="solid"/>
              </a:ln>
            </spPr>
          </dPt>
          <dPt>
            <idx val="42"/>
            <invertIfNegative val="0"/>
            <spPr>
              <a:solidFill>
                <a:srgbClr val="F6BBA3"/>
              </a:solidFill>
              <a:ln>
                <a:noFill/>
                <a:prstDash val="solid"/>
              </a:ln>
            </spPr>
          </dPt>
          <dPt>
            <idx val="43"/>
            <invertIfNegative val="0"/>
            <spPr>
              <a:solidFill>
                <a:srgbClr val="F6BBA3"/>
              </a:solidFill>
              <a:ln>
                <a:noFill/>
                <a:prstDash val="solid"/>
              </a:ln>
            </spPr>
          </dPt>
          <dPt>
            <idx val="44"/>
            <invertIfNegative val="0"/>
            <spPr>
              <a:solidFill>
                <a:srgbClr val="F6BBA3"/>
              </a:solidFill>
              <a:ln>
                <a:noFill/>
                <a:prstDash val="solid"/>
              </a:ln>
            </spPr>
          </dPt>
          <dPt>
            <idx val="45"/>
            <invertIfNegative val="0"/>
            <spPr>
              <a:solidFill>
                <a:srgbClr val="F6BBA3"/>
              </a:solidFill>
              <a:ln>
                <a:noFill/>
                <a:prstDash val="solid"/>
              </a:ln>
            </spPr>
          </dPt>
          <dPt>
            <idx val="46"/>
            <invertIfNegative val="0"/>
            <spPr>
              <a:solidFill>
                <a:srgbClr val="F6BBA3"/>
              </a:solidFill>
              <a:ln>
                <a:noFill/>
                <a:prstDash val="solid"/>
              </a:ln>
            </spPr>
          </dPt>
          <dPt>
            <idx val="47"/>
            <invertIfNegative val="0"/>
            <spPr>
              <a:solidFill>
                <a:srgbClr val="F6BBA3"/>
              </a:solidFill>
              <a:ln>
                <a:noFill/>
                <a:prstDash val="solid"/>
              </a:ln>
            </spPr>
          </dPt>
          <dPt>
            <idx val="48"/>
            <invertIfNegative val="0"/>
            <spPr>
              <a:solidFill>
                <a:srgbClr val="F6BBA3"/>
              </a:solidFill>
              <a:ln>
                <a:noFill/>
                <a:prstDash val="solid"/>
              </a:ln>
            </spPr>
          </dPt>
          <dPt>
            <idx val="49"/>
            <invertIfNegative val="0"/>
            <spPr>
              <a:solidFill>
                <a:srgbClr val="F6BBA3"/>
              </a:solidFill>
              <a:ln>
                <a:noFill/>
                <a:prstDash val="solid"/>
              </a:ln>
            </spPr>
          </dPt>
          <dPt>
            <idx val="50"/>
            <invertIfNegative val="0"/>
            <spPr>
              <a:solidFill>
                <a:srgbClr val="F6BBA3"/>
              </a:solidFill>
              <a:ln>
                <a:noFill/>
                <a:prstDash val="solid"/>
              </a:ln>
            </spPr>
          </dPt>
          <dPt>
            <idx val="51"/>
            <invertIfNegative val="0"/>
            <spPr>
              <a:solidFill>
                <a:srgbClr val="F6BBA3"/>
              </a:solidFill>
              <a:ln>
                <a:noFill/>
                <a:prstDash val="solid"/>
              </a:ln>
            </spPr>
          </dPt>
          <dPt>
            <idx val="52"/>
            <invertIfNegative val="0"/>
            <spPr>
              <a:solidFill>
                <a:srgbClr val="F6BBA3"/>
              </a:solidFill>
              <a:ln>
                <a:noFill/>
                <a:prstDash val="solid"/>
              </a:ln>
            </spPr>
          </dPt>
          <dPt>
            <idx val="53"/>
            <invertIfNegative val="0"/>
            <spPr>
              <a:solidFill>
                <a:srgbClr val="F6BBA3"/>
              </a:solidFill>
              <a:ln>
                <a:noFill/>
                <a:prstDash val="solid"/>
              </a:ln>
            </spPr>
          </dPt>
          <dPt>
            <idx val="54"/>
            <invertIfNegative val="0"/>
            <spPr>
              <a:solidFill>
                <a:srgbClr val="F6BBA3"/>
              </a:solidFill>
              <a:ln>
                <a:noFill/>
                <a:prstDash val="solid"/>
              </a:ln>
            </spPr>
          </dPt>
          <dPt>
            <idx val="55"/>
            <invertIfNegative val="0"/>
            <spPr>
              <a:solidFill>
                <a:srgbClr val="F6BBA3"/>
              </a:solidFill>
              <a:ln>
                <a:noFill/>
                <a:prstDash val="solid"/>
              </a:ln>
            </spPr>
          </dPt>
          <dPt>
            <idx val="56"/>
            <invertIfNegative val="0"/>
            <spPr>
              <a:solidFill>
                <a:srgbClr val="F6BBA3"/>
              </a:solidFill>
              <a:ln>
                <a:noFill/>
                <a:prstDash val="solid"/>
              </a:ln>
            </spPr>
          </dPt>
          <dPt>
            <idx val="57"/>
            <invertIfNegative val="0"/>
            <spPr>
              <a:solidFill>
                <a:srgbClr val="F6BBA3"/>
              </a:solidFill>
              <a:ln>
                <a:noFill/>
                <a:prstDash val="solid"/>
              </a:ln>
            </spPr>
          </dPt>
          <dPt>
            <idx val="58"/>
            <invertIfNegative val="0"/>
            <spPr>
              <a:solidFill>
                <a:srgbClr val="F6BBA3"/>
              </a:solidFill>
              <a:ln>
                <a:noFill/>
                <a:prstDash val="solid"/>
              </a:ln>
            </spPr>
          </dPt>
          <dPt>
            <idx val="59"/>
            <invertIfNegative val="0"/>
            <spPr>
              <a:solidFill>
                <a:srgbClr val="F6BBA3"/>
              </a:solidFill>
              <a:ln>
                <a:noFill/>
                <a:prstDash val="solid"/>
              </a:ln>
            </spPr>
          </dPt>
          <dPt>
            <idx val="60"/>
            <invertIfNegative val="0"/>
            <spPr>
              <a:solidFill>
                <a:srgbClr val="FBE0D6"/>
              </a:solidFill>
              <a:ln>
                <a:noFill/>
                <a:prstDash val="solid"/>
              </a:ln>
            </spPr>
          </dPt>
          <dPt>
            <idx val="61"/>
            <invertIfNegative val="0"/>
            <spPr>
              <a:solidFill>
                <a:srgbClr val="FBE0D6"/>
              </a:solidFill>
              <a:ln>
                <a:noFill/>
                <a:prstDash val="solid"/>
              </a:ln>
            </spPr>
          </dPt>
          <dPt>
            <idx val="62"/>
            <invertIfNegative val="0"/>
            <spPr>
              <a:solidFill>
                <a:srgbClr val="FBE0D6"/>
              </a:solidFill>
              <a:ln>
                <a:noFill/>
                <a:prstDash val="solid"/>
              </a:ln>
            </spPr>
          </dPt>
          <dPt>
            <idx val="63"/>
            <invertIfNegative val="0"/>
            <spPr>
              <a:solidFill>
                <a:srgbClr val="FBE0D6"/>
              </a:solidFill>
              <a:ln>
                <a:noFill/>
                <a:prstDash val="solid"/>
              </a:ln>
            </spPr>
          </dPt>
          <dPt>
            <idx val="64"/>
            <invertIfNegative val="0"/>
            <spPr>
              <a:solidFill>
                <a:srgbClr val="FBE0D6"/>
              </a:solidFill>
              <a:ln>
                <a:noFill/>
                <a:prstDash val="solid"/>
              </a:ln>
            </spPr>
          </dPt>
          <dPt>
            <idx val="65"/>
            <invertIfNegative val="0"/>
            <spPr>
              <a:solidFill>
                <a:srgbClr val="FBE0D6"/>
              </a:solidFill>
              <a:ln>
                <a:noFill/>
                <a:prstDash val="solid"/>
              </a:ln>
            </spPr>
          </dPt>
          <dPt>
            <idx val="66"/>
            <invertIfNegative val="0"/>
            <spPr>
              <a:solidFill>
                <a:srgbClr val="FBE0D6"/>
              </a:solidFill>
              <a:ln>
                <a:noFill/>
                <a:prstDash val="solid"/>
              </a:ln>
            </spPr>
          </dPt>
          <dPt>
            <idx val="67"/>
            <invertIfNegative val="0"/>
            <spPr>
              <a:solidFill>
                <a:srgbClr val="FBE0D6"/>
              </a:solidFill>
              <a:ln>
                <a:noFill/>
                <a:prstDash val="solid"/>
              </a:ln>
            </spPr>
          </dPt>
          <dPt>
            <idx val="68"/>
            <invertIfNegative val="0"/>
            <spPr>
              <a:solidFill>
                <a:srgbClr val="FBE0D6"/>
              </a:solidFill>
              <a:ln>
                <a:noFill/>
                <a:prstDash val="solid"/>
              </a:ln>
            </spPr>
          </dPt>
          <dPt>
            <idx val="69"/>
            <invertIfNegative val="0"/>
            <spPr>
              <a:solidFill>
                <a:srgbClr val="FBE0D6"/>
              </a:solidFill>
              <a:ln>
                <a:noFill/>
                <a:prstDash val="solid"/>
              </a:ln>
            </spPr>
          </dPt>
          <dPt>
            <idx val="70"/>
            <invertIfNegative val="0"/>
            <spPr>
              <a:solidFill>
                <a:srgbClr val="FBE0D6"/>
              </a:solidFill>
              <a:ln>
                <a:noFill/>
                <a:prstDash val="solid"/>
              </a:ln>
            </spPr>
          </dPt>
          <dPt>
            <idx val="71"/>
            <invertIfNegative val="0"/>
            <spPr>
              <a:solidFill>
                <a:srgbClr val="FBE0D6"/>
              </a:solidFill>
              <a:ln>
                <a:noFill/>
                <a:prstDash val="solid"/>
              </a:ln>
            </spPr>
          </dPt>
          <dPt>
            <idx val="72"/>
            <invertIfNegative val="0"/>
            <spPr>
              <a:solidFill>
                <a:srgbClr val="FBE0D6"/>
              </a:solidFill>
              <a:ln>
                <a:noFill/>
                <a:prstDash val="solid"/>
              </a:ln>
            </spPr>
          </dPt>
          <dPt>
            <idx val="73"/>
            <invertIfNegative val="0"/>
            <spPr>
              <a:solidFill>
                <a:srgbClr val="FBE0D6"/>
              </a:solidFill>
              <a:ln>
                <a:noFill/>
                <a:prstDash val="solid"/>
              </a:ln>
            </spPr>
          </dPt>
          <dPt>
            <idx val="74"/>
            <invertIfNegative val="0"/>
            <spPr>
              <a:solidFill>
                <a:srgbClr val="FBE0D6"/>
              </a:solidFill>
              <a:ln>
                <a:noFill/>
                <a:prstDash val="solid"/>
              </a:ln>
            </spPr>
          </dPt>
          <dPt>
            <idx val="75"/>
            <invertIfNegative val="0"/>
            <spPr>
              <a:solidFill>
                <a:srgbClr val="FBE0D6"/>
              </a:solidFill>
              <a:ln>
                <a:noFill/>
                <a:prstDash val="solid"/>
              </a:ln>
            </spPr>
          </dPt>
          <dPt>
            <idx val="76"/>
            <invertIfNegative val="0"/>
            <spPr>
              <a:solidFill>
                <a:srgbClr val="FBE0D6"/>
              </a:solidFill>
              <a:ln>
                <a:noFill/>
                <a:prstDash val="solid"/>
              </a:ln>
            </spPr>
          </dPt>
          <dPt>
            <idx val="77"/>
            <invertIfNegative val="0"/>
            <spPr>
              <a:solidFill>
                <a:srgbClr val="FBE0D6"/>
              </a:solidFill>
              <a:ln>
                <a:noFill/>
                <a:prstDash val="solid"/>
              </a:ln>
            </spPr>
          </dPt>
          <dPt>
            <idx val="78"/>
            <invertIfNegative val="0"/>
            <spPr>
              <a:solidFill>
                <a:srgbClr val="FBE0D6"/>
              </a:solidFill>
              <a:ln>
                <a:noFill/>
                <a:prstDash val="solid"/>
              </a:ln>
            </spPr>
          </dPt>
          <dPt>
            <idx val="79"/>
            <invertIfNegative val="0"/>
            <spPr>
              <a:solidFill>
                <a:srgbClr val="FBE0D6"/>
              </a:solidFill>
              <a:ln>
                <a:noFill/>
                <a:prstDash val="solid"/>
              </a:ln>
            </spPr>
          </dPt>
          <dPt>
            <idx val="80"/>
            <invertIfNegative val="0"/>
            <spPr>
              <a:solidFill>
                <a:srgbClr val="FBE0D6"/>
              </a:solidFill>
              <a:ln>
                <a:noFill/>
                <a:prstDash val="solid"/>
              </a:ln>
            </spPr>
          </dPt>
          <dPt>
            <idx val="81"/>
            <invertIfNegative val="0"/>
            <spPr>
              <a:solidFill>
                <a:srgbClr val="FBE0D6"/>
              </a:solidFill>
              <a:ln>
                <a:noFill/>
                <a:prstDash val="solid"/>
              </a:ln>
            </spPr>
          </dPt>
          <dPt>
            <idx val="82"/>
            <invertIfNegative val="0"/>
            <spPr>
              <a:solidFill>
                <a:srgbClr val="FBE0D6"/>
              </a:solidFill>
              <a:ln>
                <a:noFill/>
                <a:prstDash val="solid"/>
              </a:ln>
            </spPr>
          </dPt>
          <dPt>
            <idx val="83"/>
            <invertIfNegative val="0"/>
            <spPr>
              <a:solidFill>
                <a:srgbClr val="FBE0D6"/>
              </a:solidFill>
              <a:ln>
                <a:noFill/>
                <a:prstDash val="solid"/>
              </a:ln>
            </spPr>
          </dPt>
          <dPt>
            <idx val="84"/>
            <invertIfNegative val="0"/>
            <spPr>
              <a:solidFill>
                <a:srgbClr val="FBE0D6"/>
              </a:solidFill>
              <a:ln>
                <a:noFill/>
                <a:prstDash val="solid"/>
              </a:ln>
            </spPr>
          </dPt>
          <dPt>
            <idx val="85"/>
            <invertIfNegative val="0"/>
            <spPr>
              <a:solidFill>
                <a:srgbClr val="FBE0D6"/>
              </a:solidFill>
              <a:ln>
                <a:noFill/>
                <a:prstDash val="solid"/>
              </a:ln>
            </spPr>
          </dPt>
          <dPt>
            <idx val="86"/>
            <invertIfNegative val="0"/>
            <spPr>
              <a:solidFill>
                <a:srgbClr val="FBE0D6"/>
              </a:solidFill>
              <a:ln>
                <a:noFill/>
                <a:prstDash val="solid"/>
              </a:ln>
            </spPr>
          </dPt>
          <dPt>
            <idx val="87"/>
            <invertIfNegative val="0"/>
            <spPr>
              <a:solidFill>
                <a:srgbClr val="FBE0D6"/>
              </a:solidFill>
              <a:ln>
                <a:noFill/>
                <a:prstDash val="solid"/>
              </a:ln>
            </spPr>
          </dPt>
          <dPt>
            <idx val="88"/>
            <invertIfNegative val="0"/>
            <spPr>
              <a:solidFill>
                <a:srgbClr val="FBE0D6"/>
              </a:solidFill>
              <a:ln>
                <a:noFill/>
                <a:prstDash val="solid"/>
              </a:ln>
            </spPr>
          </dPt>
          <dPt>
            <idx val="89"/>
            <invertIfNegative val="0"/>
            <spPr>
              <a:solidFill>
                <a:srgbClr val="FBE0D6"/>
              </a:solidFill>
              <a:ln>
                <a:noFill/>
                <a:prstDash val="solid"/>
              </a:ln>
            </spPr>
          </dPt>
          <dPt>
            <idx val="90"/>
            <invertIfNegative val="0"/>
            <spPr>
              <a:solidFill>
                <a:srgbClr val="FBE0D6"/>
              </a:solidFill>
              <a:ln>
                <a:noFill/>
                <a:prstDash val="solid"/>
              </a:ln>
            </spPr>
          </dPt>
          <dPt>
            <idx val="91"/>
            <invertIfNegative val="0"/>
            <spPr>
              <a:solidFill>
                <a:srgbClr val="FBE0D6"/>
              </a:solidFill>
              <a:ln>
                <a:noFill/>
                <a:prstDash val="solid"/>
              </a:ln>
            </spPr>
          </dPt>
          <dPt>
            <idx val="92"/>
            <invertIfNegative val="0"/>
            <spPr>
              <a:solidFill>
                <a:srgbClr val="FBE0D6"/>
              </a:solidFill>
              <a:ln>
                <a:noFill/>
                <a:prstDash val="solid"/>
              </a:ln>
            </spPr>
          </dPt>
          <dPt>
            <idx val="93"/>
            <invertIfNegative val="0"/>
            <spPr>
              <a:solidFill>
                <a:srgbClr val="FBE0D6"/>
              </a:solidFill>
              <a:ln>
                <a:noFill/>
                <a:prstDash val="solid"/>
              </a:ln>
            </spPr>
          </dPt>
          <dPt>
            <idx val="94"/>
            <invertIfNegative val="0"/>
            <spPr>
              <a:solidFill>
                <a:srgbClr val="FBE0D6"/>
              </a:solidFill>
              <a:ln>
                <a:noFill/>
                <a:prstDash val="solid"/>
              </a:ln>
            </spPr>
          </dPt>
          <dPt>
            <idx val="95"/>
            <invertIfNegative val="0"/>
            <spPr>
              <a:solidFill>
                <a:srgbClr val="FBE0D6"/>
              </a:solidFill>
              <a:ln>
                <a:noFill/>
                <a:prstDash val="solid"/>
              </a:ln>
            </spPr>
          </dPt>
          <dPt>
            <idx val="96"/>
            <invertIfNegative val="0"/>
            <spPr>
              <a:solidFill>
                <a:srgbClr val="FBE0D6"/>
              </a:solidFill>
              <a:ln>
                <a:noFill/>
                <a:prstDash val="solid"/>
              </a:ln>
            </spPr>
          </dPt>
          <dPt>
            <idx val="97"/>
            <invertIfNegative val="0"/>
            <spPr>
              <a:solidFill>
                <a:srgbClr val="FBE0D6"/>
              </a:solidFill>
              <a:ln>
                <a:noFill/>
                <a:prstDash val="solid"/>
              </a:ln>
            </spPr>
          </dPt>
          <dPt>
            <idx val="98"/>
            <invertIfNegative val="0"/>
            <spPr>
              <a:solidFill>
                <a:srgbClr val="FBE0D6"/>
              </a:solidFill>
              <a:ln>
                <a:noFill/>
                <a:prstDash val="solid"/>
              </a:ln>
            </spPr>
          </dPt>
          <dPt>
            <idx val="99"/>
            <invertIfNegative val="0"/>
            <spPr>
              <a:solidFill>
                <a:srgbClr val="FBE0D6"/>
              </a:solidFill>
              <a:ln>
                <a:noFill/>
                <a:prstDash val="solid"/>
              </a:ln>
            </spPr>
          </dPt>
          <dPt>
            <idx val="100"/>
            <invertIfNegative val="0"/>
            <spPr>
              <a:solidFill>
                <a:srgbClr val="FBE0D6"/>
              </a:solidFill>
              <a:ln>
                <a:noFill/>
                <a:prstDash val="solid"/>
              </a:ln>
            </spPr>
          </dPt>
          <dPt>
            <idx val="101"/>
            <invertIfNegative val="0"/>
            <spPr>
              <a:solidFill>
                <a:srgbClr val="FBE0D6"/>
              </a:solidFill>
              <a:ln>
                <a:noFill/>
                <a:prstDash val="solid"/>
              </a:ln>
            </spPr>
          </dPt>
          <dPt>
            <idx val="102"/>
            <invertIfNegative val="0"/>
            <spPr>
              <a:solidFill>
                <a:srgbClr val="FBE0D6"/>
              </a:solidFill>
              <a:ln>
                <a:noFill/>
                <a:prstDash val="solid"/>
              </a:ln>
            </spPr>
          </dPt>
          <dPt>
            <idx val="103"/>
            <invertIfNegative val="0"/>
            <spPr>
              <a:solidFill>
                <a:srgbClr val="FBE0D6"/>
              </a:solidFill>
              <a:ln>
                <a:noFill/>
                <a:prstDash val="solid"/>
              </a:ln>
            </spPr>
          </dPt>
          <dPt>
            <idx val="104"/>
            <invertIfNegative val="0"/>
            <spPr>
              <a:solidFill>
                <a:srgbClr val="FBE0D6"/>
              </a:solidFill>
              <a:ln>
                <a:noFill/>
                <a:prstDash val="solid"/>
              </a:ln>
            </spPr>
          </dPt>
          <dPt>
            <idx val="105"/>
            <invertIfNegative val="0"/>
            <spPr>
              <a:solidFill>
                <a:srgbClr val="FBE0D6"/>
              </a:solidFill>
              <a:ln>
                <a:noFill/>
                <a:prstDash val="solid"/>
              </a:ln>
            </spPr>
          </dPt>
          <dPt>
            <idx val="106"/>
            <invertIfNegative val="0"/>
            <spPr>
              <a:solidFill>
                <a:srgbClr val="FBE0D6"/>
              </a:solidFill>
              <a:ln>
                <a:noFill/>
                <a:prstDash val="solid"/>
              </a:ln>
            </spPr>
          </dPt>
          <dPt>
            <idx val="107"/>
            <invertIfNegative val="0"/>
            <spPr>
              <a:solidFill>
                <a:srgbClr val="FBE0D6"/>
              </a:solidFill>
              <a:ln>
                <a:noFill/>
                <a:prstDash val="solid"/>
              </a:ln>
            </spPr>
          </dPt>
          <dPt>
            <idx val="108"/>
            <invertIfNegative val="0"/>
            <spPr>
              <a:solidFill>
                <a:srgbClr val="FBE0D6"/>
              </a:solidFill>
              <a:ln>
                <a:noFill/>
                <a:prstDash val="solid"/>
              </a:ln>
            </spPr>
          </dPt>
          <dPt>
            <idx val="109"/>
            <invertIfNegative val="0"/>
            <spPr>
              <a:solidFill>
                <a:srgbClr val="FBE0D6"/>
              </a:solidFill>
              <a:ln>
                <a:noFill/>
                <a:prstDash val="solid"/>
              </a:ln>
            </spPr>
          </dPt>
          <dPt>
            <idx val="110"/>
            <invertIfNegative val="0"/>
            <spPr>
              <a:solidFill>
                <a:srgbClr val="FBE0D6"/>
              </a:solidFill>
              <a:ln>
                <a:noFill/>
                <a:prstDash val="solid"/>
              </a:ln>
            </spPr>
          </dPt>
          <dPt>
            <idx val="111"/>
            <invertIfNegative val="0"/>
            <spPr>
              <a:solidFill>
                <a:srgbClr val="FBE0D6"/>
              </a:solidFill>
              <a:ln>
                <a:noFill/>
                <a:prstDash val="solid"/>
              </a:ln>
            </spPr>
          </dPt>
          <dPt>
            <idx val="112"/>
            <invertIfNegative val="0"/>
            <spPr>
              <a:solidFill>
                <a:srgbClr val="FBE0D6"/>
              </a:solidFill>
              <a:ln>
                <a:noFill/>
                <a:prstDash val="solid"/>
              </a:ln>
            </spPr>
          </dPt>
          <dPt>
            <idx val="113"/>
            <invertIfNegative val="0"/>
            <spPr>
              <a:solidFill>
                <a:srgbClr val="FBE0D6"/>
              </a:solidFill>
              <a:ln>
                <a:noFill/>
                <a:prstDash val="solid"/>
              </a:ln>
            </spPr>
          </dPt>
          <dPt>
            <idx val="114"/>
            <invertIfNegative val="0"/>
            <spPr>
              <a:solidFill>
                <a:srgbClr val="FBE0D6"/>
              </a:solidFill>
              <a:ln>
                <a:noFill/>
                <a:prstDash val="solid"/>
              </a:ln>
            </spPr>
          </dPt>
          <dPt>
            <idx val="115"/>
            <invertIfNegative val="0"/>
            <spPr>
              <a:solidFill>
                <a:srgbClr val="FBE0D6"/>
              </a:solidFill>
              <a:ln>
                <a:noFill/>
                <a:prstDash val="solid"/>
              </a:ln>
            </spPr>
          </dPt>
          <dPt>
            <idx val="116"/>
            <invertIfNegative val="0"/>
            <spPr>
              <a:solidFill>
                <a:srgbClr val="FBE0D6"/>
              </a:solidFill>
              <a:ln>
                <a:noFill/>
                <a:prstDash val="solid"/>
              </a:ln>
            </spPr>
          </dPt>
          <dPt>
            <idx val="117"/>
            <invertIfNegative val="0"/>
            <spPr>
              <a:solidFill>
                <a:srgbClr val="FBE0D6"/>
              </a:solidFill>
              <a:ln>
                <a:noFill/>
                <a:prstDash val="solid"/>
              </a:ln>
            </spPr>
          </dPt>
          <dPt>
            <idx val="118"/>
            <invertIfNegative val="0"/>
            <spPr>
              <a:solidFill>
                <a:srgbClr val="FBE0D6"/>
              </a:solidFill>
              <a:ln>
                <a:noFill/>
                <a:prstDash val="solid"/>
              </a:ln>
            </spPr>
          </dPt>
          <dPt>
            <idx val="119"/>
            <invertIfNegative val="0"/>
            <spPr>
              <a:solidFill>
                <a:srgbClr val="FBE0D6"/>
              </a:solidFill>
              <a:ln>
                <a:noFill/>
                <a:prstDash val="solid"/>
              </a:ln>
            </spPr>
          </dPt>
          <cat>
            <numRef>
              <f>'Chart - Demand to 2033'!$A$2:$A$121</f>
            </numRef>
          </cat>
          <val>
            <numRef>
              <f>'Chart - Demand to 2033'!$C$2:$C$121</f>
            </numRef>
          </val>
        </ser>
        <ser>
          <idx val="2"/>
          <order val="2"/>
          <tx>
            <strRef>
              <f>'Chart - Demand to 2033'!D1</f>
            </strRef>
          </tx>
          <spPr>
            <a:solidFill>
              <a:srgbClr val="1BAF7A"/>
            </a:solidFill>
            <a:ln>
              <a:noFill/>
              <a:prstDash val="solid"/>
            </a:ln>
          </spPr>
          <dPt>
            <idx val="31"/>
            <invertIfNegative val="0"/>
            <spPr>
              <a:solidFill>
                <a:srgbClr val="98DBC3"/>
              </a:solidFill>
              <a:ln>
                <a:noFill/>
                <a:prstDash val="solid"/>
              </a:ln>
            </spPr>
          </dPt>
          <dPt>
            <idx val="32"/>
            <invertIfNegative val="0"/>
            <spPr>
              <a:solidFill>
                <a:srgbClr val="98DBC3"/>
              </a:solidFill>
              <a:ln>
                <a:noFill/>
                <a:prstDash val="solid"/>
              </a:ln>
            </spPr>
          </dPt>
          <dPt>
            <idx val="33"/>
            <invertIfNegative val="0"/>
            <spPr>
              <a:solidFill>
                <a:srgbClr val="98DBC3"/>
              </a:solidFill>
              <a:ln>
                <a:noFill/>
                <a:prstDash val="solid"/>
              </a:ln>
            </spPr>
          </dPt>
          <dPt>
            <idx val="34"/>
            <invertIfNegative val="0"/>
            <spPr>
              <a:solidFill>
                <a:srgbClr val="98DBC3"/>
              </a:solidFill>
              <a:ln>
                <a:noFill/>
                <a:prstDash val="solid"/>
              </a:ln>
            </spPr>
          </dPt>
          <dPt>
            <idx val="35"/>
            <invertIfNegative val="0"/>
            <spPr>
              <a:solidFill>
                <a:srgbClr val="98DBC3"/>
              </a:solidFill>
              <a:ln>
                <a:noFill/>
                <a:prstDash val="solid"/>
              </a:ln>
            </spPr>
          </dPt>
          <dPt>
            <idx val="36"/>
            <invertIfNegative val="0"/>
            <spPr>
              <a:solidFill>
                <a:srgbClr val="98DBC3"/>
              </a:solidFill>
              <a:ln>
                <a:noFill/>
                <a:prstDash val="solid"/>
              </a:ln>
            </spPr>
          </dPt>
          <dPt>
            <idx val="37"/>
            <invertIfNegative val="0"/>
            <spPr>
              <a:solidFill>
                <a:srgbClr val="98DBC3"/>
              </a:solidFill>
              <a:ln>
                <a:noFill/>
                <a:prstDash val="solid"/>
              </a:ln>
            </spPr>
          </dPt>
          <dPt>
            <idx val="38"/>
            <invertIfNegative val="0"/>
            <spPr>
              <a:solidFill>
                <a:srgbClr val="98DBC3"/>
              </a:solidFill>
              <a:ln>
                <a:noFill/>
                <a:prstDash val="solid"/>
              </a:ln>
            </spPr>
          </dPt>
          <dPt>
            <idx val="39"/>
            <invertIfNegative val="0"/>
            <spPr>
              <a:solidFill>
                <a:srgbClr val="98DBC3"/>
              </a:solidFill>
              <a:ln>
                <a:noFill/>
                <a:prstDash val="solid"/>
              </a:ln>
            </spPr>
          </dPt>
          <dPt>
            <idx val="40"/>
            <invertIfNegative val="0"/>
            <spPr>
              <a:solidFill>
                <a:srgbClr val="98DBC3"/>
              </a:solidFill>
              <a:ln>
                <a:noFill/>
                <a:prstDash val="solid"/>
              </a:ln>
            </spPr>
          </dPt>
          <dPt>
            <idx val="41"/>
            <invertIfNegative val="0"/>
            <spPr>
              <a:solidFill>
                <a:srgbClr val="98DBC3"/>
              </a:solidFill>
              <a:ln>
                <a:noFill/>
                <a:prstDash val="solid"/>
              </a:ln>
            </spPr>
          </dPt>
          <dPt>
            <idx val="42"/>
            <invertIfNegative val="0"/>
            <spPr>
              <a:solidFill>
                <a:srgbClr val="98DBC3"/>
              </a:solidFill>
              <a:ln>
                <a:noFill/>
                <a:prstDash val="solid"/>
              </a:ln>
            </spPr>
          </dPt>
          <dPt>
            <idx val="43"/>
            <invertIfNegative val="0"/>
            <spPr>
              <a:solidFill>
                <a:srgbClr val="98DBC3"/>
              </a:solidFill>
              <a:ln>
                <a:noFill/>
                <a:prstDash val="solid"/>
              </a:ln>
            </spPr>
          </dPt>
          <dPt>
            <idx val="44"/>
            <invertIfNegative val="0"/>
            <spPr>
              <a:solidFill>
                <a:srgbClr val="98DBC3"/>
              </a:solidFill>
              <a:ln>
                <a:noFill/>
                <a:prstDash val="solid"/>
              </a:ln>
            </spPr>
          </dPt>
          <dPt>
            <idx val="45"/>
            <invertIfNegative val="0"/>
            <spPr>
              <a:solidFill>
                <a:srgbClr val="98DBC3"/>
              </a:solidFill>
              <a:ln>
                <a:noFill/>
                <a:prstDash val="solid"/>
              </a:ln>
            </spPr>
          </dPt>
          <dPt>
            <idx val="46"/>
            <invertIfNegative val="0"/>
            <spPr>
              <a:solidFill>
                <a:srgbClr val="98DBC3"/>
              </a:solidFill>
              <a:ln>
                <a:noFill/>
                <a:prstDash val="solid"/>
              </a:ln>
            </spPr>
          </dPt>
          <dPt>
            <idx val="47"/>
            <invertIfNegative val="0"/>
            <spPr>
              <a:solidFill>
                <a:srgbClr val="98DBC3"/>
              </a:solidFill>
              <a:ln>
                <a:noFill/>
                <a:prstDash val="solid"/>
              </a:ln>
            </spPr>
          </dPt>
          <dPt>
            <idx val="48"/>
            <invertIfNegative val="0"/>
            <spPr>
              <a:solidFill>
                <a:srgbClr val="98DBC3"/>
              </a:solidFill>
              <a:ln>
                <a:noFill/>
                <a:prstDash val="solid"/>
              </a:ln>
            </spPr>
          </dPt>
          <dPt>
            <idx val="49"/>
            <invertIfNegative val="0"/>
            <spPr>
              <a:solidFill>
                <a:srgbClr val="98DBC3"/>
              </a:solidFill>
              <a:ln>
                <a:noFill/>
                <a:prstDash val="solid"/>
              </a:ln>
            </spPr>
          </dPt>
          <dPt>
            <idx val="50"/>
            <invertIfNegative val="0"/>
            <spPr>
              <a:solidFill>
                <a:srgbClr val="98DBC3"/>
              </a:solidFill>
              <a:ln>
                <a:noFill/>
                <a:prstDash val="solid"/>
              </a:ln>
            </spPr>
          </dPt>
          <dPt>
            <idx val="51"/>
            <invertIfNegative val="0"/>
            <spPr>
              <a:solidFill>
                <a:srgbClr val="98DBC3"/>
              </a:solidFill>
              <a:ln>
                <a:noFill/>
                <a:prstDash val="solid"/>
              </a:ln>
            </spPr>
          </dPt>
          <dPt>
            <idx val="52"/>
            <invertIfNegative val="0"/>
            <spPr>
              <a:solidFill>
                <a:srgbClr val="98DBC3"/>
              </a:solidFill>
              <a:ln>
                <a:noFill/>
                <a:prstDash val="solid"/>
              </a:ln>
            </spPr>
          </dPt>
          <dPt>
            <idx val="53"/>
            <invertIfNegative val="0"/>
            <spPr>
              <a:solidFill>
                <a:srgbClr val="98DBC3"/>
              </a:solidFill>
              <a:ln>
                <a:noFill/>
                <a:prstDash val="solid"/>
              </a:ln>
            </spPr>
          </dPt>
          <dPt>
            <idx val="54"/>
            <invertIfNegative val="0"/>
            <spPr>
              <a:solidFill>
                <a:srgbClr val="98DBC3"/>
              </a:solidFill>
              <a:ln>
                <a:noFill/>
                <a:prstDash val="solid"/>
              </a:ln>
            </spPr>
          </dPt>
          <dPt>
            <idx val="55"/>
            <invertIfNegative val="0"/>
            <spPr>
              <a:solidFill>
                <a:srgbClr val="98DBC3"/>
              </a:solidFill>
              <a:ln>
                <a:noFill/>
                <a:prstDash val="solid"/>
              </a:ln>
            </spPr>
          </dPt>
          <dPt>
            <idx val="56"/>
            <invertIfNegative val="0"/>
            <spPr>
              <a:solidFill>
                <a:srgbClr val="98DBC3"/>
              </a:solidFill>
              <a:ln>
                <a:noFill/>
                <a:prstDash val="solid"/>
              </a:ln>
            </spPr>
          </dPt>
          <dPt>
            <idx val="57"/>
            <invertIfNegative val="0"/>
            <spPr>
              <a:solidFill>
                <a:srgbClr val="98DBC3"/>
              </a:solidFill>
              <a:ln>
                <a:noFill/>
                <a:prstDash val="solid"/>
              </a:ln>
            </spPr>
          </dPt>
          <dPt>
            <idx val="58"/>
            <invertIfNegative val="0"/>
            <spPr>
              <a:solidFill>
                <a:srgbClr val="98DBC3"/>
              </a:solidFill>
              <a:ln>
                <a:noFill/>
                <a:prstDash val="solid"/>
              </a:ln>
            </spPr>
          </dPt>
          <dPt>
            <idx val="59"/>
            <invertIfNegative val="0"/>
            <spPr>
              <a:solidFill>
                <a:srgbClr val="98DBC3"/>
              </a:solidFill>
              <a:ln>
                <a:noFill/>
                <a:prstDash val="solid"/>
              </a:ln>
            </spPr>
          </dPt>
          <dPt>
            <idx val="60"/>
            <invertIfNegative val="0"/>
            <spPr>
              <a:solidFill>
                <a:srgbClr val="D1EFE4"/>
              </a:solidFill>
              <a:ln>
                <a:noFill/>
                <a:prstDash val="solid"/>
              </a:ln>
            </spPr>
          </dPt>
          <dPt>
            <idx val="61"/>
            <invertIfNegative val="0"/>
            <spPr>
              <a:solidFill>
                <a:srgbClr val="D1EFE4"/>
              </a:solidFill>
              <a:ln>
                <a:noFill/>
                <a:prstDash val="solid"/>
              </a:ln>
            </spPr>
          </dPt>
          <dPt>
            <idx val="62"/>
            <invertIfNegative val="0"/>
            <spPr>
              <a:solidFill>
                <a:srgbClr val="D1EFE4"/>
              </a:solidFill>
              <a:ln>
                <a:noFill/>
                <a:prstDash val="solid"/>
              </a:ln>
            </spPr>
          </dPt>
          <dPt>
            <idx val="63"/>
            <invertIfNegative val="0"/>
            <spPr>
              <a:solidFill>
                <a:srgbClr val="D1EFE4"/>
              </a:solidFill>
              <a:ln>
                <a:noFill/>
                <a:prstDash val="solid"/>
              </a:ln>
            </spPr>
          </dPt>
          <dPt>
            <idx val="64"/>
            <invertIfNegative val="0"/>
            <spPr>
              <a:solidFill>
                <a:srgbClr val="D1EFE4"/>
              </a:solidFill>
              <a:ln>
                <a:noFill/>
                <a:prstDash val="solid"/>
              </a:ln>
            </spPr>
          </dPt>
          <dPt>
            <idx val="65"/>
            <invertIfNegative val="0"/>
            <spPr>
              <a:solidFill>
                <a:srgbClr val="D1EFE4"/>
              </a:solidFill>
              <a:ln>
                <a:noFill/>
                <a:prstDash val="solid"/>
              </a:ln>
            </spPr>
          </dPt>
          <dPt>
            <idx val="66"/>
            <invertIfNegative val="0"/>
            <spPr>
              <a:solidFill>
                <a:srgbClr val="D1EFE4"/>
              </a:solidFill>
              <a:ln>
                <a:noFill/>
                <a:prstDash val="solid"/>
              </a:ln>
            </spPr>
          </dPt>
          <dPt>
            <idx val="67"/>
            <invertIfNegative val="0"/>
            <spPr>
              <a:solidFill>
                <a:srgbClr val="D1EFE4"/>
              </a:solidFill>
              <a:ln>
                <a:noFill/>
                <a:prstDash val="solid"/>
              </a:ln>
            </spPr>
          </dPt>
          <dPt>
            <idx val="68"/>
            <invertIfNegative val="0"/>
            <spPr>
              <a:solidFill>
                <a:srgbClr val="D1EFE4"/>
              </a:solidFill>
              <a:ln>
                <a:noFill/>
                <a:prstDash val="solid"/>
              </a:ln>
            </spPr>
          </dPt>
          <dPt>
            <idx val="69"/>
            <invertIfNegative val="0"/>
            <spPr>
              <a:solidFill>
                <a:srgbClr val="D1EFE4"/>
              </a:solidFill>
              <a:ln>
                <a:noFill/>
                <a:prstDash val="solid"/>
              </a:ln>
            </spPr>
          </dPt>
          <dPt>
            <idx val="70"/>
            <invertIfNegative val="0"/>
            <spPr>
              <a:solidFill>
                <a:srgbClr val="D1EFE4"/>
              </a:solidFill>
              <a:ln>
                <a:noFill/>
                <a:prstDash val="solid"/>
              </a:ln>
            </spPr>
          </dPt>
          <dPt>
            <idx val="71"/>
            <invertIfNegative val="0"/>
            <spPr>
              <a:solidFill>
                <a:srgbClr val="D1EFE4"/>
              </a:solidFill>
              <a:ln>
                <a:noFill/>
                <a:prstDash val="solid"/>
              </a:ln>
            </spPr>
          </dPt>
          <dPt>
            <idx val="72"/>
            <invertIfNegative val="0"/>
            <spPr>
              <a:solidFill>
                <a:srgbClr val="D1EFE4"/>
              </a:solidFill>
              <a:ln>
                <a:noFill/>
                <a:prstDash val="solid"/>
              </a:ln>
            </spPr>
          </dPt>
          <dPt>
            <idx val="73"/>
            <invertIfNegative val="0"/>
            <spPr>
              <a:solidFill>
                <a:srgbClr val="D1EFE4"/>
              </a:solidFill>
              <a:ln>
                <a:noFill/>
                <a:prstDash val="solid"/>
              </a:ln>
            </spPr>
          </dPt>
          <dPt>
            <idx val="74"/>
            <invertIfNegative val="0"/>
            <spPr>
              <a:solidFill>
                <a:srgbClr val="D1EFE4"/>
              </a:solidFill>
              <a:ln>
                <a:noFill/>
                <a:prstDash val="solid"/>
              </a:ln>
            </spPr>
          </dPt>
          <dPt>
            <idx val="75"/>
            <invertIfNegative val="0"/>
            <spPr>
              <a:solidFill>
                <a:srgbClr val="D1EFE4"/>
              </a:solidFill>
              <a:ln>
                <a:noFill/>
                <a:prstDash val="solid"/>
              </a:ln>
            </spPr>
          </dPt>
          <dPt>
            <idx val="76"/>
            <invertIfNegative val="0"/>
            <spPr>
              <a:solidFill>
                <a:srgbClr val="D1EFE4"/>
              </a:solidFill>
              <a:ln>
                <a:noFill/>
                <a:prstDash val="solid"/>
              </a:ln>
            </spPr>
          </dPt>
          <dPt>
            <idx val="77"/>
            <invertIfNegative val="0"/>
            <spPr>
              <a:solidFill>
                <a:srgbClr val="D1EFE4"/>
              </a:solidFill>
              <a:ln>
                <a:noFill/>
                <a:prstDash val="solid"/>
              </a:ln>
            </spPr>
          </dPt>
          <dPt>
            <idx val="78"/>
            <invertIfNegative val="0"/>
            <spPr>
              <a:solidFill>
                <a:srgbClr val="D1EFE4"/>
              </a:solidFill>
              <a:ln>
                <a:noFill/>
                <a:prstDash val="solid"/>
              </a:ln>
            </spPr>
          </dPt>
          <dPt>
            <idx val="79"/>
            <invertIfNegative val="0"/>
            <spPr>
              <a:solidFill>
                <a:srgbClr val="D1EFE4"/>
              </a:solidFill>
              <a:ln>
                <a:noFill/>
                <a:prstDash val="solid"/>
              </a:ln>
            </spPr>
          </dPt>
          <dPt>
            <idx val="80"/>
            <invertIfNegative val="0"/>
            <spPr>
              <a:solidFill>
                <a:srgbClr val="D1EFE4"/>
              </a:solidFill>
              <a:ln>
                <a:noFill/>
                <a:prstDash val="solid"/>
              </a:ln>
            </spPr>
          </dPt>
          <dPt>
            <idx val="81"/>
            <invertIfNegative val="0"/>
            <spPr>
              <a:solidFill>
                <a:srgbClr val="D1EFE4"/>
              </a:solidFill>
              <a:ln>
                <a:noFill/>
                <a:prstDash val="solid"/>
              </a:ln>
            </spPr>
          </dPt>
          <dPt>
            <idx val="82"/>
            <invertIfNegative val="0"/>
            <spPr>
              <a:solidFill>
                <a:srgbClr val="D1EFE4"/>
              </a:solidFill>
              <a:ln>
                <a:noFill/>
                <a:prstDash val="solid"/>
              </a:ln>
            </spPr>
          </dPt>
          <dPt>
            <idx val="83"/>
            <invertIfNegative val="0"/>
            <spPr>
              <a:solidFill>
                <a:srgbClr val="D1EFE4"/>
              </a:solidFill>
              <a:ln>
                <a:noFill/>
                <a:prstDash val="solid"/>
              </a:ln>
            </spPr>
          </dPt>
          <dPt>
            <idx val="84"/>
            <invertIfNegative val="0"/>
            <spPr>
              <a:solidFill>
                <a:srgbClr val="D1EFE4"/>
              </a:solidFill>
              <a:ln>
                <a:noFill/>
                <a:prstDash val="solid"/>
              </a:ln>
            </spPr>
          </dPt>
          <dPt>
            <idx val="85"/>
            <invertIfNegative val="0"/>
            <spPr>
              <a:solidFill>
                <a:srgbClr val="D1EFE4"/>
              </a:solidFill>
              <a:ln>
                <a:noFill/>
                <a:prstDash val="solid"/>
              </a:ln>
            </spPr>
          </dPt>
          <dPt>
            <idx val="86"/>
            <invertIfNegative val="0"/>
            <spPr>
              <a:solidFill>
                <a:srgbClr val="D1EFE4"/>
              </a:solidFill>
              <a:ln>
                <a:noFill/>
                <a:prstDash val="solid"/>
              </a:ln>
            </spPr>
          </dPt>
          <dPt>
            <idx val="87"/>
            <invertIfNegative val="0"/>
            <spPr>
              <a:solidFill>
                <a:srgbClr val="D1EFE4"/>
              </a:solidFill>
              <a:ln>
                <a:noFill/>
                <a:prstDash val="solid"/>
              </a:ln>
            </spPr>
          </dPt>
          <dPt>
            <idx val="88"/>
            <invertIfNegative val="0"/>
            <spPr>
              <a:solidFill>
                <a:srgbClr val="D1EFE4"/>
              </a:solidFill>
              <a:ln>
                <a:noFill/>
                <a:prstDash val="solid"/>
              </a:ln>
            </spPr>
          </dPt>
          <dPt>
            <idx val="89"/>
            <invertIfNegative val="0"/>
            <spPr>
              <a:solidFill>
                <a:srgbClr val="D1EFE4"/>
              </a:solidFill>
              <a:ln>
                <a:noFill/>
                <a:prstDash val="solid"/>
              </a:ln>
            </spPr>
          </dPt>
          <dPt>
            <idx val="90"/>
            <invertIfNegative val="0"/>
            <spPr>
              <a:solidFill>
                <a:srgbClr val="D1EFE4"/>
              </a:solidFill>
              <a:ln>
                <a:noFill/>
                <a:prstDash val="solid"/>
              </a:ln>
            </spPr>
          </dPt>
          <dPt>
            <idx val="91"/>
            <invertIfNegative val="0"/>
            <spPr>
              <a:solidFill>
                <a:srgbClr val="D1EFE4"/>
              </a:solidFill>
              <a:ln>
                <a:noFill/>
                <a:prstDash val="solid"/>
              </a:ln>
            </spPr>
          </dPt>
          <dPt>
            <idx val="92"/>
            <invertIfNegative val="0"/>
            <spPr>
              <a:solidFill>
                <a:srgbClr val="D1EFE4"/>
              </a:solidFill>
              <a:ln>
                <a:noFill/>
                <a:prstDash val="solid"/>
              </a:ln>
            </spPr>
          </dPt>
          <dPt>
            <idx val="93"/>
            <invertIfNegative val="0"/>
            <spPr>
              <a:solidFill>
                <a:srgbClr val="D1EFE4"/>
              </a:solidFill>
              <a:ln>
                <a:noFill/>
                <a:prstDash val="solid"/>
              </a:ln>
            </spPr>
          </dPt>
          <dPt>
            <idx val="94"/>
            <invertIfNegative val="0"/>
            <spPr>
              <a:solidFill>
                <a:srgbClr val="D1EFE4"/>
              </a:solidFill>
              <a:ln>
                <a:noFill/>
                <a:prstDash val="solid"/>
              </a:ln>
            </spPr>
          </dPt>
          <dPt>
            <idx val="95"/>
            <invertIfNegative val="0"/>
            <spPr>
              <a:solidFill>
                <a:srgbClr val="D1EFE4"/>
              </a:solidFill>
              <a:ln>
                <a:noFill/>
                <a:prstDash val="solid"/>
              </a:ln>
            </spPr>
          </dPt>
          <dPt>
            <idx val="96"/>
            <invertIfNegative val="0"/>
            <spPr>
              <a:solidFill>
                <a:srgbClr val="D1EFE4"/>
              </a:solidFill>
              <a:ln>
                <a:noFill/>
                <a:prstDash val="solid"/>
              </a:ln>
            </spPr>
          </dPt>
          <dPt>
            <idx val="97"/>
            <invertIfNegative val="0"/>
            <spPr>
              <a:solidFill>
                <a:srgbClr val="D1EFE4"/>
              </a:solidFill>
              <a:ln>
                <a:noFill/>
                <a:prstDash val="solid"/>
              </a:ln>
            </spPr>
          </dPt>
          <dPt>
            <idx val="98"/>
            <invertIfNegative val="0"/>
            <spPr>
              <a:solidFill>
                <a:srgbClr val="D1EFE4"/>
              </a:solidFill>
              <a:ln>
                <a:noFill/>
                <a:prstDash val="solid"/>
              </a:ln>
            </spPr>
          </dPt>
          <dPt>
            <idx val="99"/>
            <invertIfNegative val="0"/>
            <spPr>
              <a:solidFill>
                <a:srgbClr val="D1EFE4"/>
              </a:solidFill>
              <a:ln>
                <a:noFill/>
                <a:prstDash val="solid"/>
              </a:ln>
            </spPr>
          </dPt>
          <dPt>
            <idx val="100"/>
            <invertIfNegative val="0"/>
            <spPr>
              <a:solidFill>
                <a:srgbClr val="D1EFE4"/>
              </a:solidFill>
              <a:ln>
                <a:noFill/>
                <a:prstDash val="solid"/>
              </a:ln>
            </spPr>
          </dPt>
          <dPt>
            <idx val="101"/>
            <invertIfNegative val="0"/>
            <spPr>
              <a:solidFill>
                <a:srgbClr val="D1EFE4"/>
              </a:solidFill>
              <a:ln>
                <a:noFill/>
                <a:prstDash val="solid"/>
              </a:ln>
            </spPr>
          </dPt>
          <dPt>
            <idx val="102"/>
            <invertIfNegative val="0"/>
            <spPr>
              <a:solidFill>
                <a:srgbClr val="D1EFE4"/>
              </a:solidFill>
              <a:ln>
                <a:noFill/>
                <a:prstDash val="solid"/>
              </a:ln>
            </spPr>
          </dPt>
          <dPt>
            <idx val="103"/>
            <invertIfNegative val="0"/>
            <spPr>
              <a:solidFill>
                <a:srgbClr val="D1EFE4"/>
              </a:solidFill>
              <a:ln>
                <a:noFill/>
                <a:prstDash val="solid"/>
              </a:ln>
            </spPr>
          </dPt>
          <dPt>
            <idx val="104"/>
            <invertIfNegative val="0"/>
            <spPr>
              <a:solidFill>
                <a:srgbClr val="D1EFE4"/>
              </a:solidFill>
              <a:ln>
                <a:noFill/>
                <a:prstDash val="solid"/>
              </a:ln>
            </spPr>
          </dPt>
          <dPt>
            <idx val="105"/>
            <invertIfNegative val="0"/>
            <spPr>
              <a:solidFill>
                <a:srgbClr val="D1EFE4"/>
              </a:solidFill>
              <a:ln>
                <a:noFill/>
                <a:prstDash val="solid"/>
              </a:ln>
            </spPr>
          </dPt>
          <dPt>
            <idx val="106"/>
            <invertIfNegative val="0"/>
            <spPr>
              <a:solidFill>
                <a:srgbClr val="D1EFE4"/>
              </a:solidFill>
              <a:ln>
                <a:noFill/>
                <a:prstDash val="solid"/>
              </a:ln>
            </spPr>
          </dPt>
          <dPt>
            <idx val="107"/>
            <invertIfNegative val="0"/>
            <spPr>
              <a:solidFill>
                <a:srgbClr val="D1EFE4"/>
              </a:solidFill>
              <a:ln>
                <a:noFill/>
                <a:prstDash val="solid"/>
              </a:ln>
            </spPr>
          </dPt>
          <dPt>
            <idx val="108"/>
            <invertIfNegative val="0"/>
            <spPr>
              <a:solidFill>
                <a:srgbClr val="D1EFE4"/>
              </a:solidFill>
              <a:ln>
                <a:noFill/>
                <a:prstDash val="solid"/>
              </a:ln>
            </spPr>
          </dPt>
          <dPt>
            <idx val="109"/>
            <invertIfNegative val="0"/>
            <spPr>
              <a:solidFill>
                <a:srgbClr val="D1EFE4"/>
              </a:solidFill>
              <a:ln>
                <a:noFill/>
                <a:prstDash val="solid"/>
              </a:ln>
            </spPr>
          </dPt>
          <dPt>
            <idx val="110"/>
            <invertIfNegative val="0"/>
            <spPr>
              <a:solidFill>
                <a:srgbClr val="D1EFE4"/>
              </a:solidFill>
              <a:ln>
                <a:noFill/>
                <a:prstDash val="solid"/>
              </a:ln>
            </spPr>
          </dPt>
          <dPt>
            <idx val="111"/>
            <invertIfNegative val="0"/>
            <spPr>
              <a:solidFill>
                <a:srgbClr val="D1EFE4"/>
              </a:solidFill>
              <a:ln>
                <a:noFill/>
                <a:prstDash val="solid"/>
              </a:ln>
            </spPr>
          </dPt>
          <dPt>
            <idx val="112"/>
            <invertIfNegative val="0"/>
            <spPr>
              <a:solidFill>
                <a:srgbClr val="D1EFE4"/>
              </a:solidFill>
              <a:ln>
                <a:noFill/>
                <a:prstDash val="solid"/>
              </a:ln>
            </spPr>
          </dPt>
          <dPt>
            <idx val="113"/>
            <invertIfNegative val="0"/>
            <spPr>
              <a:solidFill>
                <a:srgbClr val="D1EFE4"/>
              </a:solidFill>
              <a:ln>
                <a:noFill/>
                <a:prstDash val="solid"/>
              </a:ln>
            </spPr>
          </dPt>
          <dPt>
            <idx val="114"/>
            <invertIfNegative val="0"/>
            <spPr>
              <a:solidFill>
                <a:srgbClr val="D1EFE4"/>
              </a:solidFill>
              <a:ln>
                <a:noFill/>
                <a:prstDash val="solid"/>
              </a:ln>
            </spPr>
          </dPt>
          <dPt>
            <idx val="115"/>
            <invertIfNegative val="0"/>
            <spPr>
              <a:solidFill>
                <a:srgbClr val="D1EFE4"/>
              </a:solidFill>
              <a:ln>
                <a:noFill/>
                <a:prstDash val="solid"/>
              </a:ln>
            </spPr>
          </dPt>
          <dPt>
            <idx val="116"/>
            <invertIfNegative val="0"/>
            <spPr>
              <a:solidFill>
                <a:srgbClr val="D1EFE4"/>
              </a:solidFill>
              <a:ln>
                <a:noFill/>
                <a:prstDash val="solid"/>
              </a:ln>
            </spPr>
          </dPt>
          <dPt>
            <idx val="117"/>
            <invertIfNegative val="0"/>
            <spPr>
              <a:solidFill>
                <a:srgbClr val="D1EFE4"/>
              </a:solidFill>
              <a:ln>
                <a:noFill/>
                <a:prstDash val="solid"/>
              </a:ln>
            </spPr>
          </dPt>
          <dPt>
            <idx val="118"/>
            <invertIfNegative val="0"/>
            <spPr>
              <a:solidFill>
                <a:srgbClr val="D1EFE4"/>
              </a:solidFill>
              <a:ln>
                <a:noFill/>
                <a:prstDash val="solid"/>
              </a:ln>
            </spPr>
          </dPt>
          <dPt>
            <idx val="119"/>
            <invertIfNegative val="0"/>
            <spPr>
              <a:solidFill>
                <a:srgbClr val="D1EFE4"/>
              </a:solidFill>
              <a:ln>
                <a:noFill/>
                <a:prstDash val="solid"/>
              </a:ln>
            </spPr>
          </dPt>
          <cat>
            <numRef>
              <f>'Chart - Demand to 2033'!$A$2:$A$121</f>
            </numRef>
          </cat>
          <val>
            <numRef>
              <f>'Chart - Demand to 2033'!$D$2:$D$121</f>
            </numRef>
          </val>
        </ser>
        <ser>
          <idx val="3"/>
          <order val="3"/>
          <tx>
            <strRef>
              <f>'Chart - Demand to 2033'!E1</f>
            </strRef>
          </tx>
          <spPr>
            <a:solidFill>
              <a:srgbClr val="EDA100"/>
            </a:solidFill>
            <a:ln>
              <a:noFill/>
              <a:prstDash val="solid"/>
            </a:ln>
          </spPr>
          <dPt>
            <idx val="31"/>
            <invertIfNegative val="0"/>
            <spPr>
              <a:solidFill>
                <a:srgbClr val="F6D48C"/>
              </a:solidFill>
              <a:ln>
                <a:noFill/>
                <a:prstDash val="solid"/>
              </a:ln>
            </spPr>
          </dPt>
          <dPt>
            <idx val="32"/>
            <invertIfNegative val="0"/>
            <spPr>
              <a:solidFill>
                <a:srgbClr val="F6D48C"/>
              </a:solidFill>
              <a:ln>
                <a:noFill/>
                <a:prstDash val="solid"/>
              </a:ln>
            </spPr>
          </dPt>
          <dPt>
            <idx val="33"/>
            <invertIfNegative val="0"/>
            <spPr>
              <a:solidFill>
                <a:srgbClr val="F6D48C"/>
              </a:solidFill>
              <a:ln>
                <a:noFill/>
                <a:prstDash val="solid"/>
              </a:ln>
            </spPr>
          </dPt>
          <dPt>
            <idx val="34"/>
            <invertIfNegative val="0"/>
            <spPr>
              <a:solidFill>
                <a:srgbClr val="F6D48C"/>
              </a:solidFill>
              <a:ln>
                <a:noFill/>
                <a:prstDash val="solid"/>
              </a:ln>
            </spPr>
          </dPt>
          <dPt>
            <idx val="35"/>
            <invertIfNegative val="0"/>
            <spPr>
              <a:solidFill>
                <a:srgbClr val="F6D48C"/>
              </a:solidFill>
              <a:ln>
                <a:noFill/>
                <a:prstDash val="solid"/>
              </a:ln>
            </spPr>
          </dPt>
          <dPt>
            <idx val="36"/>
            <invertIfNegative val="0"/>
            <spPr>
              <a:solidFill>
                <a:srgbClr val="F6D48C"/>
              </a:solidFill>
              <a:ln>
                <a:noFill/>
                <a:prstDash val="solid"/>
              </a:ln>
            </spPr>
          </dPt>
          <dPt>
            <idx val="37"/>
            <invertIfNegative val="0"/>
            <spPr>
              <a:solidFill>
                <a:srgbClr val="F6D48C"/>
              </a:solidFill>
              <a:ln>
                <a:noFill/>
                <a:prstDash val="solid"/>
              </a:ln>
            </spPr>
          </dPt>
          <dPt>
            <idx val="38"/>
            <invertIfNegative val="0"/>
            <spPr>
              <a:solidFill>
                <a:srgbClr val="F6D48C"/>
              </a:solidFill>
              <a:ln>
                <a:noFill/>
                <a:prstDash val="solid"/>
              </a:ln>
            </spPr>
          </dPt>
          <dPt>
            <idx val="39"/>
            <invertIfNegative val="0"/>
            <spPr>
              <a:solidFill>
                <a:srgbClr val="F6D48C"/>
              </a:solidFill>
              <a:ln>
                <a:noFill/>
                <a:prstDash val="solid"/>
              </a:ln>
            </spPr>
          </dPt>
          <dPt>
            <idx val="40"/>
            <invertIfNegative val="0"/>
            <spPr>
              <a:solidFill>
                <a:srgbClr val="F6D48C"/>
              </a:solidFill>
              <a:ln>
                <a:noFill/>
                <a:prstDash val="solid"/>
              </a:ln>
            </spPr>
          </dPt>
          <dPt>
            <idx val="41"/>
            <invertIfNegative val="0"/>
            <spPr>
              <a:solidFill>
                <a:srgbClr val="F6D48C"/>
              </a:solidFill>
              <a:ln>
                <a:noFill/>
                <a:prstDash val="solid"/>
              </a:ln>
            </spPr>
          </dPt>
          <dPt>
            <idx val="42"/>
            <invertIfNegative val="0"/>
            <spPr>
              <a:solidFill>
                <a:srgbClr val="F6D48C"/>
              </a:solidFill>
              <a:ln>
                <a:noFill/>
                <a:prstDash val="solid"/>
              </a:ln>
            </spPr>
          </dPt>
          <dPt>
            <idx val="43"/>
            <invertIfNegative val="0"/>
            <spPr>
              <a:solidFill>
                <a:srgbClr val="F6D48C"/>
              </a:solidFill>
              <a:ln>
                <a:noFill/>
                <a:prstDash val="solid"/>
              </a:ln>
            </spPr>
          </dPt>
          <dPt>
            <idx val="44"/>
            <invertIfNegative val="0"/>
            <spPr>
              <a:solidFill>
                <a:srgbClr val="F6D48C"/>
              </a:solidFill>
              <a:ln>
                <a:noFill/>
                <a:prstDash val="solid"/>
              </a:ln>
            </spPr>
          </dPt>
          <dPt>
            <idx val="45"/>
            <invertIfNegative val="0"/>
            <spPr>
              <a:solidFill>
                <a:srgbClr val="F6D48C"/>
              </a:solidFill>
              <a:ln>
                <a:noFill/>
                <a:prstDash val="solid"/>
              </a:ln>
            </spPr>
          </dPt>
          <dPt>
            <idx val="46"/>
            <invertIfNegative val="0"/>
            <spPr>
              <a:solidFill>
                <a:srgbClr val="F6D48C"/>
              </a:solidFill>
              <a:ln>
                <a:noFill/>
                <a:prstDash val="solid"/>
              </a:ln>
            </spPr>
          </dPt>
          <dPt>
            <idx val="47"/>
            <invertIfNegative val="0"/>
            <spPr>
              <a:solidFill>
                <a:srgbClr val="F6D48C"/>
              </a:solidFill>
              <a:ln>
                <a:noFill/>
                <a:prstDash val="solid"/>
              </a:ln>
            </spPr>
          </dPt>
          <dPt>
            <idx val="48"/>
            <invertIfNegative val="0"/>
            <spPr>
              <a:solidFill>
                <a:srgbClr val="F6D48C"/>
              </a:solidFill>
              <a:ln>
                <a:noFill/>
                <a:prstDash val="solid"/>
              </a:ln>
            </spPr>
          </dPt>
          <dPt>
            <idx val="49"/>
            <invertIfNegative val="0"/>
            <spPr>
              <a:solidFill>
                <a:srgbClr val="F6D48C"/>
              </a:solidFill>
              <a:ln>
                <a:noFill/>
                <a:prstDash val="solid"/>
              </a:ln>
            </spPr>
          </dPt>
          <dPt>
            <idx val="50"/>
            <invertIfNegative val="0"/>
            <spPr>
              <a:solidFill>
                <a:srgbClr val="F6D48C"/>
              </a:solidFill>
              <a:ln>
                <a:noFill/>
                <a:prstDash val="solid"/>
              </a:ln>
            </spPr>
          </dPt>
          <dPt>
            <idx val="51"/>
            <invertIfNegative val="0"/>
            <spPr>
              <a:solidFill>
                <a:srgbClr val="F6D48C"/>
              </a:solidFill>
              <a:ln>
                <a:noFill/>
                <a:prstDash val="solid"/>
              </a:ln>
            </spPr>
          </dPt>
          <dPt>
            <idx val="52"/>
            <invertIfNegative val="0"/>
            <spPr>
              <a:solidFill>
                <a:srgbClr val="F6D48C"/>
              </a:solidFill>
              <a:ln>
                <a:noFill/>
                <a:prstDash val="solid"/>
              </a:ln>
            </spPr>
          </dPt>
          <dPt>
            <idx val="53"/>
            <invertIfNegative val="0"/>
            <spPr>
              <a:solidFill>
                <a:srgbClr val="F6D48C"/>
              </a:solidFill>
              <a:ln>
                <a:noFill/>
                <a:prstDash val="solid"/>
              </a:ln>
            </spPr>
          </dPt>
          <dPt>
            <idx val="54"/>
            <invertIfNegative val="0"/>
            <spPr>
              <a:solidFill>
                <a:srgbClr val="F6D48C"/>
              </a:solidFill>
              <a:ln>
                <a:noFill/>
                <a:prstDash val="solid"/>
              </a:ln>
            </spPr>
          </dPt>
          <dPt>
            <idx val="55"/>
            <invertIfNegative val="0"/>
            <spPr>
              <a:solidFill>
                <a:srgbClr val="F6D48C"/>
              </a:solidFill>
              <a:ln>
                <a:noFill/>
                <a:prstDash val="solid"/>
              </a:ln>
            </spPr>
          </dPt>
          <dPt>
            <idx val="56"/>
            <invertIfNegative val="0"/>
            <spPr>
              <a:solidFill>
                <a:srgbClr val="F6D48C"/>
              </a:solidFill>
              <a:ln>
                <a:noFill/>
                <a:prstDash val="solid"/>
              </a:ln>
            </spPr>
          </dPt>
          <dPt>
            <idx val="57"/>
            <invertIfNegative val="0"/>
            <spPr>
              <a:solidFill>
                <a:srgbClr val="F6D48C"/>
              </a:solidFill>
              <a:ln>
                <a:noFill/>
                <a:prstDash val="solid"/>
              </a:ln>
            </spPr>
          </dPt>
          <dPt>
            <idx val="58"/>
            <invertIfNegative val="0"/>
            <spPr>
              <a:solidFill>
                <a:srgbClr val="F6D48C"/>
              </a:solidFill>
              <a:ln>
                <a:noFill/>
                <a:prstDash val="solid"/>
              </a:ln>
            </spPr>
          </dPt>
          <dPt>
            <idx val="59"/>
            <invertIfNegative val="0"/>
            <spPr>
              <a:solidFill>
                <a:srgbClr val="F6D48C"/>
              </a:solidFill>
              <a:ln>
                <a:noFill/>
                <a:prstDash val="solid"/>
              </a:ln>
            </spPr>
          </dPt>
          <dPt>
            <idx val="60"/>
            <invertIfNegative val="0"/>
            <spPr>
              <a:solidFill>
                <a:srgbClr val="FBECCC"/>
              </a:solidFill>
              <a:ln>
                <a:noFill/>
                <a:prstDash val="solid"/>
              </a:ln>
            </spPr>
          </dPt>
          <dPt>
            <idx val="61"/>
            <invertIfNegative val="0"/>
            <spPr>
              <a:solidFill>
                <a:srgbClr val="FBECCC"/>
              </a:solidFill>
              <a:ln>
                <a:noFill/>
                <a:prstDash val="solid"/>
              </a:ln>
            </spPr>
          </dPt>
          <dPt>
            <idx val="62"/>
            <invertIfNegative val="0"/>
            <spPr>
              <a:solidFill>
                <a:srgbClr val="FBECCC"/>
              </a:solidFill>
              <a:ln>
                <a:noFill/>
                <a:prstDash val="solid"/>
              </a:ln>
            </spPr>
          </dPt>
          <dPt>
            <idx val="63"/>
            <invertIfNegative val="0"/>
            <spPr>
              <a:solidFill>
                <a:srgbClr val="FBECCC"/>
              </a:solidFill>
              <a:ln>
                <a:noFill/>
                <a:prstDash val="solid"/>
              </a:ln>
            </spPr>
          </dPt>
          <dPt>
            <idx val="64"/>
            <invertIfNegative val="0"/>
            <spPr>
              <a:solidFill>
                <a:srgbClr val="FBECCC"/>
              </a:solidFill>
              <a:ln>
                <a:noFill/>
                <a:prstDash val="solid"/>
              </a:ln>
            </spPr>
          </dPt>
          <dPt>
            <idx val="65"/>
            <invertIfNegative val="0"/>
            <spPr>
              <a:solidFill>
                <a:srgbClr val="FBECCC"/>
              </a:solidFill>
              <a:ln>
                <a:noFill/>
                <a:prstDash val="solid"/>
              </a:ln>
            </spPr>
          </dPt>
          <dPt>
            <idx val="66"/>
            <invertIfNegative val="0"/>
            <spPr>
              <a:solidFill>
                <a:srgbClr val="FBECCC"/>
              </a:solidFill>
              <a:ln>
                <a:noFill/>
                <a:prstDash val="solid"/>
              </a:ln>
            </spPr>
          </dPt>
          <dPt>
            <idx val="67"/>
            <invertIfNegative val="0"/>
            <spPr>
              <a:solidFill>
                <a:srgbClr val="FBECCC"/>
              </a:solidFill>
              <a:ln>
                <a:noFill/>
                <a:prstDash val="solid"/>
              </a:ln>
            </spPr>
          </dPt>
          <dPt>
            <idx val="68"/>
            <invertIfNegative val="0"/>
            <spPr>
              <a:solidFill>
                <a:srgbClr val="FBECCC"/>
              </a:solidFill>
              <a:ln>
                <a:noFill/>
                <a:prstDash val="solid"/>
              </a:ln>
            </spPr>
          </dPt>
          <dPt>
            <idx val="69"/>
            <invertIfNegative val="0"/>
            <spPr>
              <a:solidFill>
                <a:srgbClr val="FBECCC"/>
              </a:solidFill>
              <a:ln>
                <a:noFill/>
                <a:prstDash val="solid"/>
              </a:ln>
            </spPr>
          </dPt>
          <dPt>
            <idx val="70"/>
            <invertIfNegative val="0"/>
            <spPr>
              <a:solidFill>
                <a:srgbClr val="FBECCC"/>
              </a:solidFill>
              <a:ln>
                <a:noFill/>
                <a:prstDash val="solid"/>
              </a:ln>
            </spPr>
          </dPt>
          <dPt>
            <idx val="71"/>
            <invertIfNegative val="0"/>
            <spPr>
              <a:solidFill>
                <a:srgbClr val="FBECCC"/>
              </a:solidFill>
              <a:ln>
                <a:noFill/>
                <a:prstDash val="solid"/>
              </a:ln>
            </spPr>
          </dPt>
          <dPt>
            <idx val="72"/>
            <invertIfNegative val="0"/>
            <spPr>
              <a:solidFill>
                <a:srgbClr val="FBECCC"/>
              </a:solidFill>
              <a:ln>
                <a:noFill/>
                <a:prstDash val="solid"/>
              </a:ln>
            </spPr>
          </dPt>
          <dPt>
            <idx val="73"/>
            <invertIfNegative val="0"/>
            <spPr>
              <a:solidFill>
                <a:srgbClr val="FBECCC"/>
              </a:solidFill>
              <a:ln>
                <a:noFill/>
                <a:prstDash val="solid"/>
              </a:ln>
            </spPr>
          </dPt>
          <dPt>
            <idx val="74"/>
            <invertIfNegative val="0"/>
            <spPr>
              <a:solidFill>
                <a:srgbClr val="FBECCC"/>
              </a:solidFill>
              <a:ln>
                <a:noFill/>
                <a:prstDash val="solid"/>
              </a:ln>
            </spPr>
          </dPt>
          <dPt>
            <idx val="75"/>
            <invertIfNegative val="0"/>
            <spPr>
              <a:solidFill>
                <a:srgbClr val="FBECCC"/>
              </a:solidFill>
              <a:ln>
                <a:noFill/>
                <a:prstDash val="solid"/>
              </a:ln>
            </spPr>
          </dPt>
          <dPt>
            <idx val="76"/>
            <invertIfNegative val="0"/>
            <spPr>
              <a:solidFill>
                <a:srgbClr val="FBECCC"/>
              </a:solidFill>
              <a:ln>
                <a:noFill/>
                <a:prstDash val="solid"/>
              </a:ln>
            </spPr>
          </dPt>
          <dPt>
            <idx val="77"/>
            <invertIfNegative val="0"/>
            <spPr>
              <a:solidFill>
                <a:srgbClr val="FBECCC"/>
              </a:solidFill>
              <a:ln>
                <a:noFill/>
                <a:prstDash val="solid"/>
              </a:ln>
            </spPr>
          </dPt>
          <dPt>
            <idx val="78"/>
            <invertIfNegative val="0"/>
            <spPr>
              <a:solidFill>
                <a:srgbClr val="FBECCC"/>
              </a:solidFill>
              <a:ln>
                <a:noFill/>
                <a:prstDash val="solid"/>
              </a:ln>
            </spPr>
          </dPt>
          <dPt>
            <idx val="79"/>
            <invertIfNegative val="0"/>
            <spPr>
              <a:solidFill>
                <a:srgbClr val="FBECCC"/>
              </a:solidFill>
              <a:ln>
                <a:noFill/>
                <a:prstDash val="solid"/>
              </a:ln>
            </spPr>
          </dPt>
          <dPt>
            <idx val="80"/>
            <invertIfNegative val="0"/>
            <spPr>
              <a:solidFill>
                <a:srgbClr val="FBECCC"/>
              </a:solidFill>
              <a:ln>
                <a:noFill/>
                <a:prstDash val="solid"/>
              </a:ln>
            </spPr>
          </dPt>
          <dPt>
            <idx val="81"/>
            <invertIfNegative val="0"/>
            <spPr>
              <a:solidFill>
                <a:srgbClr val="FBECCC"/>
              </a:solidFill>
              <a:ln>
                <a:noFill/>
                <a:prstDash val="solid"/>
              </a:ln>
            </spPr>
          </dPt>
          <dPt>
            <idx val="82"/>
            <invertIfNegative val="0"/>
            <spPr>
              <a:solidFill>
                <a:srgbClr val="FBECCC"/>
              </a:solidFill>
              <a:ln>
                <a:noFill/>
                <a:prstDash val="solid"/>
              </a:ln>
            </spPr>
          </dPt>
          <dPt>
            <idx val="83"/>
            <invertIfNegative val="0"/>
            <spPr>
              <a:solidFill>
                <a:srgbClr val="FBECCC"/>
              </a:solidFill>
              <a:ln>
                <a:noFill/>
                <a:prstDash val="solid"/>
              </a:ln>
            </spPr>
          </dPt>
          <dPt>
            <idx val="84"/>
            <invertIfNegative val="0"/>
            <spPr>
              <a:solidFill>
                <a:srgbClr val="FBECCC"/>
              </a:solidFill>
              <a:ln>
                <a:noFill/>
                <a:prstDash val="solid"/>
              </a:ln>
            </spPr>
          </dPt>
          <dPt>
            <idx val="85"/>
            <invertIfNegative val="0"/>
            <spPr>
              <a:solidFill>
                <a:srgbClr val="FBECCC"/>
              </a:solidFill>
              <a:ln>
                <a:noFill/>
                <a:prstDash val="solid"/>
              </a:ln>
            </spPr>
          </dPt>
          <dPt>
            <idx val="86"/>
            <invertIfNegative val="0"/>
            <spPr>
              <a:solidFill>
                <a:srgbClr val="FBECCC"/>
              </a:solidFill>
              <a:ln>
                <a:noFill/>
                <a:prstDash val="solid"/>
              </a:ln>
            </spPr>
          </dPt>
          <dPt>
            <idx val="87"/>
            <invertIfNegative val="0"/>
            <spPr>
              <a:solidFill>
                <a:srgbClr val="FBECCC"/>
              </a:solidFill>
              <a:ln>
                <a:noFill/>
                <a:prstDash val="solid"/>
              </a:ln>
            </spPr>
          </dPt>
          <dPt>
            <idx val="88"/>
            <invertIfNegative val="0"/>
            <spPr>
              <a:solidFill>
                <a:srgbClr val="FBECCC"/>
              </a:solidFill>
              <a:ln>
                <a:noFill/>
                <a:prstDash val="solid"/>
              </a:ln>
            </spPr>
          </dPt>
          <dPt>
            <idx val="89"/>
            <invertIfNegative val="0"/>
            <spPr>
              <a:solidFill>
                <a:srgbClr val="FBECCC"/>
              </a:solidFill>
              <a:ln>
                <a:noFill/>
                <a:prstDash val="solid"/>
              </a:ln>
            </spPr>
          </dPt>
          <dPt>
            <idx val="90"/>
            <invertIfNegative val="0"/>
            <spPr>
              <a:solidFill>
                <a:srgbClr val="FBECCC"/>
              </a:solidFill>
              <a:ln>
                <a:noFill/>
                <a:prstDash val="solid"/>
              </a:ln>
            </spPr>
          </dPt>
          <dPt>
            <idx val="91"/>
            <invertIfNegative val="0"/>
            <spPr>
              <a:solidFill>
                <a:srgbClr val="FBECCC"/>
              </a:solidFill>
              <a:ln>
                <a:noFill/>
                <a:prstDash val="solid"/>
              </a:ln>
            </spPr>
          </dPt>
          <dPt>
            <idx val="92"/>
            <invertIfNegative val="0"/>
            <spPr>
              <a:solidFill>
                <a:srgbClr val="FBECCC"/>
              </a:solidFill>
              <a:ln>
                <a:noFill/>
                <a:prstDash val="solid"/>
              </a:ln>
            </spPr>
          </dPt>
          <dPt>
            <idx val="93"/>
            <invertIfNegative val="0"/>
            <spPr>
              <a:solidFill>
                <a:srgbClr val="FBECCC"/>
              </a:solidFill>
              <a:ln>
                <a:noFill/>
                <a:prstDash val="solid"/>
              </a:ln>
            </spPr>
          </dPt>
          <dPt>
            <idx val="94"/>
            <invertIfNegative val="0"/>
            <spPr>
              <a:solidFill>
                <a:srgbClr val="FBECCC"/>
              </a:solidFill>
              <a:ln>
                <a:noFill/>
                <a:prstDash val="solid"/>
              </a:ln>
            </spPr>
          </dPt>
          <dPt>
            <idx val="95"/>
            <invertIfNegative val="0"/>
            <spPr>
              <a:solidFill>
                <a:srgbClr val="FBECCC"/>
              </a:solidFill>
              <a:ln>
                <a:noFill/>
                <a:prstDash val="solid"/>
              </a:ln>
            </spPr>
          </dPt>
          <dPt>
            <idx val="96"/>
            <invertIfNegative val="0"/>
            <spPr>
              <a:solidFill>
                <a:srgbClr val="FBECCC"/>
              </a:solidFill>
              <a:ln>
                <a:noFill/>
                <a:prstDash val="solid"/>
              </a:ln>
            </spPr>
          </dPt>
          <dPt>
            <idx val="97"/>
            <invertIfNegative val="0"/>
            <spPr>
              <a:solidFill>
                <a:srgbClr val="FBECCC"/>
              </a:solidFill>
              <a:ln>
                <a:noFill/>
                <a:prstDash val="solid"/>
              </a:ln>
            </spPr>
          </dPt>
          <dPt>
            <idx val="98"/>
            <invertIfNegative val="0"/>
            <spPr>
              <a:solidFill>
                <a:srgbClr val="FBECCC"/>
              </a:solidFill>
              <a:ln>
                <a:noFill/>
                <a:prstDash val="solid"/>
              </a:ln>
            </spPr>
          </dPt>
          <dPt>
            <idx val="99"/>
            <invertIfNegative val="0"/>
            <spPr>
              <a:solidFill>
                <a:srgbClr val="FBECCC"/>
              </a:solidFill>
              <a:ln>
                <a:noFill/>
                <a:prstDash val="solid"/>
              </a:ln>
            </spPr>
          </dPt>
          <dPt>
            <idx val="100"/>
            <invertIfNegative val="0"/>
            <spPr>
              <a:solidFill>
                <a:srgbClr val="FBECCC"/>
              </a:solidFill>
              <a:ln>
                <a:noFill/>
                <a:prstDash val="solid"/>
              </a:ln>
            </spPr>
          </dPt>
          <dPt>
            <idx val="101"/>
            <invertIfNegative val="0"/>
            <spPr>
              <a:solidFill>
                <a:srgbClr val="FBECCC"/>
              </a:solidFill>
              <a:ln>
                <a:noFill/>
                <a:prstDash val="solid"/>
              </a:ln>
            </spPr>
          </dPt>
          <dPt>
            <idx val="102"/>
            <invertIfNegative val="0"/>
            <spPr>
              <a:solidFill>
                <a:srgbClr val="FBECCC"/>
              </a:solidFill>
              <a:ln>
                <a:noFill/>
                <a:prstDash val="solid"/>
              </a:ln>
            </spPr>
          </dPt>
          <dPt>
            <idx val="103"/>
            <invertIfNegative val="0"/>
            <spPr>
              <a:solidFill>
                <a:srgbClr val="FBECCC"/>
              </a:solidFill>
              <a:ln>
                <a:noFill/>
                <a:prstDash val="solid"/>
              </a:ln>
            </spPr>
          </dPt>
          <dPt>
            <idx val="104"/>
            <invertIfNegative val="0"/>
            <spPr>
              <a:solidFill>
                <a:srgbClr val="FBECCC"/>
              </a:solidFill>
              <a:ln>
                <a:noFill/>
                <a:prstDash val="solid"/>
              </a:ln>
            </spPr>
          </dPt>
          <dPt>
            <idx val="105"/>
            <invertIfNegative val="0"/>
            <spPr>
              <a:solidFill>
                <a:srgbClr val="FBECCC"/>
              </a:solidFill>
              <a:ln>
                <a:noFill/>
                <a:prstDash val="solid"/>
              </a:ln>
            </spPr>
          </dPt>
          <dPt>
            <idx val="106"/>
            <invertIfNegative val="0"/>
            <spPr>
              <a:solidFill>
                <a:srgbClr val="FBECCC"/>
              </a:solidFill>
              <a:ln>
                <a:noFill/>
                <a:prstDash val="solid"/>
              </a:ln>
            </spPr>
          </dPt>
          <dPt>
            <idx val="107"/>
            <invertIfNegative val="0"/>
            <spPr>
              <a:solidFill>
                <a:srgbClr val="FBECCC"/>
              </a:solidFill>
              <a:ln>
                <a:noFill/>
                <a:prstDash val="solid"/>
              </a:ln>
            </spPr>
          </dPt>
          <dPt>
            <idx val="108"/>
            <invertIfNegative val="0"/>
            <spPr>
              <a:solidFill>
                <a:srgbClr val="FBECCC"/>
              </a:solidFill>
              <a:ln>
                <a:noFill/>
                <a:prstDash val="solid"/>
              </a:ln>
            </spPr>
          </dPt>
          <dPt>
            <idx val="109"/>
            <invertIfNegative val="0"/>
            <spPr>
              <a:solidFill>
                <a:srgbClr val="FBECCC"/>
              </a:solidFill>
              <a:ln>
                <a:noFill/>
                <a:prstDash val="solid"/>
              </a:ln>
            </spPr>
          </dPt>
          <dPt>
            <idx val="110"/>
            <invertIfNegative val="0"/>
            <spPr>
              <a:solidFill>
                <a:srgbClr val="FBECCC"/>
              </a:solidFill>
              <a:ln>
                <a:noFill/>
                <a:prstDash val="solid"/>
              </a:ln>
            </spPr>
          </dPt>
          <dPt>
            <idx val="111"/>
            <invertIfNegative val="0"/>
            <spPr>
              <a:solidFill>
                <a:srgbClr val="FBECCC"/>
              </a:solidFill>
              <a:ln>
                <a:noFill/>
                <a:prstDash val="solid"/>
              </a:ln>
            </spPr>
          </dPt>
          <dPt>
            <idx val="112"/>
            <invertIfNegative val="0"/>
            <spPr>
              <a:solidFill>
                <a:srgbClr val="FBECCC"/>
              </a:solidFill>
              <a:ln>
                <a:noFill/>
                <a:prstDash val="solid"/>
              </a:ln>
            </spPr>
          </dPt>
          <dPt>
            <idx val="113"/>
            <invertIfNegative val="0"/>
            <spPr>
              <a:solidFill>
                <a:srgbClr val="FBECCC"/>
              </a:solidFill>
              <a:ln>
                <a:noFill/>
                <a:prstDash val="solid"/>
              </a:ln>
            </spPr>
          </dPt>
          <dPt>
            <idx val="114"/>
            <invertIfNegative val="0"/>
            <spPr>
              <a:solidFill>
                <a:srgbClr val="FBECCC"/>
              </a:solidFill>
              <a:ln>
                <a:noFill/>
                <a:prstDash val="solid"/>
              </a:ln>
            </spPr>
          </dPt>
          <dPt>
            <idx val="115"/>
            <invertIfNegative val="0"/>
            <spPr>
              <a:solidFill>
                <a:srgbClr val="FBECCC"/>
              </a:solidFill>
              <a:ln>
                <a:noFill/>
                <a:prstDash val="solid"/>
              </a:ln>
            </spPr>
          </dPt>
          <dPt>
            <idx val="116"/>
            <invertIfNegative val="0"/>
            <spPr>
              <a:solidFill>
                <a:srgbClr val="FBECCC"/>
              </a:solidFill>
              <a:ln>
                <a:noFill/>
                <a:prstDash val="solid"/>
              </a:ln>
            </spPr>
          </dPt>
          <dPt>
            <idx val="117"/>
            <invertIfNegative val="0"/>
            <spPr>
              <a:solidFill>
                <a:srgbClr val="FBECCC"/>
              </a:solidFill>
              <a:ln>
                <a:noFill/>
                <a:prstDash val="solid"/>
              </a:ln>
            </spPr>
          </dPt>
          <dPt>
            <idx val="118"/>
            <invertIfNegative val="0"/>
            <spPr>
              <a:solidFill>
                <a:srgbClr val="FBECCC"/>
              </a:solidFill>
              <a:ln>
                <a:noFill/>
                <a:prstDash val="solid"/>
              </a:ln>
            </spPr>
          </dPt>
          <dPt>
            <idx val="119"/>
            <invertIfNegative val="0"/>
            <spPr>
              <a:solidFill>
                <a:srgbClr val="FBECCC"/>
              </a:solidFill>
              <a:ln>
                <a:noFill/>
                <a:prstDash val="solid"/>
              </a:ln>
            </spPr>
          </dPt>
          <cat>
            <numRef>
              <f>'Chart - Demand to 2033'!$A$2:$A$121</f>
            </numRef>
          </cat>
          <val>
            <numRef>
              <f>'Chart - Demand to 2033'!$E$2:$E$121</f>
            </numRef>
          </val>
        </ser>
        <ser>
          <idx val="4"/>
          <order val="4"/>
          <tx>
            <strRef>
              <f>'Chart - Demand to 2033'!F1</f>
            </strRef>
          </tx>
          <spPr>
            <a:solidFill>
              <a:srgbClr val="E87BA4"/>
            </a:solidFill>
            <a:ln>
              <a:noFill/>
              <a:prstDash val="solid"/>
            </a:ln>
          </spPr>
          <dPt>
            <idx val="31"/>
            <invertIfNegative val="0"/>
            <spPr>
              <a:solidFill>
                <a:srgbClr val="F4C3D6"/>
              </a:solidFill>
              <a:ln>
                <a:noFill/>
                <a:prstDash val="solid"/>
              </a:ln>
            </spPr>
          </dPt>
          <dPt>
            <idx val="32"/>
            <invertIfNegative val="0"/>
            <spPr>
              <a:solidFill>
                <a:srgbClr val="F4C3D6"/>
              </a:solidFill>
              <a:ln>
                <a:noFill/>
                <a:prstDash val="solid"/>
              </a:ln>
            </spPr>
          </dPt>
          <dPt>
            <idx val="33"/>
            <invertIfNegative val="0"/>
            <spPr>
              <a:solidFill>
                <a:srgbClr val="F4C3D6"/>
              </a:solidFill>
              <a:ln>
                <a:noFill/>
                <a:prstDash val="solid"/>
              </a:ln>
            </spPr>
          </dPt>
          <dPt>
            <idx val="34"/>
            <invertIfNegative val="0"/>
            <spPr>
              <a:solidFill>
                <a:srgbClr val="F4C3D6"/>
              </a:solidFill>
              <a:ln>
                <a:noFill/>
                <a:prstDash val="solid"/>
              </a:ln>
            </spPr>
          </dPt>
          <dPt>
            <idx val="35"/>
            <invertIfNegative val="0"/>
            <spPr>
              <a:solidFill>
                <a:srgbClr val="F4C3D6"/>
              </a:solidFill>
              <a:ln>
                <a:noFill/>
                <a:prstDash val="solid"/>
              </a:ln>
            </spPr>
          </dPt>
          <dPt>
            <idx val="36"/>
            <invertIfNegative val="0"/>
            <spPr>
              <a:solidFill>
                <a:srgbClr val="F4C3D6"/>
              </a:solidFill>
              <a:ln>
                <a:noFill/>
                <a:prstDash val="solid"/>
              </a:ln>
            </spPr>
          </dPt>
          <dPt>
            <idx val="37"/>
            <invertIfNegative val="0"/>
            <spPr>
              <a:solidFill>
                <a:srgbClr val="F4C3D6"/>
              </a:solidFill>
              <a:ln>
                <a:noFill/>
                <a:prstDash val="solid"/>
              </a:ln>
            </spPr>
          </dPt>
          <dPt>
            <idx val="38"/>
            <invertIfNegative val="0"/>
            <spPr>
              <a:solidFill>
                <a:srgbClr val="F4C3D6"/>
              </a:solidFill>
              <a:ln>
                <a:noFill/>
                <a:prstDash val="solid"/>
              </a:ln>
            </spPr>
          </dPt>
          <dPt>
            <idx val="39"/>
            <invertIfNegative val="0"/>
            <spPr>
              <a:solidFill>
                <a:srgbClr val="F4C3D6"/>
              </a:solidFill>
              <a:ln>
                <a:noFill/>
                <a:prstDash val="solid"/>
              </a:ln>
            </spPr>
          </dPt>
          <dPt>
            <idx val="40"/>
            <invertIfNegative val="0"/>
            <spPr>
              <a:solidFill>
                <a:srgbClr val="F4C3D6"/>
              </a:solidFill>
              <a:ln>
                <a:noFill/>
                <a:prstDash val="solid"/>
              </a:ln>
            </spPr>
          </dPt>
          <dPt>
            <idx val="41"/>
            <invertIfNegative val="0"/>
            <spPr>
              <a:solidFill>
                <a:srgbClr val="F4C3D6"/>
              </a:solidFill>
              <a:ln>
                <a:noFill/>
                <a:prstDash val="solid"/>
              </a:ln>
            </spPr>
          </dPt>
          <dPt>
            <idx val="42"/>
            <invertIfNegative val="0"/>
            <spPr>
              <a:solidFill>
                <a:srgbClr val="F4C3D6"/>
              </a:solidFill>
              <a:ln>
                <a:noFill/>
                <a:prstDash val="solid"/>
              </a:ln>
            </spPr>
          </dPt>
          <dPt>
            <idx val="43"/>
            <invertIfNegative val="0"/>
            <spPr>
              <a:solidFill>
                <a:srgbClr val="F4C3D6"/>
              </a:solidFill>
              <a:ln>
                <a:noFill/>
                <a:prstDash val="solid"/>
              </a:ln>
            </spPr>
          </dPt>
          <dPt>
            <idx val="44"/>
            <invertIfNegative val="0"/>
            <spPr>
              <a:solidFill>
                <a:srgbClr val="F4C3D6"/>
              </a:solidFill>
              <a:ln>
                <a:noFill/>
                <a:prstDash val="solid"/>
              </a:ln>
            </spPr>
          </dPt>
          <dPt>
            <idx val="45"/>
            <invertIfNegative val="0"/>
            <spPr>
              <a:solidFill>
                <a:srgbClr val="F4C3D6"/>
              </a:solidFill>
              <a:ln>
                <a:noFill/>
                <a:prstDash val="solid"/>
              </a:ln>
            </spPr>
          </dPt>
          <dPt>
            <idx val="46"/>
            <invertIfNegative val="0"/>
            <spPr>
              <a:solidFill>
                <a:srgbClr val="F4C3D6"/>
              </a:solidFill>
              <a:ln>
                <a:noFill/>
                <a:prstDash val="solid"/>
              </a:ln>
            </spPr>
          </dPt>
          <dPt>
            <idx val="47"/>
            <invertIfNegative val="0"/>
            <spPr>
              <a:solidFill>
                <a:srgbClr val="F4C3D6"/>
              </a:solidFill>
              <a:ln>
                <a:noFill/>
                <a:prstDash val="solid"/>
              </a:ln>
            </spPr>
          </dPt>
          <dPt>
            <idx val="48"/>
            <invertIfNegative val="0"/>
            <spPr>
              <a:solidFill>
                <a:srgbClr val="F4C3D6"/>
              </a:solidFill>
              <a:ln>
                <a:noFill/>
                <a:prstDash val="solid"/>
              </a:ln>
            </spPr>
          </dPt>
          <dPt>
            <idx val="49"/>
            <invertIfNegative val="0"/>
            <spPr>
              <a:solidFill>
                <a:srgbClr val="F4C3D6"/>
              </a:solidFill>
              <a:ln>
                <a:noFill/>
                <a:prstDash val="solid"/>
              </a:ln>
            </spPr>
          </dPt>
          <dPt>
            <idx val="50"/>
            <invertIfNegative val="0"/>
            <spPr>
              <a:solidFill>
                <a:srgbClr val="F4C3D6"/>
              </a:solidFill>
              <a:ln>
                <a:noFill/>
                <a:prstDash val="solid"/>
              </a:ln>
            </spPr>
          </dPt>
          <dPt>
            <idx val="51"/>
            <invertIfNegative val="0"/>
            <spPr>
              <a:solidFill>
                <a:srgbClr val="F4C3D6"/>
              </a:solidFill>
              <a:ln>
                <a:noFill/>
                <a:prstDash val="solid"/>
              </a:ln>
            </spPr>
          </dPt>
          <dPt>
            <idx val="52"/>
            <invertIfNegative val="0"/>
            <spPr>
              <a:solidFill>
                <a:srgbClr val="F4C3D6"/>
              </a:solidFill>
              <a:ln>
                <a:noFill/>
                <a:prstDash val="solid"/>
              </a:ln>
            </spPr>
          </dPt>
          <dPt>
            <idx val="53"/>
            <invertIfNegative val="0"/>
            <spPr>
              <a:solidFill>
                <a:srgbClr val="F4C3D6"/>
              </a:solidFill>
              <a:ln>
                <a:noFill/>
                <a:prstDash val="solid"/>
              </a:ln>
            </spPr>
          </dPt>
          <dPt>
            <idx val="54"/>
            <invertIfNegative val="0"/>
            <spPr>
              <a:solidFill>
                <a:srgbClr val="F4C3D6"/>
              </a:solidFill>
              <a:ln>
                <a:noFill/>
                <a:prstDash val="solid"/>
              </a:ln>
            </spPr>
          </dPt>
          <dPt>
            <idx val="55"/>
            <invertIfNegative val="0"/>
            <spPr>
              <a:solidFill>
                <a:srgbClr val="F4C3D6"/>
              </a:solidFill>
              <a:ln>
                <a:noFill/>
                <a:prstDash val="solid"/>
              </a:ln>
            </spPr>
          </dPt>
          <dPt>
            <idx val="56"/>
            <invertIfNegative val="0"/>
            <spPr>
              <a:solidFill>
                <a:srgbClr val="F4C3D6"/>
              </a:solidFill>
              <a:ln>
                <a:noFill/>
                <a:prstDash val="solid"/>
              </a:ln>
            </spPr>
          </dPt>
          <dPt>
            <idx val="57"/>
            <invertIfNegative val="0"/>
            <spPr>
              <a:solidFill>
                <a:srgbClr val="F4C3D6"/>
              </a:solidFill>
              <a:ln>
                <a:noFill/>
                <a:prstDash val="solid"/>
              </a:ln>
            </spPr>
          </dPt>
          <dPt>
            <idx val="58"/>
            <invertIfNegative val="0"/>
            <spPr>
              <a:solidFill>
                <a:srgbClr val="F4C3D6"/>
              </a:solidFill>
              <a:ln>
                <a:noFill/>
                <a:prstDash val="solid"/>
              </a:ln>
            </spPr>
          </dPt>
          <dPt>
            <idx val="59"/>
            <invertIfNegative val="0"/>
            <spPr>
              <a:solidFill>
                <a:srgbClr val="F4C3D6"/>
              </a:solidFill>
              <a:ln>
                <a:noFill/>
                <a:prstDash val="solid"/>
              </a:ln>
            </spPr>
          </dPt>
          <dPt>
            <idx val="60"/>
            <invertIfNegative val="0"/>
            <spPr>
              <a:solidFill>
                <a:srgbClr val="FAE4EC"/>
              </a:solidFill>
              <a:ln>
                <a:noFill/>
                <a:prstDash val="solid"/>
              </a:ln>
            </spPr>
          </dPt>
          <dPt>
            <idx val="61"/>
            <invertIfNegative val="0"/>
            <spPr>
              <a:solidFill>
                <a:srgbClr val="FAE4EC"/>
              </a:solidFill>
              <a:ln>
                <a:noFill/>
                <a:prstDash val="solid"/>
              </a:ln>
            </spPr>
          </dPt>
          <dPt>
            <idx val="62"/>
            <invertIfNegative val="0"/>
            <spPr>
              <a:solidFill>
                <a:srgbClr val="FAE4EC"/>
              </a:solidFill>
              <a:ln>
                <a:noFill/>
                <a:prstDash val="solid"/>
              </a:ln>
            </spPr>
          </dPt>
          <dPt>
            <idx val="63"/>
            <invertIfNegative val="0"/>
            <spPr>
              <a:solidFill>
                <a:srgbClr val="FAE4EC"/>
              </a:solidFill>
              <a:ln>
                <a:noFill/>
                <a:prstDash val="solid"/>
              </a:ln>
            </spPr>
          </dPt>
          <dPt>
            <idx val="64"/>
            <invertIfNegative val="0"/>
            <spPr>
              <a:solidFill>
                <a:srgbClr val="FAE4EC"/>
              </a:solidFill>
              <a:ln>
                <a:noFill/>
                <a:prstDash val="solid"/>
              </a:ln>
            </spPr>
          </dPt>
          <dPt>
            <idx val="65"/>
            <invertIfNegative val="0"/>
            <spPr>
              <a:solidFill>
                <a:srgbClr val="FAE4EC"/>
              </a:solidFill>
              <a:ln>
                <a:noFill/>
                <a:prstDash val="solid"/>
              </a:ln>
            </spPr>
          </dPt>
          <dPt>
            <idx val="66"/>
            <invertIfNegative val="0"/>
            <spPr>
              <a:solidFill>
                <a:srgbClr val="FAE4EC"/>
              </a:solidFill>
              <a:ln>
                <a:noFill/>
                <a:prstDash val="solid"/>
              </a:ln>
            </spPr>
          </dPt>
          <dPt>
            <idx val="67"/>
            <invertIfNegative val="0"/>
            <spPr>
              <a:solidFill>
                <a:srgbClr val="FAE4EC"/>
              </a:solidFill>
              <a:ln>
                <a:noFill/>
                <a:prstDash val="solid"/>
              </a:ln>
            </spPr>
          </dPt>
          <dPt>
            <idx val="68"/>
            <invertIfNegative val="0"/>
            <spPr>
              <a:solidFill>
                <a:srgbClr val="FAE4EC"/>
              </a:solidFill>
              <a:ln>
                <a:noFill/>
                <a:prstDash val="solid"/>
              </a:ln>
            </spPr>
          </dPt>
          <dPt>
            <idx val="69"/>
            <invertIfNegative val="0"/>
            <spPr>
              <a:solidFill>
                <a:srgbClr val="FAE4EC"/>
              </a:solidFill>
              <a:ln>
                <a:noFill/>
                <a:prstDash val="solid"/>
              </a:ln>
            </spPr>
          </dPt>
          <dPt>
            <idx val="70"/>
            <invertIfNegative val="0"/>
            <spPr>
              <a:solidFill>
                <a:srgbClr val="FAE4EC"/>
              </a:solidFill>
              <a:ln>
                <a:noFill/>
                <a:prstDash val="solid"/>
              </a:ln>
            </spPr>
          </dPt>
          <dPt>
            <idx val="71"/>
            <invertIfNegative val="0"/>
            <spPr>
              <a:solidFill>
                <a:srgbClr val="FAE4EC"/>
              </a:solidFill>
              <a:ln>
                <a:noFill/>
                <a:prstDash val="solid"/>
              </a:ln>
            </spPr>
          </dPt>
          <dPt>
            <idx val="72"/>
            <invertIfNegative val="0"/>
            <spPr>
              <a:solidFill>
                <a:srgbClr val="FAE4EC"/>
              </a:solidFill>
              <a:ln>
                <a:noFill/>
                <a:prstDash val="solid"/>
              </a:ln>
            </spPr>
          </dPt>
          <dPt>
            <idx val="73"/>
            <invertIfNegative val="0"/>
            <spPr>
              <a:solidFill>
                <a:srgbClr val="FAE4EC"/>
              </a:solidFill>
              <a:ln>
                <a:noFill/>
                <a:prstDash val="solid"/>
              </a:ln>
            </spPr>
          </dPt>
          <dPt>
            <idx val="74"/>
            <invertIfNegative val="0"/>
            <spPr>
              <a:solidFill>
                <a:srgbClr val="FAE4EC"/>
              </a:solidFill>
              <a:ln>
                <a:noFill/>
                <a:prstDash val="solid"/>
              </a:ln>
            </spPr>
          </dPt>
          <dPt>
            <idx val="75"/>
            <invertIfNegative val="0"/>
            <spPr>
              <a:solidFill>
                <a:srgbClr val="FAE4EC"/>
              </a:solidFill>
              <a:ln>
                <a:noFill/>
                <a:prstDash val="solid"/>
              </a:ln>
            </spPr>
          </dPt>
          <dPt>
            <idx val="76"/>
            <invertIfNegative val="0"/>
            <spPr>
              <a:solidFill>
                <a:srgbClr val="FAE4EC"/>
              </a:solidFill>
              <a:ln>
                <a:noFill/>
                <a:prstDash val="solid"/>
              </a:ln>
            </spPr>
          </dPt>
          <dPt>
            <idx val="77"/>
            <invertIfNegative val="0"/>
            <spPr>
              <a:solidFill>
                <a:srgbClr val="FAE4EC"/>
              </a:solidFill>
              <a:ln>
                <a:noFill/>
                <a:prstDash val="solid"/>
              </a:ln>
            </spPr>
          </dPt>
          <dPt>
            <idx val="78"/>
            <invertIfNegative val="0"/>
            <spPr>
              <a:solidFill>
                <a:srgbClr val="FAE4EC"/>
              </a:solidFill>
              <a:ln>
                <a:noFill/>
                <a:prstDash val="solid"/>
              </a:ln>
            </spPr>
          </dPt>
          <dPt>
            <idx val="79"/>
            <invertIfNegative val="0"/>
            <spPr>
              <a:solidFill>
                <a:srgbClr val="FAE4EC"/>
              </a:solidFill>
              <a:ln>
                <a:noFill/>
                <a:prstDash val="solid"/>
              </a:ln>
            </spPr>
          </dPt>
          <dPt>
            <idx val="80"/>
            <invertIfNegative val="0"/>
            <spPr>
              <a:solidFill>
                <a:srgbClr val="FAE4EC"/>
              </a:solidFill>
              <a:ln>
                <a:noFill/>
                <a:prstDash val="solid"/>
              </a:ln>
            </spPr>
          </dPt>
          <dPt>
            <idx val="81"/>
            <invertIfNegative val="0"/>
            <spPr>
              <a:solidFill>
                <a:srgbClr val="FAE4EC"/>
              </a:solidFill>
              <a:ln>
                <a:noFill/>
                <a:prstDash val="solid"/>
              </a:ln>
            </spPr>
          </dPt>
          <dPt>
            <idx val="82"/>
            <invertIfNegative val="0"/>
            <spPr>
              <a:solidFill>
                <a:srgbClr val="FAE4EC"/>
              </a:solidFill>
              <a:ln>
                <a:noFill/>
                <a:prstDash val="solid"/>
              </a:ln>
            </spPr>
          </dPt>
          <dPt>
            <idx val="83"/>
            <invertIfNegative val="0"/>
            <spPr>
              <a:solidFill>
                <a:srgbClr val="FAE4EC"/>
              </a:solidFill>
              <a:ln>
                <a:noFill/>
                <a:prstDash val="solid"/>
              </a:ln>
            </spPr>
          </dPt>
          <dPt>
            <idx val="84"/>
            <invertIfNegative val="0"/>
            <spPr>
              <a:solidFill>
                <a:srgbClr val="FAE4EC"/>
              </a:solidFill>
              <a:ln>
                <a:noFill/>
                <a:prstDash val="solid"/>
              </a:ln>
            </spPr>
          </dPt>
          <dPt>
            <idx val="85"/>
            <invertIfNegative val="0"/>
            <spPr>
              <a:solidFill>
                <a:srgbClr val="FAE4EC"/>
              </a:solidFill>
              <a:ln>
                <a:noFill/>
                <a:prstDash val="solid"/>
              </a:ln>
            </spPr>
          </dPt>
          <dPt>
            <idx val="86"/>
            <invertIfNegative val="0"/>
            <spPr>
              <a:solidFill>
                <a:srgbClr val="FAE4EC"/>
              </a:solidFill>
              <a:ln>
                <a:noFill/>
                <a:prstDash val="solid"/>
              </a:ln>
            </spPr>
          </dPt>
          <dPt>
            <idx val="87"/>
            <invertIfNegative val="0"/>
            <spPr>
              <a:solidFill>
                <a:srgbClr val="FAE4EC"/>
              </a:solidFill>
              <a:ln>
                <a:noFill/>
                <a:prstDash val="solid"/>
              </a:ln>
            </spPr>
          </dPt>
          <dPt>
            <idx val="88"/>
            <invertIfNegative val="0"/>
            <spPr>
              <a:solidFill>
                <a:srgbClr val="FAE4EC"/>
              </a:solidFill>
              <a:ln>
                <a:noFill/>
                <a:prstDash val="solid"/>
              </a:ln>
            </spPr>
          </dPt>
          <dPt>
            <idx val="89"/>
            <invertIfNegative val="0"/>
            <spPr>
              <a:solidFill>
                <a:srgbClr val="FAE4EC"/>
              </a:solidFill>
              <a:ln>
                <a:noFill/>
                <a:prstDash val="solid"/>
              </a:ln>
            </spPr>
          </dPt>
          <dPt>
            <idx val="90"/>
            <invertIfNegative val="0"/>
            <spPr>
              <a:solidFill>
                <a:srgbClr val="FAE4EC"/>
              </a:solidFill>
              <a:ln>
                <a:noFill/>
                <a:prstDash val="solid"/>
              </a:ln>
            </spPr>
          </dPt>
          <dPt>
            <idx val="91"/>
            <invertIfNegative val="0"/>
            <spPr>
              <a:solidFill>
                <a:srgbClr val="FAE4EC"/>
              </a:solidFill>
              <a:ln>
                <a:noFill/>
                <a:prstDash val="solid"/>
              </a:ln>
            </spPr>
          </dPt>
          <dPt>
            <idx val="92"/>
            <invertIfNegative val="0"/>
            <spPr>
              <a:solidFill>
                <a:srgbClr val="FAE4EC"/>
              </a:solidFill>
              <a:ln>
                <a:noFill/>
                <a:prstDash val="solid"/>
              </a:ln>
            </spPr>
          </dPt>
          <dPt>
            <idx val="93"/>
            <invertIfNegative val="0"/>
            <spPr>
              <a:solidFill>
                <a:srgbClr val="FAE4EC"/>
              </a:solidFill>
              <a:ln>
                <a:noFill/>
                <a:prstDash val="solid"/>
              </a:ln>
            </spPr>
          </dPt>
          <dPt>
            <idx val="94"/>
            <invertIfNegative val="0"/>
            <spPr>
              <a:solidFill>
                <a:srgbClr val="FAE4EC"/>
              </a:solidFill>
              <a:ln>
                <a:noFill/>
                <a:prstDash val="solid"/>
              </a:ln>
            </spPr>
          </dPt>
          <dPt>
            <idx val="95"/>
            <invertIfNegative val="0"/>
            <spPr>
              <a:solidFill>
                <a:srgbClr val="FAE4EC"/>
              </a:solidFill>
              <a:ln>
                <a:noFill/>
                <a:prstDash val="solid"/>
              </a:ln>
            </spPr>
          </dPt>
          <dPt>
            <idx val="96"/>
            <invertIfNegative val="0"/>
            <spPr>
              <a:solidFill>
                <a:srgbClr val="FAE4EC"/>
              </a:solidFill>
              <a:ln>
                <a:noFill/>
                <a:prstDash val="solid"/>
              </a:ln>
            </spPr>
          </dPt>
          <dPt>
            <idx val="97"/>
            <invertIfNegative val="0"/>
            <spPr>
              <a:solidFill>
                <a:srgbClr val="FAE4EC"/>
              </a:solidFill>
              <a:ln>
                <a:noFill/>
                <a:prstDash val="solid"/>
              </a:ln>
            </spPr>
          </dPt>
          <dPt>
            <idx val="98"/>
            <invertIfNegative val="0"/>
            <spPr>
              <a:solidFill>
                <a:srgbClr val="FAE4EC"/>
              </a:solidFill>
              <a:ln>
                <a:noFill/>
                <a:prstDash val="solid"/>
              </a:ln>
            </spPr>
          </dPt>
          <dPt>
            <idx val="99"/>
            <invertIfNegative val="0"/>
            <spPr>
              <a:solidFill>
                <a:srgbClr val="FAE4EC"/>
              </a:solidFill>
              <a:ln>
                <a:noFill/>
                <a:prstDash val="solid"/>
              </a:ln>
            </spPr>
          </dPt>
          <dPt>
            <idx val="100"/>
            <invertIfNegative val="0"/>
            <spPr>
              <a:solidFill>
                <a:srgbClr val="FAE4EC"/>
              </a:solidFill>
              <a:ln>
                <a:noFill/>
                <a:prstDash val="solid"/>
              </a:ln>
            </spPr>
          </dPt>
          <dPt>
            <idx val="101"/>
            <invertIfNegative val="0"/>
            <spPr>
              <a:solidFill>
                <a:srgbClr val="FAE4EC"/>
              </a:solidFill>
              <a:ln>
                <a:noFill/>
                <a:prstDash val="solid"/>
              </a:ln>
            </spPr>
          </dPt>
          <dPt>
            <idx val="102"/>
            <invertIfNegative val="0"/>
            <spPr>
              <a:solidFill>
                <a:srgbClr val="FAE4EC"/>
              </a:solidFill>
              <a:ln>
                <a:noFill/>
                <a:prstDash val="solid"/>
              </a:ln>
            </spPr>
          </dPt>
          <dPt>
            <idx val="103"/>
            <invertIfNegative val="0"/>
            <spPr>
              <a:solidFill>
                <a:srgbClr val="FAE4EC"/>
              </a:solidFill>
              <a:ln>
                <a:noFill/>
                <a:prstDash val="solid"/>
              </a:ln>
            </spPr>
          </dPt>
          <dPt>
            <idx val="104"/>
            <invertIfNegative val="0"/>
            <spPr>
              <a:solidFill>
                <a:srgbClr val="FAE4EC"/>
              </a:solidFill>
              <a:ln>
                <a:noFill/>
                <a:prstDash val="solid"/>
              </a:ln>
            </spPr>
          </dPt>
          <dPt>
            <idx val="105"/>
            <invertIfNegative val="0"/>
            <spPr>
              <a:solidFill>
                <a:srgbClr val="FAE4EC"/>
              </a:solidFill>
              <a:ln>
                <a:noFill/>
                <a:prstDash val="solid"/>
              </a:ln>
            </spPr>
          </dPt>
          <dPt>
            <idx val="106"/>
            <invertIfNegative val="0"/>
            <spPr>
              <a:solidFill>
                <a:srgbClr val="FAE4EC"/>
              </a:solidFill>
              <a:ln>
                <a:noFill/>
                <a:prstDash val="solid"/>
              </a:ln>
            </spPr>
          </dPt>
          <dPt>
            <idx val="107"/>
            <invertIfNegative val="0"/>
            <spPr>
              <a:solidFill>
                <a:srgbClr val="FAE4EC"/>
              </a:solidFill>
              <a:ln>
                <a:noFill/>
                <a:prstDash val="solid"/>
              </a:ln>
            </spPr>
          </dPt>
          <dPt>
            <idx val="108"/>
            <invertIfNegative val="0"/>
            <spPr>
              <a:solidFill>
                <a:srgbClr val="FAE4EC"/>
              </a:solidFill>
              <a:ln>
                <a:noFill/>
                <a:prstDash val="solid"/>
              </a:ln>
            </spPr>
          </dPt>
          <dPt>
            <idx val="109"/>
            <invertIfNegative val="0"/>
            <spPr>
              <a:solidFill>
                <a:srgbClr val="FAE4EC"/>
              </a:solidFill>
              <a:ln>
                <a:noFill/>
                <a:prstDash val="solid"/>
              </a:ln>
            </spPr>
          </dPt>
          <dPt>
            <idx val="110"/>
            <invertIfNegative val="0"/>
            <spPr>
              <a:solidFill>
                <a:srgbClr val="FAE4EC"/>
              </a:solidFill>
              <a:ln>
                <a:noFill/>
                <a:prstDash val="solid"/>
              </a:ln>
            </spPr>
          </dPt>
          <dPt>
            <idx val="111"/>
            <invertIfNegative val="0"/>
            <spPr>
              <a:solidFill>
                <a:srgbClr val="FAE4EC"/>
              </a:solidFill>
              <a:ln>
                <a:noFill/>
                <a:prstDash val="solid"/>
              </a:ln>
            </spPr>
          </dPt>
          <dPt>
            <idx val="112"/>
            <invertIfNegative val="0"/>
            <spPr>
              <a:solidFill>
                <a:srgbClr val="FAE4EC"/>
              </a:solidFill>
              <a:ln>
                <a:noFill/>
                <a:prstDash val="solid"/>
              </a:ln>
            </spPr>
          </dPt>
          <dPt>
            <idx val="113"/>
            <invertIfNegative val="0"/>
            <spPr>
              <a:solidFill>
                <a:srgbClr val="FAE4EC"/>
              </a:solidFill>
              <a:ln>
                <a:noFill/>
                <a:prstDash val="solid"/>
              </a:ln>
            </spPr>
          </dPt>
          <dPt>
            <idx val="114"/>
            <invertIfNegative val="0"/>
            <spPr>
              <a:solidFill>
                <a:srgbClr val="FAE4EC"/>
              </a:solidFill>
              <a:ln>
                <a:noFill/>
                <a:prstDash val="solid"/>
              </a:ln>
            </spPr>
          </dPt>
          <dPt>
            <idx val="115"/>
            <invertIfNegative val="0"/>
            <spPr>
              <a:solidFill>
                <a:srgbClr val="FAE4EC"/>
              </a:solidFill>
              <a:ln>
                <a:noFill/>
                <a:prstDash val="solid"/>
              </a:ln>
            </spPr>
          </dPt>
          <dPt>
            <idx val="116"/>
            <invertIfNegative val="0"/>
            <spPr>
              <a:solidFill>
                <a:srgbClr val="FAE4EC"/>
              </a:solidFill>
              <a:ln>
                <a:noFill/>
                <a:prstDash val="solid"/>
              </a:ln>
            </spPr>
          </dPt>
          <dPt>
            <idx val="117"/>
            <invertIfNegative val="0"/>
            <spPr>
              <a:solidFill>
                <a:srgbClr val="FAE4EC"/>
              </a:solidFill>
              <a:ln>
                <a:noFill/>
                <a:prstDash val="solid"/>
              </a:ln>
            </spPr>
          </dPt>
          <dPt>
            <idx val="118"/>
            <invertIfNegative val="0"/>
            <spPr>
              <a:solidFill>
                <a:srgbClr val="FAE4EC"/>
              </a:solidFill>
              <a:ln>
                <a:noFill/>
                <a:prstDash val="solid"/>
              </a:ln>
            </spPr>
          </dPt>
          <dPt>
            <idx val="119"/>
            <invertIfNegative val="0"/>
            <spPr>
              <a:solidFill>
                <a:srgbClr val="FAE4EC"/>
              </a:solidFill>
              <a:ln>
                <a:noFill/>
                <a:prstDash val="solid"/>
              </a:ln>
            </spPr>
          </dPt>
          <cat>
            <numRef>
              <f>'Chart - Demand to 2033'!$A$2:$A$121</f>
            </numRef>
          </cat>
          <val>
            <numRef>
              <f>'Chart - Demand to 2033'!$F$2:$F$121</f>
            </numRef>
          </val>
        </ser>
        <ser>
          <idx val="5"/>
          <order val="5"/>
          <tx>
            <strRef>
              <f>'Chart - Demand to 2033'!G1</f>
            </strRef>
          </tx>
          <spPr>
            <a:solidFill>
              <a:srgbClr val="008300"/>
            </a:solidFill>
            <a:ln>
              <a:noFill/>
              <a:prstDash val="solid"/>
            </a:ln>
          </spPr>
          <dPt>
            <idx val="31"/>
            <invertIfNegative val="0"/>
            <spPr>
              <a:solidFill>
                <a:srgbClr val="8CC78C"/>
              </a:solidFill>
              <a:ln>
                <a:noFill/>
                <a:prstDash val="solid"/>
              </a:ln>
            </spPr>
          </dPt>
          <dPt>
            <idx val="32"/>
            <invertIfNegative val="0"/>
            <spPr>
              <a:solidFill>
                <a:srgbClr val="8CC78C"/>
              </a:solidFill>
              <a:ln>
                <a:noFill/>
                <a:prstDash val="solid"/>
              </a:ln>
            </spPr>
          </dPt>
          <dPt>
            <idx val="33"/>
            <invertIfNegative val="0"/>
            <spPr>
              <a:solidFill>
                <a:srgbClr val="8CC78C"/>
              </a:solidFill>
              <a:ln>
                <a:noFill/>
                <a:prstDash val="solid"/>
              </a:ln>
            </spPr>
          </dPt>
          <dPt>
            <idx val="34"/>
            <invertIfNegative val="0"/>
            <spPr>
              <a:solidFill>
                <a:srgbClr val="8CC78C"/>
              </a:solidFill>
              <a:ln>
                <a:noFill/>
                <a:prstDash val="solid"/>
              </a:ln>
            </spPr>
          </dPt>
          <dPt>
            <idx val="35"/>
            <invertIfNegative val="0"/>
            <spPr>
              <a:solidFill>
                <a:srgbClr val="8CC78C"/>
              </a:solidFill>
              <a:ln>
                <a:noFill/>
                <a:prstDash val="solid"/>
              </a:ln>
            </spPr>
          </dPt>
          <dPt>
            <idx val="36"/>
            <invertIfNegative val="0"/>
            <spPr>
              <a:solidFill>
                <a:srgbClr val="8CC78C"/>
              </a:solidFill>
              <a:ln>
                <a:noFill/>
                <a:prstDash val="solid"/>
              </a:ln>
            </spPr>
          </dPt>
          <dPt>
            <idx val="37"/>
            <invertIfNegative val="0"/>
            <spPr>
              <a:solidFill>
                <a:srgbClr val="8CC78C"/>
              </a:solidFill>
              <a:ln>
                <a:noFill/>
                <a:prstDash val="solid"/>
              </a:ln>
            </spPr>
          </dPt>
          <dPt>
            <idx val="38"/>
            <invertIfNegative val="0"/>
            <spPr>
              <a:solidFill>
                <a:srgbClr val="8CC78C"/>
              </a:solidFill>
              <a:ln>
                <a:noFill/>
                <a:prstDash val="solid"/>
              </a:ln>
            </spPr>
          </dPt>
          <dPt>
            <idx val="39"/>
            <invertIfNegative val="0"/>
            <spPr>
              <a:solidFill>
                <a:srgbClr val="8CC78C"/>
              </a:solidFill>
              <a:ln>
                <a:noFill/>
                <a:prstDash val="solid"/>
              </a:ln>
            </spPr>
          </dPt>
          <dPt>
            <idx val="40"/>
            <invertIfNegative val="0"/>
            <spPr>
              <a:solidFill>
                <a:srgbClr val="8CC78C"/>
              </a:solidFill>
              <a:ln>
                <a:noFill/>
                <a:prstDash val="solid"/>
              </a:ln>
            </spPr>
          </dPt>
          <dPt>
            <idx val="41"/>
            <invertIfNegative val="0"/>
            <spPr>
              <a:solidFill>
                <a:srgbClr val="8CC78C"/>
              </a:solidFill>
              <a:ln>
                <a:noFill/>
                <a:prstDash val="solid"/>
              </a:ln>
            </spPr>
          </dPt>
          <dPt>
            <idx val="42"/>
            <invertIfNegative val="0"/>
            <spPr>
              <a:solidFill>
                <a:srgbClr val="8CC78C"/>
              </a:solidFill>
              <a:ln>
                <a:noFill/>
                <a:prstDash val="solid"/>
              </a:ln>
            </spPr>
          </dPt>
          <dPt>
            <idx val="43"/>
            <invertIfNegative val="0"/>
            <spPr>
              <a:solidFill>
                <a:srgbClr val="8CC78C"/>
              </a:solidFill>
              <a:ln>
                <a:noFill/>
                <a:prstDash val="solid"/>
              </a:ln>
            </spPr>
          </dPt>
          <dPt>
            <idx val="44"/>
            <invertIfNegative val="0"/>
            <spPr>
              <a:solidFill>
                <a:srgbClr val="8CC78C"/>
              </a:solidFill>
              <a:ln>
                <a:noFill/>
                <a:prstDash val="solid"/>
              </a:ln>
            </spPr>
          </dPt>
          <dPt>
            <idx val="45"/>
            <invertIfNegative val="0"/>
            <spPr>
              <a:solidFill>
                <a:srgbClr val="8CC78C"/>
              </a:solidFill>
              <a:ln>
                <a:noFill/>
                <a:prstDash val="solid"/>
              </a:ln>
            </spPr>
          </dPt>
          <dPt>
            <idx val="46"/>
            <invertIfNegative val="0"/>
            <spPr>
              <a:solidFill>
                <a:srgbClr val="8CC78C"/>
              </a:solidFill>
              <a:ln>
                <a:noFill/>
                <a:prstDash val="solid"/>
              </a:ln>
            </spPr>
          </dPt>
          <dPt>
            <idx val="47"/>
            <invertIfNegative val="0"/>
            <spPr>
              <a:solidFill>
                <a:srgbClr val="8CC78C"/>
              </a:solidFill>
              <a:ln>
                <a:noFill/>
                <a:prstDash val="solid"/>
              </a:ln>
            </spPr>
          </dPt>
          <dPt>
            <idx val="48"/>
            <invertIfNegative val="0"/>
            <spPr>
              <a:solidFill>
                <a:srgbClr val="8CC78C"/>
              </a:solidFill>
              <a:ln>
                <a:noFill/>
                <a:prstDash val="solid"/>
              </a:ln>
            </spPr>
          </dPt>
          <dPt>
            <idx val="49"/>
            <invertIfNegative val="0"/>
            <spPr>
              <a:solidFill>
                <a:srgbClr val="8CC78C"/>
              </a:solidFill>
              <a:ln>
                <a:noFill/>
                <a:prstDash val="solid"/>
              </a:ln>
            </spPr>
          </dPt>
          <dPt>
            <idx val="50"/>
            <invertIfNegative val="0"/>
            <spPr>
              <a:solidFill>
                <a:srgbClr val="8CC78C"/>
              </a:solidFill>
              <a:ln>
                <a:noFill/>
                <a:prstDash val="solid"/>
              </a:ln>
            </spPr>
          </dPt>
          <dPt>
            <idx val="51"/>
            <invertIfNegative val="0"/>
            <spPr>
              <a:solidFill>
                <a:srgbClr val="8CC78C"/>
              </a:solidFill>
              <a:ln>
                <a:noFill/>
                <a:prstDash val="solid"/>
              </a:ln>
            </spPr>
          </dPt>
          <dPt>
            <idx val="52"/>
            <invertIfNegative val="0"/>
            <spPr>
              <a:solidFill>
                <a:srgbClr val="8CC78C"/>
              </a:solidFill>
              <a:ln>
                <a:noFill/>
                <a:prstDash val="solid"/>
              </a:ln>
            </spPr>
          </dPt>
          <dPt>
            <idx val="53"/>
            <invertIfNegative val="0"/>
            <spPr>
              <a:solidFill>
                <a:srgbClr val="8CC78C"/>
              </a:solidFill>
              <a:ln>
                <a:noFill/>
                <a:prstDash val="solid"/>
              </a:ln>
            </spPr>
          </dPt>
          <dPt>
            <idx val="54"/>
            <invertIfNegative val="0"/>
            <spPr>
              <a:solidFill>
                <a:srgbClr val="8CC78C"/>
              </a:solidFill>
              <a:ln>
                <a:noFill/>
                <a:prstDash val="solid"/>
              </a:ln>
            </spPr>
          </dPt>
          <dPt>
            <idx val="55"/>
            <invertIfNegative val="0"/>
            <spPr>
              <a:solidFill>
                <a:srgbClr val="8CC78C"/>
              </a:solidFill>
              <a:ln>
                <a:noFill/>
                <a:prstDash val="solid"/>
              </a:ln>
            </spPr>
          </dPt>
          <dPt>
            <idx val="56"/>
            <invertIfNegative val="0"/>
            <spPr>
              <a:solidFill>
                <a:srgbClr val="8CC78C"/>
              </a:solidFill>
              <a:ln>
                <a:noFill/>
                <a:prstDash val="solid"/>
              </a:ln>
            </spPr>
          </dPt>
          <dPt>
            <idx val="57"/>
            <invertIfNegative val="0"/>
            <spPr>
              <a:solidFill>
                <a:srgbClr val="8CC78C"/>
              </a:solidFill>
              <a:ln>
                <a:noFill/>
                <a:prstDash val="solid"/>
              </a:ln>
            </spPr>
          </dPt>
          <dPt>
            <idx val="58"/>
            <invertIfNegative val="0"/>
            <spPr>
              <a:solidFill>
                <a:srgbClr val="8CC78C"/>
              </a:solidFill>
              <a:ln>
                <a:noFill/>
                <a:prstDash val="solid"/>
              </a:ln>
            </spPr>
          </dPt>
          <dPt>
            <idx val="59"/>
            <invertIfNegative val="0"/>
            <spPr>
              <a:solidFill>
                <a:srgbClr val="8CC78C"/>
              </a:solidFill>
              <a:ln>
                <a:noFill/>
                <a:prstDash val="solid"/>
              </a:ln>
            </spPr>
          </dPt>
          <dPt>
            <idx val="60"/>
            <invertIfNegative val="0"/>
            <spPr>
              <a:solidFill>
                <a:srgbClr val="CCE6CC"/>
              </a:solidFill>
              <a:ln>
                <a:noFill/>
                <a:prstDash val="solid"/>
              </a:ln>
            </spPr>
          </dPt>
          <dPt>
            <idx val="61"/>
            <invertIfNegative val="0"/>
            <spPr>
              <a:solidFill>
                <a:srgbClr val="CCE6CC"/>
              </a:solidFill>
              <a:ln>
                <a:noFill/>
                <a:prstDash val="solid"/>
              </a:ln>
            </spPr>
          </dPt>
          <dPt>
            <idx val="62"/>
            <invertIfNegative val="0"/>
            <spPr>
              <a:solidFill>
                <a:srgbClr val="CCE6CC"/>
              </a:solidFill>
              <a:ln>
                <a:noFill/>
                <a:prstDash val="solid"/>
              </a:ln>
            </spPr>
          </dPt>
          <dPt>
            <idx val="63"/>
            <invertIfNegative val="0"/>
            <spPr>
              <a:solidFill>
                <a:srgbClr val="CCE6CC"/>
              </a:solidFill>
              <a:ln>
                <a:noFill/>
                <a:prstDash val="solid"/>
              </a:ln>
            </spPr>
          </dPt>
          <dPt>
            <idx val="64"/>
            <invertIfNegative val="0"/>
            <spPr>
              <a:solidFill>
                <a:srgbClr val="CCE6CC"/>
              </a:solidFill>
              <a:ln>
                <a:noFill/>
                <a:prstDash val="solid"/>
              </a:ln>
            </spPr>
          </dPt>
          <dPt>
            <idx val="65"/>
            <invertIfNegative val="0"/>
            <spPr>
              <a:solidFill>
                <a:srgbClr val="CCE6CC"/>
              </a:solidFill>
              <a:ln>
                <a:noFill/>
                <a:prstDash val="solid"/>
              </a:ln>
            </spPr>
          </dPt>
          <dPt>
            <idx val="66"/>
            <invertIfNegative val="0"/>
            <spPr>
              <a:solidFill>
                <a:srgbClr val="CCE6CC"/>
              </a:solidFill>
              <a:ln>
                <a:noFill/>
                <a:prstDash val="solid"/>
              </a:ln>
            </spPr>
          </dPt>
          <dPt>
            <idx val="67"/>
            <invertIfNegative val="0"/>
            <spPr>
              <a:solidFill>
                <a:srgbClr val="CCE6CC"/>
              </a:solidFill>
              <a:ln>
                <a:noFill/>
                <a:prstDash val="solid"/>
              </a:ln>
            </spPr>
          </dPt>
          <dPt>
            <idx val="68"/>
            <invertIfNegative val="0"/>
            <spPr>
              <a:solidFill>
                <a:srgbClr val="CCE6CC"/>
              </a:solidFill>
              <a:ln>
                <a:noFill/>
                <a:prstDash val="solid"/>
              </a:ln>
            </spPr>
          </dPt>
          <dPt>
            <idx val="69"/>
            <invertIfNegative val="0"/>
            <spPr>
              <a:solidFill>
                <a:srgbClr val="CCE6CC"/>
              </a:solidFill>
              <a:ln>
                <a:noFill/>
                <a:prstDash val="solid"/>
              </a:ln>
            </spPr>
          </dPt>
          <dPt>
            <idx val="70"/>
            <invertIfNegative val="0"/>
            <spPr>
              <a:solidFill>
                <a:srgbClr val="CCE6CC"/>
              </a:solidFill>
              <a:ln>
                <a:noFill/>
                <a:prstDash val="solid"/>
              </a:ln>
            </spPr>
          </dPt>
          <dPt>
            <idx val="71"/>
            <invertIfNegative val="0"/>
            <spPr>
              <a:solidFill>
                <a:srgbClr val="CCE6CC"/>
              </a:solidFill>
              <a:ln>
                <a:noFill/>
                <a:prstDash val="solid"/>
              </a:ln>
            </spPr>
          </dPt>
          <dPt>
            <idx val="72"/>
            <invertIfNegative val="0"/>
            <spPr>
              <a:solidFill>
                <a:srgbClr val="CCE6CC"/>
              </a:solidFill>
              <a:ln>
                <a:noFill/>
                <a:prstDash val="solid"/>
              </a:ln>
            </spPr>
          </dPt>
          <dPt>
            <idx val="73"/>
            <invertIfNegative val="0"/>
            <spPr>
              <a:solidFill>
                <a:srgbClr val="CCE6CC"/>
              </a:solidFill>
              <a:ln>
                <a:noFill/>
                <a:prstDash val="solid"/>
              </a:ln>
            </spPr>
          </dPt>
          <dPt>
            <idx val="74"/>
            <invertIfNegative val="0"/>
            <spPr>
              <a:solidFill>
                <a:srgbClr val="CCE6CC"/>
              </a:solidFill>
              <a:ln>
                <a:noFill/>
                <a:prstDash val="solid"/>
              </a:ln>
            </spPr>
          </dPt>
          <dPt>
            <idx val="75"/>
            <invertIfNegative val="0"/>
            <spPr>
              <a:solidFill>
                <a:srgbClr val="CCE6CC"/>
              </a:solidFill>
              <a:ln>
                <a:noFill/>
                <a:prstDash val="solid"/>
              </a:ln>
            </spPr>
          </dPt>
          <dPt>
            <idx val="76"/>
            <invertIfNegative val="0"/>
            <spPr>
              <a:solidFill>
                <a:srgbClr val="CCE6CC"/>
              </a:solidFill>
              <a:ln>
                <a:noFill/>
                <a:prstDash val="solid"/>
              </a:ln>
            </spPr>
          </dPt>
          <dPt>
            <idx val="77"/>
            <invertIfNegative val="0"/>
            <spPr>
              <a:solidFill>
                <a:srgbClr val="CCE6CC"/>
              </a:solidFill>
              <a:ln>
                <a:noFill/>
                <a:prstDash val="solid"/>
              </a:ln>
            </spPr>
          </dPt>
          <dPt>
            <idx val="78"/>
            <invertIfNegative val="0"/>
            <spPr>
              <a:solidFill>
                <a:srgbClr val="CCE6CC"/>
              </a:solidFill>
              <a:ln>
                <a:noFill/>
                <a:prstDash val="solid"/>
              </a:ln>
            </spPr>
          </dPt>
          <dPt>
            <idx val="79"/>
            <invertIfNegative val="0"/>
            <spPr>
              <a:solidFill>
                <a:srgbClr val="CCE6CC"/>
              </a:solidFill>
              <a:ln>
                <a:noFill/>
                <a:prstDash val="solid"/>
              </a:ln>
            </spPr>
          </dPt>
          <dPt>
            <idx val="80"/>
            <invertIfNegative val="0"/>
            <spPr>
              <a:solidFill>
                <a:srgbClr val="CCE6CC"/>
              </a:solidFill>
              <a:ln>
                <a:noFill/>
                <a:prstDash val="solid"/>
              </a:ln>
            </spPr>
          </dPt>
          <dPt>
            <idx val="81"/>
            <invertIfNegative val="0"/>
            <spPr>
              <a:solidFill>
                <a:srgbClr val="CCE6CC"/>
              </a:solidFill>
              <a:ln>
                <a:noFill/>
                <a:prstDash val="solid"/>
              </a:ln>
            </spPr>
          </dPt>
          <dPt>
            <idx val="82"/>
            <invertIfNegative val="0"/>
            <spPr>
              <a:solidFill>
                <a:srgbClr val="CCE6CC"/>
              </a:solidFill>
              <a:ln>
                <a:noFill/>
                <a:prstDash val="solid"/>
              </a:ln>
            </spPr>
          </dPt>
          <dPt>
            <idx val="83"/>
            <invertIfNegative val="0"/>
            <spPr>
              <a:solidFill>
                <a:srgbClr val="CCE6CC"/>
              </a:solidFill>
              <a:ln>
                <a:noFill/>
                <a:prstDash val="solid"/>
              </a:ln>
            </spPr>
          </dPt>
          <dPt>
            <idx val="84"/>
            <invertIfNegative val="0"/>
            <spPr>
              <a:solidFill>
                <a:srgbClr val="CCE6CC"/>
              </a:solidFill>
              <a:ln>
                <a:noFill/>
                <a:prstDash val="solid"/>
              </a:ln>
            </spPr>
          </dPt>
          <dPt>
            <idx val="85"/>
            <invertIfNegative val="0"/>
            <spPr>
              <a:solidFill>
                <a:srgbClr val="CCE6CC"/>
              </a:solidFill>
              <a:ln>
                <a:noFill/>
                <a:prstDash val="solid"/>
              </a:ln>
            </spPr>
          </dPt>
          <dPt>
            <idx val="86"/>
            <invertIfNegative val="0"/>
            <spPr>
              <a:solidFill>
                <a:srgbClr val="CCE6CC"/>
              </a:solidFill>
              <a:ln>
                <a:noFill/>
                <a:prstDash val="solid"/>
              </a:ln>
            </spPr>
          </dPt>
          <dPt>
            <idx val="87"/>
            <invertIfNegative val="0"/>
            <spPr>
              <a:solidFill>
                <a:srgbClr val="CCE6CC"/>
              </a:solidFill>
              <a:ln>
                <a:noFill/>
                <a:prstDash val="solid"/>
              </a:ln>
            </spPr>
          </dPt>
          <dPt>
            <idx val="88"/>
            <invertIfNegative val="0"/>
            <spPr>
              <a:solidFill>
                <a:srgbClr val="CCE6CC"/>
              </a:solidFill>
              <a:ln>
                <a:noFill/>
                <a:prstDash val="solid"/>
              </a:ln>
            </spPr>
          </dPt>
          <dPt>
            <idx val="89"/>
            <invertIfNegative val="0"/>
            <spPr>
              <a:solidFill>
                <a:srgbClr val="CCE6CC"/>
              </a:solidFill>
              <a:ln>
                <a:noFill/>
                <a:prstDash val="solid"/>
              </a:ln>
            </spPr>
          </dPt>
          <dPt>
            <idx val="90"/>
            <invertIfNegative val="0"/>
            <spPr>
              <a:solidFill>
                <a:srgbClr val="CCE6CC"/>
              </a:solidFill>
              <a:ln>
                <a:noFill/>
                <a:prstDash val="solid"/>
              </a:ln>
            </spPr>
          </dPt>
          <dPt>
            <idx val="91"/>
            <invertIfNegative val="0"/>
            <spPr>
              <a:solidFill>
                <a:srgbClr val="CCE6CC"/>
              </a:solidFill>
              <a:ln>
                <a:noFill/>
                <a:prstDash val="solid"/>
              </a:ln>
            </spPr>
          </dPt>
          <dPt>
            <idx val="92"/>
            <invertIfNegative val="0"/>
            <spPr>
              <a:solidFill>
                <a:srgbClr val="CCE6CC"/>
              </a:solidFill>
              <a:ln>
                <a:noFill/>
                <a:prstDash val="solid"/>
              </a:ln>
            </spPr>
          </dPt>
          <dPt>
            <idx val="93"/>
            <invertIfNegative val="0"/>
            <spPr>
              <a:solidFill>
                <a:srgbClr val="CCE6CC"/>
              </a:solidFill>
              <a:ln>
                <a:noFill/>
                <a:prstDash val="solid"/>
              </a:ln>
            </spPr>
          </dPt>
          <dPt>
            <idx val="94"/>
            <invertIfNegative val="0"/>
            <spPr>
              <a:solidFill>
                <a:srgbClr val="CCE6CC"/>
              </a:solidFill>
              <a:ln>
                <a:noFill/>
                <a:prstDash val="solid"/>
              </a:ln>
            </spPr>
          </dPt>
          <dPt>
            <idx val="95"/>
            <invertIfNegative val="0"/>
            <spPr>
              <a:solidFill>
                <a:srgbClr val="CCE6CC"/>
              </a:solidFill>
              <a:ln>
                <a:noFill/>
                <a:prstDash val="solid"/>
              </a:ln>
            </spPr>
          </dPt>
          <dPt>
            <idx val="96"/>
            <invertIfNegative val="0"/>
            <spPr>
              <a:solidFill>
                <a:srgbClr val="CCE6CC"/>
              </a:solidFill>
              <a:ln>
                <a:noFill/>
                <a:prstDash val="solid"/>
              </a:ln>
            </spPr>
          </dPt>
          <dPt>
            <idx val="97"/>
            <invertIfNegative val="0"/>
            <spPr>
              <a:solidFill>
                <a:srgbClr val="CCE6CC"/>
              </a:solidFill>
              <a:ln>
                <a:noFill/>
                <a:prstDash val="solid"/>
              </a:ln>
            </spPr>
          </dPt>
          <dPt>
            <idx val="98"/>
            <invertIfNegative val="0"/>
            <spPr>
              <a:solidFill>
                <a:srgbClr val="CCE6CC"/>
              </a:solidFill>
              <a:ln>
                <a:noFill/>
                <a:prstDash val="solid"/>
              </a:ln>
            </spPr>
          </dPt>
          <dPt>
            <idx val="99"/>
            <invertIfNegative val="0"/>
            <spPr>
              <a:solidFill>
                <a:srgbClr val="CCE6CC"/>
              </a:solidFill>
              <a:ln>
                <a:noFill/>
                <a:prstDash val="solid"/>
              </a:ln>
            </spPr>
          </dPt>
          <dPt>
            <idx val="100"/>
            <invertIfNegative val="0"/>
            <spPr>
              <a:solidFill>
                <a:srgbClr val="CCE6CC"/>
              </a:solidFill>
              <a:ln>
                <a:noFill/>
                <a:prstDash val="solid"/>
              </a:ln>
            </spPr>
          </dPt>
          <dPt>
            <idx val="101"/>
            <invertIfNegative val="0"/>
            <spPr>
              <a:solidFill>
                <a:srgbClr val="CCE6CC"/>
              </a:solidFill>
              <a:ln>
                <a:noFill/>
                <a:prstDash val="solid"/>
              </a:ln>
            </spPr>
          </dPt>
          <dPt>
            <idx val="102"/>
            <invertIfNegative val="0"/>
            <spPr>
              <a:solidFill>
                <a:srgbClr val="CCE6CC"/>
              </a:solidFill>
              <a:ln>
                <a:noFill/>
                <a:prstDash val="solid"/>
              </a:ln>
            </spPr>
          </dPt>
          <dPt>
            <idx val="103"/>
            <invertIfNegative val="0"/>
            <spPr>
              <a:solidFill>
                <a:srgbClr val="CCE6CC"/>
              </a:solidFill>
              <a:ln>
                <a:noFill/>
                <a:prstDash val="solid"/>
              </a:ln>
            </spPr>
          </dPt>
          <dPt>
            <idx val="104"/>
            <invertIfNegative val="0"/>
            <spPr>
              <a:solidFill>
                <a:srgbClr val="CCE6CC"/>
              </a:solidFill>
              <a:ln>
                <a:noFill/>
                <a:prstDash val="solid"/>
              </a:ln>
            </spPr>
          </dPt>
          <dPt>
            <idx val="105"/>
            <invertIfNegative val="0"/>
            <spPr>
              <a:solidFill>
                <a:srgbClr val="CCE6CC"/>
              </a:solidFill>
              <a:ln>
                <a:noFill/>
                <a:prstDash val="solid"/>
              </a:ln>
            </spPr>
          </dPt>
          <dPt>
            <idx val="106"/>
            <invertIfNegative val="0"/>
            <spPr>
              <a:solidFill>
                <a:srgbClr val="CCE6CC"/>
              </a:solidFill>
              <a:ln>
                <a:noFill/>
                <a:prstDash val="solid"/>
              </a:ln>
            </spPr>
          </dPt>
          <dPt>
            <idx val="107"/>
            <invertIfNegative val="0"/>
            <spPr>
              <a:solidFill>
                <a:srgbClr val="CCE6CC"/>
              </a:solidFill>
              <a:ln>
                <a:noFill/>
                <a:prstDash val="solid"/>
              </a:ln>
            </spPr>
          </dPt>
          <dPt>
            <idx val="108"/>
            <invertIfNegative val="0"/>
            <spPr>
              <a:solidFill>
                <a:srgbClr val="CCE6CC"/>
              </a:solidFill>
              <a:ln>
                <a:noFill/>
                <a:prstDash val="solid"/>
              </a:ln>
            </spPr>
          </dPt>
          <dPt>
            <idx val="109"/>
            <invertIfNegative val="0"/>
            <spPr>
              <a:solidFill>
                <a:srgbClr val="CCE6CC"/>
              </a:solidFill>
              <a:ln>
                <a:noFill/>
                <a:prstDash val="solid"/>
              </a:ln>
            </spPr>
          </dPt>
          <dPt>
            <idx val="110"/>
            <invertIfNegative val="0"/>
            <spPr>
              <a:solidFill>
                <a:srgbClr val="CCE6CC"/>
              </a:solidFill>
              <a:ln>
                <a:noFill/>
                <a:prstDash val="solid"/>
              </a:ln>
            </spPr>
          </dPt>
          <dPt>
            <idx val="111"/>
            <invertIfNegative val="0"/>
            <spPr>
              <a:solidFill>
                <a:srgbClr val="CCE6CC"/>
              </a:solidFill>
              <a:ln>
                <a:noFill/>
                <a:prstDash val="solid"/>
              </a:ln>
            </spPr>
          </dPt>
          <dPt>
            <idx val="112"/>
            <invertIfNegative val="0"/>
            <spPr>
              <a:solidFill>
                <a:srgbClr val="CCE6CC"/>
              </a:solidFill>
              <a:ln>
                <a:noFill/>
                <a:prstDash val="solid"/>
              </a:ln>
            </spPr>
          </dPt>
          <dPt>
            <idx val="113"/>
            <invertIfNegative val="0"/>
            <spPr>
              <a:solidFill>
                <a:srgbClr val="CCE6CC"/>
              </a:solidFill>
              <a:ln>
                <a:noFill/>
                <a:prstDash val="solid"/>
              </a:ln>
            </spPr>
          </dPt>
          <dPt>
            <idx val="114"/>
            <invertIfNegative val="0"/>
            <spPr>
              <a:solidFill>
                <a:srgbClr val="CCE6CC"/>
              </a:solidFill>
              <a:ln>
                <a:noFill/>
                <a:prstDash val="solid"/>
              </a:ln>
            </spPr>
          </dPt>
          <dPt>
            <idx val="115"/>
            <invertIfNegative val="0"/>
            <spPr>
              <a:solidFill>
                <a:srgbClr val="CCE6CC"/>
              </a:solidFill>
              <a:ln>
                <a:noFill/>
                <a:prstDash val="solid"/>
              </a:ln>
            </spPr>
          </dPt>
          <dPt>
            <idx val="116"/>
            <invertIfNegative val="0"/>
            <spPr>
              <a:solidFill>
                <a:srgbClr val="CCE6CC"/>
              </a:solidFill>
              <a:ln>
                <a:noFill/>
                <a:prstDash val="solid"/>
              </a:ln>
            </spPr>
          </dPt>
          <dPt>
            <idx val="117"/>
            <invertIfNegative val="0"/>
            <spPr>
              <a:solidFill>
                <a:srgbClr val="CCE6CC"/>
              </a:solidFill>
              <a:ln>
                <a:noFill/>
                <a:prstDash val="solid"/>
              </a:ln>
            </spPr>
          </dPt>
          <dPt>
            <idx val="118"/>
            <invertIfNegative val="0"/>
            <spPr>
              <a:solidFill>
                <a:srgbClr val="CCE6CC"/>
              </a:solidFill>
              <a:ln>
                <a:noFill/>
                <a:prstDash val="solid"/>
              </a:ln>
            </spPr>
          </dPt>
          <dPt>
            <idx val="119"/>
            <invertIfNegative val="0"/>
            <spPr>
              <a:solidFill>
                <a:srgbClr val="CCE6CC"/>
              </a:solidFill>
              <a:ln>
                <a:noFill/>
                <a:prstDash val="solid"/>
              </a:ln>
            </spPr>
          </dPt>
          <cat>
            <numRef>
              <f>'Chart - Demand to 2033'!$A$2:$A$121</f>
            </numRef>
          </cat>
          <val>
            <numRef>
              <f>'Chart - Demand to 2033'!$G$2:$G$121</f>
            </numRef>
          </val>
        </ser>
        <ser>
          <idx val="6"/>
          <order val="6"/>
          <tx>
            <strRef>
              <f>'Chart - Demand to 2033'!H1</f>
            </strRef>
          </tx>
          <spPr>
            <a:solidFill>
              <a:srgbClr val="4A3AA7"/>
            </a:solidFill>
            <a:ln>
              <a:noFill/>
              <a:prstDash val="solid"/>
            </a:ln>
          </spPr>
          <dPt>
            <idx val="31"/>
            <invertIfNegative val="0"/>
            <spPr>
              <a:solidFill>
                <a:srgbClr val="ADA6D7"/>
              </a:solidFill>
              <a:ln>
                <a:noFill/>
                <a:prstDash val="solid"/>
              </a:ln>
            </spPr>
          </dPt>
          <dPt>
            <idx val="32"/>
            <invertIfNegative val="0"/>
            <spPr>
              <a:solidFill>
                <a:srgbClr val="ADA6D7"/>
              </a:solidFill>
              <a:ln>
                <a:noFill/>
                <a:prstDash val="solid"/>
              </a:ln>
            </spPr>
          </dPt>
          <dPt>
            <idx val="33"/>
            <invertIfNegative val="0"/>
            <spPr>
              <a:solidFill>
                <a:srgbClr val="ADA6D7"/>
              </a:solidFill>
              <a:ln>
                <a:noFill/>
                <a:prstDash val="solid"/>
              </a:ln>
            </spPr>
          </dPt>
          <dPt>
            <idx val="34"/>
            <invertIfNegative val="0"/>
            <spPr>
              <a:solidFill>
                <a:srgbClr val="ADA6D7"/>
              </a:solidFill>
              <a:ln>
                <a:noFill/>
                <a:prstDash val="solid"/>
              </a:ln>
            </spPr>
          </dPt>
          <dPt>
            <idx val="35"/>
            <invertIfNegative val="0"/>
            <spPr>
              <a:solidFill>
                <a:srgbClr val="ADA6D7"/>
              </a:solidFill>
              <a:ln>
                <a:noFill/>
                <a:prstDash val="solid"/>
              </a:ln>
            </spPr>
          </dPt>
          <dPt>
            <idx val="36"/>
            <invertIfNegative val="0"/>
            <spPr>
              <a:solidFill>
                <a:srgbClr val="ADA6D7"/>
              </a:solidFill>
              <a:ln>
                <a:noFill/>
                <a:prstDash val="solid"/>
              </a:ln>
            </spPr>
          </dPt>
          <dPt>
            <idx val="37"/>
            <invertIfNegative val="0"/>
            <spPr>
              <a:solidFill>
                <a:srgbClr val="ADA6D7"/>
              </a:solidFill>
              <a:ln>
                <a:noFill/>
                <a:prstDash val="solid"/>
              </a:ln>
            </spPr>
          </dPt>
          <dPt>
            <idx val="38"/>
            <invertIfNegative val="0"/>
            <spPr>
              <a:solidFill>
                <a:srgbClr val="ADA6D7"/>
              </a:solidFill>
              <a:ln>
                <a:noFill/>
                <a:prstDash val="solid"/>
              </a:ln>
            </spPr>
          </dPt>
          <dPt>
            <idx val="39"/>
            <invertIfNegative val="0"/>
            <spPr>
              <a:solidFill>
                <a:srgbClr val="ADA6D7"/>
              </a:solidFill>
              <a:ln>
                <a:noFill/>
                <a:prstDash val="solid"/>
              </a:ln>
            </spPr>
          </dPt>
          <dPt>
            <idx val="40"/>
            <invertIfNegative val="0"/>
            <spPr>
              <a:solidFill>
                <a:srgbClr val="ADA6D7"/>
              </a:solidFill>
              <a:ln>
                <a:noFill/>
                <a:prstDash val="solid"/>
              </a:ln>
            </spPr>
          </dPt>
          <dPt>
            <idx val="41"/>
            <invertIfNegative val="0"/>
            <spPr>
              <a:solidFill>
                <a:srgbClr val="ADA6D7"/>
              </a:solidFill>
              <a:ln>
                <a:noFill/>
                <a:prstDash val="solid"/>
              </a:ln>
            </spPr>
          </dPt>
          <dPt>
            <idx val="42"/>
            <invertIfNegative val="0"/>
            <spPr>
              <a:solidFill>
                <a:srgbClr val="ADA6D7"/>
              </a:solidFill>
              <a:ln>
                <a:noFill/>
                <a:prstDash val="solid"/>
              </a:ln>
            </spPr>
          </dPt>
          <dPt>
            <idx val="43"/>
            <invertIfNegative val="0"/>
            <spPr>
              <a:solidFill>
                <a:srgbClr val="ADA6D7"/>
              </a:solidFill>
              <a:ln>
                <a:noFill/>
                <a:prstDash val="solid"/>
              </a:ln>
            </spPr>
          </dPt>
          <dPt>
            <idx val="44"/>
            <invertIfNegative val="0"/>
            <spPr>
              <a:solidFill>
                <a:srgbClr val="ADA6D7"/>
              </a:solidFill>
              <a:ln>
                <a:noFill/>
                <a:prstDash val="solid"/>
              </a:ln>
            </spPr>
          </dPt>
          <dPt>
            <idx val="45"/>
            <invertIfNegative val="0"/>
            <spPr>
              <a:solidFill>
                <a:srgbClr val="ADA6D7"/>
              </a:solidFill>
              <a:ln>
                <a:noFill/>
                <a:prstDash val="solid"/>
              </a:ln>
            </spPr>
          </dPt>
          <dPt>
            <idx val="46"/>
            <invertIfNegative val="0"/>
            <spPr>
              <a:solidFill>
                <a:srgbClr val="ADA6D7"/>
              </a:solidFill>
              <a:ln>
                <a:noFill/>
                <a:prstDash val="solid"/>
              </a:ln>
            </spPr>
          </dPt>
          <dPt>
            <idx val="47"/>
            <invertIfNegative val="0"/>
            <spPr>
              <a:solidFill>
                <a:srgbClr val="ADA6D7"/>
              </a:solidFill>
              <a:ln>
                <a:noFill/>
                <a:prstDash val="solid"/>
              </a:ln>
            </spPr>
          </dPt>
          <dPt>
            <idx val="48"/>
            <invertIfNegative val="0"/>
            <spPr>
              <a:solidFill>
                <a:srgbClr val="ADA6D7"/>
              </a:solidFill>
              <a:ln>
                <a:noFill/>
                <a:prstDash val="solid"/>
              </a:ln>
            </spPr>
          </dPt>
          <dPt>
            <idx val="49"/>
            <invertIfNegative val="0"/>
            <spPr>
              <a:solidFill>
                <a:srgbClr val="ADA6D7"/>
              </a:solidFill>
              <a:ln>
                <a:noFill/>
                <a:prstDash val="solid"/>
              </a:ln>
            </spPr>
          </dPt>
          <dPt>
            <idx val="50"/>
            <invertIfNegative val="0"/>
            <spPr>
              <a:solidFill>
                <a:srgbClr val="ADA6D7"/>
              </a:solidFill>
              <a:ln>
                <a:noFill/>
                <a:prstDash val="solid"/>
              </a:ln>
            </spPr>
          </dPt>
          <dPt>
            <idx val="51"/>
            <invertIfNegative val="0"/>
            <spPr>
              <a:solidFill>
                <a:srgbClr val="ADA6D7"/>
              </a:solidFill>
              <a:ln>
                <a:noFill/>
                <a:prstDash val="solid"/>
              </a:ln>
            </spPr>
          </dPt>
          <dPt>
            <idx val="52"/>
            <invertIfNegative val="0"/>
            <spPr>
              <a:solidFill>
                <a:srgbClr val="ADA6D7"/>
              </a:solidFill>
              <a:ln>
                <a:noFill/>
                <a:prstDash val="solid"/>
              </a:ln>
            </spPr>
          </dPt>
          <dPt>
            <idx val="53"/>
            <invertIfNegative val="0"/>
            <spPr>
              <a:solidFill>
                <a:srgbClr val="ADA6D7"/>
              </a:solidFill>
              <a:ln>
                <a:noFill/>
                <a:prstDash val="solid"/>
              </a:ln>
            </spPr>
          </dPt>
          <dPt>
            <idx val="54"/>
            <invertIfNegative val="0"/>
            <spPr>
              <a:solidFill>
                <a:srgbClr val="ADA6D7"/>
              </a:solidFill>
              <a:ln>
                <a:noFill/>
                <a:prstDash val="solid"/>
              </a:ln>
            </spPr>
          </dPt>
          <dPt>
            <idx val="55"/>
            <invertIfNegative val="0"/>
            <spPr>
              <a:solidFill>
                <a:srgbClr val="ADA6D7"/>
              </a:solidFill>
              <a:ln>
                <a:noFill/>
                <a:prstDash val="solid"/>
              </a:ln>
            </spPr>
          </dPt>
          <dPt>
            <idx val="56"/>
            <invertIfNegative val="0"/>
            <spPr>
              <a:solidFill>
                <a:srgbClr val="ADA6D7"/>
              </a:solidFill>
              <a:ln>
                <a:noFill/>
                <a:prstDash val="solid"/>
              </a:ln>
            </spPr>
          </dPt>
          <dPt>
            <idx val="57"/>
            <invertIfNegative val="0"/>
            <spPr>
              <a:solidFill>
                <a:srgbClr val="ADA6D7"/>
              </a:solidFill>
              <a:ln>
                <a:noFill/>
                <a:prstDash val="solid"/>
              </a:ln>
            </spPr>
          </dPt>
          <dPt>
            <idx val="58"/>
            <invertIfNegative val="0"/>
            <spPr>
              <a:solidFill>
                <a:srgbClr val="ADA6D7"/>
              </a:solidFill>
              <a:ln>
                <a:noFill/>
                <a:prstDash val="solid"/>
              </a:ln>
            </spPr>
          </dPt>
          <dPt>
            <idx val="59"/>
            <invertIfNegative val="0"/>
            <spPr>
              <a:solidFill>
                <a:srgbClr val="ADA6D7"/>
              </a:solidFill>
              <a:ln>
                <a:noFill/>
                <a:prstDash val="solid"/>
              </a:ln>
            </spPr>
          </dPt>
          <dPt>
            <idx val="60"/>
            <invertIfNegative val="0"/>
            <spPr>
              <a:solidFill>
                <a:srgbClr val="DAD7ED"/>
              </a:solidFill>
              <a:ln>
                <a:noFill/>
                <a:prstDash val="solid"/>
              </a:ln>
            </spPr>
          </dPt>
          <dPt>
            <idx val="61"/>
            <invertIfNegative val="0"/>
            <spPr>
              <a:solidFill>
                <a:srgbClr val="DAD7ED"/>
              </a:solidFill>
              <a:ln>
                <a:noFill/>
                <a:prstDash val="solid"/>
              </a:ln>
            </spPr>
          </dPt>
          <dPt>
            <idx val="62"/>
            <invertIfNegative val="0"/>
            <spPr>
              <a:solidFill>
                <a:srgbClr val="DAD7ED"/>
              </a:solidFill>
              <a:ln>
                <a:noFill/>
                <a:prstDash val="solid"/>
              </a:ln>
            </spPr>
          </dPt>
          <dPt>
            <idx val="63"/>
            <invertIfNegative val="0"/>
            <spPr>
              <a:solidFill>
                <a:srgbClr val="DAD7ED"/>
              </a:solidFill>
              <a:ln>
                <a:noFill/>
                <a:prstDash val="solid"/>
              </a:ln>
            </spPr>
          </dPt>
          <dPt>
            <idx val="64"/>
            <invertIfNegative val="0"/>
            <spPr>
              <a:solidFill>
                <a:srgbClr val="DAD7ED"/>
              </a:solidFill>
              <a:ln>
                <a:noFill/>
                <a:prstDash val="solid"/>
              </a:ln>
            </spPr>
          </dPt>
          <dPt>
            <idx val="65"/>
            <invertIfNegative val="0"/>
            <spPr>
              <a:solidFill>
                <a:srgbClr val="DAD7ED"/>
              </a:solidFill>
              <a:ln>
                <a:noFill/>
                <a:prstDash val="solid"/>
              </a:ln>
            </spPr>
          </dPt>
          <dPt>
            <idx val="66"/>
            <invertIfNegative val="0"/>
            <spPr>
              <a:solidFill>
                <a:srgbClr val="DAD7ED"/>
              </a:solidFill>
              <a:ln>
                <a:noFill/>
                <a:prstDash val="solid"/>
              </a:ln>
            </spPr>
          </dPt>
          <dPt>
            <idx val="67"/>
            <invertIfNegative val="0"/>
            <spPr>
              <a:solidFill>
                <a:srgbClr val="DAD7ED"/>
              </a:solidFill>
              <a:ln>
                <a:noFill/>
                <a:prstDash val="solid"/>
              </a:ln>
            </spPr>
          </dPt>
          <dPt>
            <idx val="68"/>
            <invertIfNegative val="0"/>
            <spPr>
              <a:solidFill>
                <a:srgbClr val="DAD7ED"/>
              </a:solidFill>
              <a:ln>
                <a:noFill/>
                <a:prstDash val="solid"/>
              </a:ln>
            </spPr>
          </dPt>
          <dPt>
            <idx val="69"/>
            <invertIfNegative val="0"/>
            <spPr>
              <a:solidFill>
                <a:srgbClr val="DAD7ED"/>
              </a:solidFill>
              <a:ln>
                <a:noFill/>
                <a:prstDash val="solid"/>
              </a:ln>
            </spPr>
          </dPt>
          <dPt>
            <idx val="70"/>
            <invertIfNegative val="0"/>
            <spPr>
              <a:solidFill>
                <a:srgbClr val="DAD7ED"/>
              </a:solidFill>
              <a:ln>
                <a:noFill/>
                <a:prstDash val="solid"/>
              </a:ln>
            </spPr>
          </dPt>
          <dPt>
            <idx val="71"/>
            <invertIfNegative val="0"/>
            <spPr>
              <a:solidFill>
                <a:srgbClr val="DAD7ED"/>
              </a:solidFill>
              <a:ln>
                <a:noFill/>
                <a:prstDash val="solid"/>
              </a:ln>
            </spPr>
          </dPt>
          <dPt>
            <idx val="72"/>
            <invertIfNegative val="0"/>
            <spPr>
              <a:solidFill>
                <a:srgbClr val="DAD7ED"/>
              </a:solidFill>
              <a:ln>
                <a:noFill/>
                <a:prstDash val="solid"/>
              </a:ln>
            </spPr>
          </dPt>
          <dPt>
            <idx val="73"/>
            <invertIfNegative val="0"/>
            <spPr>
              <a:solidFill>
                <a:srgbClr val="DAD7ED"/>
              </a:solidFill>
              <a:ln>
                <a:noFill/>
                <a:prstDash val="solid"/>
              </a:ln>
            </spPr>
          </dPt>
          <dPt>
            <idx val="74"/>
            <invertIfNegative val="0"/>
            <spPr>
              <a:solidFill>
                <a:srgbClr val="DAD7ED"/>
              </a:solidFill>
              <a:ln>
                <a:noFill/>
                <a:prstDash val="solid"/>
              </a:ln>
            </spPr>
          </dPt>
          <dPt>
            <idx val="75"/>
            <invertIfNegative val="0"/>
            <spPr>
              <a:solidFill>
                <a:srgbClr val="DAD7ED"/>
              </a:solidFill>
              <a:ln>
                <a:noFill/>
                <a:prstDash val="solid"/>
              </a:ln>
            </spPr>
          </dPt>
          <dPt>
            <idx val="76"/>
            <invertIfNegative val="0"/>
            <spPr>
              <a:solidFill>
                <a:srgbClr val="DAD7ED"/>
              </a:solidFill>
              <a:ln>
                <a:noFill/>
                <a:prstDash val="solid"/>
              </a:ln>
            </spPr>
          </dPt>
          <dPt>
            <idx val="77"/>
            <invertIfNegative val="0"/>
            <spPr>
              <a:solidFill>
                <a:srgbClr val="DAD7ED"/>
              </a:solidFill>
              <a:ln>
                <a:noFill/>
                <a:prstDash val="solid"/>
              </a:ln>
            </spPr>
          </dPt>
          <dPt>
            <idx val="78"/>
            <invertIfNegative val="0"/>
            <spPr>
              <a:solidFill>
                <a:srgbClr val="DAD7ED"/>
              </a:solidFill>
              <a:ln>
                <a:noFill/>
                <a:prstDash val="solid"/>
              </a:ln>
            </spPr>
          </dPt>
          <dPt>
            <idx val="79"/>
            <invertIfNegative val="0"/>
            <spPr>
              <a:solidFill>
                <a:srgbClr val="DAD7ED"/>
              </a:solidFill>
              <a:ln>
                <a:noFill/>
                <a:prstDash val="solid"/>
              </a:ln>
            </spPr>
          </dPt>
          <dPt>
            <idx val="80"/>
            <invertIfNegative val="0"/>
            <spPr>
              <a:solidFill>
                <a:srgbClr val="DAD7ED"/>
              </a:solidFill>
              <a:ln>
                <a:noFill/>
                <a:prstDash val="solid"/>
              </a:ln>
            </spPr>
          </dPt>
          <dPt>
            <idx val="81"/>
            <invertIfNegative val="0"/>
            <spPr>
              <a:solidFill>
                <a:srgbClr val="DAD7ED"/>
              </a:solidFill>
              <a:ln>
                <a:noFill/>
                <a:prstDash val="solid"/>
              </a:ln>
            </spPr>
          </dPt>
          <dPt>
            <idx val="82"/>
            <invertIfNegative val="0"/>
            <spPr>
              <a:solidFill>
                <a:srgbClr val="DAD7ED"/>
              </a:solidFill>
              <a:ln>
                <a:noFill/>
                <a:prstDash val="solid"/>
              </a:ln>
            </spPr>
          </dPt>
          <dPt>
            <idx val="83"/>
            <invertIfNegative val="0"/>
            <spPr>
              <a:solidFill>
                <a:srgbClr val="DAD7ED"/>
              </a:solidFill>
              <a:ln>
                <a:noFill/>
                <a:prstDash val="solid"/>
              </a:ln>
            </spPr>
          </dPt>
          <dPt>
            <idx val="84"/>
            <invertIfNegative val="0"/>
            <spPr>
              <a:solidFill>
                <a:srgbClr val="DAD7ED"/>
              </a:solidFill>
              <a:ln>
                <a:noFill/>
                <a:prstDash val="solid"/>
              </a:ln>
            </spPr>
          </dPt>
          <dPt>
            <idx val="85"/>
            <invertIfNegative val="0"/>
            <spPr>
              <a:solidFill>
                <a:srgbClr val="DAD7ED"/>
              </a:solidFill>
              <a:ln>
                <a:noFill/>
                <a:prstDash val="solid"/>
              </a:ln>
            </spPr>
          </dPt>
          <dPt>
            <idx val="86"/>
            <invertIfNegative val="0"/>
            <spPr>
              <a:solidFill>
                <a:srgbClr val="DAD7ED"/>
              </a:solidFill>
              <a:ln>
                <a:noFill/>
                <a:prstDash val="solid"/>
              </a:ln>
            </spPr>
          </dPt>
          <dPt>
            <idx val="87"/>
            <invertIfNegative val="0"/>
            <spPr>
              <a:solidFill>
                <a:srgbClr val="DAD7ED"/>
              </a:solidFill>
              <a:ln>
                <a:noFill/>
                <a:prstDash val="solid"/>
              </a:ln>
            </spPr>
          </dPt>
          <dPt>
            <idx val="88"/>
            <invertIfNegative val="0"/>
            <spPr>
              <a:solidFill>
                <a:srgbClr val="DAD7ED"/>
              </a:solidFill>
              <a:ln>
                <a:noFill/>
                <a:prstDash val="solid"/>
              </a:ln>
            </spPr>
          </dPt>
          <dPt>
            <idx val="89"/>
            <invertIfNegative val="0"/>
            <spPr>
              <a:solidFill>
                <a:srgbClr val="DAD7ED"/>
              </a:solidFill>
              <a:ln>
                <a:noFill/>
                <a:prstDash val="solid"/>
              </a:ln>
            </spPr>
          </dPt>
          <dPt>
            <idx val="90"/>
            <invertIfNegative val="0"/>
            <spPr>
              <a:solidFill>
                <a:srgbClr val="DAD7ED"/>
              </a:solidFill>
              <a:ln>
                <a:noFill/>
                <a:prstDash val="solid"/>
              </a:ln>
            </spPr>
          </dPt>
          <dPt>
            <idx val="91"/>
            <invertIfNegative val="0"/>
            <spPr>
              <a:solidFill>
                <a:srgbClr val="DAD7ED"/>
              </a:solidFill>
              <a:ln>
                <a:noFill/>
                <a:prstDash val="solid"/>
              </a:ln>
            </spPr>
          </dPt>
          <dPt>
            <idx val="92"/>
            <invertIfNegative val="0"/>
            <spPr>
              <a:solidFill>
                <a:srgbClr val="DAD7ED"/>
              </a:solidFill>
              <a:ln>
                <a:noFill/>
                <a:prstDash val="solid"/>
              </a:ln>
            </spPr>
          </dPt>
          <dPt>
            <idx val="93"/>
            <invertIfNegative val="0"/>
            <spPr>
              <a:solidFill>
                <a:srgbClr val="DAD7ED"/>
              </a:solidFill>
              <a:ln>
                <a:noFill/>
                <a:prstDash val="solid"/>
              </a:ln>
            </spPr>
          </dPt>
          <dPt>
            <idx val="94"/>
            <invertIfNegative val="0"/>
            <spPr>
              <a:solidFill>
                <a:srgbClr val="DAD7ED"/>
              </a:solidFill>
              <a:ln>
                <a:noFill/>
                <a:prstDash val="solid"/>
              </a:ln>
            </spPr>
          </dPt>
          <dPt>
            <idx val="95"/>
            <invertIfNegative val="0"/>
            <spPr>
              <a:solidFill>
                <a:srgbClr val="DAD7ED"/>
              </a:solidFill>
              <a:ln>
                <a:noFill/>
                <a:prstDash val="solid"/>
              </a:ln>
            </spPr>
          </dPt>
          <dPt>
            <idx val="96"/>
            <invertIfNegative val="0"/>
            <spPr>
              <a:solidFill>
                <a:srgbClr val="DAD7ED"/>
              </a:solidFill>
              <a:ln>
                <a:noFill/>
                <a:prstDash val="solid"/>
              </a:ln>
            </spPr>
          </dPt>
          <dPt>
            <idx val="97"/>
            <invertIfNegative val="0"/>
            <spPr>
              <a:solidFill>
                <a:srgbClr val="DAD7ED"/>
              </a:solidFill>
              <a:ln>
                <a:noFill/>
                <a:prstDash val="solid"/>
              </a:ln>
            </spPr>
          </dPt>
          <dPt>
            <idx val="98"/>
            <invertIfNegative val="0"/>
            <spPr>
              <a:solidFill>
                <a:srgbClr val="DAD7ED"/>
              </a:solidFill>
              <a:ln>
                <a:noFill/>
                <a:prstDash val="solid"/>
              </a:ln>
            </spPr>
          </dPt>
          <dPt>
            <idx val="99"/>
            <invertIfNegative val="0"/>
            <spPr>
              <a:solidFill>
                <a:srgbClr val="DAD7ED"/>
              </a:solidFill>
              <a:ln>
                <a:noFill/>
                <a:prstDash val="solid"/>
              </a:ln>
            </spPr>
          </dPt>
          <dPt>
            <idx val="100"/>
            <invertIfNegative val="0"/>
            <spPr>
              <a:solidFill>
                <a:srgbClr val="DAD7ED"/>
              </a:solidFill>
              <a:ln>
                <a:noFill/>
                <a:prstDash val="solid"/>
              </a:ln>
            </spPr>
          </dPt>
          <dPt>
            <idx val="101"/>
            <invertIfNegative val="0"/>
            <spPr>
              <a:solidFill>
                <a:srgbClr val="DAD7ED"/>
              </a:solidFill>
              <a:ln>
                <a:noFill/>
                <a:prstDash val="solid"/>
              </a:ln>
            </spPr>
          </dPt>
          <dPt>
            <idx val="102"/>
            <invertIfNegative val="0"/>
            <spPr>
              <a:solidFill>
                <a:srgbClr val="DAD7ED"/>
              </a:solidFill>
              <a:ln>
                <a:noFill/>
                <a:prstDash val="solid"/>
              </a:ln>
            </spPr>
          </dPt>
          <dPt>
            <idx val="103"/>
            <invertIfNegative val="0"/>
            <spPr>
              <a:solidFill>
                <a:srgbClr val="DAD7ED"/>
              </a:solidFill>
              <a:ln>
                <a:noFill/>
                <a:prstDash val="solid"/>
              </a:ln>
            </spPr>
          </dPt>
          <dPt>
            <idx val="104"/>
            <invertIfNegative val="0"/>
            <spPr>
              <a:solidFill>
                <a:srgbClr val="DAD7ED"/>
              </a:solidFill>
              <a:ln>
                <a:noFill/>
                <a:prstDash val="solid"/>
              </a:ln>
            </spPr>
          </dPt>
          <dPt>
            <idx val="105"/>
            <invertIfNegative val="0"/>
            <spPr>
              <a:solidFill>
                <a:srgbClr val="DAD7ED"/>
              </a:solidFill>
              <a:ln>
                <a:noFill/>
                <a:prstDash val="solid"/>
              </a:ln>
            </spPr>
          </dPt>
          <dPt>
            <idx val="106"/>
            <invertIfNegative val="0"/>
            <spPr>
              <a:solidFill>
                <a:srgbClr val="DAD7ED"/>
              </a:solidFill>
              <a:ln>
                <a:noFill/>
                <a:prstDash val="solid"/>
              </a:ln>
            </spPr>
          </dPt>
          <dPt>
            <idx val="107"/>
            <invertIfNegative val="0"/>
            <spPr>
              <a:solidFill>
                <a:srgbClr val="DAD7ED"/>
              </a:solidFill>
              <a:ln>
                <a:noFill/>
                <a:prstDash val="solid"/>
              </a:ln>
            </spPr>
          </dPt>
          <dPt>
            <idx val="108"/>
            <invertIfNegative val="0"/>
            <spPr>
              <a:solidFill>
                <a:srgbClr val="DAD7ED"/>
              </a:solidFill>
              <a:ln>
                <a:noFill/>
                <a:prstDash val="solid"/>
              </a:ln>
            </spPr>
          </dPt>
          <dPt>
            <idx val="109"/>
            <invertIfNegative val="0"/>
            <spPr>
              <a:solidFill>
                <a:srgbClr val="DAD7ED"/>
              </a:solidFill>
              <a:ln>
                <a:noFill/>
                <a:prstDash val="solid"/>
              </a:ln>
            </spPr>
          </dPt>
          <dPt>
            <idx val="110"/>
            <invertIfNegative val="0"/>
            <spPr>
              <a:solidFill>
                <a:srgbClr val="DAD7ED"/>
              </a:solidFill>
              <a:ln>
                <a:noFill/>
                <a:prstDash val="solid"/>
              </a:ln>
            </spPr>
          </dPt>
          <dPt>
            <idx val="111"/>
            <invertIfNegative val="0"/>
            <spPr>
              <a:solidFill>
                <a:srgbClr val="DAD7ED"/>
              </a:solidFill>
              <a:ln>
                <a:noFill/>
                <a:prstDash val="solid"/>
              </a:ln>
            </spPr>
          </dPt>
          <dPt>
            <idx val="112"/>
            <invertIfNegative val="0"/>
            <spPr>
              <a:solidFill>
                <a:srgbClr val="DAD7ED"/>
              </a:solidFill>
              <a:ln>
                <a:noFill/>
                <a:prstDash val="solid"/>
              </a:ln>
            </spPr>
          </dPt>
          <dPt>
            <idx val="113"/>
            <invertIfNegative val="0"/>
            <spPr>
              <a:solidFill>
                <a:srgbClr val="DAD7ED"/>
              </a:solidFill>
              <a:ln>
                <a:noFill/>
                <a:prstDash val="solid"/>
              </a:ln>
            </spPr>
          </dPt>
          <dPt>
            <idx val="114"/>
            <invertIfNegative val="0"/>
            <spPr>
              <a:solidFill>
                <a:srgbClr val="DAD7ED"/>
              </a:solidFill>
              <a:ln>
                <a:noFill/>
                <a:prstDash val="solid"/>
              </a:ln>
            </spPr>
          </dPt>
          <dPt>
            <idx val="115"/>
            <invertIfNegative val="0"/>
            <spPr>
              <a:solidFill>
                <a:srgbClr val="DAD7ED"/>
              </a:solidFill>
              <a:ln>
                <a:noFill/>
                <a:prstDash val="solid"/>
              </a:ln>
            </spPr>
          </dPt>
          <dPt>
            <idx val="116"/>
            <invertIfNegative val="0"/>
            <spPr>
              <a:solidFill>
                <a:srgbClr val="DAD7ED"/>
              </a:solidFill>
              <a:ln>
                <a:noFill/>
                <a:prstDash val="solid"/>
              </a:ln>
            </spPr>
          </dPt>
          <dPt>
            <idx val="117"/>
            <invertIfNegative val="0"/>
            <spPr>
              <a:solidFill>
                <a:srgbClr val="DAD7ED"/>
              </a:solidFill>
              <a:ln>
                <a:noFill/>
                <a:prstDash val="solid"/>
              </a:ln>
            </spPr>
          </dPt>
          <dPt>
            <idx val="118"/>
            <invertIfNegative val="0"/>
            <spPr>
              <a:solidFill>
                <a:srgbClr val="DAD7ED"/>
              </a:solidFill>
              <a:ln>
                <a:noFill/>
                <a:prstDash val="solid"/>
              </a:ln>
            </spPr>
          </dPt>
          <dPt>
            <idx val="119"/>
            <invertIfNegative val="0"/>
            <spPr>
              <a:solidFill>
                <a:srgbClr val="DAD7ED"/>
              </a:solidFill>
              <a:ln>
                <a:noFill/>
                <a:prstDash val="solid"/>
              </a:ln>
            </spPr>
          </dPt>
          <cat>
            <numRef>
              <f>'Chart - Demand to 2033'!$A$2:$A$121</f>
            </numRef>
          </cat>
          <val>
            <numRef>
              <f>'Chart - Demand to 2033'!$H$2:$H$121</f>
            </numRef>
          </val>
        </ser>
        <ser>
          <idx val="7"/>
          <order val="7"/>
          <tx>
            <strRef>
              <f>'Chart - Demand to 2033'!I1</f>
            </strRef>
          </tx>
          <spPr>
            <a:solidFill>
              <a:srgbClr val="E34948"/>
            </a:solidFill>
            <a:ln>
              <a:noFill/>
              <a:prstDash val="solid"/>
            </a:ln>
          </spPr>
          <dPt>
            <idx val="31"/>
            <invertIfNegative val="0"/>
            <spPr>
              <a:solidFill>
                <a:srgbClr val="F2ADAC"/>
              </a:solidFill>
              <a:ln>
                <a:noFill/>
                <a:prstDash val="solid"/>
              </a:ln>
            </spPr>
          </dPt>
          <dPt>
            <idx val="32"/>
            <invertIfNegative val="0"/>
            <spPr>
              <a:solidFill>
                <a:srgbClr val="F2ADAC"/>
              </a:solidFill>
              <a:ln>
                <a:noFill/>
                <a:prstDash val="solid"/>
              </a:ln>
            </spPr>
          </dPt>
          <dPt>
            <idx val="33"/>
            <invertIfNegative val="0"/>
            <spPr>
              <a:solidFill>
                <a:srgbClr val="F2ADAC"/>
              </a:solidFill>
              <a:ln>
                <a:noFill/>
                <a:prstDash val="solid"/>
              </a:ln>
            </spPr>
          </dPt>
          <dPt>
            <idx val="34"/>
            <invertIfNegative val="0"/>
            <spPr>
              <a:solidFill>
                <a:srgbClr val="F2ADAC"/>
              </a:solidFill>
              <a:ln>
                <a:noFill/>
                <a:prstDash val="solid"/>
              </a:ln>
            </spPr>
          </dPt>
          <dPt>
            <idx val="35"/>
            <invertIfNegative val="0"/>
            <spPr>
              <a:solidFill>
                <a:srgbClr val="F2ADAC"/>
              </a:solidFill>
              <a:ln>
                <a:noFill/>
                <a:prstDash val="solid"/>
              </a:ln>
            </spPr>
          </dPt>
          <dPt>
            <idx val="36"/>
            <invertIfNegative val="0"/>
            <spPr>
              <a:solidFill>
                <a:srgbClr val="F2ADAC"/>
              </a:solidFill>
              <a:ln>
                <a:noFill/>
                <a:prstDash val="solid"/>
              </a:ln>
            </spPr>
          </dPt>
          <dPt>
            <idx val="37"/>
            <invertIfNegative val="0"/>
            <spPr>
              <a:solidFill>
                <a:srgbClr val="F2ADAC"/>
              </a:solidFill>
              <a:ln>
                <a:noFill/>
                <a:prstDash val="solid"/>
              </a:ln>
            </spPr>
          </dPt>
          <dPt>
            <idx val="38"/>
            <invertIfNegative val="0"/>
            <spPr>
              <a:solidFill>
                <a:srgbClr val="F2ADAC"/>
              </a:solidFill>
              <a:ln>
                <a:noFill/>
                <a:prstDash val="solid"/>
              </a:ln>
            </spPr>
          </dPt>
          <dPt>
            <idx val="39"/>
            <invertIfNegative val="0"/>
            <spPr>
              <a:solidFill>
                <a:srgbClr val="F2ADAC"/>
              </a:solidFill>
              <a:ln>
                <a:noFill/>
                <a:prstDash val="solid"/>
              </a:ln>
            </spPr>
          </dPt>
          <dPt>
            <idx val="40"/>
            <invertIfNegative val="0"/>
            <spPr>
              <a:solidFill>
                <a:srgbClr val="F2ADAC"/>
              </a:solidFill>
              <a:ln>
                <a:noFill/>
                <a:prstDash val="solid"/>
              </a:ln>
            </spPr>
          </dPt>
          <dPt>
            <idx val="41"/>
            <invertIfNegative val="0"/>
            <spPr>
              <a:solidFill>
                <a:srgbClr val="F2ADAC"/>
              </a:solidFill>
              <a:ln>
                <a:noFill/>
                <a:prstDash val="solid"/>
              </a:ln>
            </spPr>
          </dPt>
          <dPt>
            <idx val="42"/>
            <invertIfNegative val="0"/>
            <spPr>
              <a:solidFill>
                <a:srgbClr val="F2ADAC"/>
              </a:solidFill>
              <a:ln>
                <a:noFill/>
                <a:prstDash val="solid"/>
              </a:ln>
            </spPr>
          </dPt>
          <dPt>
            <idx val="43"/>
            <invertIfNegative val="0"/>
            <spPr>
              <a:solidFill>
                <a:srgbClr val="F2ADAC"/>
              </a:solidFill>
              <a:ln>
                <a:noFill/>
                <a:prstDash val="solid"/>
              </a:ln>
            </spPr>
          </dPt>
          <dPt>
            <idx val="44"/>
            <invertIfNegative val="0"/>
            <spPr>
              <a:solidFill>
                <a:srgbClr val="F2ADAC"/>
              </a:solidFill>
              <a:ln>
                <a:noFill/>
                <a:prstDash val="solid"/>
              </a:ln>
            </spPr>
          </dPt>
          <dPt>
            <idx val="45"/>
            <invertIfNegative val="0"/>
            <spPr>
              <a:solidFill>
                <a:srgbClr val="F2ADAC"/>
              </a:solidFill>
              <a:ln>
                <a:noFill/>
                <a:prstDash val="solid"/>
              </a:ln>
            </spPr>
          </dPt>
          <dPt>
            <idx val="46"/>
            <invertIfNegative val="0"/>
            <spPr>
              <a:solidFill>
                <a:srgbClr val="F2ADAC"/>
              </a:solidFill>
              <a:ln>
                <a:noFill/>
                <a:prstDash val="solid"/>
              </a:ln>
            </spPr>
          </dPt>
          <dPt>
            <idx val="47"/>
            <invertIfNegative val="0"/>
            <spPr>
              <a:solidFill>
                <a:srgbClr val="F2ADAC"/>
              </a:solidFill>
              <a:ln>
                <a:noFill/>
                <a:prstDash val="solid"/>
              </a:ln>
            </spPr>
          </dPt>
          <dPt>
            <idx val="48"/>
            <invertIfNegative val="0"/>
            <spPr>
              <a:solidFill>
                <a:srgbClr val="F2ADAC"/>
              </a:solidFill>
              <a:ln>
                <a:noFill/>
                <a:prstDash val="solid"/>
              </a:ln>
            </spPr>
          </dPt>
          <dPt>
            <idx val="49"/>
            <invertIfNegative val="0"/>
            <spPr>
              <a:solidFill>
                <a:srgbClr val="F2ADAC"/>
              </a:solidFill>
              <a:ln>
                <a:noFill/>
                <a:prstDash val="solid"/>
              </a:ln>
            </spPr>
          </dPt>
          <dPt>
            <idx val="50"/>
            <invertIfNegative val="0"/>
            <spPr>
              <a:solidFill>
                <a:srgbClr val="F2ADAC"/>
              </a:solidFill>
              <a:ln>
                <a:noFill/>
                <a:prstDash val="solid"/>
              </a:ln>
            </spPr>
          </dPt>
          <dPt>
            <idx val="51"/>
            <invertIfNegative val="0"/>
            <spPr>
              <a:solidFill>
                <a:srgbClr val="F2ADAC"/>
              </a:solidFill>
              <a:ln>
                <a:noFill/>
                <a:prstDash val="solid"/>
              </a:ln>
            </spPr>
          </dPt>
          <dPt>
            <idx val="52"/>
            <invertIfNegative val="0"/>
            <spPr>
              <a:solidFill>
                <a:srgbClr val="F2ADAC"/>
              </a:solidFill>
              <a:ln>
                <a:noFill/>
                <a:prstDash val="solid"/>
              </a:ln>
            </spPr>
          </dPt>
          <dPt>
            <idx val="53"/>
            <invertIfNegative val="0"/>
            <spPr>
              <a:solidFill>
                <a:srgbClr val="F2ADAC"/>
              </a:solidFill>
              <a:ln>
                <a:noFill/>
                <a:prstDash val="solid"/>
              </a:ln>
            </spPr>
          </dPt>
          <dPt>
            <idx val="54"/>
            <invertIfNegative val="0"/>
            <spPr>
              <a:solidFill>
                <a:srgbClr val="F2ADAC"/>
              </a:solidFill>
              <a:ln>
                <a:noFill/>
                <a:prstDash val="solid"/>
              </a:ln>
            </spPr>
          </dPt>
          <dPt>
            <idx val="55"/>
            <invertIfNegative val="0"/>
            <spPr>
              <a:solidFill>
                <a:srgbClr val="F2ADAC"/>
              </a:solidFill>
              <a:ln>
                <a:noFill/>
                <a:prstDash val="solid"/>
              </a:ln>
            </spPr>
          </dPt>
          <dPt>
            <idx val="56"/>
            <invertIfNegative val="0"/>
            <spPr>
              <a:solidFill>
                <a:srgbClr val="F2ADAC"/>
              </a:solidFill>
              <a:ln>
                <a:noFill/>
                <a:prstDash val="solid"/>
              </a:ln>
            </spPr>
          </dPt>
          <dPt>
            <idx val="57"/>
            <invertIfNegative val="0"/>
            <spPr>
              <a:solidFill>
                <a:srgbClr val="F2ADAC"/>
              </a:solidFill>
              <a:ln>
                <a:noFill/>
                <a:prstDash val="solid"/>
              </a:ln>
            </spPr>
          </dPt>
          <dPt>
            <idx val="58"/>
            <invertIfNegative val="0"/>
            <spPr>
              <a:solidFill>
                <a:srgbClr val="F2ADAC"/>
              </a:solidFill>
              <a:ln>
                <a:noFill/>
                <a:prstDash val="solid"/>
              </a:ln>
            </spPr>
          </dPt>
          <dPt>
            <idx val="59"/>
            <invertIfNegative val="0"/>
            <spPr>
              <a:solidFill>
                <a:srgbClr val="F2ADAC"/>
              </a:solidFill>
              <a:ln>
                <a:noFill/>
                <a:prstDash val="solid"/>
              </a:ln>
            </spPr>
          </dPt>
          <dPt>
            <idx val="60"/>
            <invertIfNegative val="0"/>
            <spPr>
              <a:solidFill>
                <a:srgbClr val="F9DADA"/>
              </a:solidFill>
              <a:ln>
                <a:noFill/>
                <a:prstDash val="solid"/>
              </a:ln>
            </spPr>
          </dPt>
          <dPt>
            <idx val="61"/>
            <invertIfNegative val="0"/>
            <spPr>
              <a:solidFill>
                <a:srgbClr val="F9DADA"/>
              </a:solidFill>
              <a:ln>
                <a:noFill/>
                <a:prstDash val="solid"/>
              </a:ln>
            </spPr>
          </dPt>
          <dPt>
            <idx val="62"/>
            <invertIfNegative val="0"/>
            <spPr>
              <a:solidFill>
                <a:srgbClr val="F9DADA"/>
              </a:solidFill>
              <a:ln>
                <a:noFill/>
                <a:prstDash val="solid"/>
              </a:ln>
            </spPr>
          </dPt>
          <dPt>
            <idx val="63"/>
            <invertIfNegative val="0"/>
            <spPr>
              <a:solidFill>
                <a:srgbClr val="F9DADA"/>
              </a:solidFill>
              <a:ln>
                <a:noFill/>
                <a:prstDash val="solid"/>
              </a:ln>
            </spPr>
          </dPt>
          <dPt>
            <idx val="64"/>
            <invertIfNegative val="0"/>
            <spPr>
              <a:solidFill>
                <a:srgbClr val="F9DADA"/>
              </a:solidFill>
              <a:ln>
                <a:noFill/>
                <a:prstDash val="solid"/>
              </a:ln>
            </spPr>
          </dPt>
          <dPt>
            <idx val="65"/>
            <invertIfNegative val="0"/>
            <spPr>
              <a:solidFill>
                <a:srgbClr val="F9DADA"/>
              </a:solidFill>
              <a:ln>
                <a:noFill/>
                <a:prstDash val="solid"/>
              </a:ln>
            </spPr>
          </dPt>
          <dPt>
            <idx val="66"/>
            <invertIfNegative val="0"/>
            <spPr>
              <a:solidFill>
                <a:srgbClr val="F9DADA"/>
              </a:solidFill>
              <a:ln>
                <a:noFill/>
                <a:prstDash val="solid"/>
              </a:ln>
            </spPr>
          </dPt>
          <dPt>
            <idx val="67"/>
            <invertIfNegative val="0"/>
            <spPr>
              <a:solidFill>
                <a:srgbClr val="F9DADA"/>
              </a:solidFill>
              <a:ln>
                <a:noFill/>
                <a:prstDash val="solid"/>
              </a:ln>
            </spPr>
          </dPt>
          <dPt>
            <idx val="68"/>
            <invertIfNegative val="0"/>
            <spPr>
              <a:solidFill>
                <a:srgbClr val="F9DADA"/>
              </a:solidFill>
              <a:ln>
                <a:noFill/>
                <a:prstDash val="solid"/>
              </a:ln>
            </spPr>
          </dPt>
          <dPt>
            <idx val="69"/>
            <invertIfNegative val="0"/>
            <spPr>
              <a:solidFill>
                <a:srgbClr val="F9DADA"/>
              </a:solidFill>
              <a:ln>
                <a:noFill/>
                <a:prstDash val="solid"/>
              </a:ln>
            </spPr>
          </dPt>
          <dPt>
            <idx val="70"/>
            <invertIfNegative val="0"/>
            <spPr>
              <a:solidFill>
                <a:srgbClr val="F9DADA"/>
              </a:solidFill>
              <a:ln>
                <a:noFill/>
                <a:prstDash val="solid"/>
              </a:ln>
            </spPr>
          </dPt>
          <dPt>
            <idx val="71"/>
            <invertIfNegative val="0"/>
            <spPr>
              <a:solidFill>
                <a:srgbClr val="F9DADA"/>
              </a:solidFill>
              <a:ln>
                <a:noFill/>
                <a:prstDash val="solid"/>
              </a:ln>
            </spPr>
          </dPt>
          <dPt>
            <idx val="72"/>
            <invertIfNegative val="0"/>
            <spPr>
              <a:solidFill>
                <a:srgbClr val="F9DADA"/>
              </a:solidFill>
              <a:ln>
                <a:noFill/>
                <a:prstDash val="solid"/>
              </a:ln>
            </spPr>
          </dPt>
          <dPt>
            <idx val="73"/>
            <invertIfNegative val="0"/>
            <spPr>
              <a:solidFill>
                <a:srgbClr val="F9DADA"/>
              </a:solidFill>
              <a:ln>
                <a:noFill/>
                <a:prstDash val="solid"/>
              </a:ln>
            </spPr>
          </dPt>
          <dPt>
            <idx val="74"/>
            <invertIfNegative val="0"/>
            <spPr>
              <a:solidFill>
                <a:srgbClr val="F9DADA"/>
              </a:solidFill>
              <a:ln>
                <a:noFill/>
                <a:prstDash val="solid"/>
              </a:ln>
            </spPr>
          </dPt>
          <dPt>
            <idx val="75"/>
            <invertIfNegative val="0"/>
            <spPr>
              <a:solidFill>
                <a:srgbClr val="F9DADA"/>
              </a:solidFill>
              <a:ln>
                <a:noFill/>
                <a:prstDash val="solid"/>
              </a:ln>
            </spPr>
          </dPt>
          <dPt>
            <idx val="76"/>
            <invertIfNegative val="0"/>
            <spPr>
              <a:solidFill>
                <a:srgbClr val="F9DADA"/>
              </a:solidFill>
              <a:ln>
                <a:noFill/>
                <a:prstDash val="solid"/>
              </a:ln>
            </spPr>
          </dPt>
          <dPt>
            <idx val="77"/>
            <invertIfNegative val="0"/>
            <spPr>
              <a:solidFill>
                <a:srgbClr val="F9DADA"/>
              </a:solidFill>
              <a:ln>
                <a:noFill/>
                <a:prstDash val="solid"/>
              </a:ln>
            </spPr>
          </dPt>
          <dPt>
            <idx val="78"/>
            <invertIfNegative val="0"/>
            <spPr>
              <a:solidFill>
                <a:srgbClr val="F9DADA"/>
              </a:solidFill>
              <a:ln>
                <a:noFill/>
                <a:prstDash val="solid"/>
              </a:ln>
            </spPr>
          </dPt>
          <dPt>
            <idx val="79"/>
            <invertIfNegative val="0"/>
            <spPr>
              <a:solidFill>
                <a:srgbClr val="F9DADA"/>
              </a:solidFill>
              <a:ln>
                <a:noFill/>
                <a:prstDash val="solid"/>
              </a:ln>
            </spPr>
          </dPt>
          <dPt>
            <idx val="80"/>
            <invertIfNegative val="0"/>
            <spPr>
              <a:solidFill>
                <a:srgbClr val="F9DADA"/>
              </a:solidFill>
              <a:ln>
                <a:noFill/>
                <a:prstDash val="solid"/>
              </a:ln>
            </spPr>
          </dPt>
          <dPt>
            <idx val="81"/>
            <invertIfNegative val="0"/>
            <spPr>
              <a:solidFill>
                <a:srgbClr val="F9DADA"/>
              </a:solidFill>
              <a:ln>
                <a:noFill/>
                <a:prstDash val="solid"/>
              </a:ln>
            </spPr>
          </dPt>
          <dPt>
            <idx val="82"/>
            <invertIfNegative val="0"/>
            <spPr>
              <a:solidFill>
                <a:srgbClr val="F9DADA"/>
              </a:solidFill>
              <a:ln>
                <a:noFill/>
                <a:prstDash val="solid"/>
              </a:ln>
            </spPr>
          </dPt>
          <dPt>
            <idx val="83"/>
            <invertIfNegative val="0"/>
            <spPr>
              <a:solidFill>
                <a:srgbClr val="F9DADA"/>
              </a:solidFill>
              <a:ln>
                <a:noFill/>
                <a:prstDash val="solid"/>
              </a:ln>
            </spPr>
          </dPt>
          <dPt>
            <idx val="84"/>
            <invertIfNegative val="0"/>
            <spPr>
              <a:solidFill>
                <a:srgbClr val="F9DADA"/>
              </a:solidFill>
              <a:ln>
                <a:noFill/>
                <a:prstDash val="solid"/>
              </a:ln>
            </spPr>
          </dPt>
          <dPt>
            <idx val="85"/>
            <invertIfNegative val="0"/>
            <spPr>
              <a:solidFill>
                <a:srgbClr val="F9DADA"/>
              </a:solidFill>
              <a:ln>
                <a:noFill/>
                <a:prstDash val="solid"/>
              </a:ln>
            </spPr>
          </dPt>
          <dPt>
            <idx val="86"/>
            <invertIfNegative val="0"/>
            <spPr>
              <a:solidFill>
                <a:srgbClr val="F9DADA"/>
              </a:solidFill>
              <a:ln>
                <a:noFill/>
                <a:prstDash val="solid"/>
              </a:ln>
            </spPr>
          </dPt>
          <dPt>
            <idx val="87"/>
            <invertIfNegative val="0"/>
            <spPr>
              <a:solidFill>
                <a:srgbClr val="F9DADA"/>
              </a:solidFill>
              <a:ln>
                <a:noFill/>
                <a:prstDash val="solid"/>
              </a:ln>
            </spPr>
          </dPt>
          <dPt>
            <idx val="88"/>
            <invertIfNegative val="0"/>
            <spPr>
              <a:solidFill>
                <a:srgbClr val="F9DADA"/>
              </a:solidFill>
              <a:ln>
                <a:noFill/>
                <a:prstDash val="solid"/>
              </a:ln>
            </spPr>
          </dPt>
          <dPt>
            <idx val="89"/>
            <invertIfNegative val="0"/>
            <spPr>
              <a:solidFill>
                <a:srgbClr val="F9DADA"/>
              </a:solidFill>
              <a:ln>
                <a:noFill/>
                <a:prstDash val="solid"/>
              </a:ln>
            </spPr>
          </dPt>
          <dPt>
            <idx val="90"/>
            <invertIfNegative val="0"/>
            <spPr>
              <a:solidFill>
                <a:srgbClr val="F9DADA"/>
              </a:solidFill>
              <a:ln>
                <a:noFill/>
                <a:prstDash val="solid"/>
              </a:ln>
            </spPr>
          </dPt>
          <dPt>
            <idx val="91"/>
            <invertIfNegative val="0"/>
            <spPr>
              <a:solidFill>
                <a:srgbClr val="F9DADA"/>
              </a:solidFill>
              <a:ln>
                <a:noFill/>
                <a:prstDash val="solid"/>
              </a:ln>
            </spPr>
          </dPt>
          <dPt>
            <idx val="92"/>
            <invertIfNegative val="0"/>
            <spPr>
              <a:solidFill>
                <a:srgbClr val="F9DADA"/>
              </a:solidFill>
              <a:ln>
                <a:noFill/>
                <a:prstDash val="solid"/>
              </a:ln>
            </spPr>
          </dPt>
          <dPt>
            <idx val="93"/>
            <invertIfNegative val="0"/>
            <spPr>
              <a:solidFill>
                <a:srgbClr val="F9DADA"/>
              </a:solidFill>
              <a:ln>
                <a:noFill/>
                <a:prstDash val="solid"/>
              </a:ln>
            </spPr>
          </dPt>
          <dPt>
            <idx val="94"/>
            <invertIfNegative val="0"/>
            <spPr>
              <a:solidFill>
                <a:srgbClr val="F9DADA"/>
              </a:solidFill>
              <a:ln>
                <a:noFill/>
                <a:prstDash val="solid"/>
              </a:ln>
            </spPr>
          </dPt>
          <dPt>
            <idx val="95"/>
            <invertIfNegative val="0"/>
            <spPr>
              <a:solidFill>
                <a:srgbClr val="F9DADA"/>
              </a:solidFill>
              <a:ln>
                <a:noFill/>
                <a:prstDash val="solid"/>
              </a:ln>
            </spPr>
          </dPt>
          <dPt>
            <idx val="96"/>
            <invertIfNegative val="0"/>
            <spPr>
              <a:solidFill>
                <a:srgbClr val="F9DADA"/>
              </a:solidFill>
              <a:ln>
                <a:noFill/>
                <a:prstDash val="solid"/>
              </a:ln>
            </spPr>
          </dPt>
          <dPt>
            <idx val="97"/>
            <invertIfNegative val="0"/>
            <spPr>
              <a:solidFill>
                <a:srgbClr val="F9DADA"/>
              </a:solidFill>
              <a:ln>
                <a:noFill/>
                <a:prstDash val="solid"/>
              </a:ln>
            </spPr>
          </dPt>
          <dPt>
            <idx val="98"/>
            <invertIfNegative val="0"/>
            <spPr>
              <a:solidFill>
                <a:srgbClr val="F9DADA"/>
              </a:solidFill>
              <a:ln>
                <a:noFill/>
                <a:prstDash val="solid"/>
              </a:ln>
            </spPr>
          </dPt>
          <dPt>
            <idx val="99"/>
            <invertIfNegative val="0"/>
            <spPr>
              <a:solidFill>
                <a:srgbClr val="F9DADA"/>
              </a:solidFill>
              <a:ln>
                <a:noFill/>
                <a:prstDash val="solid"/>
              </a:ln>
            </spPr>
          </dPt>
          <dPt>
            <idx val="100"/>
            <invertIfNegative val="0"/>
            <spPr>
              <a:solidFill>
                <a:srgbClr val="F9DADA"/>
              </a:solidFill>
              <a:ln>
                <a:noFill/>
                <a:prstDash val="solid"/>
              </a:ln>
            </spPr>
          </dPt>
          <dPt>
            <idx val="101"/>
            <invertIfNegative val="0"/>
            <spPr>
              <a:solidFill>
                <a:srgbClr val="F9DADA"/>
              </a:solidFill>
              <a:ln>
                <a:noFill/>
                <a:prstDash val="solid"/>
              </a:ln>
            </spPr>
          </dPt>
          <dPt>
            <idx val="102"/>
            <invertIfNegative val="0"/>
            <spPr>
              <a:solidFill>
                <a:srgbClr val="F9DADA"/>
              </a:solidFill>
              <a:ln>
                <a:noFill/>
                <a:prstDash val="solid"/>
              </a:ln>
            </spPr>
          </dPt>
          <dPt>
            <idx val="103"/>
            <invertIfNegative val="0"/>
            <spPr>
              <a:solidFill>
                <a:srgbClr val="F9DADA"/>
              </a:solidFill>
              <a:ln>
                <a:noFill/>
                <a:prstDash val="solid"/>
              </a:ln>
            </spPr>
          </dPt>
          <dPt>
            <idx val="104"/>
            <invertIfNegative val="0"/>
            <spPr>
              <a:solidFill>
                <a:srgbClr val="F9DADA"/>
              </a:solidFill>
              <a:ln>
                <a:noFill/>
                <a:prstDash val="solid"/>
              </a:ln>
            </spPr>
          </dPt>
          <dPt>
            <idx val="105"/>
            <invertIfNegative val="0"/>
            <spPr>
              <a:solidFill>
                <a:srgbClr val="F9DADA"/>
              </a:solidFill>
              <a:ln>
                <a:noFill/>
                <a:prstDash val="solid"/>
              </a:ln>
            </spPr>
          </dPt>
          <dPt>
            <idx val="106"/>
            <invertIfNegative val="0"/>
            <spPr>
              <a:solidFill>
                <a:srgbClr val="F9DADA"/>
              </a:solidFill>
              <a:ln>
                <a:noFill/>
                <a:prstDash val="solid"/>
              </a:ln>
            </spPr>
          </dPt>
          <dPt>
            <idx val="107"/>
            <invertIfNegative val="0"/>
            <spPr>
              <a:solidFill>
                <a:srgbClr val="F9DADA"/>
              </a:solidFill>
              <a:ln>
                <a:noFill/>
                <a:prstDash val="solid"/>
              </a:ln>
            </spPr>
          </dPt>
          <dPt>
            <idx val="108"/>
            <invertIfNegative val="0"/>
            <spPr>
              <a:solidFill>
                <a:srgbClr val="F9DADA"/>
              </a:solidFill>
              <a:ln>
                <a:noFill/>
                <a:prstDash val="solid"/>
              </a:ln>
            </spPr>
          </dPt>
          <dPt>
            <idx val="109"/>
            <invertIfNegative val="0"/>
            <spPr>
              <a:solidFill>
                <a:srgbClr val="F9DADA"/>
              </a:solidFill>
              <a:ln>
                <a:noFill/>
                <a:prstDash val="solid"/>
              </a:ln>
            </spPr>
          </dPt>
          <dPt>
            <idx val="110"/>
            <invertIfNegative val="0"/>
            <spPr>
              <a:solidFill>
                <a:srgbClr val="F9DADA"/>
              </a:solidFill>
              <a:ln>
                <a:noFill/>
                <a:prstDash val="solid"/>
              </a:ln>
            </spPr>
          </dPt>
          <dPt>
            <idx val="111"/>
            <invertIfNegative val="0"/>
            <spPr>
              <a:solidFill>
                <a:srgbClr val="F9DADA"/>
              </a:solidFill>
              <a:ln>
                <a:noFill/>
                <a:prstDash val="solid"/>
              </a:ln>
            </spPr>
          </dPt>
          <dPt>
            <idx val="112"/>
            <invertIfNegative val="0"/>
            <spPr>
              <a:solidFill>
                <a:srgbClr val="F9DADA"/>
              </a:solidFill>
              <a:ln>
                <a:noFill/>
                <a:prstDash val="solid"/>
              </a:ln>
            </spPr>
          </dPt>
          <dPt>
            <idx val="113"/>
            <invertIfNegative val="0"/>
            <spPr>
              <a:solidFill>
                <a:srgbClr val="F9DADA"/>
              </a:solidFill>
              <a:ln>
                <a:noFill/>
                <a:prstDash val="solid"/>
              </a:ln>
            </spPr>
          </dPt>
          <dPt>
            <idx val="114"/>
            <invertIfNegative val="0"/>
            <spPr>
              <a:solidFill>
                <a:srgbClr val="F9DADA"/>
              </a:solidFill>
              <a:ln>
                <a:noFill/>
                <a:prstDash val="solid"/>
              </a:ln>
            </spPr>
          </dPt>
          <dPt>
            <idx val="115"/>
            <invertIfNegative val="0"/>
            <spPr>
              <a:solidFill>
                <a:srgbClr val="F9DADA"/>
              </a:solidFill>
              <a:ln>
                <a:noFill/>
                <a:prstDash val="solid"/>
              </a:ln>
            </spPr>
          </dPt>
          <dPt>
            <idx val="116"/>
            <invertIfNegative val="0"/>
            <spPr>
              <a:solidFill>
                <a:srgbClr val="F9DADA"/>
              </a:solidFill>
              <a:ln>
                <a:noFill/>
                <a:prstDash val="solid"/>
              </a:ln>
            </spPr>
          </dPt>
          <dPt>
            <idx val="117"/>
            <invertIfNegative val="0"/>
            <spPr>
              <a:solidFill>
                <a:srgbClr val="F9DADA"/>
              </a:solidFill>
              <a:ln>
                <a:noFill/>
                <a:prstDash val="solid"/>
              </a:ln>
            </spPr>
          </dPt>
          <dPt>
            <idx val="118"/>
            <invertIfNegative val="0"/>
            <spPr>
              <a:solidFill>
                <a:srgbClr val="F9DADA"/>
              </a:solidFill>
              <a:ln>
                <a:noFill/>
                <a:prstDash val="solid"/>
              </a:ln>
            </spPr>
          </dPt>
          <dPt>
            <idx val="119"/>
            <invertIfNegative val="0"/>
            <spPr>
              <a:solidFill>
                <a:srgbClr val="F9DADA"/>
              </a:solidFill>
              <a:ln>
                <a:noFill/>
                <a:prstDash val="solid"/>
              </a:ln>
            </spPr>
          </dPt>
          <cat>
            <numRef>
              <f>'Chart - Demand to 2033'!$A$2:$A$121</f>
            </numRef>
          </cat>
          <val>
            <numRef>
              <f>'Chart - Demand to 2033'!$I$2:$I$121</f>
            </numRef>
          </val>
        </ser>
        <gapWidth val="30"/>
        <overlap val="100"/>
        <axId val="10"/>
        <axId val="100"/>
      </barChart>
      <lineChart>
        <grouping val="standard"/>
        <ser>
          <idx val="8"/>
          <order val="8"/>
          <tx>
            <strRef>
              <f>'Chart - Demand to 2033'!J1</f>
            </strRef>
          </tx>
          <spPr>
            <a:ln w="28575">
              <a:solidFill>
                <a:srgbClr val="252525"/>
              </a:solidFill>
              <a:prstDash val="solid"/>
            </a:ln>
          </spPr>
          <marker>
            <symbol val="none"/>
            <spPr>
              <a:ln>
                <a:prstDash val="solid"/>
              </a:ln>
            </spPr>
          </marker>
          <cat>
            <numRef>
              <f>'Chart - Demand to 2033'!$A$2:$A$121</f>
            </numRef>
          </cat>
          <val>
            <numRef>
              <f>'Chart - Demand to 2033'!$J$2:$J$121</f>
            </numRef>
          </val>
          <smooth val="0"/>
        </ser>
        <ser>
          <idx val="9"/>
          <order val="9"/>
          <tx>
            <strRef>
              <f>'Chart - Demand to 2033'!K1</f>
            </strRef>
          </tx>
          <spPr>
            <a:ln w="28575">
              <a:solidFill>
                <a:srgbClr val="252525"/>
              </a:solidFill>
              <a:prstDash val="dash"/>
            </a:ln>
          </spPr>
          <marker>
            <symbol val="none"/>
            <spPr>
              <a:ln>
                <a:prstDash val="solid"/>
              </a:ln>
            </spPr>
          </marker>
          <cat>
            <numRef>
              <f>'Chart - Demand to 2033'!$A$2:$A$121</f>
            </numRef>
          </cat>
          <val>
            <numRef>
              <f>'Chart - Demand to 2033'!$K$2:$K$121</f>
            </numRef>
          </val>
          <smooth val="0"/>
        </ser>
        <ser>
          <idx val="10"/>
          <order val="10"/>
          <tx>
            <strRef>
              <f>'Chart - Demand to 2033'!L1</f>
            </strRef>
          </tx>
          <spPr>
            <a:ln w="28575">
              <a:solidFill>
                <a:srgbClr val="252525"/>
              </a:solidFill>
              <a:prstDash val="dash"/>
            </a:ln>
          </spPr>
          <marker>
            <symbol val="none"/>
            <spPr>
              <a:ln>
                <a:prstDash val="solid"/>
              </a:ln>
            </spPr>
          </marker>
          <cat>
            <numRef>
              <f>'Chart - Demand to 2033'!$A$2:$A$121</f>
            </numRef>
          </cat>
          <val>
            <numRef>
              <f>'Chart - Demand to 2033'!$L$2:$L$121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t>Implied net outflow to other states to 2033 (scenario after Dec/28) (to Dec/33; forecast from Aug/26, scenario from Jan/29, lightest bars)</a:t>
            </a:r>
          </a:p>
        </rich>
      </tx>
      <overlay val="0"/>
    </title>
    <plotArea>
      <lineChart>
        <grouping val="standard"/>
        <ser>
          <idx val="0"/>
          <order val="0"/>
          <tx>
            <strRef>
              <f>'Chart - Outflow to 2033'!B1</f>
            </strRef>
          </tx>
          <spPr>
            <a:ln w="22225">
              <a:solidFill>
                <a:srgbClr val="2A78D6"/>
              </a:solidFill>
              <a:prstDash val="solid"/>
            </a:ln>
          </spPr>
          <marker>
            <symbol val="none"/>
            <spPr>
              <a:ln>
                <a:prstDash val="solid"/>
              </a:ln>
            </spPr>
          </marker>
          <cat>
            <numRef>
              <f>'Chart - Outflow to 2033'!$A$2:$A$121</f>
            </numRef>
          </cat>
          <val>
            <numRef>
              <f>'Chart - Outflow to 2033'!$B$2:$B$121</f>
            </numRef>
          </val>
          <smooth val="0"/>
        </ser>
        <ser>
          <idx val="1"/>
          <order val="1"/>
          <tx>
            <strRef>
              <f>'Chart - Outflow to 2033'!C1</f>
            </strRef>
          </tx>
          <spPr>
            <a:ln w="22225">
              <a:solidFill>
                <a:srgbClr val="EB6834"/>
              </a:solidFill>
              <a:prstDash val="solid"/>
            </a:ln>
          </spPr>
          <marker>
            <symbol val="none"/>
            <spPr>
              <a:ln>
                <a:prstDash val="solid"/>
              </a:ln>
            </spPr>
          </marker>
          <cat>
            <numRef>
              <f>'Chart - Outflow to 2033'!$A$2:$A$121</f>
            </numRef>
          </cat>
          <val>
            <numRef>
              <f>'Chart - Outflow to 2033'!$C$2:$C$121</f>
            </numRef>
          </val>
          <smooth val="0"/>
        </ser>
        <ser>
          <idx val="2"/>
          <order val="2"/>
          <tx>
            <strRef>
              <f>'Chart - Outflow to 2033'!D1</f>
            </strRef>
          </tx>
          <spPr>
            <a:ln w="22225">
              <a:solidFill>
                <a:srgbClr val="1BAF7A"/>
              </a:solidFill>
              <a:prstDash val="solid"/>
            </a:ln>
          </spPr>
          <marker>
            <symbol val="none"/>
            <spPr>
              <a:ln>
                <a:prstDash val="solid"/>
              </a:ln>
            </spPr>
          </marker>
          <cat>
            <numRef>
              <f>'Chart - Outflow to 2033'!$A$2:$A$121</f>
            </numRef>
          </cat>
          <val>
            <numRef>
              <f>'Chart - Outflow to 2033'!$D$2:$D$121</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10"/>
        <tickMarkSkip val="10"/>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t>Texas marketed gas production: history and forecast (EIA STEO regions, Permian takeaway cap) (to Dec/28)</a:t>
            </a:r>
          </a:p>
        </rich>
      </tx>
      <overlay val="0"/>
    </title>
    <plotArea>
      <lineChart>
        <grouping val="standard"/>
        <ser>
          <idx val="0"/>
          <order val="0"/>
          <tx>
            <strRef>
              <f>'Chart - Production'!B1</f>
            </strRef>
          </tx>
          <spPr>
            <a:ln w="22225">
              <a:solidFill>
                <a:srgbClr val="2A78D6"/>
              </a:solidFill>
              <a:prstDash val="solid"/>
            </a:ln>
          </spPr>
          <marker>
            <symbol val="none"/>
            <spPr>
              <a:ln>
                <a:prstDash val="solid"/>
              </a:ln>
            </spPr>
          </marker>
          <cat>
            <numRef>
              <f>'Chart - Production'!$A$2:$A$85</f>
            </numRef>
          </cat>
          <val>
            <numRef>
              <f>'Chart - Production'!$B$2:$B$85</f>
            </numRef>
          </val>
          <smooth val="0"/>
        </ser>
        <ser>
          <idx val="1"/>
          <order val="1"/>
          <tx>
            <strRef>
              <f>'Chart - Production'!C1</f>
            </strRef>
          </tx>
          <spPr>
            <a:ln w="22225">
              <a:solidFill>
                <a:srgbClr val="EB6834"/>
              </a:solidFill>
              <a:prstDash val="solid"/>
            </a:ln>
          </spPr>
          <marker>
            <symbol val="none"/>
            <spPr>
              <a:ln>
                <a:prstDash val="solid"/>
              </a:ln>
            </spPr>
          </marker>
          <cat>
            <numRef>
              <f>'Chart - Production'!$A$2:$A$85</f>
            </numRef>
          </cat>
          <val>
            <numRef>
              <f>'Chart - Production'!$C$2:$C$85</f>
            </numRef>
          </val>
          <smooth val="0"/>
        </ser>
        <ser>
          <idx val="2"/>
          <order val="2"/>
          <tx>
            <strRef>
              <f>'Chart - Production'!D1</f>
            </strRef>
          </tx>
          <spPr>
            <a:ln w="22225">
              <a:solidFill>
                <a:srgbClr val="1BAF7A"/>
              </a:solidFill>
              <a:prstDash val="solid"/>
            </a:ln>
          </spPr>
          <marker>
            <symbol val="none"/>
            <spPr>
              <a:ln>
                <a:prstDash val="solid"/>
              </a:ln>
            </spPr>
          </marker>
          <cat>
            <numRef>
              <f>'Chart - Production'!$A$2:$A$85</f>
            </numRef>
          </cat>
          <val>
            <numRef>
              <f>'Chart - Production'!$D$2:$D$85</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7"/>
        <tickMarkSkip val="7"/>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t>Implied net outflow, base and LNG-delayed scenarios (dry production - demand incl. LNG; includes withheld fuel) (to Dec/28)</a:t>
            </a:r>
          </a:p>
        </rich>
      </tx>
      <overlay val="0"/>
    </title>
    <plotArea>
      <lineChart>
        <grouping val="standard"/>
        <ser>
          <idx val="0"/>
          <order val="0"/>
          <tx>
            <strRef>
              <f>'Chart - Net outflow'!B1</f>
            </strRef>
          </tx>
          <spPr>
            <a:ln w="22225">
              <a:solidFill>
                <a:srgbClr val="2A78D6"/>
              </a:solidFill>
              <a:prstDash val="solid"/>
            </a:ln>
          </spPr>
          <marker>
            <symbol val="none"/>
            <spPr>
              <a:ln>
                <a:prstDash val="solid"/>
              </a:ln>
            </spPr>
          </marker>
          <cat>
            <numRef>
              <f>'Chart - Net outflow'!$A$2:$A$97</f>
            </numRef>
          </cat>
          <val>
            <numRef>
              <f>'Chart - Net outflow'!$B$2:$B$97</f>
            </numRef>
          </val>
          <smooth val="0"/>
        </ser>
        <ser>
          <idx val="1"/>
          <order val="1"/>
          <tx>
            <strRef>
              <f>'Chart - Net outflow'!C1</f>
            </strRef>
          </tx>
          <spPr>
            <a:ln w="22225">
              <a:solidFill>
                <a:srgbClr val="EB6834"/>
              </a:solidFill>
              <a:prstDash val="solid"/>
            </a:ln>
          </spPr>
          <marker>
            <symbol val="none"/>
            <spPr>
              <a:ln>
                <a:prstDash val="solid"/>
              </a:ln>
            </spPr>
          </marker>
          <cat>
            <numRef>
              <f>'Chart - Net outflow'!$A$2:$A$97</f>
            </numRef>
          </cat>
          <val>
            <numRef>
              <f>'Chart - Net outflow'!$C$2:$C$97</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8"/>
        <tickMarkSkip val="8"/>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t>Permian: STEO marketed production against takeaway capacity plus local demand (takeaway table unverified) (to Dec/28)</a:t>
            </a:r>
          </a:p>
        </rich>
      </tx>
      <overlay val="0"/>
    </title>
    <plotArea>
      <lineChart>
        <grouping val="standard"/>
        <ser>
          <idx val="0"/>
          <order val="0"/>
          <tx>
            <strRef>
              <f>'Chart - Permian cap'!B1</f>
            </strRef>
          </tx>
          <spPr>
            <a:ln w="22225">
              <a:solidFill>
                <a:srgbClr val="2A78D6"/>
              </a:solidFill>
              <a:prstDash val="solid"/>
            </a:ln>
          </spPr>
          <marker>
            <symbol val="none"/>
            <spPr>
              <a:ln>
                <a:prstDash val="solid"/>
              </a:ln>
            </spPr>
          </marker>
          <cat>
            <numRef>
              <f>'Chart - Permian cap'!$A$2:$A$49</f>
            </numRef>
          </cat>
          <val>
            <numRef>
              <f>'Chart - Permian cap'!$B$2:$B$49</f>
            </numRef>
          </val>
          <smooth val="0"/>
        </ser>
        <ser>
          <idx val="1"/>
          <order val="1"/>
          <tx>
            <strRef>
              <f>'Chart - Permian cap'!C1</f>
            </strRef>
          </tx>
          <spPr>
            <a:ln w="22225">
              <a:solidFill>
                <a:srgbClr val="EB6834"/>
              </a:solidFill>
              <a:prstDash val="solid"/>
            </a:ln>
          </spPr>
          <marker>
            <symbol val="none"/>
            <spPr>
              <a:ln>
                <a:prstDash val="solid"/>
              </a:ln>
            </spPr>
          </marker>
          <cat>
            <numRef>
              <f>'Chart - Permian cap'!$A$2:$A$49</f>
            </numRef>
          </cat>
          <val>
            <numRef>
              <f>'Chart - Permian cap'!$C$2:$C$49</f>
            </numRef>
          </val>
          <smooth val="0"/>
        </ser>
        <ser>
          <idx val="2"/>
          <order val="2"/>
          <tx>
            <strRef>
              <f>'Chart - Permian cap'!D1</f>
            </strRef>
          </tx>
          <spPr>
            <a:ln w="22225">
              <a:solidFill>
                <a:srgbClr val="1BAF7A"/>
              </a:solidFill>
              <a:prstDash val="solid"/>
            </a:ln>
          </spPr>
          <marker>
            <symbol val="none"/>
            <spPr>
              <a:ln>
                <a:prstDash val="solid"/>
              </a:ln>
            </spPr>
          </marker>
          <cat>
            <numRef>
              <f>'Chart - Permian cap'!$A$2:$A$49</f>
            </numRef>
          </cat>
          <val>
            <numRef>
              <f>'Chart - Permian cap'!$D$2:$D$49</f>
            </numRef>
          </val>
          <smooth val="0"/>
        </ser>
        <axId val="10"/>
        <axId val="100"/>
      </lineChart>
      <catAx>
        <axId val="10"/>
        <scaling>
          <orientation val="minMax"/>
        </scaling>
        <delete val="0"/>
        <axPos val="b"/>
        <numFmt formatCode="mmm/yy" sourceLinked="0"/>
        <majorTickMark val="none"/>
        <minorTickMark val="none"/>
        <tickLblPos val="low"/>
        <txPr>
          <a:bodyPr rot="-2700000" vert="horz"/>
          <a:p>
            <a:pPr>
              <a:defRPr/>
            </a:pPr>
            <a:r>
              <a:t/>
            </a:r>
            <a:endParaRPr/>
          </a:p>
        </txPr>
        <crossAx val="100"/>
        <lblOffset val="100"/>
        <tickLblSkip val="4"/>
        <tickMarkSkip val="4"/>
      </catAx>
      <valAx>
        <axId val="100"/>
        <scaling>
          <orientation val="minMax"/>
        </scaling>
        <delete val="0"/>
        <axPos val="l"/>
        <majorGridlines/>
        <title>
          <tx>
            <rich>
              <a:bodyPr/>
              <a:p>
                <a:pPr>
                  <a:defRPr/>
                </a:pPr>
                <a:r>
                  <a:t>Bcf/d</a:t>
                </a:r>
              </a:p>
            </rich>
          </tx>
          <overlay val="0"/>
        </title>
        <majorTickMark val="none"/>
        <minorTickMark val="none"/>
        <crossAx val="1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11</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10080000" cy="46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10" customWidth="1" min="1" max="1"/>
  </cols>
  <sheetData>
    <row r="1">
      <c r="A1" s="1" t="inlineStr">
        <is>
          <t>Notes</t>
        </is>
      </c>
    </row>
    <row r="2">
      <c r="A2" t="inlineStr">
        <is>
          <t>Notes</t>
        </is>
      </c>
    </row>
    <row r="4">
      <c r="A4" s="1" t="inlineStr">
        <is>
          <t>UNITS</t>
        </is>
      </c>
    </row>
    <row r="5">
      <c r="A5" t="inlineStr">
        <is>
          <t>All flows are Bcf/d (billion cubic feet per day), monthly averages. Texas marketed production, consumption, Mexico and LNG history come from texas_gas_monthly.xlsx (EIA).</t>
        </is>
      </c>
    </row>
    <row r="7">
      <c r="A7" s="1" t="inlineStr">
        <is>
          <t>METHOD</t>
        </is>
      </c>
    </row>
    <row r="8">
      <c r="A8" t="inlineStr">
        <is>
          <t>Forecast base: EIA STEO (live). Series: NGMPPM (Permian), NGMPEF (Eagle Ford), NGMPHA (Haynesville), regional marketed production. STEO ends Dec 2027; 2028 extends 2027 by the STEO 2027/2026 annual growth per region (stated, not an EIA forecast).</t>
        </is>
      </c>
    </row>
    <row r="9">
      <c r="A9" t="inlineStr">
        <is>
          <t>Texas = 85% Permian + 100% Eagle Ford + 30% Haynesville + 'Other Texas' calibration (-1.20 Bcf/d, mean gap to Texas history over the last 6 overlapping months, held flat). Shares are editable assumptions.</t>
        </is>
      </c>
    </row>
    <row r="10">
      <c r="A10" t="inlineStr">
        <is>
          <t>STEO regional series are already marketed, so no dry-to-marketed conversion is applied; the last-12-month extraction-loss share used in TEXAS_GAS.py is 16.4% of marketed (dry equivalent = marketed x 0.836).</t>
        </is>
      </c>
    </row>
    <row r="11">
      <c r="A11" t="inlineStr">
        <is>
          <t>Permian cap: production = min(STEO Permian, existing takeaway + new pipelines in service + local demand) from the Takeaway tab. Delayed scenario shifts every pipeline not yet in service by the delay on the Assumptions tab.</t>
        </is>
      </c>
    </row>
    <row r="12">
      <c r="A12" t="inlineStr">
        <is>
          <t>Takeaway table: only Matterhorn (in service) is firm; every other capacity and date is UNVERIFIED (company announcements, from memory) and the existing-takeaway aggregate is a calibration. Edit the tab and re-run to update.</t>
        </is>
      </c>
    </row>
    <row r="13">
      <c r="A13" t="inlineStr">
        <is>
          <t>Net interstate outflow = DRY production (marketed x (1 - extraction-loss share); EIA dry history) - demand incl. LNG (five EIA consumption sectors + LNG feedgas + Mexico pipeline exports). Marketed gas includes NGLs removed at plants, which never reach a pipeline, so the earlier marketed-based outflow (before Oct 2026) ran about 6 Bcf/d too high. It also includes fuel EIA withholds (lease/plant, pipeline) and ignores storage.</t>
        </is>
      </c>
    </row>
    <row r="14">
      <c r="A14" t="inlineStr">
        <is>
          <t>Forecast months of consumption, Mexico and LNG feedgas come from the 'Forecast values' tab of texas_gas_monthly.xlsx (TEXAS_GAS_FORECAST.py): base outflow = base production with base LNG; delayed outflow = takeaway-delayed production with LNG-delayed feedgas (both 6-month delays). LNG feedgas = EIA LNG exports x 1.09, so history differs slightly from the Balance tab's residual of texas_gas_monthly.xlsx (which uses exports and adds storage).</t>
        </is>
      </c>
    </row>
    <row r="15">
      <c r="A15" t="inlineStr">
        <is>
          <t>'Supply and demand' tab (americas/TEXAS_SUPPLY_DEMAND.py): the stacked demand columns, dry production lines and implied outflow charted on 'Chart - Supply and demand' and 'Chart - Net outflow' and on the North America gas Dashboard. Run after texas_gas.yml (this workflow follows it at 17:40 UTC on the 1st/15th).</t>
        </is>
      </c>
    </row>
    <row r="16">
      <c r="A16" t="inlineStr">
        <is>
          <t>Sanity checks of the last run: last 12 history months implied outflow: mean 9.1, min 7.3, max 10.6 Bcf/d; join Jul/26 -&gt; Aug/26: outflow 8.8 -&gt; 7.5 (-1.3), dry production -0.3 Bcf/d; forecast outflow max base 12.0 (Mar/27), delayed 12.6; annual means 2025: 8.6/8.6; 2026: 9.2/9.2; 2027: 9.6/10.8; 2028: 8.8/10.4</t>
        </is>
      </c>
    </row>
    <row r="17">
      <c r="A17" t="inlineStr">
        <is>
          <t>Latest history month: Jul/26. Not an EIA or company forecast of Texas; a transparent scenario tool.</t>
        </is>
      </c>
    </row>
    <row r="19">
      <c r="A19" s="1" t="inlineStr">
        <is>
          <t>DATA CENTRES AND THE 2033 VIEW (americas/TEXAS_DATACENTRE.py; Bcf/d)</t>
        </is>
      </c>
    </row>
    <row r="20">
      <c r="A20" t="inlineStr">
        <is>
          <t>Tabs 'Assump - Data centres' (yellow cells editable, survive reruns), 'Data centres' (live formulas: year-end energised Texas data-centre GW and gas burn, LOW/BASE/HIGH, 2024-33) and 'Demand to 2033' (script values, month by month to Dec 2033, charted).</t>
        </is>
      </c>
    </row>
    <row r="21">
      <c r="A21" t="inlineStr">
        <is>
          <t>Anchor: IEA, Energy and AI (Apr 2025), US data centres ~180 TWh in 2024 and +~240 TWh by 2030 (BASE) - unverified (from memory); IEA scenario endpoints are 2030 and 2035, so 2025-29 and 2031-34 are linearly interpolated. LOW/HIGH, the Texas shares (stock 10%, growth 15/25/40%), load factor, gas shares (40/50/60%) are own assumptions; ERCOT's large-load queue (226 GW, 70% data centres) is a unverified (from memory) cross-check, not fetched.</t>
        </is>
      </c>
    </row>
    <row r="22">
      <c r="A22" t="inlineStr">
        <is>
          <t>Gas = GW x 1000 x load factor 0.85 x gas share x heat rate 8.54 MMBtu/MWh (mean of the last 12 calibrated ERCOT months, Aug/25-Jul/26 (12 months)) x 24 / 1.036 MMBtu per Mcf / 1e6 = 0.084 Bcf/d per GW in BASE.</t>
        </is>
      </c>
    </row>
    <row r="23">
      <c r="A23" t="inlineStr">
        <is>
          <t>Only burn ADDED after the last EIA actual month is stacked on the sector demand (EIA's electric-power history already includes the present data-centre load); the electric-power sector is held flat after 2028 so the trend and the data-centre layer do not double count.</t>
        </is>
      </c>
    </row>
    <row r="24">
      <c r="A24" t="inlineStr">
        <is>
          <t>2029-33 is a SCENARIO (lighter bars): LNG = the existing train table (last train 2031) at steady utilisation; other sectors = the seasonal-trend base extended; production = STEO to Dec 2027, 2028 as in the base forecast, then region growth damped by the editable factor (extension, not STEO) and capped by the takeaway table with capacity held after the last listed pipeline.</t>
        </is>
      </c>
    </row>
    <row r="25">
      <c r="A25" t="inlineStr">
        <is>
          <t>Implied net outflow = dry production (base) - demand incl. LNG feedgas, Mexico and data centres, for LOW / BASE / HIGH data-centre cases; a negative value means Texas production cannot meet Texas demand and gas must flow in from other states - it is shown, never clipped.</t>
        </is>
      </c>
    </row>
    <row r="26">
      <c r="A26" t="inlineStr">
        <is>
          <t>Sanity checks of the last run: model run to 2033 reproduces the 2028 workbook: max |LNG diff| 5.3e-15, sectors 1.8e-15 Bcf/d; data-centre gas burn LOW: Dec/28 0.27, Dec/30 0.33, Dec/33 0.41 Bcf/d (below the 10 Bcf/d flag); data-centre gas burn BASE: Dec/28 0.66, Dec/30 0.88, Dec/33 1.12 Bcf/d (below the 10 Bcf/d flag); data-centre gas burn HIGH: Dec/28 1.55, Dec/30 2.20, Dec/33 3.04 Bcf/d (below the 10 Bcf/d flag); implied outflow LOW: Dec/28 8.9, Dec/30 9.6, Dec/33 8.7, min 6.8 (Jan/28); implied outflow BASE: Dec/28 8.7, Dec/30 9.3, Dec/33 8.2, min 6.4 (Aug/31); implied outflow HIGH: Dec/28 8.2, Dec/30 8.3, Dec/33 6.6, min 5.1 (Aug/33); join Dec/28 -&gt; Jan/29 (BASE): total demand +1.62 (median monthly step 2027-28 1.06), dry production +0.11, outflow -1.51 Bcf/d (the same Dec -&gt; Jan step a year earlier was -2.33: winter demand) - no jump beyond the seasonal step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97"/>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Residential</t>
        </is>
      </c>
      <c r="E1" t="inlineStr">
        <is>
          <t>Commercial</t>
        </is>
      </c>
      <c r="F1" t="inlineStr">
        <is>
          <t>Vehicle fuel</t>
        </is>
      </c>
      <c r="G1" t="inlineStr">
        <is>
          <t>LNG feedgas (base case)</t>
        </is>
      </c>
      <c r="H1" t="inlineStr">
        <is>
          <t>Pipeline exports to Mexico</t>
        </is>
      </c>
      <c r="I1" t="inlineStr">
        <is>
          <t>Dry production, base</t>
        </is>
      </c>
      <c r="J1" t="inlineStr">
        <is>
          <t>Dry production, takeaway delayed</t>
        </is>
      </c>
    </row>
    <row r="2">
      <c r="A2" s="20" t="n">
        <v>44197</v>
      </c>
      <c r="B2" t="n">
        <v>3.671612903225806</v>
      </c>
      <c r="C2" t="n">
        <v>5.748096774193549</v>
      </c>
      <c r="D2" t="n">
        <v>1.457193548387097</v>
      </c>
      <c r="E2" t="n">
        <v>0.7947741935483871</v>
      </c>
      <c r="F2" t="n">
        <v>0.002580645161290323</v>
      </c>
      <c r="G2" t="n">
        <v>4.16024870967742</v>
      </c>
      <c r="H2" t="n">
        <v>2.552483870967742</v>
      </c>
      <c r="I2" t="n">
        <v>22.10383870967742</v>
      </c>
    </row>
    <row r="3">
      <c r="A3" s="20" t="n">
        <v>44228</v>
      </c>
      <c r="B3" t="n">
        <v>4.4955</v>
      </c>
      <c r="C3" t="n">
        <v>4.749571428571429</v>
      </c>
      <c r="D3" t="n">
        <v>1.7995</v>
      </c>
      <c r="E3" t="n">
        <v>0.9247857142857143</v>
      </c>
      <c r="F3" t="n">
        <v>0.002571428571428572</v>
      </c>
      <c r="G3" t="n">
        <v>2.483681785714286</v>
      </c>
      <c r="H3" t="n">
        <v>2.252428571428571</v>
      </c>
      <c r="I3" t="n">
        <v>18.401</v>
      </c>
    </row>
    <row r="4">
      <c r="A4" s="20" t="n">
        <v>44256</v>
      </c>
      <c r="B4" t="n">
        <v>2.87358064516129</v>
      </c>
      <c r="C4" t="n">
        <v>4.849387096774193</v>
      </c>
      <c r="D4" t="n">
        <v>0.8512580645161291</v>
      </c>
      <c r="E4" t="n">
        <v>0.547741935483871</v>
      </c>
      <c r="F4" t="n">
        <v>0.002580645161290323</v>
      </c>
      <c r="G4" t="n">
        <v>4.437917419354839</v>
      </c>
      <c r="H4" t="n">
        <v>2.643935483870968</v>
      </c>
      <c r="I4" t="n">
        <v>22.99258064516129</v>
      </c>
    </row>
    <row r="5">
      <c r="A5" s="20" t="n">
        <v>44287</v>
      </c>
      <c r="B5" t="n">
        <v>3.746233333333333</v>
      </c>
      <c r="C5" t="n">
        <v>5.287166666666667</v>
      </c>
      <c r="D5" t="n">
        <v>0.4110333333333334</v>
      </c>
      <c r="E5" t="n">
        <v>0.4744333333333333</v>
      </c>
      <c r="F5" t="n">
        <v>0.002566666666666667</v>
      </c>
      <c r="G5" t="n">
        <v>4.377658</v>
      </c>
      <c r="H5" t="n">
        <v>2.670233333333333</v>
      </c>
      <c r="I5" t="n">
        <v>23.71223333333333</v>
      </c>
    </row>
    <row r="6">
      <c r="A6" s="20" t="n">
        <v>44317</v>
      </c>
      <c r="B6" t="n">
        <v>3.843774193548387</v>
      </c>
      <c r="C6" t="n">
        <v>5.234774193548387</v>
      </c>
      <c r="D6" t="n">
        <v>0.2831612903225807</v>
      </c>
      <c r="E6" t="n">
        <v>0.3512903225806452</v>
      </c>
      <c r="F6" t="n">
        <v>0.002580645161290323</v>
      </c>
      <c r="G6" t="n">
        <v>4.289044516129032</v>
      </c>
      <c r="H6" t="n">
        <v>2.766322580645161</v>
      </c>
      <c r="I6" t="n">
        <v>23.58770967741935</v>
      </c>
    </row>
    <row r="7">
      <c r="A7" s="20" t="n">
        <v>44348</v>
      </c>
      <c r="B7" t="n">
        <v>5.751166666666667</v>
      </c>
      <c r="C7" t="n">
        <v>5.296266666666666</v>
      </c>
      <c r="D7" t="n">
        <v>0.2299</v>
      </c>
      <c r="E7" t="n">
        <v>0.3627</v>
      </c>
      <c r="F7" t="n">
        <v>0.002566666666666667</v>
      </c>
      <c r="G7" t="n">
        <v>4.362725</v>
      </c>
      <c r="H7" t="n">
        <v>2.929933333333334</v>
      </c>
      <c r="I7" t="n">
        <v>23.52116666666667</v>
      </c>
    </row>
    <row r="8">
      <c r="A8" s="20" t="n">
        <v>44378</v>
      </c>
      <c r="B8" t="n">
        <v>6.234870967741935</v>
      </c>
      <c r="C8" t="n">
        <v>5.42283870967742</v>
      </c>
      <c r="D8" t="n">
        <v>0.215258064516129</v>
      </c>
      <c r="E8" t="n">
        <v>0.3711612903225807</v>
      </c>
      <c r="F8" t="n">
        <v>0.002580645161290323</v>
      </c>
      <c r="G8" t="n">
        <v>4.267807096774193</v>
      </c>
      <c r="H8" t="n">
        <v>2.876193548387096</v>
      </c>
      <c r="I8" t="n">
        <v>23.99703225806451</v>
      </c>
    </row>
    <row r="9">
      <c r="A9" s="20" t="n">
        <v>44409</v>
      </c>
      <c r="B9" t="n">
        <v>6.327096774193548</v>
      </c>
      <c r="C9" t="n">
        <v>5.458516129032258</v>
      </c>
      <c r="D9" t="n">
        <v>0.1994193548387097</v>
      </c>
      <c r="E9" t="n">
        <v>0.3660322580645162</v>
      </c>
      <c r="F9" t="n">
        <v>0.002580645161290323</v>
      </c>
      <c r="G9" t="n">
        <v>4.47866935483871</v>
      </c>
      <c r="H9" t="n">
        <v>2.802806451612903</v>
      </c>
      <c r="I9" t="n">
        <v>24.04129032258064</v>
      </c>
    </row>
    <row r="10">
      <c r="A10" s="20" t="n">
        <v>44440</v>
      </c>
      <c r="B10" t="n">
        <v>5.298666666666667</v>
      </c>
      <c r="C10" t="n">
        <v>5.518066666666667</v>
      </c>
      <c r="D10" t="n">
        <v>0.2002666666666667</v>
      </c>
      <c r="E10" t="n">
        <v>0.3705666666666667</v>
      </c>
      <c r="F10" t="n">
        <v>0.002566666666666667</v>
      </c>
      <c r="G10" t="n">
        <v>4.103632000000001</v>
      </c>
      <c r="H10" t="n">
        <v>2.6138</v>
      </c>
      <c r="I10" t="n">
        <v>24.82143333333334</v>
      </c>
    </row>
    <row r="11">
      <c r="A11" s="20" t="n">
        <v>44470</v>
      </c>
      <c r="B11" t="n">
        <v>4.412612903225807</v>
      </c>
      <c r="C11" t="n">
        <v>5.262677419354839</v>
      </c>
      <c r="D11" t="n">
        <v>0.2569354838709678</v>
      </c>
      <c r="E11" t="n">
        <v>0.3873548387096775</v>
      </c>
      <c r="F11" t="n">
        <v>0.002580645161290323</v>
      </c>
      <c r="G11" t="n">
        <v>4.390695806451613</v>
      </c>
      <c r="H11" t="n">
        <v>2.767870967741935</v>
      </c>
      <c r="I11" t="n">
        <v>24.74848387096774</v>
      </c>
    </row>
    <row r="12">
      <c r="A12" s="20" t="n">
        <v>44501</v>
      </c>
      <c r="B12" t="n">
        <v>3.4576</v>
      </c>
      <c r="C12" t="n">
        <v>5.6497</v>
      </c>
      <c r="D12" t="n">
        <v>0.5384333333333333</v>
      </c>
      <c r="E12" t="n">
        <v>0.5129333333333332</v>
      </c>
      <c r="F12" t="n">
        <v>0.002566666666666667</v>
      </c>
      <c r="G12" t="n">
        <v>3.903508</v>
      </c>
      <c r="H12" t="n">
        <v>2.557566666666667</v>
      </c>
      <c r="I12" t="n">
        <v>24.64196666666667</v>
      </c>
    </row>
    <row r="13">
      <c r="A13" s="20" t="n">
        <v>44531</v>
      </c>
      <c r="B13" t="n">
        <v>3.378290322580646</v>
      </c>
      <c r="C13" t="n">
        <v>5.783322580645161</v>
      </c>
      <c r="D13" t="n">
        <v>0.5891612903225806</v>
      </c>
      <c r="E13" t="n">
        <v>0.5320967741935484</v>
      </c>
      <c r="F13" t="n">
        <v>0.002580645161290323</v>
      </c>
      <c r="G13" t="n">
        <v>4.614497419354839</v>
      </c>
      <c r="H13" t="n">
        <v>2.405741935483871</v>
      </c>
      <c r="I13" t="n">
        <v>24.995</v>
      </c>
    </row>
    <row r="14">
      <c r="A14" s="20" t="n">
        <v>44562</v>
      </c>
      <c r="B14" t="n">
        <v>4.094129032258064</v>
      </c>
      <c r="C14" t="n">
        <v>5.599161290322581</v>
      </c>
      <c r="D14" t="n">
        <v>1.307903225806452</v>
      </c>
      <c r="E14" t="n">
        <v>0.7509677419354839</v>
      </c>
      <c r="F14" t="n">
        <v>0.003483870967741936</v>
      </c>
      <c r="G14" t="n">
        <v>4.595369677419355</v>
      </c>
      <c r="H14" t="n">
        <v>2.562612903225807</v>
      </c>
      <c r="I14" t="n">
        <v>23.17987096774193</v>
      </c>
    </row>
    <row r="15">
      <c r="A15" s="20" t="n">
        <v>44593</v>
      </c>
      <c r="B15" t="n">
        <v>4.156392857142857</v>
      </c>
      <c r="C15" t="n">
        <v>5.527285714285715</v>
      </c>
      <c r="D15" t="n">
        <v>1.646</v>
      </c>
      <c r="E15" t="n">
        <v>0.8936785714285714</v>
      </c>
      <c r="F15" t="n">
        <v>0.0035</v>
      </c>
      <c r="G15" t="n">
        <v>4.697160357142858</v>
      </c>
      <c r="H15" t="n">
        <v>2.727035714285714</v>
      </c>
      <c r="I15" t="n">
        <v>24.34007142857143</v>
      </c>
    </row>
    <row r="16">
      <c r="A16" s="20" t="n">
        <v>44621</v>
      </c>
      <c r="B16" t="n">
        <v>2.959516129032258</v>
      </c>
      <c r="C16" t="n">
        <v>5.511225806451613</v>
      </c>
      <c r="D16" t="n">
        <v>0.9952903225806451</v>
      </c>
      <c r="E16" t="n">
        <v>0.6364838709677419</v>
      </c>
      <c r="F16" t="n">
        <v>0.003483870967741936</v>
      </c>
      <c r="G16" t="n">
        <v>4.382503225806452</v>
      </c>
      <c r="H16" t="n">
        <v>2.667935483870968</v>
      </c>
      <c r="I16" t="n">
        <v>24.87987096774194</v>
      </c>
    </row>
    <row r="17">
      <c r="A17" s="20" t="n">
        <v>44652</v>
      </c>
      <c r="B17" t="n">
        <v>3.282933333333333</v>
      </c>
      <c r="C17" t="n">
        <v>5.453966666666666</v>
      </c>
      <c r="D17" t="n">
        <v>0.4558</v>
      </c>
      <c r="E17" t="n">
        <v>0.4546666666666667</v>
      </c>
      <c r="F17" t="n">
        <v>0.0035</v>
      </c>
      <c r="G17" t="n">
        <v>3.544462</v>
      </c>
      <c r="H17" t="n">
        <v>2.7244</v>
      </c>
      <c r="I17" t="n">
        <v>25.36933333333333</v>
      </c>
    </row>
    <row r="18">
      <c r="A18" s="20" t="n">
        <v>44682</v>
      </c>
      <c r="B18" t="n">
        <v>4.855322580645161</v>
      </c>
      <c r="C18" t="n">
        <v>5.277774193548387</v>
      </c>
      <c r="D18" t="n">
        <v>0.2358387096774194</v>
      </c>
      <c r="E18" t="n">
        <v>0.3918387096774194</v>
      </c>
      <c r="F18" t="n">
        <v>0.003483870967741936</v>
      </c>
      <c r="G18" t="n">
        <v>4.411511290322581</v>
      </c>
      <c r="H18" t="n">
        <v>2.805161290322581</v>
      </c>
      <c r="I18" t="n">
        <v>24.7518064516129</v>
      </c>
    </row>
    <row r="19">
      <c r="A19" s="20" t="n">
        <v>44713</v>
      </c>
      <c r="B19" t="n">
        <v>6.1464</v>
      </c>
      <c r="C19" t="n">
        <v>5.399933333333333</v>
      </c>
      <c r="D19" t="n">
        <v>0.2081</v>
      </c>
      <c r="E19" t="n">
        <v>0.3769333333333333</v>
      </c>
      <c r="F19" t="n">
        <v>0.0035</v>
      </c>
      <c r="G19" t="n">
        <v>2.944598666666666</v>
      </c>
      <c r="H19" t="n">
        <v>2.674066666666667</v>
      </c>
      <c r="I19" t="n">
        <v>24.54246666666667</v>
      </c>
    </row>
    <row r="20">
      <c r="A20" s="20" t="n">
        <v>44743</v>
      </c>
      <c r="B20" t="n">
        <v>7.247</v>
      </c>
      <c r="C20" t="n">
        <v>5.349774193548387</v>
      </c>
      <c r="D20" t="n">
        <v>0.198</v>
      </c>
      <c r="E20" t="n">
        <v>0.3811935483870968</v>
      </c>
      <c r="F20" t="n">
        <v>0.003483870967741936</v>
      </c>
      <c r="G20" t="n">
        <v>2.218009354838709</v>
      </c>
      <c r="H20" t="n">
        <v>2.817677419354839</v>
      </c>
      <c r="I20" t="n">
        <v>24.48077419354838</v>
      </c>
    </row>
    <row r="21">
      <c r="A21" s="20" t="n">
        <v>44774</v>
      </c>
      <c r="B21" t="n">
        <v>7.078322580645161</v>
      </c>
      <c r="C21" t="n">
        <v>5.306225806451613</v>
      </c>
      <c r="D21" t="n">
        <v>0.1731290322580645</v>
      </c>
      <c r="E21" t="n">
        <v>0.3629354838709677</v>
      </c>
      <c r="F21" t="n">
        <v>0.003483870967741936</v>
      </c>
      <c r="G21" t="n">
        <v>2.229507096774194</v>
      </c>
      <c r="H21" t="n">
        <v>2.790903225806451</v>
      </c>
      <c r="I21" t="n">
        <v>25.02229032258064</v>
      </c>
    </row>
    <row r="22">
      <c r="A22" s="20" t="n">
        <v>44805</v>
      </c>
      <c r="B22" t="n">
        <v>6.03</v>
      </c>
      <c r="C22" t="n">
        <v>5.1567</v>
      </c>
      <c r="D22" t="n">
        <v>0.1889666666666667</v>
      </c>
      <c r="E22" t="n">
        <v>0.3755333333333334</v>
      </c>
      <c r="F22" t="n">
        <v>0.0035</v>
      </c>
      <c r="G22" t="n">
        <v>2.173133</v>
      </c>
      <c r="H22" t="n">
        <v>2.759933333333333</v>
      </c>
      <c r="I22" t="n">
        <v>25.65153333333333</v>
      </c>
    </row>
    <row r="23">
      <c r="A23" s="20" t="n">
        <v>44835</v>
      </c>
      <c r="B23" t="n">
        <v>4.475677419354839</v>
      </c>
      <c r="C23" t="n">
        <v>5.268645161290323</v>
      </c>
      <c r="D23" t="n">
        <v>0.2959032258064516</v>
      </c>
      <c r="E23" t="n">
        <v>0.4337741935483871</v>
      </c>
      <c r="F23" t="n">
        <v>0.003483870967741936</v>
      </c>
      <c r="G23" t="n">
        <v>2.348281935483871</v>
      </c>
      <c r="H23" t="n">
        <v>2.740677419354839</v>
      </c>
      <c r="I23" t="n">
        <v>25.33190322580645</v>
      </c>
    </row>
    <row r="24">
      <c r="A24" s="20" t="n">
        <v>44866</v>
      </c>
      <c r="B24" t="n">
        <v>4.325966666666666</v>
      </c>
      <c r="C24" t="n">
        <v>5.461066666666667</v>
      </c>
      <c r="D24" t="n">
        <v>0.8497333333333333</v>
      </c>
      <c r="E24" t="n">
        <v>0.7006</v>
      </c>
      <c r="F24" t="n">
        <v>0.0035</v>
      </c>
      <c r="G24" t="n">
        <v>2.072017333333334</v>
      </c>
      <c r="H24" t="n">
        <v>2.750966666666667</v>
      </c>
      <c r="I24" t="n">
        <v>25.37643333333333</v>
      </c>
    </row>
    <row r="25">
      <c r="A25" s="20" t="n">
        <v>44896</v>
      </c>
      <c r="B25" t="n">
        <v>4.625387096774193</v>
      </c>
      <c r="C25" t="n">
        <v>5.226</v>
      </c>
      <c r="D25" t="n">
        <v>1.168129032258065</v>
      </c>
      <c r="E25" t="n">
        <v>0.7404838709677419</v>
      </c>
      <c r="F25" t="n">
        <v>0.003483870967741936</v>
      </c>
      <c r="G25" t="n">
        <v>2.254506774193549</v>
      </c>
      <c r="H25" t="n">
        <v>2.523516129032258</v>
      </c>
      <c r="I25" t="n">
        <v>25.55032258064516</v>
      </c>
    </row>
    <row r="26">
      <c r="A26" s="20" t="n">
        <v>44927</v>
      </c>
      <c r="B26" t="n">
        <v>4.131806451612904</v>
      </c>
      <c r="C26" t="n">
        <v>5.51583870967742</v>
      </c>
      <c r="D26" t="n">
        <v>1.208774193548387</v>
      </c>
      <c r="E26" t="n">
        <v>0.7606774193548387</v>
      </c>
      <c r="F26" t="n">
        <v>0.002548387096774193</v>
      </c>
      <c r="G26" t="n">
        <v>2.199971612903226</v>
      </c>
      <c r="H26" t="n">
        <v>2.707741935483871</v>
      </c>
      <c r="I26" t="n">
        <v>25.18170967741936</v>
      </c>
    </row>
    <row r="27">
      <c r="A27" s="20" t="n">
        <v>44958</v>
      </c>
      <c r="B27" t="n">
        <v>4.249357142857143</v>
      </c>
      <c r="C27" t="n">
        <v>5.526035714285714</v>
      </c>
      <c r="D27" t="n">
        <v>1.250571428571429</v>
      </c>
      <c r="E27" t="n">
        <v>0.8006071428571429</v>
      </c>
      <c r="F27" t="n">
        <v>0.002535714285714286</v>
      </c>
      <c r="G27" t="n">
        <v>2.945725</v>
      </c>
      <c r="H27" t="n">
        <v>2.707571428571429</v>
      </c>
      <c r="I27" t="n">
        <v>25.22707142857143</v>
      </c>
    </row>
    <row r="28">
      <c r="A28" s="20" t="n">
        <v>44986</v>
      </c>
      <c r="B28" t="n">
        <v>3.893903225806452</v>
      </c>
      <c r="C28" t="n">
        <v>5.402161290322581</v>
      </c>
      <c r="D28" t="n">
        <v>0.694516129032258</v>
      </c>
      <c r="E28" t="n">
        <v>0.615225806451613</v>
      </c>
      <c r="F28" t="n">
        <v>0.002548387096774193</v>
      </c>
      <c r="G28" t="n">
        <v>3.37980870967742</v>
      </c>
      <c r="H28" t="n">
        <v>2.856064516129032</v>
      </c>
      <c r="I28" t="n">
        <v>26.69438709677419</v>
      </c>
    </row>
    <row r="29">
      <c r="A29" s="20" t="n">
        <v>45017</v>
      </c>
      <c r="B29" t="n">
        <v>3.9954</v>
      </c>
      <c r="C29" t="n">
        <v>5.470466666666666</v>
      </c>
      <c r="D29" t="n">
        <v>0.4013333333333333</v>
      </c>
      <c r="E29" t="n">
        <v>0.4463666666666667</v>
      </c>
      <c r="F29" t="n">
        <v>0.002533333333333333</v>
      </c>
      <c r="G29" t="n">
        <v>4.289840333333334</v>
      </c>
      <c r="H29" t="n">
        <v>2.752766666666667</v>
      </c>
      <c r="I29" t="n">
        <v>26.09276666666667</v>
      </c>
    </row>
    <row r="30">
      <c r="A30" s="20" t="n">
        <v>45047</v>
      </c>
      <c r="B30" t="n">
        <v>5.581419354838709</v>
      </c>
      <c r="C30" t="n">
        <v>5.328387096774193</v>
      </c>
      <c r="D30" t="n">
        <v>0.2346774193548387</v>
      </c>
      <c r="E30" t="n">
        <v>0.4124516129032258</v>
      </c>
      <c r="F30" t="n">
        <v>0.002548387096774193</v>
      </c>
      <c r="G30" t="n">
        <v>4.435456129032259</v>
      </c>
      <c r="H30" t="n">
        <v>2.939967741935484</v>
      </c>
      <c r="I30" t="n">
        <v>26.302</v>
      </c>
    </row>
    <row r="31">
      <c r="A31" s="20" t="n">
        <v>45078</v>
      </c>
      <c r="B31" t="n">
        <v>7.014966666666666</v>
      </c>
      <c r="C31" t="n">
        <v>5.343</v>
      </c>
      <c r="D31" t="n">
        <v>0.2256666666666667</v>
      </c>
      <c r="E31" t="n">
        <v>0.4073333333333333</v>
      </c>
      <c r="F31" t="n">
        <v>0.002533333333333333</v>
      </c>
      <c r="G31" t="n">
        <v>4.568444333333334</v>
      </c>
      <c r="H31" t="n">
        <v>3.368</v>
      </c>
      <c r="I31" t="n">
        <v>25.9884</v>
      </c>
    </row>
    <row r="32">
      <c r="A32" s="20" t="n">
        <v>45108</v>
      </c>
      <c r="B32" t="n">
        <v>7.577548387096774</v>
      </c>
      <c r="C32" t="n">
        <v>5.342064516129033</v>
      </c>
      <c r="D32" t="n">
        <v>0.2085161290322581</v>
      </c>
      <c r="E32" t="n">
        <v>0.4069354838709677</v>
      </c>
      <c r="F32" t="n">
        <v>0.002548387096774193</v>
      </c>
      <c r="G32" t="n">
        <v>4.154693225806452</v>
      </c>
      <c r="H32" t="n">
        <v>3.123096774193549</v>
      </c>
      <c r="I32" t="n">
        <v>26.24264516129032</v>
      </c>
    </row>
    <row r="33">
      <c r="A33" s="20" t="n">
        <v>45139</v>
      </c>
      <c r="B33" t="n">
        <v>8.656483870967742</v>
      </c>
      <c r="C33" t="n">
        <v>5.447580645161291</v>
      </c>
      <c r="D33" t="n">
        <v>0.1878064516129032</v>
      </c>
      <c r="E33" t="n">
        <v>0.3826774193548387</v>
      </c>
      <c r="F33" t="n">
        <v>0.002548387096774193</v>
      </c>
      <c r="G33" t="n">
        <v>4.355429032258065</v>
      </c>
      <c r="H33" t="n">
        <v>3.173225806451613</v>
      </c>
      <c r="I33" t="n">
        <v>26.59361290322581</v>
      </c>
    </row>
    <row r="34">
      <c r="A34" s="20" t="n">
        <v>45170</v>
      </c>
      <c r="B34" t="n">
        <v>7.155399999999999</v>
      </c>
      <c r="C34" t="n">
        <v>5.445399999999999</v>
      </c>
      <c r="D34" t="n">
        <v>0.1764</v>
      </c>
      <c r="E34" t="n">
        <v>0.3765</v>
      </c>
      <c r="F34" t="n">
        <v>0.002533333333333333</v>
      </c>
      <c r="G34" t="n">
        <v>4.119473333333334</v>
      </c>
      <c r="H34" t="n">
        <v>3.124733333333333</v>
      </c>
      <c r="I34" t="n">
        <v>26.9492</v>
      </c>
    </row>
    <row r="35">
      <c r="A35" s="20" t="n">
        <v>45200</v>
      </c>
      <c r="B35" t="n">
        <v>4.932032258064516</v>
      </c>
      <c r="C35" t="n">
        <v>5.434838709677419</v>
      </c>
      <c r="D35" t="n">
        <v>0.3194516129032258</v>
      </c>
      <c r="E35" t="n">
        <v>0.4662903225806452</v>
      </c>
      <c r="F35" t="n">
        <v>0.002548387096774193</v>
      </c>
      <c r="G35" t="n">
        <v>4.477333225806452</v>
      </c>
      <c r="H35" t="n">
        <v>3.054387096774194</v>
      </c>
      <c r="I35" t="n">
        <v>26.96512903225807</v>
      </c>
    </row>
    <row r="36">
      <c r="A36" s="20" t="n">
        <v>45231</v>
      </c>
      <c r="B36" t="n">
        <v>4.633666666666667</v>
      </c>
      <c r="C36" t="n">
        <v>5.712766666666666</v>
      </c>
      <c r="D36" t="n">
        <v>0.6995</v>
      </c>
      <c r="E36" t="n">
        <v>0.6163</v>
      </c>
      <c r="F36" t="n">
        <v>0.002533333333333333</v>
      </c>
      <c r="G36" t="n">
        <v>4.525462</v>
      </c>
      <c r="H36" t="n">
        <v>2.908766666666667</v>
      </c>
      <c r="I36" t="n">
        <v>27.1668</v>
      </c>
    </row>
    <row r="37">
      <c r="A37" s="20" t="n">
        <v>45261</v>
      </c>
      <c r="B37" t="n">
        <v>4.421</v>
      </c>
      <c r="C37" t="n">
        <v>5.817548387096775</v>
      </c>
      <c r="D37" t="n">
        <v>1.020774193548387</v>
      </c>
      <c r="E37" t="n">
        <v>0.7173548387096774</v>
      </c>
      <c r="F37" t="n">
        <v>0.002548387096774193</v>
      </c>
      <c r="G37" t="n">
        <v>4.761295806451614</v>
      </c>
      <c r="H37" t="n">
        <v>2.73416129032258</v>
      </c>
      <c r="I37" t="n">
        <v>27.04570967741936</v>
      </c>
    </row>
    <row r="38">
      <c r="A38" s="20" t="n">
        <v>45292</v>
      </c>
      <c r="B38" t="n">
        <v>5.561419354838709</v>
      </c>
      <c r="C38" t="n">
        <v>5.737903225806452</v>
      </c>
      <c r="D38" t="n">
        <v>1.718290322580645</v>
      </c>
      <c r="E38" t="n">
        <v>0.9129677419354839</v>
      </c>
      <c r="F38" t="n">
        <v>0.007419354838709677</v>
      </c>
      <c r="G38" t="n">
        <v>4.002901935483871</v>
      </c>
      <c r="H38" t="n">
        <v>3.045290322580645</v>
      </c>
      <c r="I38" t="n">
        <v>25.127</v>
      </c>
    </row>
    <row r="39">
      <c r="A39" s="20" t="n">
        <v>45323</v>
      </c>
      <c r="B39" t="n">
        <v>4.008068965517241</v>
      </c>
      <c r="C39" t="n">
        <v>5.536586206896551</v>
      </c>
      <c r="D39" t="n">
        <v>1.097586206896552</v>
      </c>
      <c r="E39" t="n">
        <v>0.764551724137931</v>
      </c>
      <c r="F39" t="n">
        <v>0.007413793103448276</v>
      </c>
      <c r="G39" t="n">
        <v>3.654431724137932</v>
      </c>
      <c r="H39" t="n">
        <v>2.881137931034483</v>
      </c>
      <c r="I39" t="n">
        <v>26.47165517241379</v>
      </c>
    </row>
    <row r="40">
      <c r="A40" s="20" t="n">
        <v>45352</v>
      </c>
      <c r="B40" t="n">
        <v>4.475806451612903</v>
      </c>
      <c r="C40" t="n">
        <v>5.56</v>
      </c>
      <c r="D40" t="n">
        <v>0.5969677419354839</v>
      </c>
      <c r="E40" t="n">
        <v>0.5730645161290323</v>
      </c>
      <c r="F40" t="n">
        <v>0.007419354838709677</v>
      </c>
      <c r="G40" t="n">
        <v>3.077456774193548</v>
      </c>
      <c r="H40" t="n">
        <v>2.966548387096774</v>
      </c>
      <c r="I40" t="n">
        <v>26.71183870967742</v>
      </c>
    </row>
    <row r="41">
      <c r="A41" s="20" t="n">
        <v>45383</v>
      </c>
      <c r="B41" t="n">
        <v>4.507533333333334</v>
      </c>
      <c r="C41" t="n">
        <v>5.455</v>
      </c>
      <c r="D41" t="n">
        <v>0.3352</v>
      </c>
      <c r="E41" t="n">
        <v>0.4414666666666666</v>
      </c>
      <c r="F41" t="n">
        <v>0.0074</v>
      </c>
      <c r="G41" t="n">
        <v>2.211428333333334</v>
      </c>
      <c r="H41" t="n">
        <v>3.1878</v>
      </c>
      <c r="I41" t="n">
        <v>26.68763333333333</v>
      </c>
    </row>
    <row r="42">
      <c r="A42" s="20" t="n">
        <v>45413</v>
      </c>
      <c r="B42" t="n">
        <v>6.010064516129032</v>
      </c>
      <c r="C42" t="n">
        <v>5.232161290322581</v>
      </c>
      <c r="D42" t="n">
        <v>0.2444516129032258</v>
      </c>
      <c r="E42" t="n">
        <v>0.4193225806451613</v>
      </c>
      <c r="F42" t="n">
        <v>0.007419354838709677</v>
      </c>
      <c r="G42" t="n">
        <v>4.10494</v>
      </c>
      <c r="H42" t="n">
        <v>3.257677419354839</v>
      </c>
      <c r="I42" t="n">
        <v>27.57170967741936</v>
      </c>
    </row>
    <row r="43">
      <c r="A43" s="20" t="n">
        <v>45444</v>
      </c>
      <c r="B43" t="n">
        <v>6.976733333333334</v>
      </c>
      <c r="C43" t="n">
        <v>5.412633333333333</v>
      </c>
      <c r="D43" t="n">
        <v>0.2411666666666667</v>
      </c>
      <c r="E43" t="n">
        <v>0.4122</v>
      </c>
      <c r="F43" t="n">
        <v>0.0074</v>
      </c>
      <c r="G43" t="n">
        <v>4.706075</v>
      </c>
      <c r="H43" t="n">
        <v>3.117133333333333</v>
      </c>
      <c r="I43" t="n">
        <v>27.7913</v>
      </c>
    </row>
    <row r="44">
      <c r="A44" s="20" t="n">
        <v>45474</v>
      </c>
      <c r="B44" t="n">
        <v>7.261322580645161</v>
      </c>
      <c r="C44" t="n">
        <v>5.511741935483871</v>
      </c>
      <c r="D44" t="n">
        <v>0.2387096774193548</v>
      </c>
      <c r="E44" t="n">
        <v>0.4077096774193548</v>
      </c>
      <c r="F44" t="n">
        <v>0.007419354838709677</v>
      </c>
      <c r="G44" t="n">
        <v>2.888535161290323</v>
      </c>
      <c r="H44" t="n">
        <v>3.147096774193549</v>
      </c>
      <c r="I44" t="n">
        <v>27.72906451612904</v>
      </c>
    </row>
    <row r="45">
      <c r="A45" s="20" t="n">
        <v>45505</v>
      </c>
      <c r="B45" t="n">
        <v>8.358483870967742</v>
      </c>
      <c r="C45" t="n">
        <v>5.637741935483871</v>
      </c>
      <c r="D45" t="n">
        <v>0.2118709677419355</v>
      </c>
      <c r="E45" t="n">
        <v>0.3919677419354838</v>
      </c>
      <c r="F45" t="n">
        <v>0.007419354838709677</v>
      </c>
      <c r="G45" t="n">
        <v>4.445793548387098</v>
      </c>
      <c r="H45" t="n">
        <v>3.193548387096774</v>
      </c>
      <c r="I45" t="n">
        <v>27.9198064516129</v>
      </c>
    </row>
    <row r="46">
      <c r="A46" s="20" t="n">
        <v>45536</v>
      </c>
      <c r="B46" t="n">
        <v>6.897866666666666</v>
      </c>
      <c r="C46" t="n">
        <v>5.5316</v>
      </c>
      <c r="D46" t="n">
        <v>0.2098333333333333</v>
      </c>
      <c r="E46" t="n">
        <v>0.4142666666666667</v>
      </c>
      <c r="F46" t="n">
        <v>0.0074</v>
      </c>
      <c r="G46" t="n">
        <v>4.636932666666667</v>
      </c>
      <c r="H46" t="n">
        <v>3.0912</v>
      </c>
      <c r="I46" t="n">
        <v>28.2645</v>
      </c>
    </row>
    <row r="47">
      <c r="A47" s="20" t="n">
        <v>45566</v>
      </c>
      <c r="B47" t="n">
        <v>5.92516129032258</v>
      </c>
      <c r="C47" t="n">
        <v>5.303709677419355</v>
      </c>
      <c r="D47" t="n">
        <v>0.2420322580645161</v>
      </c>
      <c r="E47" t="n">
        <v>0.4293548387096774</v>
      </c>
      <c r="F47" t="n">
        <v>0.007419354838709677</v>
      </c>
      <c r="G47" t="n">
        <v>4.77529</v>
      </c>
      <c r="H47" t="n">
        <v>2.869387096774194</v>
      </c>
      <c r="I47" t="n">
        <v>28.559</v>
      </c>
    </row>
    <row r="48">
      <c r="A48" s="20" t="n">
        <v>45597</v>
      </c>
      <c r="B48" t="n">
        <v>4.806333333333333</v>
      </c>
      <c r="C48" t="n">
        <v>5.701866666666667</v>
      </c>
      <c r="D48" t="n">
        <v>0.4328666666666667</v>
      </c>
      <c r="E48" t="n">
        <v>0.5004</v>
      </c>
      <c r="F48" t="n">
        <v>0.0074</v>
      </c>
      <c r="G48" t="n">
        <v>4.40033</v>
      </c>
      <c r="H48" t="n">
        <v>2.7428</v>
      </c>
      <c r="I48" t="n">
        <v>28.28536666666666</v>
      </c>
    </row>
    <row r="49">
      <c r="A49" s="20" t="n">
        <v>45627</v>
      </c>
      <c r="B49" t="n">
        <v>4.653419354838709</v>
      </c>
      <c r="C49" t="n">
        <v>6.043483870967742</v>
      </c>
      <c r="D49" t="n">
        <v>0.8987419354838709</v>
      </c>
      <c r="E49" t="n">
        <v>0.681483870967742</v>
      </c>
      <c r="F49" t="n">
        <v>0.007419354838709677</v>
      </c>
      <c r="G49" t="n">
        <v>4.759608064516129</v>
      </c>
      <c r="H49" t="n">
        <v>2.697645161290323</v>
      </c>
      <c r="I49" t="n">
        <v>28.49945161290323</v>
      </c>
    </row>
    <row r="50">
      <c r="A50" s="20" t="n">
        <v>45658</v>
      </c>
      <c r="B50" t="n">
        <v>5.869</v>
      </c>
      <c r="C50" t="n">
        <v>5.845741935483871</v>
      </c>
      <c r="D50" t="n">
        <v>2.010354838709677</v>
      </c>
      <c r="E50" t="n">
        <v>1.101387096774194</v>
      </c>
      <c r="F50" t="n">
        <v>0.006193548387096774</v>
      </c>
      <c r="G50" t="n">
        <v>4.154271290322582</v>
      </c>
      <c r="H50" t="n">
        <v>3.12958064516129</v>
      </c>
      <c r="I50" t="n">
        <v>28.24405679752158</v>
      </c>
    </row>
    <row r="51">
      <c r="A51" s="20" t="n">
        <v>45689</v>
      </c>
      <c r="B51" t="n">
        <v>5.272785714285715</v>
      </c>
      <c r="C51" t="n">
        <v>5.759535714285715</v>
      </c>
      <c r="D51" t="n">
        <v>1.569142857142857</v>
      </c>
      <c r="E51" t="n">
        <v>0.9613214285714285</v>
      </c>
      <c r="F51" t="n">
        <v>0.006214285714285715</v>
      </c>
      <c r="G51" t="n">
        <v>4.985854642857143</v>
      </c>
      <c r="H51" t="n">
        <v>3.037857142857143</v>
      </c>
      <c r="I51" t="n">
        <v>28.33351354931359</v>
      </c>
    </row>
    <row r="52">
      <c r="A52" s="20" t="n">
        <v>45717</v>
      </c>
      <c r="B52" t="n">
        <v>3.69841935483871</v>
      </c>
      <c r="C52" t="n">
        <v>5.697580645161291</v>
      </c>
      <c r="D52" t="n">
        <v>0.5337741935483871</v>
      </c>
      <c r="E52" t="n">
        <v>0.4649354838709677</v>
      </c>
      <c r="F52" t="n">
        <v>0.006193548387096774</v>
      </c>
      <c r="G52" t="n">
        <v>4.598463870967742</v>
      </c>
      <c r="H52" t="n">
        <v>2.864387096774194</v>
      </c>
      <c r="I52" t="n">
        <v>28.42087368859537</v>
      </c>
    </row>
    <row r="53">
      <c r="A53" s="20" t="n">
        <v>45748</v>
      </c>
      <c r="B53" t="n">
        <v>4.2876</v>
      </c>
      <c r="C53" t="n">
        <v>5.537833333333333</v>
      </c>
      <c r="D53" t="n">
        <v>0.4167</v>
      </c>
      <c r="E53" t="n">
        <v>0.5441666666666666</v>
      </c>
      <c r="F53" t="n">
        <v>0.0062</v>
      </c>
      <c r="G53" t="n">
        <v>4.81889</v>
      </c>
      <c r="H53" t="n">
        <v>3.252</v>
      </c>
      <c r="I53" t="n">
        <v>28.66872758850139</v>
      </c>
    </row>
    <row r="54">
      <c r="A54" s="20" t="n">
        <v>45778</v>
      </c>
      <c r="B54" t="n">
        <v>5.777741935483871</v>
      </c>
      <c r="C54" t="n">
        <v>5.462096774193548</v>
      </c>
      <c r="D54" t="n">
        <v>0.2829032258064516</v>
      </c>
      <c r="E54" t="n">
        <v>0.4228387096774193</v>
      </c>
      <c r="F54" t="n">
        <v>0.006193548387096774</v>
      </c>
      <c r="G54" t="n">
        <v>4.495722580645161</v>
      </c>
      <c r="H54" t="n">
        <v>3.523838709677419</v>
      </c>
      <c r="I54" t="n">
        <v>28.39991141756023</v>
      </c>
    </row>
    <row r="55">
      <c r="A55" s="20" t="n">
        <v>45809</v>
      </c>
      <c r="B55" t="n">
        <v>6.4434</v>
      </c>
      <c r="C55" t="n">
        <v>5.411233333333334</v>
      </c>
      <c r="D55" t="n">
        <v>0.2359</v>
      </c>
      <c r="E55" t="n">
        <v>0.419</v>
      </c>
      <c r="F55" t="n">
        <v>0.0062</v>
      </c>
      <c r="G55" t="n">
        <v>4.700261666666666</v>
      </c>
      <c r="H55" t="n">
        <v>3.446133333333333</v>
      </c>
      <c r="I55" t="n">
        <v>28.79030246552894</v>
      </c>
    </row>
    <row r="56">
      <c r="A56" s="20" t="n">
        <v>45839</v>
      </c>
      <c r="B56" t="n">
        <v>7.139032258064516</v>
      </c>
      <c r="C56" t="n">
        <v>5.410709677419355</v>
      </c>
      <c r="D56" t="n">
        <v>0.2180645161290322</v>
      </c>
      <c r="E56" t="n">
        <v>0.4039032258064516</v>
      </c>
      <c r="F56" t="n">
        <v>0.006193548387096774</v>
      </c>
      <c r="G56" t="n">
        <v>4.497199354838711</v>
      </c>
      <c r="H56" t="n">
        <v>3.09458064516129</v>
      </c>
      <c r="I56" t="n">
        <v>29.17521868269277</v>
      </c>
    </row>
    <row r="57">
      <c r="A57" s="20" t="n">
        <v>45870</v>
      </c>
      <c r="B57" t="n">
        <v>7.713354838709678</v>
      </c>
      <c r="C57" t="n">
        <v>5.538838709677419</v>
      </c>
      <c r="D57" t="n">
        <v>0.1949677419354839</v>
      </c>
      <c r="E57" t="n">
        <v>0.383</v>
      </c>
      <c r="F57" t="n">
        <v>0.006193548387096774</v>
      </c>
      <c r="G57" t="n">
        <v>4.468156129032257</v>
      </c>
      <c r="H57" t="n">
        <v>3.350290322580645</v>
      </c>
      <c r="I57" t="n">
        <v>29.48895130800512</v>
      </c>
    </row>
    <row r="58">
      <c r="A58" s="20" t="n">
        <v>45901</v>
      </c>
      <c r="B58" t="n">
        <v>6.913966666666666</v>
      </c>
      <c r="C58" t="n">
        <v>5.562266666666666</v>
      </c>
      <c r="D58" t="n">
        <v>0.1994</v>
      </c>
      <c r="E58" t="n">
        <v>0.3982666666666667</v>
      </c>
      <c r="F58" t="n">
        <v>0.0062</v>
      </c>
      <c r="G58" t="n">
        <v>4.724750333333334</v>
      </c>
      <c r="H58" t="n">
        <v>2.949933333333334</v>
      </c>
      <c r="I58" t="n">
        <v>29.45501958725445</v>
      </c>
    </row>
    <row r="59">
      <c r="A59" s="20" t="n">
        <v>45931</v>
      </c>
      <c r="B59" t="n">
        <v>5.629225806451613</v>
      </c>
      <c r="C59" t="n">
        <v>5.351806451612903</v>
      </c>
      <c r="D59" t="n">
        <v>0.2535806451612903</v>
      </c>
      <c r="E59" t="n">
        <v>0.410258064516129</v>
      </c>
      <c r="F59" t="n">
        <v>0.006193548387096774</v>
      </c>
      <c r="G59" t="n">
        <v>5.143850645161292</v>
      </c>
      <c r="H59" t="n">
        <v>2.833483870967742</v>
      </c>
      <c r="I59" t="n">
        <v>29.14146861697209</v>
      </c>
    </row>
    <row r="60">
      <c r="A60" s="20" t="n">
        <v>45962</v>
      </c>
      <c r="B60" t="n">
        <v>4.648733333333333</v>
      </c>
      <c r="C60" t="n">
        <v>5.8022</v>
      </c>
      <c r="D60" t="n">
        <v>0.4432</v>
      </c>
      <c r="E60" t="n">
        <v>0.5220333333333333</v>
      </c>
      <c r="F60" t="n">
        <v>0.0062</v>
      </c>
      <c r="G60" t="n">
        <v>5.420533666666667</v>
      </c>
      <c r="H60" t="n">
        <v>2.9201</v>
      </c>
      <c r="I60" t="n">
        <v>29.76337540353552</v>
      </c>
    </row>
    <row r="61">
      <c r="A61" s="20" t="n">
        <v>45992</v>
      </c>
      <c r="B61" t="n">
        <v>4.848451612903226</v>
      </c>
      <c r="C61" t="n">
        <v>5.93</v>
      </c>
      <c r="D61" t="n">
        <v>0.9796451612903225</v>
      </c>
      <c r="E61" t="n">
        <v>0.6952903225806452</v>
      </c>
      <c r="F61" t="n">
        <v>0.006193548387096774</v>
      </c>
      <c r="G61" t="n">
        <v>5.626580000000001</v>
      </c>
      <c r="H61" t="n">
        <v>2.764451612903226</v>
      </c>
      <c r="I61" t="n">
        <v>30.07883555019745</v>
      </c>
    </row>
    <row r="62">
      <c r="A62" s="20" t="n">
        <v>46023</v>
      </c>
      <c r="B62" t="n">
        <v>5.437354838709677</v>
      </c>
      <c r="C62" t="n">
        <v>5.787548387096774</v>
      </c>
      <c r="D62" t="n">
        <v>1.498</v>
      </c>
      <c r="E62" t="n">
        <v>0.921258064516129</v>
      </c>
      <c r="F62" t="n">
        <v>0.006193548387096774</v>
      </c>
      <c r="G62" t="n">
        <v>5.1775</v>
      </c>
      <c r="H62" t="n">
        <v>2.873354838709677</v>
      </c>
      <c r="I62" t="n">
        <v>29.03649539097756</v>
      </c>
    </row>
    <row r="63">
      <c r="A63" s="20" t="n">
        <v>46054</v>
      </c>
      <c r="B63" t="n">
        <v>4.554392857142857</v>
      </c>
      <c r="C63" t="n">
        <v>5.705857142857143</v>
      </c>
      <c r="D63" t="n">
        <v>1.006357142857143</v>
      </c>
      <c r="E63" t="n">
        <v>0.6013214285714286</v>
      </c>
      <c r="F63" t="n">
        <v>0.006214285714285715</v>
      </c>
      <c r="G63" t="n">
        <v>5.757808214285715</v>
      </c>
      <c r="H63" t="n">
        <v>2.989107142857143</v>
      </c>
      <c r="I63" t="n">
        <v>29.89721649149912</v>
      </c>
    </row>
    <row r="64">
      <c r="A64" s="20" t="n">
        <v>46082</v>
      </c>
      <c r="B64" t="n">
        <v>4.129</v>
      </c>
      <c r="C64" t="n">
        <v>5.653225806451613</v>
      </c>
      <c r="D64" t="n">
        <v>0.5390967741935484</v>
      </c>
      <c r="E64" t="n">
        <v>0.5518387096774194</v>
      </c>
      <c r="F64" t="n">
        <v>0.006193548387096774</v>
      </c>
      <c r="G64" t="n">
        <v>5.815642258064516</v>
      </c>
      <c r="H64" t="n">
        <v>2.768580645161291</v>
      </c>
      <c r="I64" t="n">
        <v>30.04411425956394</v>
      </c>
    </row>
    <row r="65">
      <c r="A65" s="20" t="n">
        <v>46113</v>
      </c>
      <c r="B65" t="n">
        <v>4.808033333333333</v>
      </c>
      <c r="C65" t="n">
        <v>5.719533333333334</v>
      </c>
      <c r="D65" t="n">
        <v>0.3398</v>
      </c>
      <c r="E65" t="n">
        <v>0.4702333333333333</v>
      </c>
      <c r="F65" t="n">
        <v>0.0062</v>
      </c>
      <c r="G65" t="n">
        <v>5.796038666666668</v>
      </c>
      <c r="H65" t="n">
        <v>2.837666666666667</v>
      </c>
      <c r="I65" t="n">
        <v>30.27805446331141</v>
      </c>
    </row>
    <row r="66">
      <c r="A66" s="20" t="n">
        <v>46143</v>
      </c>
      <c r="B66" t="n">
        <v>5.746419354838709</v>
      </c>
      <c r="C66" t="n">
        <v>5.633806451612903</v>
      </c>
      <c r="D66" t="n">
        <v>0.2309032258064516</v>
      </c>
      <c r="E66" t="n">
        <v>0.3834838709677419</v>
      </c>
      <c r="F66" t="n">
        <v>0.006193548387096774</v>
      </c>
      <c r="G66" t="n">
        <v>5.236957741935484</v>
      </c>
      <c r="H66" t="n">
        <v>3.316451612903226</v>
      </c>
      <c r="I66" t="n">
        <v>30.03561604157672</v>
      </c>
    </row>
    <row r="67">
      <c r="A67" s="20" t="n">
        <v>46174</v>
      </c>
      <c r="B67" t="n">
        <v>6.806066666666666</v>
      </c>
      <c r="C67" t="n">
        <v>5.6723</v>
      </c>
      <c r="D67" t="n">
        <v>0.2417</v>
      </c>
      <c r="E67" t="n">
        <v>0.4054</v>
      </c>
      <c r="F67" t="n">
        <v>0.0062</v>
      </c>
      <c r="G67" t="n">
        <v>5.555875333333335</v>
      </c>
      <c r="H67" t="n">
        <v>3.3545</v>
      </c>
      <c r="I67" t="n">
        <v>30.44816450679276</v>
      </c>
    </row>
    <row r="68">
      <c r="A68" s="20" t="n">
        <v>46204</v>
      </c>
      <c r="B68" t="n">
        <v>7.621806451612904</v>
      </c>
      <c r="C68" t="n">
        <v>5.519354838709677</v>
      </c>
      <c r="D68" t="n">
        <v>0.2176451612903226</v>
      </c>
      <c r="E68" t="n">
        <v>0.3741290322580645</v>
      </c>
      <c r="F68" t="n">
        <v>0.006193548387096774</v>
      </c>
      <c r="G68" t="n">
        <v>5.482489032258065</v>
      </c>
      <c r="H68" t="n">
        <v>3.236774193548387</v>
      </c>
      <c r="I68" t="n">
        <v>31.2355644213723</v>
      </c>
      <c r="J68" t="n">
        <v>31.2355644213723</v>
      </c>
    </row>
    <row r="69">
      <c r="A69" s="20" t="n">
        <v>46235</v>
      </c>
      <c r="B69" t="n">
        <v>8.226357563120109</v>
      </c>
      <c r="C69" t="n">
        <v>5.621485403354847</v>
      </c>
      <c r="D69" t="n">
        <v>0.1779486860462226</v>
      </c>
      <c r="E69" t="n">
        <v>0.3609947179446857</v>
      </c>
      <c r="F69" t="n">
        <v>0.005248137433832125</v>
      </c>
      <c r="G69" t="n">
        <v>5.887831766063428</v>
      </c>
      <c r="H69" t="n">
        <v>3.173172980830325</v>
      </c>
      <c r="I69" t="n">
        <v>30.90616645792407</v>
      </c>
      <c r="J69" t="n">
        <v>30.79507709888216</v>
      </c>
    </row>
    <row r="70">
      <c r="A70" s="20" t="n">
        <v>46266</v>
      </c>
      <c r="B70" t="n">
        <v>6.972881215060556</v>
      </c>
      <c r="C70" t="n">
        <v>5.596456138285548</v>
      </c>
      <c r="D70" t="n">
        <v>0.175046874031219</v>
      </c>
      <c r="E70" t="n">
        <v>0.3698039882017338</v>
      </c>
      <c r="F70" t="n">
        <v>0.005225411877332316</v>
      </c>
      <c r="G70" t="n">
        <v>6.196107924570369</v>
      </c>
      <c r="H70" t="n">
        <v>2.987072935842459</v>
      </c>
      <c r="I70" t="n">
        <v>31.00568261474902</v>
      </c>
      <c r="J70" t="n">
        <v>30.86817547623383</v>
      </c>
    </row>
    <row r="71">
      <c r="A71" s="20" t="n">
        <v>46296</v>
      </c>
      <c r="B71" t="n">
        <v>5.479411440179787</v>
      </c>
      <c r="C71" t="n">
        <v>5.449022447701622</v>
      </c>
      <c r="D71" t="n">
        <v>0.2429498514645628</v>
      </c>
      <c r="E71" t="n">
        <v>0.4048979509691186</v>
      </c>
      <c r="F71" t="n">
        <v>0.005221562593783915</v>
      </c>
      <c r="G71" t="n">
        <v>6.396777187440787</v>
      </c>
      <c r="H71" t="n">
        <v>2.849358403364498</v>
      </c>
      <c r="I71" t="n">
        <v>31.07529212877813</v>
      </c>
      <c r="J71" t="n">
        <v>30.93075743157835</v>
      </c>
    </row>
    <row r="72">
      <c r="A72" s="20" t="n">
        <v>46327</v>
      </c>
      <c r="B72" t="n">
        <v>4.681836989623317</v>
      </c>
      <c r="C72" t="n">
        <v>5.833597724237229</v>
      </c>
      <c r="D72" t="n">
        <v>0.4673572310198874</v>
      </c>
      <c r="E72" t="n">
        <v>0.5073680038436067</v>
      </c>
      <c r="F72" t="n">
        <v>0.005198952112019974</v>
      </c>
      <c r="G72" t="n">
        <v>6.56437371390203</v>
      </c>
      <c r="H72" t="n">
        <v>2.784950506332339</v>
      </c>
      <c r="I72" t="n">
        <v>31.2024505090569</v>
      </c>
      <c r="J72" t="n">
        <v>30.99276957765683</v>
      </c>
    </row>
    <row r="73">
      <c r="A73" s="20" t="n">
        <v>46357</v>
      </c>
      <c r="B73" t="n">
        <v>4.625126022211296</v>
      </c>
      <c r="C73" t="n">
        <v>6.031840489538337</v>
      </c>
      <c r="D73" t="n">
        <v>0.8618928708285389</v>
      </c>
      <c r="E73" t="n">
        <v>0.6467795879765276</v>
      </c>
      <c r="F73" t="n">
        <v>0.00519512231997611</v>
      </c>
      <c r="G73" t="n">
        <v>6.644037038101145</v>
      </c>
      <c r="H73" t="n">
        <v>2.658115350636673</v>
      </c>
      <c r="I73" t="n">
        <v>31.40523362413383</v>
      </c>
      <c r="J73" t="n">
        <v>31.05607909633359</v>
      </c>
    </row>
    <row r="74">
      <c r="A74" s="20" t="n">
        <v>46388</v>
      </c>
      <c r="B74" t="n">
        <v>5.60152132066198</v>
      </c>
      <c r="C74" t="n">
        <v>5.893686262858893</v>
      </c>
      <c r="D74" t="n">
        <v>1.534636697680467</v>
      </c>
      <c r="E74" t="n">
        <v>0.9017584031775656</v>
      </c>
      <c r="F74" t="n">
        <v>0.006632259070454595</v>
      </c>
      <c r="G74" t="n">
        <v>6.474365214734833</v>
      </c>
      <c r="H74" t="n">
        <v>2.928315042689603</v>
      </c>
      <c r="I74" t="n">
        <v>31.22817651312284</v>
      </c>
      <c r="J74" t="n">
        <v>31.22817651312284</v>
      </c>
    </row>
    <row r="75">
      <c r="A75" s="20" t="n">
        <v>46419</v>
      </c>
      <c r="B75" t="n">
        <v>4.591665770626252</v>
      </c>
      <c r="C75" t="n">
        <v>5.771683468248021</v>
      </c>
      <c r="D75" t="n">
        <v>1.071753433222375</v>
      </c>
      <c r="E75" t="n">
        <v>0.7096739390246209</v>
      </c>
      <c r="F75" t="n">
        <v>0.006626279424245835</v>
      </c>
      <c r="G75" t="n">
        <v>6.457224532049643</v>
      </c>
      <c r="H75" t="n">
        <v>2.878761529187784</v>
      </c>
      <c r="I75" t="n">
        <v>31.61590343599369</v>
      </c>
      <c r="J75" t="n">
        <v>31.50709626626994</v>
      </c>
    </row>
    <row r="76">
      <c r="A76" s="20" t="n">
        <v>46447</v>
      </c>
      <c r="B76" t="n">
        <v>4.084302667522916</v>
      </c>
      <c r="C76" t="n">
        <v>5.744850592631705</v>
      </c>
      <c r="D76" t="n">
        <v>0.4915507700236296</v>
      </c>
      <c r="E76" t="n">
        <v>0.4883272060505006</v>
      </c>
      <c r="F76" t="n">
        <v>0.006598675494152</v>
      </c>
      <c r="G76" t="n">
        <v>6.475045955188901</v>
      </c>
      <c r="H76" t="n">
        <v>2.774088603050508</v>
      </c>
      <c r="I76" t="n">
        <v>32.04445139879052</v>
      </c>
      <c r="J76" t="n">
        <v>31.58537452538992</v>
      </c>
    </row>
    <row r="77">
      <c r="A77" s="20" t="n">
        <v>46478</v>
      </c>
      <c r="B77" t="n">
        <v>4.513549912598049</v>
      </c>
      <c r="C77" t="n">
        <v>5.680608138500108</v>
      </c>
      <c r="D77" t="n">
        <v>0.3190816123310472</v>
      </c>
      <c r="E77" t="n">
        <v>0.4440890247278849</v>
      </c>
      <c r="F77" t="n">
        <v>0.006578774034385803</v>
      </c>
      <c r="G77" t="n">
        <v>6.537792984935101</v>
      </c>
      <c r="H77" t="n">
        <v>2.986666029480982</v>
      </c>
      <c r="I77" t="n">
        <v>32.28429227177552</v>
      </c>
      <c r="J77" t="n">
        <v>32.28429227177552</v>
      </c>
    </row>
    <row r="78">
      <c r="A78" s="20" t="n">
        <v>46508</v>
      </c>
      <c r="B78" t="n">
        <v>5.815887213640852</v>
      </c>
      <c r="C78" t="n">
        <v>5.552993543365289</v>
      </c>
      <c r="D78" t="n">
        <v>0.2209863247505367</v>
      </c>
      <c r="E78" t="n">
        <v>0.3730742742049455</v>
      </c>
      <c r="F78" t="n">
        <v>0.006565261974022615</v>
      </c>
      <c r="G78" t="n">
        <v>6.990937874296153</v>
      </c>
      <c r="H78" t="n">
        <v>3.246131765669215</v>
      </c>
      <c r="I78" t="n">
        <v>32.52516302684243</v>
      </c>
      <c r="J78" t="n">
        <v>32.52516302684243</v>
      </c>
    </row>
    <row r="79">
      <c r="A79" s="20" t="n">
        <v>46539</v>
      </c>
      <c r="B79" t="n">
        <v>6.706918670559735</v>
      </c>
      <c r="C79" t="n">
        <v>5.614579908845148</v>
      </c>
      <c r="D79" t="n">
        <v>0.2102139365451465</v>
      </c>
      <c r="E79" t="n">
        <v>0.3758789561992053</v>
      </c>
      <c r="F79" t="n">
        <v>0.006545461288696243</v>
      </c>
      <c r="G79" t="n">
        <v>7.317293769208743</v>
      </c>
      <c r="H79" t="n">
        <v>3.183163621523247</v>
      </c>
      <c r="I79" t="n">
        <v>32.7635082323601</v>
      </c>
      <c r="J79" t="n">
        <v>32.7635082323601</v>
      </c>
    </row>
    <row r="80">
      <c r="A80" s="20" t="n">
        <v>46569</v>
      </c>
      <c r="B80" t="n">
        <v>7.299471258702761</v>
      </c>
      <c r="C80" t="n">
        <v>5.600740992260573</v>
      </c>
      <c r="D80" t="n">
        <v>0.1964829098663687</v>
      </c>
      <c r="E80" t="n">
        <v>0.3592145606960728</v>
      </c>
      <c r="F80" t="n">
        <v>0.006532017648957973</v>
      </c>
      <c r="G80" t="n">
        <v>7.490755317494782</v>
      </c>
      <c r="H80" t="n">
        <v>3.037684824395354</v>
      </c>
      <c r="I80" t="n">
        <v>32.99943300027782</v>
      </c>
      <c r="J80" t="n">
        <v>32.99943300027782</v>
      </c>
    </row>
    <row r="81">
      <c r="A81" s="20" t="n">
        <v>46600</v>
      </c>
      <c r="B81" t="n">
        <v>8.193937527388337</v>
      </c>
      <c r="C81" t="n">
        <v>5.666028153285912</v>
      </c>
      <c r="D81" t="n">
        <v>0.1726102254648359</v>
      </c>
      <c r="E81" t="n">
        <v>0.3501648764063452</v>
      </c>
      <c r="F81" t="n">
        <v>0.005090693310817161</v>
      </c>
      <c r="G81" t="n">
        <v>7.99559592769987</v>
      </c>
      <c r="H81" t="n">
        <v>3.108901705501789</v>
      </c>
      <c r="I81" t="n">
        <v>33.2315726829877</v>
      </c>
      <c r="J81" t="n">
        <v>33.2315726829877</v>
      </c>
    </row>
    <row r="82">
      <c r="A82" s="20" t="n">
        <v>46631</v>
      </c>
      <c r="B82" t="n">
        <v>6.945401123609252</v>
      </c>
      <c r="C82" t="n">
        <v>5.640800564781621</v>
      </c>
      <c r="D82" t="n">
        <v>0.1697954678102824</v>
      </c>
      <c r="E82" t="n">
        <v>0.3587098685556818</v>
      </c>
      <c r="F82" t="n">
        <v>0.005068649521012347</v>
      </c>
      <c r="G82" t="n">
        <v>8.695339501376306</v>
      </c>
      <c r="H82" t="n">
        <v>2.926571038137622</v>
      </c>
      <c r="I82" t="n">
        <v>33.46290477621132</v>
      </c>
      <c r="J82" t="n">
        <v>33.46290477621132</v>
      </c>
    </row>
    <row r="83">
      <c r="A83" s="20" t="n">
        <v>46661</v>
      </c>
      <c r="B83" t="n">
        <v>5.457817105953894</v>
      </c>
      <c r="C83" t="n">
        <v>5.492198659475094</v>
      </c>
      <c r="D83" t="n">
        <v>0.2356613559206259</v>
      </c>
      <c r="E83" t="n">
        <v>0.392751012440045</v>
      </c>
      <c r="F83" t="n">
        <v>0.005064915715970399</v>
      </c>
      <c r="G83" t="n">
        <v>9.396864497151917</v>
      </c>
      <c r="H83" t="n">
        <v>2.791645855212018</v>
      </c>
      <c r="I83" t="n">
        <v>33.6948943669158</v>
      </c>
      <c r="J83" t="n">
        <v>33.6948943669158</v>
      </c>
    </row>
    <row r="84">
      <c r="A84" s="20" t="n">
        <v>46692</v>
      </c>
      <c r="B84" t="n">
        <v>4.663385892484723</v>
      </c>
      <c r="C84" t="n">
        <v>5.879821180492057</v>
      </c>
      <c r="D84" t="n">
        <v>0.4533365140892908</v>
      </c>
      <c r="E84" t="n">
        <v>0.4921469637282985</v>
      </c>
      <c r="F84" t="n">
        <v>0.005042983548659375</v>
      </c>
      <c r="G84" t="n">
        <v>10.02482796884667</v>
      </c>
      <c r="H84" t="n">
        <v>2.728542512866443</v>
      </c>
      <c r="I84" t="n">
        <v>33.91867468193133</v>
      </c>
      <c r="J84" t="n">
        <v>33.91867468193133</v>
      </c>
    </row>
    <row r="85">
      <c r="A85" s="20" t="n">
        <v>46722</v>
      </c>
      <c r="B85" t="n">
        <v>4.606898422723488</v>
      </c>
      <c r="C85" t="n">
        <v>6.079634754447258</v>
      </c>
      <c r="D85" t="n">
        <v>0.8360360847036827</v>
      </c>
      <c r="E85" t="n">
        <v>0.6273762003372318</v>
      </c>
      <c r="F85" t="n">
        <v>0.005039268650376826</v>
      </c>
      <c r="G85" t="n">
        <v>10.18260905034924</v>
      </c>
      <c r="H85" t="n">
        <v>2.604276349552315</v>
      </c>
      <c r="I85" t="n">
        <v>34.13424823694625</v>
      </c>
      <c r="J85" t="n">
        <v>34.13424823694625</v>
      </c>
    </row>
    <row r="86">
      <c r="A86" s="20" t="n">
        <v>46753</v>
      </c>
      <c r="B86" t="n">
        <v>5.579445751982315</v>
      </c>
      <c r="C86" t="n">
        <v>5.940385840380165</v>
      </c>
      <c r="D86" t="n">
        <v>1.488597596750053</v>
      </c>
      <c r="E86" t="n">
        <v>0.8747056510822386</v>
      </c>
      <c r="F86" t="n">
        <v>0.006433291298340957</v>
      </c>
      <c r="G86" t="n">
        <v>9.933882743400588</v>
      </c>
      <c r="H86" t="n">
        <v>2.869003261234766</v>
      </c>
      <c r="I86" t="n">
        <v>33.56462089132972</v>
      </c>
      <c r="J86" t="n">
        <v>33.56462089132972</v>
      </c>
    </row>
    <row r="87">
      <c r="A87" s="20" t="n">
        <v>46784</v>
      </c>
      <c r="B87" t="n">
        <v>4.573570037829584</v>
      </c>
      <c r="C87" t="n">
        <v>5.817416336869187</v>
      </c>
      <c r="D87" t="n">
        <v>1.039600830225704</v>
      </c>
      <c r="E87" t="n">
        <v>0.6883837208538823</v>
      </c>
      <c r="F87" t="n">
        <v>0.006427491041518459</v>
      </c>
      <c r="G87" t="n">
        <v>10.05862295544212</v>
      </c>
      <c r="H87" t="n">
        <v>2.820453433169895</v>
      </c>
      <c r="I87" t="n">
        <v>33.9806901425393</v>
      </c>
      <c r="J87" t="n">
        <v>33.9806901425393</v>
      </c>
    </row>
    <row r="88">
      <c r="A88" s="20" t="n">
        <v>46813</v>
      </c>
      <c r="B88" t="n">
        <v>4.068206450284062</v>
      </c>
      <c r="C88" t="n">
        <v>5.790370846617636</v>
      </c>
      <c r="D88" t="n">
        <v>0.4768042469229207</v>
      </c>
      <c r="E88" t="n">
        <v>0.4736773898689856</v>
      </c>
      <c r="F88" t="n">
        <v>0.00640071522932744</v>
      </c>
      <c r="G88" t="n">
        <v>9.974197376981069</v>
      </c>
      <c r="H88" t="n">
        <v>2.717900612837079</v>
      </c>
      <c r="I88" t="n">
        <v>34.44140398986399</v>
      </c>
      <c r="J88" t="n">
        <v>34.44140398986399</v>
      </c>
    </row>
    <row r="89">
      <c r="A89" s="20" t="n">
        <v>46844</v>
      </c>
      <c r="B89" t="n">
        <v>4.495762034023503</v>
      </c>
      <c r="C89" t="n">
        <v>5.725619356997369</v>
      </c>
      <c r="D89" t="n">
        <v>0.3095091639611158</v>
      </c>
      <c r="E89" t="n">
        <v>0.4307663539860483</v>
      </c>
      <c r="F89" t="n">
        <v>0.00638141081335423</v>
      </c>
      <c r="G89" t="n">
        <v>9.851180955530085</v>
      </c>
      <c r="H89" t="n">
        <v>2.926172373492228</v>
      </c>
      <c r="I89" t="n">
        <v>34.69878816984506</v>
      </c>
      <c r="J89" t="n">
        <v>34.69878816984506</v>
      </c>
    </row>
    <row r="90">
      <c r="A90" s="20" t="n">
        <v>46874</v>
      </c>
      <c r="B90" t="n">
        <v>5.792966830004295</v>
      </c>
      <c r="C90" t="n">
        <v>5.596993586952225</v>
      </c>
      <c r="D90" t="n">
        <v>0.2143567350080206</v>
      </c>
      <c r="E90" t="n">
        <v>0.3618820459787971</v>
      </c>
      <c r="F90" t="n">
        <v>0.006368304114801937</v>
      </c>
      <c r="G90" t="n">
        <v>10.37861337246806</v>
      </c>
      <c r="H90" t="n">
        <v>3.180382741041683</v>
      </c>
      <c r="I90" t="n">
        <v>34.957280281696</v>
      </c>
      <c r="J90" t="n">
        <v>34.957280281696</v>
      </c>
    </row>
    <row r="91">
      <c r="A91" s="20" t="n">
        <v>46905</v>
      </c>
      <c r="B91" t="n">
        <v>6.680486736221694</v>
      </c>
      <c r="C91" t="n">
        <v>5.659067941972197</v>
      </c>
      <c r="D91" t="n">
        <v>0.2039075184487921</v>
      </c>
      <c r="E91" t="n">
        <v>0.3646025875132291</v>
      </c>
      <c r="F91" t="n">
        <v>0.006349097450035356</v>
      </c>
      <c r="G91" t="n">
        <v>10.77479381700417</v>
      </c>
      <c r="H91" t="n">
        <v>3.118689989997125</v>
      </c>
      <c r="I91" t="n">
        <v>35.21305670812409</v>
      </c>
      <c r="J91" t="n">
        <v>35.21305670812409</v>
      </c>
    </row>
    <row r="92">
      <c r="A92" s="20" t="n">
        <v>46935</v>
      </c>
      <c r="B92" t="n">
        <v>7.270704077454631</v>
      </c>
      <c r="C92" t="n">
        <v>5.645119370491005</v>
      </c>
      <c r="D92" t="n">
        <v>0.1905884225703777</v>
      </c>
      <c r="E92" t="n">
        <v>0.3484381238751906</v>
      </c>
      <c r="F92" t="n">
        <v>0.006336057119489233</v>
      </c>
      <c r="G92" t="n">
        <v>10.78008861771616</v>
      </c>
      <c r="H92" t="n">
        <v>2.976157804314986</v>
      </c>
      <c r="I92" t="n">
        <v>35.46624065271286</v>
      </c>
      <c r="J92" t="n">
        <v>35.46624065271286</v>
      </c>
    </row>
    <row r="93">
      <c r="A93" s="20" t="n">
        <v>46966</v>
      </c>
      <c r="B93" t="n">
        <v>8.161645258862009</v>
      </c>
      <c r="C93" t="n">
        <v>5.710923844909262</v>
      </c>
      <c r="D93" t="n">
        <v>0.1674319187008908</v>
      </c>
      <c r="E93" t="n">
        <v>0.3396599301141548</v>
      </c>
      <c r="F93" t="n">
        <v>0.004937972511492646</v>
      </c>
      <c r="G93" t="n">
        <v>11.27506783682496</v>
      </c>
      <c r="H93" t="n">
        <v>3.045932217645071</v>
      </c>
      <c r="I93" t="n">
        <v>35.71537470139906</v>
      </c>
      <c r="J93" t="n">
        <v>35.71537470139906</v>
      </c>
    </row>
    <row r="94">
      <c r="A94" s="20" t="n">
        <v>46997</v>
      </c>
      <c r="B94" t="n">
        <v>6.918029331066658</v>
      </c>
      <c r="C94" t="n">
        <v>5.685496361522128</v>
      </c>
      <c r="D94" t="n">
        <v>0.1647016037759739</v>
      </c>
      <c r="E94" t="n">
        <v>0.3479485724990113</v>
      </c>
      <c r="F94" t="n">
        <v>0.004916590035381976</v>
      </c>
      <c r="G94" t="n">
        <v>12.09451430971443</v>
      </c>
      <c r="H94" t="n">
        <v>2.867294580756643</v>
      </c>
      <c r="I94" t="n">
        <v>35.96359483495669</v>
      </c>
      <c r="J94" t="n">
        <v>35.96359483495669</v>
      </c>
    </row>
    <row r="95">
      <c r="A95" s="20" t="n">
        <v>47027</v>
      </c>
      <c r="B95" t="n">
        <v>5.436307874895696</v>
      </c>
      <c r="C95" t="n">
        <v>5.535716984954465</v>
      </c>
      <c r="D95" t="n">
        <v>0.2285915152430072</v>
      </c>
      <c r="E95" t="n">
        <v>0.3809684820668436</v>
      </c>
      <c r="F95" t="n">
        <v>0.004912968244491286</v>
      </c>
      <c r="G95" t="n">
        <v>12.69228003083021</v>
      </c>
      <c r="H95" t="n">
        <v>2.735102250289116</v>
      </c>
      <c r="I95" t="n">
        <v>36.21248544376367</v>
      </c>
      <c r="J95" t="n">
        <v>36.21248544376367</v>
      </c>
    </row>
    <row r="96">
      <c r="A96" s="20" t="n">
        <v>47058</v>
      </c>
      <c r="B96" t="n">
        <v>4.645007511031529</v>
      </c>
      <c r="C96" t="n">
        <v>5.926410895787899</v>
      </c>
      <c r="D96" t="n">
        <v>0.4397364186666121</v>
      </c>
      <c r="E96" t="n">
        <v>0.4773825548164495</v>
      </c>
      <c r="F96" t="n">
        <v>0.004891694042199594</v>
      </c>
      <c r="G96" t="n">
        <v>13.09400310968609</v>
      </c>
      <c r="H96" t="n">
        <v>2.673277039427246</v>
      </c>
      <c r="I96" t="n">
        <v>36.45259702761549</v>
      </c>
      <c r="J96" t="n">
        <v>36.45259702761549</v>
      </c>
    </row>
    <row r="97">
      <c r="A97" s="20" t="n">
        <v>47088</v>
      </c>
      <c r="B97" t="n">
        <v>4.588742658117908</v>
      </c>
      <c r="C97" t="n">
        <v>6.127807724953939</v>
      </c>
      <c r="D97" t="n">
        <v>0.8109550021625722</v>
      </c>
      <c r="E97" t="n">
        <v>0.6085549143271148</v>
      </c>
      <c r="F97" t="n">
        <v>0.004888090590865522</v>
      </c>
      <c r="G97" t="n">
        <v>13.04702460392215</v>
      </c>
      <c r="H97" t="n">
        <v>2.55152783464158</v>
      </c>
      <c r="I97" t="n">
        <v>36.68392362218805</v>
      </c>
      <c r="J97" t="n">
        <v>36.68392362218805</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121"/>
  <sheetViews>
    <sheetView workbookViewId="0">
      <selection activeCell="A1" sqref="A1"/>
    </sheetView>
  </sheetViews>
  <sheetFormatPr baseColWidth="8" defaultRowHeight="15"/>
  <cols>
    <col width="11" customWidth="1" min="1" max="1"/>
  </cols>
  <sheetData>
    <row r="1">
      <c r="A1" t="inlineStr">
        <is>
          <t>Date</t>
        </is>
      </c>
      <c r="B1" t="inlineStr">
        <is>
          <t>Electric power</t>
        </is>
      </c>
      <c r="C1" t="inlineStr">
        <is>
          <t>Industrial</t>
        </is>
      </c>
      <c r="D1" t="inlineStr">
        <is>
          <t>Residential</t>
        </is>
      </c>
      <c r="E1" t="inlineStr">
        <is>
          <t>Commercial</t>
        </is>
      </c>
      <c r="F1" t="inlineStr">
        <is>
          <t>Vehicle fuel</t>
        </is>
      </c>
      <c r="G1" t="inlineStr">
        <is>
          <t>LNG feedgas (base case)</t>
        </is>
      </c>
      <c r="H1" t="inlineStr">
        <is>
          <t>Pipeline exports to Mexico</t>
        </is>
      </c>
      <c r="I1" t="inlineStr">
        <is>
          <t>Data centres (BASE, gas burn added after Jul/26)</t>
        </is>
      </c>
      <c r="J1" t="inlineStr">
        <is>
          <t>Total incl. data centres, BASE (top of stack)</t>
        </is>
      </c>
      <c r="K1" t="inlineStr">
        <is>
          <t>Total, LOW data-centre case</t>
        </is>
      </c>
      <c r="L1" t="inlineStr">
        <is>
          <t>Total, HIGH data-centre case</t>
        </is>
      </c>
    </row>
    <row r="2">
      <c r="A2" s="20" t="n">
        <v>45292</v>
      </c>
      <c r="B2" t="n">
        <v>5.561419354838709</v>
      </c>
      <c r="C2" t="n">
        <v>5.737903225806452</v>
      </c>
      <c r="D2" t="n">
        <v>1.718290322580645</v>
      </c>
      <c r="E2" t="n">
        <v>0.9129677419354839</v>
      </c>
      <c r="F2" t="n">
        <v>0.007419354838709677</v>
      </c>
      <c r="G2" t="n">
        <v>4.002901935483871</v>
      </c>
      <c r="H2" t="n">
        <v>3.045290322580645</v>
      </c>
      <c r="I2" t="n">
        <v>0</v>
      </c>
      <c r="J2" t="n">
        <v>20.98619225806452</v>
      </c>
      <c r="K2" t="n">
        <v>20.98619225806452</v>
      </c>
      <c r="L2" t="n">
        <v>20.98619225806452</v>
      </c>
    </row>
    <row r="3">
      <c r="A3" s="20" t="n">
        <v>45323</v>
      </c>
      <c r="B3" t="n">
        <v>4.008068965517241</v>
      </c>
      <c r="C3" t="n">
        <v>5.536586206896551</v>
      </c>
      <c r="D3" t="n">
        <v>1.097586206896552</v>
      </c>
      <c r="E3" t="n">
        <v>0.764551724137931</v>
      </c>
      <c r="F3" t="n">
        <v>0.007413793103448276</v>
      </c>
      <c r="G3" t="n">
        <v>3.654431724137932</v>
      </c>
      <c r="H3" t="n">
        <v>2.881137931034483</v>
      </c>
      <c r="I3" t="n">
        <v>0</v>
      </c>
      <c r="J3" t="n">
        <v>17.94977655172414</v>
      </c>
      <c r="K3" t="n">
        <v>17.94977655172414</v>
      </c>
      <c r="L3" t="n">
        <v>17.94977655172414</v>
      </c>
    </row>
    <row r="4">
      <c r="A4" s="20" t="n">
        <v>45352</v>
      </c>
      <c r="B4" t="n">
        <v>4.475806451612903</v>
      </c>
      <c r="C4" t="n">
        <v>5.56</v>
      </c>
      <c r="D4" t="n">
        <v>0.5969677419354839</v>
      </c>
      <c r="E4" t="n">
        <v>0.5730645161290323</v>
      </c>
      <c r="F4" t="n">
        <v>0.007419354838709677</v>
      </c>
      <c r="G4" t="n">
        <v>3.077456774193548</v>
      </c>
      <c r="H4" t="n">
        <v>2.966548387096774</v>
      </c>
      <c r="I4" t="n">
        <v>0</v>
      </c>
      <c r="J4" t="n">
        <v>17.25726322580645</v>
      </c>
      <c r="K4" t="n">
        <v>17.25726322580645</v>
      </c>
      <c r="L4" t="n">
        <v>17.25726322580645</v>
      </c>
    </row>
    <row r="5">
      <c r="A5" s="20" t="n">
        <v>45383</v>
      </c>
      <c r="B5" t="n">
        <v>4.507533333333334</v>
      </c>
      <c r="C5" t="n">
        <v>5.455</v>
      </c>
      <c r="D5" t="n">
        <v>0.3352</v>
      </c>
      <c r="E5" t="n">
        <v>0.4414666666666666</v>
      </c>
      <c r="F5" t="n">
        <v>0.0074</v>
      </c>
      <c r="G5" t="n">
        <v>2.211428333333334</v>
      </c>
      <c r="H5" t="n">
        <v>3.1878</v>
      </c>
      <c r="I5" t="n">
        <v>0</v>
      </c>
      <c r="J5" t="n">
        <v>16.14582833333333</v>
      </c>
      <c r="K5" t="n">
        <v>16.14582833333333</v>
      </c>
      <c r="L5" t="n">
        <v>16.14582833333333</v>
      </c>
    </row>
    <row r="6">
      <c r="A6" s="20" t="n">
        <v>45413</v>
      </c>
      <c r="B6" t="n">
        <v>6.010064516129032</v>
      </c>
      <c r="C6" t="n">
        <v>5.232161290322581</v>
      </c>
      <c r="D6" t="n">
        <v>0.2444516129032258</v>
      </c>
      <c r="E6" t="n">
        <v>0.4193225806451613</v>
      </c>
      <c r="F6" t="n">
        <v>0.007419354838709677</v>
      </c>
      <c r="G6" t="n">
        <v>4.104940000000001</v>
      </c>
      <c r="H6" t="n">
        <v>3.257677419354839</v>
      </c>
      <c r="I6" t="n">
        <v>0</v>
      </c>
      <c r="J6" t="n">
        <v>19.27603677419355</v>
      </c>
      <c r="K6" t="n">
        <v>19.27603677419355</v>
      </c>
      <c r="L6" t="n">
        <v>19.27603677419355</v>
      </c>
    </row>
    <row r="7">
      <c r="A7" s="20" t="n">
        <v>45444</v>
      </c>
      <c r="B7" t="n">
        <v>6.976733333333334</v>
      </c>
      <c r="C7" t="n">
        <v>5.412633333333333</v>
      </c>
      <c r="D7" t="n">
        <v>0.2411666666666667</v>
      </c>
      <c r="E7" t="n">
        <v>0.4122</v>
      </c>
      <c r="F7" t="n">
        <v>0.0074</v>
      </c>
      <c r="G7" t="n">
        <v>4.706075</v>
      </c>
      <c r="H7" t="n">
        <v>3.117133333333333</v>
      </c>
      <c r="I7" t="n">
        <v>0</v>
      </c>
      <c r="J7" t="n">
        <v>20.87334166666666</v>
      </c>
      <c r="K7" t="n">
        <v>20.87334166666666</v>
      </c>
      <c r="L7" t="n">
        <v>20.87334166666666</v>
      </c>
    </row>
    <row r="8">
      <c r="A8" s="20" t="n">
        <v>45474</v>
      </c>
      <c r="B8" t="n">
        <v>7.261322580645161</v>
      </c>
      <c r="C8" t="n">
        <v>5.511741935483871</v>
      </c>
      <c r="D8" t="n">
        <v>0.2387096774193548</v>
      </c>
      <c r="E8" t="n">
        <v>0.4077096774193548</v>
      </c>
      <c r="F8" t="n">
        <v>0.007419354838709677</v>
      </c>
      <c r="G8" t="n">
        <v>2.888535161290323</v>
      </c>
      <c r="H8" t="n">
        <v>3.147096774193549</v>
      </c>
      <c r="I8" t="n">
        <v>0</v>
      </c>
      <c r="J8" t="n">
        <v>19.46253516129033</v>
      </c>
      <c r="K8" t="n">
        <v>19.46253516129033</v>
      </c>
      <c r="L8" t="n">
        <v>19.46253516129033</v>
      </c>
    </row>
    <row r="9">
      <c r="A9" s="20" t="n">
        <v>45505</v>
      </c>
      <c r="B9" t="n">
        <v>8.358483870967742</v>
      </c>
      <c r="C9" t="n">
        <v>5.637741935483871</v>
      </c>
      <c r="D9" t="n">
        <v>0.2118709677419355</v>
      </c>
      <c r="E9" t="n">
        <v>0.3919677419354838</v>
      </c>
      <c r="F9" t="n">
        <v>0.007419354838709677</v>
      </c>
      <c r="G9" t="n">
        <v>4.445793548387096</v>
      </c>
      <c r="H9" t="n">
        <v>3.193548387096774</v>
      </c>
      <c r="I9" t="n">
        <v>0</v>
      </c>
      <c r="J9" t="n">
        <v>22.24682580645161</v>
      </c>
      <c r="K9" t="n">
        <v>22.24682580645161</v>
      </c>
      <c r="L9" t="n">
        <v>22.24682580645161</v>
      </c>
    </row>
    <row r="10">
      <c r="A10" s="20" t="n">
        <v>45536</v>
      </c>
      <c r="B10" t="n">
        <v>6.897866666666666</v>
      </c>
      <c r="C10" t="n">
        <v>5.5316</v>
      </c>
      <c r="D10" t="n">
        <v>0.2098333333333333</v>
      </c>
      <c r="E10" t="n">
        <v>0.4142666666666667</v>
      </c>
      <c r="F10" t="n">
        <v>0.0074</v>
      </c>
      <c r="G10" t="n">
        <v>4.636932666666667</v>
      </c>
      <c r="H10" t="n">
        <v>3.0912</v>
      </c>
      <c r="I10" t="n">
        <v>0</v>
      </c>
      <c r="J10" t="n">
        <v>20.78909933333333</v>
      </c>
      <c r="K10" t="n">
        <v>20.78909933333333</v>
      </c>
      <c r="L10" t="n">
        <v>20.78909933333333</v>
      </c>
    </row>
    <row r="11">
      <c r="A11" s="20" t="n">
        <v>45566</v>
      </c>
      <c r="B11" t="n">
        <v>5.92516129032258</v>
      </c>
      <c r="C11" t="n">
        <v>5.303709677419355</v>
      </c>
      <c r="D11" t="n">
        <v>0.2420322580645161</v>
      </c>
      <c r="E11" t="n">
        <v>0.4293548387096774</v>
      </c>
      <c r="F11" t="n">
        <v>0.007419354838709677</v>
      </c>
      <c r="G11" t="n">
        <v>4.775289999999999</v>
      </c>
      <c r="H11" t="n">
        <v>2.869387096774194</v>
      </c>
      <c r="I11" t="n">
        <v>0</v>
      </c>
      <c r="J11" t="n">
        <v>19.55235451612903</v>
      </c>
      <c r="K11" t="n">
        <v>19.55235451612903</v>
      </c>
      <c r="L11" t="n">
        <v>19.55235451612903</v>
      </c>
    </row>
    <row r="12">
      <c r="A12" s="20" t="n">
        <v>45597</v>
      </c>
      <c r="B12" t="n">
        <v>4.806333333333333</v>
      </c>
      <c r="C12" t="n">
        <v>5.701866666666667</v>
      </c>
      <c r="D12" t="n">
        <v>0.4328666666666667</v>
      </c>
      <c r="E12" t="n">
        <v>0.5004</v>
      </c>
      <c r="F12" t="n">
        <v>0.0074</v>
      </c>
      <c r="G12" t="n">
        <v>4.40033</v>
      </c>
      <c r="H12" t="n">
        <v>2.7428</v>
      </c>
      <c r="I12" t="n">
        <v>0</v>
      </c>
      <c r="J12" t="n">
        <v>18.59199666666667</v>
      </c>
      <c r="K12" t="n">
        <v>18.59199666666667</v>
      </c>
      <c r="L12" t="n">
        <v>18.59199666666667</v>
      </c>
    </row>
    <row r="13">
      <c r="A13" s="20" t="n">
        <v>45627</v>
      </c>
      <c r="B13" t="n">
        <v>4.653419354838709</v>
      </c>
      <c r="C13" t="n">
        <v>6.043483870967742</v>
      </c>
      <c r="D13" t="n">
        <v>0.8987419354838709</v>
      </c>
      <c r="E13" t="n">
        <v>0.681483870967742</v>
      </c>
      <c r="F13" t="n">
        <v>0.007419354838709677</v>
      </c>
      <c r="G13" t="n">
        <v>4.759608064516129</v>
      </c>
      <c r="H13" t="n">
        <v>2.697645161290323</v>
      </c>
      <c r="I13" t="n">
        <v>0</v>
      </c>
      <c r="J13" t="n">
        <v>19.74180161290323</v>
      </c>
      <c r="K13" t="n">
        <v>19.74180161290323</v>
      </c>
      <c r="L13" t="n">
        <v>19.74180161290323</v>
      </c>
    </row>
    <row r="14">
      <c r="A14" s="20" t="n">
        <v>45658</v>
      </c>
      <c r="B14" t="n">
        <v>5.869</v>
      </c>
      <c r="C14" t="n">
        <v>5.845741935483871</v>
      </c>
      <c r="D14" t="n">
        <v>2.010354838709677</v>
      </c>
      <c r="E14" t="n">
        <v>1.101387096774194</v>
      </c>
      <c r="F14" t="n">
        <v>0.006193548387096774</v>
      </c>
      <c r="G14" t="n">
        <v>4.154271290322582</v>
      </c>
      <c r="H14" t="n">
        <v>3.12958064516129</v>
      </c>
      <c r="I14" t="n">
        <v>0</v>
      </c>
      <c r="J14" t="n">
        <v>22.11652935483871</v>
      </c>
      <c r="K14" t="n">
        <v>22.11652935483871</v>
      </c>
      <c r="L14" t="n">
        <v>22.11652935483871</v>
      </c>
    </row>
    <row r="15">
      <c r="A15" s="20" t="n">
        <v>45689</v>
      </c>
      <c r="B15" t="n">
        <v>5.272785714285715</v>
      </c>
      <c r="C15" t="n">
        <v>5.759535714285715</v>
      </c>
      <c r="D15" t="n">
        <v>1.569142857142857</v>
      </c>
      <c r="E15" t="n">
        <v>0.9613214285714285</v>
      </c>
      <c r="F15" t="n">
        <v>0.006214285714285715</v>
      </c>
      <c r="G15" t="n">
        <v>4.985854642857143</v>
      </c>
      <c r="H15" t="n">
        <v>3.037857142857143</v>
      </c>
      <c r="I15" t="n">
        <v>0</v>
      </c>
      <c r="J15" t="n">
        <v>21.59271178571429</v>
      </c>
      <c r="K15" t="n">
        <v>21.59271178571429</v>
      </c>
      <c r="L15" t="n">
        <v>21.59271178571429</v>
      </c>
    </row>
    <row r="16">
      <c r="A16" s="20" t="n">
        <v>45717</v>
      </c>
      <c r="B16" t="n">
        <v>3.69841935483871</v>
      </c>
      <c r="C16" t="n">
        <v>5.697580645161291</v>
      </c>
      <c r="D16" t="n">
        <v>0.5337741935483871</v>
      </c>
      <c r="E16" t="n">
        <v>0.4649354838709677</v>
      </c>
      <c r="F16" t="n">
        <v>0.006193548387096774</v>
      </c>
      <c r="G16" t="n">
        <v>4.598463870967743</v>
      </c>
      <c r="H16" t="n">
        <v>2.864387096774194</v>
      </c>
      <c r="I16" t="n">
        <v>0</v>
      </c>
      <c r="J16" t="n">
        <v>17.86375419354839</v>
      </c>
      <c r="K16" t="n">
        <v>17.86375419354839</v>
      </c>
      <c r="L16" t="n">
        <v>17.86375419354839</v>
      </c>
    </row>
    <row r="17">
      <c r="A17" s="20" t="n">
        <v>45748</v>
      </c>
      <c r="B17" t="n">
        <v>4.2876</v>
      </c>
      <c r="C17" t="n">
        <v>5.537833333333333</v>
      </c>
      <c r="D17" t="n">
        <v>0.4167</v>
      </c>
      <c r="E17" t="n">
        <v>0.5441666666666666</v>
      </c>
      <c r="F17" t="n">
        <v>0.0062</v>
      </c>
      <c r="G17" t="n">
        <v>4.818890000000001</v>
      </c>
      <c r="H17" t="n">
        <v>3.252</v>
      </c>
      <c r="I17" t="n">
        <v>0</v>
      </c>
      <c r="J17" t="n">
        <v>18.86339</v>
      </c>
      <c r="K17" t="n">
        <v>18.86339</v>
      </c>
      <c r="L17" t="n">
        <v>18.86339</v>
      </c>
    </row>
    <row r="18">
      <c r="A18" s="20" t="n">
        <v>45778</v>
      </c>
      <c r="B18" t="n">
        <v>5.777741935483871</v>
      </c>
      <c r="C18" t="n">
        <v>5.462096774193548</v>
      </c>
      <c r="D18" t="n">
        <v>0.2829032258064516</v>
      </c>
      <c r="E18" t="n">
        <v>0.4228387096774193</v>
      </c>
      <c r="F18" t="n">
        <v>0.006193548387096774</v>
      </c>
      <c r="G18" t="n">
        <v>4.495722580645161</v>
      </c>
      <c r="H18" t="n">
        <v>3.523838709677419</v>
      </c>
      <c r="I18" t="n">
        <v>0</v>
      </c>
      <c r="J18" t="n">
        <v>19.97133548387097</v>
      </c>
      <c r="K18" t="n">
        <v>19.97133548387097</v>
      </c>
      <c r="L18" t="n">
        <v>19.97133548387097</v>
      </c>
    </row>
    <row r="19">
      <c r="A19" s="20" t="n">
        <v>45809</v>
      </c>
      <c r="B19" t="n">
        <v>6.4434</v>
      </c>
      <c r="C19" t="n">
        <v>5.411233333333334</v>
      </c>
      <c r="D19" t="n">
        <v>0.2359</v>
      </c>
      <c r="E19" t="n">
        <v>0.419</v>
      </c>
      <c r="F19" t="n">
        <v>0.0062</v>
      </c>
      <c r="G19" t="n">
        <v>4.700261666666668</v>
      </c>
      <c r="H19" t="n">
        <v>3.446133333333333</v>
      </c>
      <c r="I19" t="n">
        <v>0</v>
      </c>
      <c r="J19" t="n">
        <v>20.66212833333333</v>
      </c>
      <c r="K19" t="n">
        <v>20.66212833333333</v>
      </c>
      <c r="L19" t="n">
        <v>20.66212833333333</v>
      </c>
    </row>
    <row r="20">
      <c r="A20" s="20" t="n">
        <v>45839</v>
      </c>
      <c r="B20" t="n">
        <v>7.139032258064516</v>
      </c>
      <c r="C20" t="n">
        <v>5.410709677419355</v>
      </c>
      <c r="D20" t="n">
        <v>0.2180645161290322</v>
      </c>
      <c r="E20" t="n">
        <v>0.4039032258064516</v>
      </c>
      <c r="F20" t="n">
        <v>0.006193548387096774</v>
      </c>
      <c r="G20" t="n">
        <v>4.49719935483871</v>
      </c>
      <c r="H20" t="n">
        <v>3.09458064516129</v>
      </c>
      <c r="I20" t="n">
        <v>0</v>
      </c>
      <c r="J20" t="n">
        <v>20.76968322580645</v>
      </c>
      <c r="K20" t="n">
        <v>20.76968322580645</v>
      </c>
      <c r="L20" t="n">
        <v>20.76968322580645</v>
      </c>
    </row>
    <row r="21">
      <c r="A21" s="20" t="n">
        <v>45870</v>
      </c>
      <c r="B21" t="n">
        <v>7.713354838709678</v>
      </c>
      <c r="C21" t="n">
        <v>5.538838709677419</v>
      </c>
      <c r="D21" t="n">
        <v>0.1949677419354839</v>
      </c>
      <c r="E21" t="n">
        <v>0.383</v>
      </c>
      <c r="F21" t="n">
        <v>0.006193548387096774</v>
      </c>
      <c r="G21" t="n">
        <v>4.468156129032257</v>
      </c>
      <c r="H21" t="n">
        <v>3.350290322580645</v>
      </c>
      <c r="I21" t="n">
        <v>0</v>
      </c>
      <c r="J21" t="n">
        <v>21.65480129032258</v>
      </c>
      <c r="K21" t="n">
        <v>21.65480129032258</v>
      </c>
      <c r="L21" t="n">
        <v>21.65480129032258</v>
      </c>
    </row>
    <row r="22">
      <c r="A22" s="20" t="n">
        <v>45901</v>
      </c>
      <c r="B22" t="n">
        <v>6.913966666666666</v>
      </c>
      <c r="C22" t="n">
        <v>5.562266666666666</v>
      </c>
      <c r="D22" t="n">
        <v>0.1994</v>
      </c>
      <c r="E22" t="n">
        <v>0.3982666666666667</v>
      </c>
      <c r="F22" t="n">
        <v>0.0062</v>
      </c>
      <c r="G22" t="n">
        <v>4.724750333333333</v>
      </c>
      <c r="H22" t="n">
        <v>2.949933333333334</v>
      </c>
      <c r="I22" t="n">
        <v>0</v>
      </c>
      <c r="J22" t="n">
        <v>20.75478366666667</v>
      </c>
      <c r="K22" t="n">
        <v>20.75478366666667</v>
      </c>
      <c r="L22" t="n">
        <v>20.75478366666667</v>
      </c>
    </row>
    <row r="23">
      <c r="A23" s="20" t="n">
        <v>45931</v>
      </c>
      <c r="B23" t="n">
        <v>5.629225806451613</v>
      </c>
      <c r="C23" t="n">
        <v>5.351806451612903</v>
      </c>
      <c r="D23" t="n">
        <v>0.2535806451612903</v>
      </c>
      <c r="E23" t="n">
        <v>0.410258064516129</v>
      </c>
      <c r="F23" t="n">
        <v>0.006193548387096774</v>
      </c>
      <c r="G23" t="n">
        <v>5.143850645161292</v>
      </c>
      <c r="H23" t="n">
        <v>2.833483870967742</v>
      </c>
      <c r="I23" t="n">
        <v>0</v>
      </c>
      <c r="J23" t="n">
        <v>19.62839903225807</v>
      </c>
      <c r="K23" t="n">
        <v>19.62839903225807</v>
      </c>
      <c r="L23" t="n">
        <v>19.62839903225807</v>
      </c>
    </row>
    <row r="24">
      <c r="A24" s="20" t="n">
        <v>45962</v>
      </c>
      <c r="B24" t="n">
        <v>4.648733333333333</v>
      </c>
      <c r="C24" t="n">
        <v>5.8022</v>
      </c>
      <c r="D24" t="n">
        <v>0.4432</v>
      </c>
      <c r="E24" t="n">
        <v>0.5220333333333333</v>
      </c>
      <c r="F24" t="n">
        <v>0.0062</v>
      </c>
      <c r="G24" t="n">
        <v>5.420533666666667</v>
      </c>
      <c r="H24" t="n">
        <v>2.9201</v>
      </c>
      <c r="I24" t="n">
        <v>0</v>
      </c>
      <c r="J24" t="n">
        <v>19.76300033333333</v>
      </c>
      <c r="K24" t="n">
        <v>19.76300033333333</v>
      </c>
      <c r="L24" t="n">
        <v>19.76300033333333</v>
      </c>
    </row>
    <row r="25">
      <c r="A25" s="20" t="n">
        <v>45992</v>
      </c>
      <c r="B25" t="n">
        <v>4.848451612903226</v>
      </c>
      <c r="C25" t="n">
        <v>5.93</v>
      </c>
      <c r="D25" t="n">
        <v>0.9796451612903225</v>
      </c>
      <c r="E25" t="n">
        <v>0.6952903225806452</v>
      </c>
      <c r="F25" t="n">
        <v>0.006193548387096774</v>
      </c>
      <c r="G25" t="n">
        <v>5.626580000000001</v>
      </c>
      <c r="H25" t="n">
        <v>2.764451612903226</v>
      </c>
      <c r="I25" t="n">
        <v>0</v>
      </c>
      <c r="J25" t="n">
        <v>20.85061225806452</v>
      </c>
      <c r="K25" t="n">
        <v>20.85061225806452</v>
      </c>
      <c r="L25" t="n">
        <v>20.85061225806452</v>
      </c>
    </row>
    <row r="26">
      <c r="A26" s="20" t="n">
        <v>46023</v>
      </c>
      <c r="B26" t="n">
        <v>5.437354838709677</v>
      </c>
      <c r="C26" t="n">
        <v>5.787548387096774</v>
      </c>
      <c r="D26" t="n">
        <v>1.498</v>
      </c>
      <c r="E26" t="n">
        <v>0.921258064516129</v>
      </c>
      <c r="F26" t="n">
        <v>0.006193548387096774</v>
      </c>
      <c r="G26" t="n">
        <v>5.1775</v>
      </c>
      <c r="H26" t="n">
        <v>2.873354838709677</v>
      </c>
      <c r="I26" t="n">
        <v>0</v>
      </c>
      <c r="J26" t="n">
        <v>21.70120967741935</v>
      </c>
      <c r="K26" t="n">
        <v>21.70120967741935</v>
      </c>
      <c r="L26" t="n">
        <v>21.70120967741935</v>
      </c>
    </row>
    <row r="27">
      <c r="A27" s="20" t="n">
        <v>46054</v>
      </c>
      <c r="B27" t="n">
        <v>4.554392857142857</v>
      </c>
      <c r="C27" t="n">
        <v>5.705857142857143</v>
      </c>
      <c r="D27" t="n">
        <v>1.006357142857143</v>
      </c>
      <c r="E27" t="n">
        <v>0.6013214285714286</v>
      </c>
      <c r="F27" t="n">
        <v>0.006214285714285715</v>
      </c>
      <c r="G27" t="n">
        <v>5.757808214285714</v>
      </c>
      <c r="H27" t="n">
        <v>2.989107142857143</v>
      </c>
      <c r="I27" t="n">
        <v>0</v>
      </c>
      <c r="J27" t="n">
        <v>20.62105821428571</v>
      </c>
      <c r="K27" t="n">
        <v>20.62105821428571</v>
      </c>
      <c r="L27" t="n">
        <v>20.62105821428571</v>
      </c>
    </row>
    <row r="28">
      <c r="A28" s="20" t="n">
        <v>46082</v>
      </c>
      <c r="B28" t="n">
        <v>4.129</v>
      </c>
      <c r="C28" t="n">
        <v>5.653225806451613</v>
      </c>
      <c r="D28" t="n">
        <v>0.5390967741935484</v>
      </c>
      <c r="E28" t="n">
        <v>0.5518387096774194</v>
      </c>
      <c r="F28" t="n">
        <v>0.006193548387096774</v>
      </c>
      <c r="G28" t="n">
        <v>5.815642258064516</v>
      </c>
      <c r="H28" t="n">
        <v>2.768580645161291</v>
      </c>
      <c r="I28" t="n">
        <v>0</v>
      </c>
      <c r="J28" t="n">
        <v>19.46357774193548</v>
      </c>
      <c r="K28" t="n">
        <v>19.46357774193548</v>
      </c>
      <c r="L28" t="n">
        <v>19.46357774193548</v>
      </c>
    </row>
    <row r="29">
      <c r="A29" s="20" t="n">
        <v>46113</v>
      </c>
      <c r="B29" t="n">
        <v>4.808033333333333</v>
      </c>
      <c r="C29" t="n">
        <v>5.719533333333334</v>
      </c>
      <c r="D29" t="n">
        <v>0.3398</v>
      </c>
      <c r="E29" t="n">
        <v>0.4702333333333333</v>
      </c>
      <c r="F29" t="n">
        <v>0.0062</v>
      </c>
      <c r="G29" t="n">
        <v>5.796038666666668</v>
      </c>
      <c r="H29" t="n">
        <v>2.837666666666667</v>
      </c>
      <c r="I29" t="n">
        <v>0</v>
      </c>
      <c r="J29" t="n">
        <v>19.97750533333334</v>
      </c>
      <c r="K29" t="n">
        <v>19.97750533333334</v>
      </c>
      <c r="L29" t="n">
        <v>19.97750533333334</v>
      </c>
    </row>
    <row r="30">
      <c r="A30" s="20" t="n">
        <v>46143</v>
      </c>
      <c r="B30" t="n">
        <v>5.746419354838709</v>
      </c>
      <c r="C30" t="n">
        <v>5.633806451612903</v>
      </c>
      <c r="D30" t="n">
        <v>0.2309032258064516</v>
      </c>
      <c r="E30" t="n">
        <v>0.3834838709677419</v>
      </c>
      <c r="F30" t="n">
        <v>0.006193548387096774</v>
      </c>
      <c r="G30" t="n">
        <v>5.236957741935484</v>
      </c>
      <c r="H30" t="n">
        <v>3.316451612903226</v>
      </c>
      <c r="I30" t="n">
        <v>0</v>
      </c>
      <c r="J30" t="n">
        <v>20.55421580645161</v>
      </c>
      <c r="K30" t="n">
        <v>20.55421580645161</v>
      </c>
      <c r="L30" t="n">
        <v>20.55421580645161</v>
      </c>
    </row>
    <row r="31">
      <c r="A31" s="20" t="n">
        <v>46174</v>
      </c>
      <c r="B31" t="n">
        <v>6.806066666666666</v>
      </c>
      <c r="C31" t="n">
        <v>5.6723</v>
      </c>
      <c r="D31" t="n">
        <v>0.2417</v>
      </c>
      <c r="E31" t="n">
        <v>0.4054</v>
      </c>
      <c r="F31" t="n">
        <v>0.0062</v>
      </c>
      <c r="G31" t="n">
        <v>5.555875333333335</v>
      </c>
      <c r="H31" t="n">
        <v>3.3545</v>
      </c>
      <c r="I31" t="n">
        <v>0</v>
      </c>
      <c r="J31" t="n">
        <v>22.042042</v>
      </c>
      <c r="K31" t="n">
        <v>22.042042</v>
      </c>
      <c r="L31" t="n">
        <v>22.042042</v>
      </c>
    </row>
    <row r="32">
      <c r="A32" s="20" t="n">
        <v>46204</v>
      </c>
      <c r="B32" t="n">
        <v>7.621806451612904</v>
      </c>
      <c r="C32" t="n">
        <v>5.519354838709677</v>
      </c>
      <c r="D32" t="n">
        <v>0.2176451612903226</v>
      </c>
      <c r="E32" t="n">
        <v>0.3741290322580645</v>
      </c>
      <c r="F32" t="n">
        <v>0.006193548387096774</v>
      </c>
      <c r="G32" t="n">
        <v>5.482489032258066</v>
      </c>
      <c r="H32" t="n">
        <v>3.236774193548387</v>
      </c>
      <c r="I32" t="n">
        <v>0</v>
      </c>
      <c r="J32" t="n">
        <v>22.45839225806452</v>
      </c>
      <c r="K32" t="n">
        <v>22.45839225806452</v>
      </c>
      <c r="L32" t="n">
        <v>22.45839225806452</v>
      </c>
    </row>
    <row r="33">
      <c r="A33" s="20" t="n">
        <v>46235</v>
      </c>
      <c r="B33" t="n">
        <v>8.226357563120109</v>
      </c>
      <c r="C33" t="n">
        <v>5.621485403354847</v>
      </c>
      <c r="D33" t="n">
        <v>0.1779486860462227</v>
      </c>
      <c r="E33" t="n">
        <v>0.3609947179446857</v>
      </c>
      <c r="F33" t="n">
        <v>0.005248137433832125</v>
      </c>
      <c r="G33" t="n">
        <v>5.887831766063428</v>
      </c>
      <c r="H33" t="n">
        <v>3.173172980830327</v>
      </c>
      <c r="I33" t="n">
        <v>0.009413896528622567</v>
      </c>
      <c r="J33" t="n">
        <v>23.46245315132208</v>
      </c>
      <c r="K33" t="n">
        <v>23.45529858996032</v>
      </c>
      <c r="L33" t="n">
        <v>23.48015127679589</v>
      </c>
    </row>
    <row r="34">
      <c r="A34" s="20" t="n">
        <v>46266</v>
      </c>
      <c r="B34" t="n">
        <v>6.972881215060556</v>
      </c>
      <c r="C34" t="n">
        <v>5.596456138285548</v>
      </c>
      <c r="D34" t="n">
        <v>0.175046874031219</v>
      </c>
      <c r="E34" t="n">
        <v>0.3698039882017338</v>
      </c>
      <c r="F34" t="n">
        <v>0.005225411877332316</v>
      </c>
      <c r="G34" t="n">
        <v>6.196107924570369</v>
      </c>
      <c r="H34" t="n">
        <v>2.987072935842461</v>
      </c>
      <c r="I34" t="n">
        <v>0.01882779305724513</v>
      </c>
      <c r="J34" t="n">
        <v>22.32142228092646</v>
      </c>
      <c r="K34" t="n">
        <v>22.30711315820295</v>
      </c>
      <c r="L34" t="n">
        <v>22.35681853187408</v>
      </c>
    </row>
    <row r="35">
      <c r="A35" s="20" t="n">
        <v>46296</v>
      </c>
      <c r="B35" t="n">
        <v>5.479411440179787</v>
      </c>
      <c r="C35" t="n">
        <v>5.449022447701622</v>
      </c>
      <c r="D35" t="n">
        <v>0.2429498514645628</v>
      </c>
      <c r="E35" t="n">
        <v>0.4048979509691186</v>
      </c>
      <c r="F35" t="n">
        <v>0.005221562593783915</v>
      </c>
      <c r="G35" t="n">
        <v>6.396777187440785</v>
      </c>
      <c r="H35" t="n">
        <v>2.849358403364501</v>
      </c>
      <c r="I35" t="n">
        <v>0.02824168958586765</v>
      </c>
      <c r="J35" t="n">
        <v>20.85588053330003</v>
      </c>
      <c r="K35" t="n">
        <v>20.83441684921477</v>
      </c>
      <c r="L35" t="n">
        <v>20.90897490972146</v>
      </c>
    </row>
    <row r="36">
      <c r="A36" s="20" t="n">
        <v>46327</v>
      </c>
      <c r="B36" t="n">
        <v>4.681836989623317</v>
      </c>
      <c r="C36" t="n">
        <v>5.833597724237229</v>
      </c>
      <c r="D36" t="n">
        <v>0.4673572310198874</v>
      </c>
      <c r="E36" t="n">
        <v>0.5073680038436067</v>
      </c>
      <c r="F36" t="n">
        <v>0.005198952112019974</v>
      </c>
      <c r="G36" t="n">
        <v>6.56437371390203</v>
      </c>
      <c r="H36" t="n">
        <v>2.784950506332339</v>
      </c>
      <c r="I36" t="n">
        <v>0.03765558611449021</v>
      </c>
      <c r="J36" t="n">
        <v>20.88233870718492</v>
      </c>
      <c r="K36" t="n">
        <v>20.85372046173791</v>
      </c>
      <c r="L36" t="n">
        <v>20.95313120908016</v>
      </c>
    </row>
    <row r="37">
      <c r="A37" s="20" t="n">
        <v>46357</v>
      </c>
      <c r="B37" t="n">
        <v>4.625126022211296</v>
      </c>
      <c r="C37" t="n">
        <v>6.031840489538337</v>
      </c>
      <c r="D37" t="n">
        <v>0.8618928708285389</v>
      </c>
      <c r="E37" t="n">
        <v>0.6467795879765276</v>
      </c>
      <c r="F37" t="n">
        <v>0.00519512231997611</v>
      </c>
      <c r="G37" t="n">
        <v>6.644037038101144</v>
      </c>
      <c r="H37" t="n">
        <v>2.658115350636674</v>
      </c>
      <c r="I37" t="n">
        <v>0.04706948264311278</v>
      </c>
      <c r="J37" t="n">
        <v>21.52005596425561</v>
      </c>
      <c r="K37" t="n">
        <v>21.48428315744685</v>
      </c>
      <c r="L37" t="n">
        <v>21.60854659162466</v>
      </c>
    </row>
    <row r="38">
      <c r="A38" s="20" t="n">
        <v>46388</v>
      </c>
      <c r="B38" t="n">
        <v>5.60152132066198</v>
      </c>
      <c r="C38" t="n">
        <v>5.893686262858893</v>
      </c>
      <c r="D38" t="n">
        <v>1.534636697680467</v>
      </c>
      <c r="E38" t="n">
        <v>0.9017584031775657</v>
      </c>
      <c r="F38" t="n">
        <v>0.006632259070454595</v>
      </c>
      <c r="G38" t="n">
        <v>6.474365214734835</v>
      </c>
      <c r="H38" t="n">
        <v>2.928315042689603</v>
      </c>
      <c r="I38" t="n">
        <v>0.05648337917173535</v>
      </c>
      <c r="J38" t="n">
        <v>23.39739858004553</v>
      </c>
      <c r="K38" t="n">
        <v>23.35447121187502</v>
      </c>
      <c r="L38" t="n">
        <v>23.5035873328884</v>
      </c>
    </row>
    <row r="39">
      <c r="A39" s="20" t="n">
        <v>46419</v>
      </c>
      <c r="B39" t="n">
        <v>4.591665770626252</v>
      </c>
      <c r="C39" t="n">
        <v>5.771683468248021</v>
      </c>
      <c r="D39" t="n">
        <v>1.071753433222376</v>
      </c>
      <c r="E39" t="n">
        <v>0.7096739390246209</v>
      </c>
      <c r="F39" t="n">
        <v>0.006626279424245835</v>
      </c>
      <c r="G39" t="n">
        <v>6.457224532049643</v>
      </c>
      <c r="H39" t="n">
        <v>2.878761529187785</v>
      </c>
      <c r="I39" t="n">
        <v>0.06589727570035792</v>
      </c>
      <c r="J39" t="n">
        <v>21.5532862274833</v>
      </c>
      <c r="K39" t="n">
        <v>21.50320429795103</v>
      </c>
      <c r="L39" t="n">
        <v>21.67717310579997</v>
      </c>
    </row>
    <row r="40">
      <c r="A40" s="20" t="n">
        <v>46447</v>
      </c>
      <c r="B40" t="n">
        <v>4.084302667522916</v>
      </c>
      <c r="C40" t="n">
        <v>5.744850592631705</v>
      </c>
      <c r="D40" t="n">
        <v>0.4915507700236296</v>
      </c>
      <c r="E40" t="n">
        <v>0.4883272060505006</v>
      </c>
      <c r="F40" t="n">
        <v>0.006598675494152</v>
      </c>
      <c r="G40" t="n">
        <v>6.475045955188901</v>
      </c>
      <c r="H40" t="n">
        <v>2.774088603050509</v>
      </c>
      <c r="I40" t="n">
        <v>0.07531117222898048</v>
      </c>
      <c r="J40" t="n">
        <v>20.14007564219129</v>
      </c>
      <c r="K40" t="n">
        <v>20.08283915129727</v>
      </c>
      <c r="L40" t="n">
        <v>20.28166064598178</v>
      </c>
    </row>
    <row r="41">
      <c r="A41" s="20" t="n">
        <v>46478</v>
      </c>
      <c r="B41" t="n">
        <v>4.513549912598049</v>
      </c>
      <c r="C41" t="n">
        <v>5.680608138500108</v>
      </c>
      <c r="D41" t="n">
        <v>0.3190816123310472</v>
      </c>
      <c r="E41" t="n">
        <v>0.4440890247278849</v>
      </c>
      <c r="F41" t="n">
        <v>0.006578774034385803</v>
      </c>
      <c r="G41" t="n">
        <v>6.537792984935101</v>
      </c>
      <c r="H41" t="n">
        <v>2.986666029480983</v>
      </c>
      <c r="I41" t="n">
        <v>0.08472506875760299</v>
      </c>
      <c r="J41" t="n">
        <v>20.57309154536516</v>
      </c>
      <c r="K41" t="n">
        <v>20.50870049310938</v>
      </c>
      <c r="L41" t="n">
        <v>20.73237467462945</v>
      </c>
    </row>
    <row r="42">
      <c r="A42" s="20" t="n">
        <v>46508</v>
      </c>
      <c r="B42" t="n">
        <v>5.815887213640851</v>
      </c>
      <c r="C42" t="n">
        <v>5.552993543365289</v>
      </c>
      <c r="D42" t="n">
        <v>0.2209863247505367</v>
      </c>
      <c r="E42" t="n">
        <v>0.3730742742049455</v>
      </c>
      <c r="F42" t="n">
        <v>0.006565261974022615</v>
      </c>
      <c r="G42" t="n">
        <v>6.990937874296153</v>
      </c>
      <c r="H42" t="n">
        <v>3.246131765669218</v>
      </c>
      <c r="I42" t="n">
        <v>0.09413896528622556</v>
      </c>
      <c r="J42" t="n">
        <v>22.30071522318725</v>
      </c>
      <c r="K42" t="n">
        <v>22.22916960956971</v>
      </c>
      <c r="L42" t="n">
        <v>22.47769647792535</v>
      </c>
    </row>
    <row r="43">
      <c r="A43" s="20" t="n">
        <v>46539</v>
      </c>
      <c r="B43" t="n">
        <v>6.706918670559735</v>
      </c>
      <c r="C43" t="n">
        <v>5.614579908845148</v>
      </c>
      <c r="D43" t="n">
        <v>0.2102139365451466</v>
      </c>
      <c r="E43" t="n">
        <v>0.3758789561992053</v>
      </c>
      <c r="F43" t="n">
        <v>0.006545461288696243</v>
      </c>
      <c r="G43" t="n">
        <v>7.317293769208743</v>
      </c>
      <c r="H43" t="n">
        <v>3.183163621523248</v>
      </c>
      <c r="I43" t="n">
        <v>0.1035528618148481</v>
      </c>
      <c r="J43" t="n">
        <v>23.51814718598477</v>
      </c>
      <c r="K43" t="n">
        <v>23.43944701100549</v>
      </c>
      <c r="L43" t="n">
        <v>23.71282656619669</v>
      </c>
    </row>
    <row r="44">
      <c r="A44" s="20" t="n">
        <v>46569</v>
      </c>
      <c r="B44" t="n">
        <v>7.299471258702761</v>
      </c>
      <c r="C44" t="n">
        <v>5.600740992260573</v>
      </c>
      <c r="D44" t="n">
        <v>0.1964829098663687</v>
      </c>
      <c r="E44" t="n">
        <v>0.3592145606960728</v>
      </c>
      <c r="F44" t="n">
        <v>0.006532017648957973</v>
      </c>
      <c r="G44" t="n">
        <v>7.490755317494781</v>
      </c>
      <c r="H44" t="n">
        <v>3.037684824395356</v>
      </c>
      <c r="I44" t="n">
        <v>0.1129667583434707</v>
      </c>
      <c r="J44" t="n">
        <v>24.10384863940834</v>
      </c>
      <c r="K44" t="n">
        <v>24.01799390306731</v>
      </c>
      <c r="L44" t="n">
        <v>24.31622614509407</v>
      </c>
    </row>
    <row r="45">
      <c r="A45" s="20" t="n">
        <v>46600</v>
      </c>
      <c r="B45" t="n">
        <v>8.193937527388337</v>
      </c>
      <c r="C45" t="n">
        <v>5.666028153285912</v>
      </c>
      <c r="D45" t="n">
        <v>0.172610225464836</v>
      </c>
      <c r="E45" t="n">
        <v>0.3501648764063452</v>
      </c>
      <c r="F45" t="n">
        <v>0.005090693310817161</v>
      </c>
      <c r="G45" t="n">
        <v>7.99559592769987</v>
      </c>
      <c r="H45" t="n">
        <v>3.108901705501792</v>
      </c>
      <c r="I45" t="n">
        <v>0.1223806548720932</v>
      </c>
      <c r="J45" t="n">
        <v>25.61470976393</v>
      </c>
      <c r="K45" t="n">
        <v>25.52170046622722</v>
      </c>
      <c r="L45" t="n">
        <v>25.84478539508954</v>
      </c>
    </row>
    <row r="46">
      <c r="A46" s="20" t="n">
        <v>46631</v>
      </c>
      <c r="B46" t="n">
        <v>6.945401123609252</v>
      </c>
      <c r="C46" t="n">
        <v>5.640800564781621</v>
      </c>
      <c r="D46" t="n">
        <v>0.1697954678102824</v>
      </c>
      <c r="E46" t="n">
        <v>0.3587098685556818</v>
      </c>
      <c r="F46" t="n">
        <v>0.005068649521012347</v>
      </c>
      <c r="G46" t="n">
        <v>8.695339501376306</v>
      </c>
      <c r="H46" t="n">
        <v>2.926571038137624</v>
      </c>
      <c r="I46" t="n">
        <v>0.1317945514007158</v>
      </c>
      <c r="J46" t="n">
        <v>24.8734807651925</v>
      </c>
      <c r="K46" t="n">
        <v>24.77331690612795</v>
      </c>
      <c r="L46" t="n">
        <v>25.12125452182584</v>
      </c>
    </row>
    <row r="47">
      <c r="A47" s="20" t="n">
        <v>46661</v>
      </c>
      <c r="B47" t="n">
        <v>5.457817105953894</v>
      </c>
      <c r="C47" t="n">
        <v>5.492198659475094</v>
      </c>
      <c r="D47" t="n">
        <v>0.235661355920626</v>
      </c>
      <c r="E47" t="n">
        <v>0.392751012440045</v>
      </c>
      <c r="F47" t="n">
        <v>0.005064915715970399</v>
      </c>
      <c r="G47" t="n">
        <v>9.396864497151915</v>
      </c>
      <c r="H47" t="n">
        <v>2.791645855212021</v>
      </c>
      <c r="I47" t="n">
        <v>0.1412084479293383</v>
      </c>
      <c r="J47" t="n">
        <v>23.9132118497989</v>
      </c>
      <c r="K47" t="n">
        <v>23.80589342937261</v>
      </c>
      <c r="L47" t="n">
        <v>24.17868373190606</v>
      </c>
    </row>
    <row r="48">
      <c r="A48" s="20" t="n">
        <v>46692</v>
      </c>
      <c r="B48" t="n">
        <v>4.663385892484723</v>
      </c>
      <c r="C48" t="n">
        <v>5.879821180492057</v>
      </c>
      <c r="D48" t="n">
        <v>0.4533365140892908</v>
      </c>
      <c r="E48" t="n">
        <v>0.4921469637282985</v>
      </c>
      <c r="F48" t="n">
        <v>0.005042983548659375</v>
      </c>
      <c r="G48" t="n">
        <v>10.02482796884667</v>
      </c>
      <c r="H48" t="n">
        <v>2.728542512866445</v>
      </c>
      <c r="I48" t="n">
        <v>0.1506223444579609</v>
      </c>
      <c r="J48" t="n">
        <v>24.39772636051411</v>
      </c>
      <c r="K48" t="n">
        <v>24.28325337872606</v>
      </c>
      <c r="L48" t="n">
        <v>24.68089636809508</v>
      </c>
    </row>
    <row r="49">
      <c r="A49" s="20" t="n">
        <v>46722</v>
      </c>
      <c r="B49" t="n">
        <v>4.606898422723488</v>
      </c>
      <c r="C49" t="n">
        <v>6.079634754447258</v>
      </c>
      <c r="D49" t="n">
        <v>0.8360360847036827</v>
      </c>
      <c r="E49" t="n">
        <v>0.6273762003372318</v>
      </c>
      <c r="F49" t="n">
        <v>0.005039268650376826</v>
      </c>
      <c r="G49" t="n">
        <v>10.18260905034924</v>
      </c>
      <c r="H49" t="n">
        <v>2.604276349552317</v>
      </c>
      <c r="I49" t="n">
        <v>0.1600362409865835</v>
      </c>
      <c r="J49" t="n">
        <v>25.10190637175018</v>
      </c>
      <c r="K49" t="n">
        <v>24.98027882860038</v>
      </c>
      <c r="L49" t="n">
        <v>25.40277450480496</v>
      </c>
    </row>
    <row r="50">
      <c r="A50" s="20" t="n">
        <v>46753</v>
      </c>
      <c r="B50" t="n">
        <v>5.579445751982315</v>
      </c>
      <c r="C50" t="n">
        <v>5.940385840380165</v>
      </c>
      <c r="D50" t="n">
        <v>1.488597596750053</v>
      </c>
      <c r="E50" t="n">
        <v>0.8747056510822386</v>
      </c>
      <c r="F50" t="n">
        <v>0.006433291298340957</v>
      </c>
      <c r="G50" t="n">
        <v>9.933882743400591</v>
      </c>
      <c r="H50" t="n">
        <v>2.869003261234769</v>
      </c>
      <c r="I50" t="n">
        <v>0.169450137515206</v>
      </c>
      <c r="J50" t="n">
        <v>26.86190427364368</v>
      </c>
      <c r="K50" t="n">
        <v>26.73312216913212</v>
      </c>
      <c r="L50" t="n">
        <v>27.18047053217227</v>
      </c>
    </row>
    <row r="51">
      <c r="A51" s="20" t="n">
        <v>46784</v>
      </c>
      <c r="B51" t="n">
        <v>4.573570037829584</v>
      </c>
      <c r="C51" t="n">
        <v>5.817416336869187</v>
      </c>
      <c r="D51" t="n">
        <v>1.039600830225704</v>
      </c>
      <c r="E51" t="n">
        <v>0.6883837208538823</v>
      </c>
      <c r="F51" t="n">
        <v>0.006427491041518459</v>
      </c>
      <c r="G51" t="n">
        <v>10.05862295544212</v>
      </c>
      <c r="H51" t="n">
        <v>2.820453433169897</v>
      </c>
      <c r="I51" t="n">
        <v>0.1788640340438286</v>
      </c>
      <c r="J51" t="n">
        <v>25.18333883947572</v>
      </c>
      <c r="K51" t="n">
        <v>25.04740217360241</v>
      </c>
      <c r="L51" t="n">
        <v>25.51960322347812</v>
      </c>
    </row>
    <row r="52">
      <c r="A52" s="20" t="n">
        <v>46813</v>
      </c>
      <c r="B52" t="n">
        <v>4.068206450284062</v>
      </c>
      <c r="C52" t="n">
        <v>5.790370846617636</v>
      </c>
      <c r="D52" t="n">
        <v>0.4768042469229207</v>
      </c>
      <c r="E52" t="n">
        <v>0.4736773898689856</v>
      </c>
      <c r="F52" t="n">
        <v>0.00640071522932744</v>
      </c>
      <c r="G52" t="n">
        <v>9.974197376981069</v>
      </c>
      <c r="H52" t="n">
        <v>2.717900612837081</v>
      </c>
      <c r="I52" t="n">
        <v>0.1882779305724512</v>
      </c>
      <c r="J52" t="n">
        <v>23.69583556931353</v>
      </c>
      <c r="K52" t="n">
        <v>23.55274434207847</v>
      </c>
      <c r="L52" t="n">
        <v>24.04979807878974</v>
      </c>
    </row>
    <row r="53">
      <c r="A53" s="20" t="n">
        <v>46844</v>
      </c>
      <c r="B53" t="n">
        <v>4.495762034023503</v>
      </c>
      <c r="C53" t="n">
        <v>5.725619356997369</v>
      </c>
      <c r="D53" t="n">
        <v>0.3095091639611158</v>
      </c>
      <c r="E53" t="n">
        <v>0.4307663539860483</v>
      </c>
      <c r="F53" t="n">
        <v>0.00638141081335423</v>
      </c>
      <c r="G53" t="n">
        <v>9.851180955530085</v>
      </c>
      <c r="H53" t="n">
        <v>2.926172373492231</v>
      </c>
      <c r="I53" t="n">
        <v>0.1976918271010737</v>
      </c>
      <c r="J53" t="n">
        <v>23.94308347590478</v>
      </c>
      <c r="K53" t="n">
        <v>23.79283768730797</v>
      </c>
      <c r="L53" t="n">
        <v>24.3147441108548</v>
      </c>
    </row>
    <row r="54">
      <c r="A54" s="20" t="n">
        <v>46874</v>
      </c>
      <c r="B54" t="n">
        <v>5.792966830004294</v>
      </c>
      <c r="C54" t="n">
        <v>5.596993586952225</v>
      </c>
      <c r="D54" t="n">
        <v>0.2143567350080206</v>
      </c>
      <c r="E54" t="n">
        <v>0.3618820459787971</v>
      </c>
      <c r="F54" t="n">
        <v>0.006368304114801937</v>
      </c>
      <c r="G54" t="n">
        <v>10.37861337246806</v>
      </c>
      <c r="H54" t="n">
        <v>3.180382741041686</v>
      </c>
      <c r="I54" t="n">
        <v>0.2071057236296963</v>
      </c>
      <c r="J54" t="n">
        <v>25.73866933919758</v>
      </c>
      <c r="K54" t="n">
        <v>25.58126898923901</v>
      </c>
      <c r="L54" t="n">
        <v>26.12802809962141</v>
      </c>
    </row>
    <row r="55">
      <c r="A55" s="20" t="n">
        <v>46905</v>
      </c>
      <c r="B55" t="n">
        <v>6.680486736221694</v>
      </c>
      <c r="C55" t="n">
        <v>5.659067941972197</v>
      </c>
      <c r="D55" t="n">
        <v>0.2039075184487922</v>
      </c>
      <c r="E55" t="n">
        <v>0.3646025875132291</v>
      </c>
      <c r="F55" t="n">
        <v>0.006349097450035356</v>
      </c>
      <c r="G55" t="n">
        <v>10.77479381700417</v>
      </c>
      <c r="H55" t="n">
        <v>3.118689989997127</v>
      </c>
      <c r="I55" t="n">
        <v>0.2165196201583189</v>
      </c>
      <c r="J55" t="n">
        <v>27.02441730876556</v>
      </c>
      <c r="K55" t="n">
        <v>26.85986239744524</v>
      </c>
      <c r="L55" t="n">
        <v>27.4314741946632</v>
      </c>
    </row>
    <row r="56">
      <c r="A56" s="20" t="n">
        <v>46935</v>
      </c>
      <c r="B56" t="n">
        <v>7.270704077454631</v>
      </c>
      <c r="C56" t="n">
        <v>5.645119370491004</v>
      </c>
      <c r="D56" t="n">
        <v>0.1905884225703777</v>
      </c>
      <c r="E56" t="n">
        <v>0.3484381238751906</v>
      </c>
      <c r="F56" t="n">
        <v>0.006336057119489233</v>
      </c>
      <c r="G56" t="n">
        <v>10.78008861771616</v>
      </c>
      <c r="H56" t="n">
        <v>2.976157804314989</v>
      </c>
      <c r="I56" t="n">
        <v>0.2259335166869413</v>
      </c>
      <c r="J56" t="n">
        <v>27.44336599022877</v>
      </c>
      <c r="K56" t="n">
        <v>27.2716565175467</v>
      </c>
      <c r="L56" t="n">
        <v>27.86812100160023</v>
      </c>
    </row>
    <row r="57">
      <c r="A57" s="20" t="n">
        <v>46966</v>
      </c>
      <c r="B57" t="n">
        <v>8.161645258862009</v>
      </c>
      <c r="C57" t="n">
        <v>5.710923844909262</v>
      </c>
      <c r="D57" t="n">
        <v>0.1674319187008909</v>
      </c>
      <c r="E57" t="n">
        <v>0.3396599301141548</v>
      </c>
      <c r="F57" t="n">
        <v>0.004937972511492646</v>
      </c>
      <c r="G57" t="n">
        <v>11.27506783682496</v>
      </c>
      <c r="H57" t="n">
        <v>3.045932217645074</v>
      </c>
      <c r="I57" t="n">
        <v>0.2353474132155639</v>
      </c>
      <c r="J57" t="n">
        <v>28.94094639278341</v>
      </c>
      <c r="K57" t="n">
        <v>28.76208235873958</v>
      </c>
      <c r="L57" t="n">
        <v>29.38339952962867</v>
      </c>
    </row>
    <row r="58">
      <c r="A58" s="20" t="n">
        <v>46997</v>
      </c>
      <c r="B58" t="n">
        <v>6.918029331066658</v>
      </c>
      <c r="C58" t="n">
        <v>5.685496361522128</v>
      </c>
      <c r="D58" t="n">
        <v>0.1647016037759739</v>
      </c>
      <c r="E58" t="n">
        <v>0.3479485724990113</v>
      </c>
      <c r="F58" t="n">
        <v>0.004916590035381976</v>
      </c>
      <c r="G58" t="n">
        <v>12.09451430971443</v>
      </c>
      <c r="H58" t="n">
        <v>2.867294580756646</v>
      </c>
      <c r="I58" t="n">
        <v>0.2447613097441865</v>
      </c>
      <c r="J58" t="n">
        <v>28.32766265911442</v>
      </c>
      <c r="K58" t="n">
        <v>28.14164406370883</v>
      </c>
      <c r="L58" t="n">
        <v>28.78781392143349</v>
      </c>
    </row>
    <row r="59">
      <c r="A59" s="20" t="n">
        <v>47027</v>
      </c>
      <c r="B59" t="n">
        <v>5.436307874895696</v>
      </c>
      <c r="C59" t="n">
        <v>5.535716984954465</v>
      </c>
      <c r="D59" t="n">
        <v>0.2285915152430072</v>
      </c>
      <c r="E59" t="n">
        <v>0.3809684820668436</v>
      </c>
      <c r="F59" t="n">
        <v>0.004912968244491286</v>
      </c>
      <c r="G59" t="n">
        <v>12.69228003083021</v>
      </c>
      <c r="H59" t="n">
        <v>2.73510225028912</v>
      </c>
      <c r="I59" t="n">
        <v>0.254175206272809</v>
      </c>
      <c r="J59" t="n">
        <v>27.26805531279665</v>
      </c>
      <c r="K59" t="n">
        <v>27.07488215602931</v>
      </c>
      <c r="L59" t="n">
        <v>27.74590470058953</v>
      </c>
    </row>
    <row r="60">
      <c r="A60" s="20" t="n">
        <v>47058</v>
      </c>
      <c r="B60" t="n">
        <v>4.645007511031529</v>
      </c>
      <c r="C60" t="n">
        <v>5.926410895787899</v>
      </c>
      <c r="D60" t="n">
        <v>0.4397364186666121</v>
      </c>
      <c r="E60" t="n">
        <v>0.4773825548164495</v>
      </c>
      <c r="F60" t="n">
        <v>0.004891694042199594</v>
      </c>
      <c r="G60" t="n">
        <v>13.09400310968609</v>
      </c>
      <c r="H60" t="n">
        <v>2.67327703942725</v>
      </c>
      <c r="I60" t="n">
        <v>0.2635891028014316</v>
      </c>
      <c r="J60" t="n">
        <v>27.52429832625946</v>
      </c>
      <c r="K60" t="n">
        <v>27.32397060813037</v>
      </c>
      <c r="L60" t="n">
        <v>28.01984583952615</v>
      </c>
    </row>
    <row r="61">
      <c r="A61" s="20" t="n">
        <v>47088</v>
      </c>
      <c r="B61" t="n">
        <v>4.588742658117908</v>
      </c>
      <c r="C61" t="n">
        <v>6.127807724953939</v>
      </c>
      <c r="D61" t="n">
        <v>0.8109550021625722</v>
      </c>
      <c r="E61" t="n">
        <v>0.6085549143271148</v>
      </c>
      <c r="F61" t="n">
        <v>0.004888090590865522</v>
      </c>
      <c r="G61" t="n">
        <v>13.04702460392214</v>
      </c>
      <c r="H61" t="n">
        <v>2.551527834641582</v>
      </c>
      <c r="I61" t="n">
        <v>0.2730029993300542</v>
      </c>
      <c r="J61" t="n">
        <v>28.01250382804618</v>
      </c>
      <c r="K61" t="n">
        <v>27.80502154855534</v>
      </c>
      <c r="L61" t="n">
        <v>28.52574946678669</v>
      </c>
    </row>
    <row r="62">
      <c r="A62" s="20" t="n">
        <v>47119</v>
      </c>
      <c r="B62" t="n">
        <v>5.579445751982315</v>
      </c>
      <c r="C62" t="n">
        <v>5.987455449566409</v>
      </c>
      <c r="D62" t="n">
        <v>1.443939668847552</v>
      </c>
      <c r="E62" t="n">
        <v>0.8484644815497716</v>
      </c>
      <c r="F62" t="n">
        <v>0.006240292559390729</v>
      </c>
      <c r="G62" t="n">
        <v>12.67205817734582</v>
      </c>
      <c r="H62" t="n">
        <v>2.810892814802997</v>
      </c>
      <c r="I62" t="n">
        <v>0.2824168958586767</v>
      </c>
      <c r="J62" t="n">
        <v>29.63091353251293</v>
      </c>
      <c r="K62" t="n">
        <v>29.41627669166034</v>
      </c>
      <c r="L62" t="n">
        <v>30.16185729672724</v>
      </c>
    </row>
    <row r="63">
      <c r="A63" s="20" t="n">
        <v>47150</v>
      </c>
      <c r="B63" t="n">
        <v>4.573570037829584</v>
      </c>
      <c r="C63" t="n">
        <v>5.863511577280807</v>
      </c>
      <c r="D63" t="n">
        <v>1.008412805318933</v>
      </c>
      <c r="E63" t="n">
        <v>0.6677322092282659</v>
      </c>
      <c r="F63" t="n">
        <v>0.006234666310272906</v>
      </c>
      <c r="G63" t="n">
        <v>12.56022123652036</v>
      </c>
      <c r="H63" t="n">
        <v>2.763326342951468</v>
      </c>
      <c r="I63" t="n">
        <v>0.2918307923872993</v>
      </c>
      <c r="J63" t="n">
        <v>27.73483966782699</v>
      </c>
      <c r="K63" t="n">
        <v>27.51304826561265</v>
      </c>
      <c r="L63" t="n">
        <v>28.28348155751512</v>
      </c>
    </row>
    <row r="64">
      <c r="A64" s="20" t="n">
        <v>47178</v>
      </c>
      <c r="B64" t="n">
        <v>4.068206450284062</v>
      </c>
      <c r="C64" t="n">
        <v>5.836251787707528</v>
      </c>
      <c r="D64" t="n">
        <v>0.4625001195152331</v>
      </c>
      <c r="E64" t="n">
        <v>0.459467068172916</v>
      </c>
      <c r="F64" t="n">
        <v>0.006208693772447616</v>
      </c>
      <c r="G64" t="n">
        <v>12.25593655124702</v>
      </c>
      <c r="H64" t="n">
        <v>2.662850686577613</v>
      </c>
      <c r="I64" t="n">
        <v>0.3012446889159219</v>
      </c>
      <c r="J64" t="n">
        <v>26.05266604619274</v>
      </c>
      <c r="K64" t="n">
        <v>25.82372008261664</v>
      </c>
      <c r="L64" t="n">
        <v>26.61900606135468</v>
      </c>
    </row>
    <row r="65">
      <c r="A65" s="20" t="n">
        <v>47209</v>
      </c>
      <c r="B65" t="n">
        <v>4.495762034023503</v>
      </c>
      <c r="C65" t="n">
        <v>5.770987229173467</v>
      </c>
      <c r="D65" t="n">
        <v>0.3002238890422823</v>
      </c>
      <c r="E65" t="n">
        <v>0.4178433633664669</v>
      </c>
      <c r="F65" t="n">
        <v>0.006189968488953602</v>
      </c>
      <c r="G65" t="n">
        <v>11.8381445387415</v>
      </c>
      <c r="H65" t="n">
        <v>2.866903990894866</v>
      </c>
      <c r="I65" t="n">
        <v>0.3106585854445444</v>
      </c>
      <c r="J65" t="n">
        <v>26.00671359917559</v>
      </c>
      <c r="K65" t="n">
        <v>25.77061307423773</v>
      </c>
      <c r="L65" t="n">
        <v>26.59075173981133</v>
      </c>
    </row>
    <row r="66">
      <c r="A66" s="20" t="n">
        <v>47239</v>
      </c>
      <c r="B66" t="n">
        <v>5.792966830004294</v>
      </c>
      <c r="C66" t="n">
        <v>5.641342272009844</v>
      </c>
      <c r="D66" t="n">
        <v>0.20792603295778</v>
      </c>
      <c r="E66" t="n">
        <v>0.3510255845994332</v>
      </c>
      <c r="F66" t="n">
        <v>0.006177254991357879</v>
      </c>
      <c r="G66" t="n">
        <v>12.20315815805368</v>
      </c>
      <c r="H66" t="n">
        <v>3.115965435072403</v>
      </c>
      <c r="I66" t="n">
        <v>0.320072481973167</v>
      </c>
      <c r="J66" t="n">
        <v>27.63863404966196</v>
      </c>
      <c r="K66" t="n">
        <v>27.39537896336236</v>
      </c>
      <c r="L66" t="n">
        <v>28.24037031577152</v>
      </c>
    </row>
    <row r="67">
      <c r="A67" s="20" t="n">
        <v>47270</v>
      </c>
      <c r="B67" t="n">
        <v>6.680486736221694</v>
      </c>
      <c r="C67" t="n">
        <v>5.703908483234074</v>
      </c>
      <c r="D67" t="n">
        <v>0.1977902928953284</v>
      </c>
      <c r="E67" t="n">
        <v>0.3536645098878322</v>
      </c>
      <c r="F67" t="n">
        <v>0.006158624526534295</v>
      </c>
      <c r="G67" t="n">
        <v>12.32918349618877</v>
      </c>
      <c r="H67" t="n">
        <v>3.055522244581936</v>
      </c>
      <c r="I67" t="n">
        <v>0.3294863785017895</v>
      </c>
      <c r="J67" t="n">
        <v>28.65620076603797</v>
      </c>
      <c r="K67" t="n">
        <v>28.40579111837661</v>
      </c>
      <c r="L67" t="n">
        <v>29.27563515762133</v>
      </c>
    </row>
    <row r="68">
      <c r="A68" s="20" t="n">
        <v>47300</v>
      </c>
      <c r="B68" t="n">
        <v>7.270704077454631</v>
      </c>
      <c r="C68" t="n">
        <v>5.689849387987933</v>
      </c>
      <c r="D68" t="n">
        <v>0.1848707698932664</v>
      </c>
      <c r="E68" t="n">
        <v>0.3379849801589349</v>
      </c>
      <c r="F68" t="n">
        <v>0.006145975405904556</v>
      </c>
      <c r="G68" t="n">
        <v>11.99695972456145</v>
      </c>
      <c r="H68" t="n">
        <v>2.915876987978199</v>
      </c>
      <c r="I68" t="n">
        <v>0.338900275030412</v>
      </c>
      <c r="J68" t="n">
        <v>28.74129217847073</v>
      </c>
      <c r="K68" t="n">
        <v>28.48372796944762</v>
      </c>
      <c r="L68" t="n">
        <v>29.37842469552791</v>
      </c>
    </row>
    <row r="69">
      <c r="A69" s="20" t="n">
        <v>47331</v>
      </c>
      <c r="B69" t="n">
        <v>8.161645258862009</v>
      </c>
      <c r="C69" t="n">
        <v>5.756175274815552</v>
      </c>
      <c r="D69" t="n">
        <v>0.1624089611398642</v>
      </c>
      <c r="E69" t="n">
        <v>0.3294701322107302</v>
      </c>
      <c r="F69" t="n">
        <v>0.004789833336147866</v>
      </c>
      <c r="G69" t="n">
        <v>12.31445570816869</v>
      </c>
      <c r="H69" t="n">
        <v>2.98423815010606</v>
      </c>
      <c r="I69" t="n">
        <v>0.3483141715590346</v>
      </c>
      <c r="J69" t="n">
        <v>30.06149749019809</v>
      </c>
      <c r="K69" t="n">
        <v>29.79677871981322</v>
      </c>
      <c r="L69" t="n">
        <v>30.71632813272907</v>
      </c>
    </row>
    <row r="70">
      <c r="A70" s="20" t="n">
        <v>47362</v>
      </c>
      <c r="B70" t="n">
        <v>6.918029331066658</v>
      </c>
      <c r="C70" t="n">
        <v>5.7305463126461</v>
      </c>
      <c r="D70" t="n">
        <v>0.1597605556626947</v>
      </c>
      <c r="E70" t="n">
        <v>0.3375101153240409</v>
      </c>
      <c r="F70" t="n">
        <v>0.004769092334320517</v>
      </c>
      <c r="G70" t="n">
        <v>12.89759651652548</v>
      </c>
      <c r="H70" t="n">
        <v>2.80921874292457</v>
      </c>
      <c r="I70" t="n">
        <v>0.3577280680876572</v>
      </c>
      <c r="J70" t="n">
        <v>29.21515873457152</v>
      </c>
      <c r="K70" t="n">
        <v>28.9432854028249</v>
      </c>
      <c r="L70" t="n">
        <v>29.88768750257631</v>
      </c>
    </row>
    <row r="71">
      <c r="A71" s="20" t="n">
        <v>47392</v>
      </c>
      <c r="B71" t="n">
        <v>5.436307874895696</v>
      </c>
      <c r="C71" t="n">
        <v>5.579580134933084</v>
      </c>
      <c r="D71" t="n">
        <v>0.2217337697857169</v>
      </c>
      <c r="E71" t="n">
        <v>0.3695394276048383</v>
      </c>
      <c r="F71" t="n">
        <v>0.004765579197156548</v>
      </c>
      <c r="G71" t="n">
        <v>13.25228722923687</v>
      </c>
      <c r="H71" t="n">
        <v>2.679703912145565</v>
      </c>
      <c r="I71" t="n">
        <v>0.3671419646162797</v>
      </c>
      <c r="J71" t="n">
        <v>27.91105989241521</v>
      </c>
      <c r="K71" t="n">
        <v>27.63203199930684</v>
      </c>
      <c r="L71" t="n">
        <v>28.60128678589382</v>
      </c>
    </row>
    <row r="72">
      <c r="A72" s="20" t="n">
        <v>47423</v>
      </c>
      <c r="B72" t="n">
        <v>4.645007511031529</v>
      </c>
      <c r="C72" t="n">
        <v>5.973369772237578</v>
      </c>
      <c r="D72" t="n">
        <v>0.4265443261066137</v>
      </c>
      <c r="E72" t="n">
        <v>0.463061078171956</v>
      </c>
      <c r="F72" t="n">
        <v>0.004744943220933605</v>
      </c>
      <c r="G72" t="n">
        <v>13.53544208829908</v>
      </c>
      <c r="H72" t="n">
        <v>2.61913094475531</v>
      </c>
      <c r="I72" t="n">
        <v>0.3765558611449023</v>
      </c>
      <c r="J72" t="n">
        <v>28.0438565249679</v>
      </c>
      <c r="K72" t="n">
        <v>27.75767407049777</v>
      </c>
      <c r="L72" t="n">
        <v>28.75178154392032</v>
      </c>
    </row>
    <row r="73">
      <c r="A73" s="20" t="n">
        <v>47453</v>
      </c>
      <c r="B73" t="n">
        <v>4.588742658117908</v>
      </c>
      <c r="C73" t="n">
        <v>6.176362401793511</v>
      </c>
      <c r="D73" t="n">
        <v>0.786626352097695</v>
      </c>
      <c r="E73" t="n">
        <v>0.5902982668973015</v>
      </c>
      <c r="F73" t="n">
        <v>0.004741447873139556</v>
      </c>
      <c r="G73" t="n">
        <v>13.35375671170559</v>
      </c>
      <c r="H73" t="n">
        <v>2.499847718568692</v>
      </c>
      <c r="I73" t="n">
        <v>0.3859697576735249</v>
      </c>
      <c r="J73" t="n">
        <v>28.38634531472736</v>
      </c>
      <c r="K73" t="n">
        <v>28.09300829889548</v>
      </c>
      <c r="L73" t="n">
        <v>29.11196845915358</v>
      </c>
    </row>
    <row r="74">
      <c r="A74" s="20" t="n">
        <v>47484</v>
      </c>
      <c r="B74" t="n">
        <v>5.579445751982315</v>
      </c>
      <c r="C74" t="n">
        <v>6.034898022423445</v>
      </c>
      <c r="D74" t="n">
        <v>1.400621478782125</v>
      </c>
      <c r="E74" t="n">
        <v>0.8230105471032784</v>
      </c>
      <c r="F74" t="n">
        <v>0.006053083782609006</v>
      </c>
      <c r="G74" t="n">
        <v>12.84320527110733</v>
      </c>
      <c r="H74" t="n">
        <v>2.753959370861995</v>
      </c>
      <c r="I74" t="n">
        <v>0.3953836542021474</v>
      </c>
      <c r="J74" t="n">
        <v>29.83657718024525</v>
      </c>
      <c r="K74" t="n">
        <v>29.53608560305162</v>
      </c>
      <c r="L74" t="n">
        <v>30.57989845014529</v>
      </c>
    </row>
    <row r="75">
      <c r="A75" s="20" t="n">
        <v>47515</v>
      </c>
      <c r="B75" t="n">
        <v>4.573570037829584</v>
      </c>
      <c r="C75" t="n">
        <v>5.909972060794444</v>
      </c>
      <c r="D75" t="n">
        <v>0.9781604211593652</v>
      </c>
      <c r="E75" t="n">
        <v>0.6477002429514178</v>
      </c>
      <c r="F75" t="n">
        <v>0.006047626320964719</v>
      </c>
      <c r="G75" t="n">
        <v>12.64447062575261</v>
      </c>
      <c r="H75" t="n">
        <v>2.707356337760023</v>
      </c>
      <c r="I75" t="n">
        <v>0.40479755073077</v>
      </c>
      <c r="J75" t="n">
        <v>27.87207490329918</v>
      </c>
      <c r="K75" t="n">
        <v>27.5644287647438</v>
      </c>
      <c r="L75" t="n">
        <v>28.63309429867303</v>
      </c>
    </row>
    <row r="76">
      <c r="A76" s="20" t="n">
        <v>47543</v>
      </c>
      <c r="B76" t="n">
        <v>4.068206450284062</v>
      </c>
      <c r="C76" t="n">
        <v>5.882496273864059</v>
      </c>
      <c r="D76" t="n">
        <v>0.4486251159297761</v>
      </c>
      <c r="E76" t="n">
        <v>0.4456830561277285</v>
      </c>
      <c r="F76" t="n">
        <v>0.006022432959274187</v>
      </c>
      <c r="G76" t="n">
        <v>12.25593655124702</v>
      </c>
      <c r="H76" t="n">
        <v>2.60891577326853</v>
      </c>
      <c r="I76" t="n">
        <v>0.4142114472593926</v>
      </c>
      <c r="J76" t="n">
        <v>26.13009710093985</v>
      </c>
      <c r="K76" t="n">
        <v>25.81529640102271</v>
      </c>
      <c r="L76" t="n">
        <v>26.9088146217875</v>
      </c>
    </row>
    <row r="77">
      <c r="A77" s="20" t="n">
        <v>47574</v>
      </c>
      <c r="B77" t="n">
        <v>4.495762034023503</v>
      </c>
      <c r="C77" t="n">
        <v>5.816714581031577</v>
      </c>
      <c r="D77" t="n">
        <v>0.2912171723710138</v>
      </c>
      <c r="E77" t="n">
        <v>0.4053080624654729</v>
      </c>
      <c r="F77" t="n">
        <v>0.006004269434284994</v>
      </c>
      <c r="G77" t="n">
        <v>11.8381445387415</v>
      </c>
      <c r="H77" t="n">
        <v>2.80883606429508</v>
      </c>
      <c r="I77" t="n">
        <v>0.4236253437880151</v>
      </c>
      <c r="J77" t="n">
        <v>26.08561206615045</v>
      </c>
      <c r="K77" t="n">
        <v>25.76365680487156</v>
      </c>
      <c r="L77" t="n">
        <v>26.88202771247192</v>
      </c>
    </row>
    <row r="78">
      <c r="A78" s="20" t="n">
        <v>47604</v>
      </c>
      <c r="B78" t="n">
        <v>5.792966830004294</v>
      </c>
      <c r="C78" t="n">
        <v>5.686042361055296</v>
      </c>
      <c r="D78" t="n">
        <v>0.2016882519690466</v>
      </c>
      <c r="E78" t="n">
        <v>0.3404948170614502</v>
      </c>
      <c r="F78" t="n">
        <v>0.005991937341617142</v>
      </c>
      <c r="G78" t="n">
        <v>12.20315815805368</v>
      </c>
      <c r="H78" t="n">
        <v>3.052852874363742</v>
      </c>
      <c r="I78" t="n">
        <v>0.4330392403166377</v>
      </c>
      <c r="J78" t="n">
        <v>27.71623447016577</v>
      </c>
      <c r="K78" t="n">
        <v>27.38712464752512</v>
      </c>
      <c r="L78" t="n">
        <v>28.53034824196105</v>
      </c>
    </row>
    <row r="79">
      <c r="A79" s="20" t="n">
        <v>47635</v>
      </c>
      <c r="B79" t="n">
        <v>6.680486736221694</v>
      </c>
      <c r="C79" t="n">
        <v>5.74910432578607</v>
      </c>
      <c r="D79" t="n">
        <v>0.1918565841084685</v>
      </c>
      <c r="E79" t="n">
        <v>0.3430545745911973</v>
      </c>
      <c r="F79" t="n">
        <v>0.005973865790738266</v>
      </c>
      <c r="G79" t="n">
        <v>12.32918349618877</v>
      </c>
      <c r="H79" t="n">
        <v>2.99363393510736</v>
      </c>
      <c r="I79" t="n">
        <v>0.4424531368452603</v>
      </c>
      <c r="J79" t="n">
        <v>28.73574665463956</v>
      </c>
      <c r="K79" t="n">
        <v>28.39948227063716</v>
      </c>
      <c r="L79" t="n">
        <v>29.56755855190865</v>
      </c>
    </row>
    <row r="80">
      <c r="A80" s="20" t="n">
        <v>47665</v>
      </c>
      <c r="B80" t="n">
        <v>7.270704077454631</v>
      </c>
      <c r="C80" t="n">
        <v>5.734933831022031</v>
      </c>
      <c r="D80" t="n">
        <v>0.1793246467964683</v>
      </c>
      <c r="E80" t="n">
        <v>0.3278454307541668</v>
      </c>
      <c r="F80" t="n">
        <v>0.005961596143727418</v>
      </c>
      <c r="G80" t="n">
        <v>12.11686231590201</v>
      </c>
      <c r="H80" t="n">
        <v>2.856817134055754</v>
      </c>
      <c r="I80" t="n">
        <v>0.4518670333738827</v>
      </c>
      <c r="J80" t="n">
        <v>28.94431606550267</v>
      </c>
      <c r="K80" t="n">
        <v>28.60089712013852</v>
      </c>
      <c r="L80" t="n">
        <v>29.79382608824557</v>
      </c>
    </row>
    <row r="81">
      <c r="A81" s="20" t="n">
        <v>47696</v>
      </c>
      <c r="B81" t="n">
        <v>8.161645258862009</v>
      </c>
      <c r="C81" t="n">
        <v>5.801785261754675</v>
      </c>
      <c r="D81" t="n">
        <v>0.1575366923056682</v>
      </c>
      <c r="E81" t="n">
        <v>0.3195860282444082</v>
      </c>
      <c r="F81" t="n">
        <v>0.00464613833606343</v>
      </c>
      <c r="G81" t="n">
        <v>12.51958200464404</v>
      </c>
      <c r="H81" t="n">
        <v>2.923793669786177</v>
      </c>
      <c r="I81" t="n">
        <v>0.4612809299025053</v>
      </c>
      <c r="J81" t="n">
        <v>30.34985598383555</v>
      </c>
      <c r="K81" t="n">
        <v>29.99928247710965</v>
      </c>
      <c r="L81" t="n">
        <v>31.21706413205226</v>
      </c>
    </row>
    <row r="82">
      <c r="A82" s="20" t="n">
        <v>47727</v>
      </c>
      <c r="B82" t="n">
        <v>6.918029331066658</v>
      </c>
      <c r="C82" t="n">
        <v>5.775953224353145</v>
      </c>
      <c r="D82" t="n">
        <v>0.1549677389928139</v>
      </c>
      <c r="E82" t="n">
        <v>0.3273848118643197</v>
      </c>
      <c r="F82" t="n">
        <v>0.004626019564290902</v>
      </c>
      <c r="G82" t="n">
        <v>13.34674215256428</v>
      </c>
      <c r="H82" t="n">
        <v>2.752319206600729</v>
      </c>
      <c r="I82" t="n">
        <v>0.4706948264311279</v>
      </c>
      <c r="J82" t="n">
        <v>29.75071731143736</v>
      </c>
      <c r="K82" t="n">
        <v>29.39298924334971</v>
      </c>
      <c r="L82" t="n">
        <v>30.63562358512788</v>
      </c>
    </row>
    <row r="83">
      <c r="A83" s="20" t="n">
        <v>47757</v>
      </c>
      <c r="B83" t="n">
        <v>5.436307874895696</v>
      </c>
      <c r="C83" t="n">
        <v>5.623790841683713</v>
      </c>
      <c r="D83" t="n">
        <v>0.2150817566921454</v>
      </c>
      <c r="E83" t="n">
        <v>0.3584532447766932</v>
      </c>
      <c r="F83" t="n">
        <v>0.004622611821241851</v>
      </c>
      <c r="G83" t="n">
        <v>13.90371721049099</v>
      </c>
      <c r="H83" t="n">
        <v>2.625427643887605</v>
      </c>
      <c r="I83" t="n">
        <v>0.4801087229597504</v>
      </c>
      <c r="J83" t="n">
        <v>28.64750990720783</v>
      </c>
      <c r="K83" t="n">
        <v>28.28262727775842</v>
      </c>
      <c r="L83" t="n">
        <v>29.55011430637216</v>
      </c>
    </row>
    <row r="84">
      <c r="A84" s="20" t="n">
        <v>47788</v>
      </c>
      <c r="B84" t="n">
        <v>4.645007511031529</v>
      </c>
      <c r="C84" t="n">
        <v>6.020700734949278</v>
      </c>
      <c r="D84" t="n">
        <v>0.4137479963234152</v>
      </c>
      <c r="E84" t="n">
        <v>0.4491692458267973</v>
      </c>
      <c r="F84" t="n">
        <v>0.004602594924305597</v>
      </c>
      <c r="G84" t="n">
        <v>14.39478163770154</v>
      </c>
      <c r="H84" t="n">
        <v>2.566081556307597</v>
      </c>
      <c r="I84" t="n">
        <v>0.489522619488373</v>
      </c>
      <c r="J84" t="n">
        <v>28.98361389655283</v>
      </c>
      <c r="K84" t="n">
        <v>28.61157670574167</v>
      </c>
      <c r="L84" t="n">
        <v>29.90391642119097</v>
      </c>
    </row>
    <row r="85">
      <c r="A85" s="20" t="n">
        <v>47818</v>
      </c>
      <c r="B85" t="n">
        <v>4.588742658117908</v>
      </c>
      <c r="C85" t="n">
        <v>6.225301809477917</v>
      </c>
      <c r="D85" t="n">
        <v>0.7630275615347641</v>
      </c>
      <c r="E85" t="n">
        <v>0.5725893188903823</v>
      </c>
      <c r="F85" t="n">
        <v>0.004599204436945369</v>
      </c>
      <c r="G85" t="n">
        <v>14.39294827114436</v>
      </c>
      <c r="H85" t="n">
        <v>2.449214361367505</v>
      </c>
      <c r="I85" t="n">
        <v>0.4989365160169956</v>
      </c>
      <c r="J85" t="n">
        <v>29.49535970098677</v>
      </c>
      <c r="K85" t="n">
        <v>29.11616794881386</v>
      </c>
      <c r="L85" t="n">
        <v>30.43336035109872</v>
      </c>
    </row>
    <row r="86">
      <c r="A86" s="20" t="n">
        <v>47849</v>
      </c>
      <c r="B86" t="n">
        <v>5.579445751982315</v>
      </c>
      <c r="C86" t="n">
        <v>6.082716514189316</v>
      </c>
      <c r="D86" t="n">
        <v>1.358602834418661</v>
      </c>
      <c r="E86" t="n">
        <v>0.79832023069018</v>
      </c>
      <c r="F86" t="n">
        <v>0.005871491269130735</v>
      </c>
      <c r="G86" t="n">
        <v>14.15509556829357</v>
      </c>
      <c r="H86" t="n">
        <v>2.69817908972461</v>
      </c>
      <c r="I86" t="n">
        <v>0.5055262435870314</v>
      </c>
      <c r="J86" t="n">
        <v>31.18375772415481</v>
      </c>
      <c r="K86" t="n">
        <v>30.80023557957873</v>
      </c>
      <c r="L86" t="n">
        <v>32.13866573243217</v>
      </c>
    </row>
    <row r="87">
      <c r="A87" s="20" t="n">
        <v>47880</v>
      </c>
      <c r="B87" t="n">
        <v>4.573570037829584</v>
      </c>
      <c r="C87" t="n">
        <v>5.956800681472964</v>
      </c>
      <c r="D87" t="n">
        <v>0.9488156085245842</v>
      </c>
      <c r="E87" t="n">
        <v>0.6282692356628753</v>
      </c>
      <c r="F87" t="n">
        <v>0.005866197531335777</v>
      </c>
      <c r="G87" t="n">
        <v>14.20153157323998</v>
      </c>
      <c r="H87" t="n">
        <v>2.652519981328204</v>
      </c>
      <c r="I87" t="n">
        <v>0.5121159711570671</v>
      </c>
      <c r="J87" t="n">
        <v>29.47948928674659</v>
      </c>
      <c r="K87" t="n">
        <v>29.09163674976734</v>
      </c>
      <c r="L87" t="n">
        <v>30.45130465318936</v>
      </c>
    </row>
    <row r="88">
      <c r="A88" s="20" t="n">
        <v>47908</v>
      </c>
      <c r="B88" t="n">
        <v>4.068206450284062</v>
      </c>
      <c r="C88" t="n">
        <v>5.929107185695436</v>
      </c>
      <c r="D88" t="n">
        <v>0.4351663624518828</v>
      </c>
      <c r="E88" t="n">
        <v>0.4323125644438967</v>
      </c>
      <c r="F88" t="n">
        <v>0.005841759970495962</v>
      </c>
      <c r="G88" t="n">
        <v>14.02246622474038</v>
      </c>
      <c r="H88" t="n">
        <v>2.556073288794575</v>
      </c>
      <c r="I88" t="n">
        <v>0.518705698727103</v>
      </c>
      <c r="J88" t="n">
        <v>27.96787953510783</v>
      </c>
      <c r="K88" t="n">
        <v>27.57569660572542</v>
      </c>
      <c r="L88" t="n">
        <v>28.956602259716</v>
      </c>
    </row>
    <row r="89">
      <c r="A89" s="20" t="n">
        <v>47939</v>
      </c>
      <c r="B89" t="n">
        <v>4.495762034023503</v>
      </c>
      <c r="C89" t="n">
        <v>5.862804260967176</v>
      </c>
      <c r="D89" t="n">
        <v>0.2824806571998834</v>
      </c>
      <c r="E89" t="n">
        <v>0.3931488205915087</v>
      </c>
      <c r="F89" t="n">
        <v>0.005824141351256444</v>
      </c>
      <c r="G89" t="n">
        <v>13.71412009222568</v>
      </c>
      <c r="H89" t="n">
        <v>2.751944278964868</v>
      </c>
      <c r="I89" t="n">
        <v>0.5252954262971388</v>
      </c>
      <c r="J89" t="n">
        <v>28.03137971162101</v>
      </c>
      <c r="K89" t="n">
        <v>27.63486638983543</v>
      </c>
      <c r="L89" t="n">
        <v>29.03700979439459</v>
      </c>
    </row>
    <row r="90">
      <c r="A90" s="20" t="n">
        <v>47969</v>
      </c>
      <c r="B90" t="n">
        <v>5.792966830004294</v>
      </c>
      <c r="C90" t="n">
        <v>5.731096638494989</v>
      </c>
      <c r="D90" t="n">
        <v>0.1956376044099752</v>
      </c>
      <c r="E90" t="n">
        <v>0.3302799725496066</v>
      </c>
      <c r="F90" t="n">
        <v>0.005812179221368627</v>
      </c>
      <c r="G90" t="n">
        <v>14.3118733709199</v>
      </c>
      <c r="H90" t="n">
        <v>2.991018631852827</v>
      </c>
      <c r="I90" t="n">
        <v>0.5318851538671745</v>
      </c>
      <c r="J90" t="n">
        <v>29.89057038132014</v>
      </c>
      <c r="K90" t="n">
        <v>29.48972666713139</v>
      </c>
      <c r="L90" t="n">
        <v>30.91310782225912</v>
      </c>
    </row>
    <row r="91">
      <c r="A91" s="20" t="n">
        <v>48000</v>
      </c>
      <c r="B91" t="n">
        <v>6.680486736221694</v>
      </c>
      <c r="C91" t="n">
        <v>5.794658284915496</v>
      </c>
      <c r="D91" t="n">
        <v>0.1861008865852145</v>
      </c>
      <c r="E91" t="n">
        <v>0.3327629373534614</v>
      </c>
      <c r="F91" t="n">
        <v>0.005794649817016119</v>
      </c>
      <c r="G91" t="n">
        <v>14.54182463442464</v>
      </c>
      <c r="H91" t="n">
        <v>2.932999147140086</v>
      </c>
      <c r="I91" t="n">
        <v>0.5384748814372102</v>
      </c>
      <c r="J91" t="n">
        <v>31.01310215789481</v>
      </c>
      <c r="K91" t="n">
        <v>30.6079280513029</v>
      </c>
      <c r="L91" t="n">
        <v>32.0525469569992</v>
      </c>
    </row>
    <row r="92">
      <c r="A92" s="20" t="n">
        <v>48030</v>
      </c>
      <c r="B92" t="n">
        <v>7.270704077454631</v>
      </c>
      <c r="C92" t="n">
        <v>5.780375507941438</v>
      </c>
      <c r="D92" t="n">
        <v>0.1739449073925743</v>
      </c>
      <c r="E92" t="n">
        <v>0.3180100678315418</v>
      </c>
      <c r="F92" t="n">
        <v>0.005782748259415597</v>
      </c>
      <c r="G92" t="n">
        <v>14.22991380966947</v>
      </c>
      <c r="H92" t="n">
        <v>2.798953512470861</v>
      </c>
      <c r="I92" t="n">
        <v>0.5450646090072462</v>
      </c>
      <c r="J92" t="n">
        <v>31.12274924002717</v>
      </c>
      <c r="K92" t="n">
        <v>30.71324474103209</v>
      </c>
      <c r="L92" t="n">
        <v>32.17910139729697</v>
      </c>
    </row>
    <row r="93">
      <c r="A93" s="20" t="n">
        <v>48061</v>
      </c>
      <c r="B93" t="n">
        <v>8.161645258862009</v>
      </c>
      <c r="C93" t="n">
        <v>5.847756646811344</v>
      </c>
      <c r="D93" t="n">
        <v>0.1528105915364982</v>
      </c>
      <c r="E93" t="n">
        <v>0.309998447397076</v>
      </c>
      <c r="F93" t="n">
        <v>0.004506754185981527</v>
      </c>
      <c r="G93" t="n">
        <v>14.68855477995527</v>
      </c>
      <c r="H93" t="n">
        <v>2.864573466825327</v>
      </c>
      <c r="I93" t="n">
        <v>0.5516543365772819</v>
      </c>
      <c r="J93" t="n">
        <v>32.58150028215078</v>
      </c>
      <c r="K93" t="n">
        <v>32.16766539075254</v>
      </c>
      <c r="L93" t="n">
        <v>33.65475979758599</v>
      </c>
    </row>
    <row r="94">
      <c r="A94" s="20" t="n">
        <v>48092</v>
      </c>
      <c r="B94" t="n">
        <v>6.918029331066658</v>
      </c>
      <c r="C94" t="n">
        <v>5.82171992507825</v>
      </c>
      <c r="D94" t="n">
        <v>0.1503187068230294</v>
      </c>
      <c r="E94" t="n">
        <v>0.3175632675083901</v>
      </c>
      <c r="F94" t="n">
        <v>0.004487238977362174</v>
      </c>
      <c r="G94" t="n">
        <v>15.4700550280206</v>
      </c>
      <c r="H94" t="n">
        <v>2.696572146296074</v>
      </c>
      <c r="I94" t="n">
        <v>0.5582440641473176</v>
      </c>
      <c r="J94" t="n">
        <v>31.93698970791768</v>
      </c>
      <c r="K94" t="n">
        <v>31.51882442411626</v>
      </c>
      <c r="L94" t="n">
        <v>33.02715658151828</v>
      </c>
    </row>
    <row r="95">
      <c r="A95" s="20" t="n">
        <v>48122</v>
      </c>
      <c r="B95" t="n">
        <v>5.436307874895696</v>
      </c>
      <c r="C95" t="n">
        <v>5.668351859128716</v>
      </c>
      <c r="D95" t="n">
        <v>0.208629303991381</v>
      </c>
      <c r="E95" t="n">
        <v>0.3476996474333924</v>
      </c>
      <c r="F95" t="n">
        <v>0.004483933466604595</v>
      </c>
      <c r="G95" t="n">
        <v>15.89548970777218</v>
      </c>
      <c r="H95" t="n">
        <v>2.572250718464745</v>
      </c>
      <c r="I95" t="n">
        <v>0.5648337917173536</v>
      </c>
      <c r="J95" t="n">
        <v>30.69804683687007</v>
      </c>
      <c r="K95" t="n">
        <v>30.27555116066549</v>
      </c>
      <c r="L95" t="n">
        <v>31.80512106863608</v>
      </c>
    </row>
    <row r="96">
      <c r="A96" s="20" t="n">
        <v>48153</v>
      </c>
      <c r="B96" t="n">
        <v>4.645007511031529</v>
      </c>
      <c r="C96" t="n">
        <v>6.068406732208753</v>
      </c>
      <c r="D96" t="n">
        <v>0.4013355564337128</v>
      </c>
      <c r="E96" t="n">
        <v>0.4356941684519934</v>
      </c>
      <c r="F96" t="n">
        <v>0.00446451707657643</v>
      </c>
      <c r="G96" t="n">
        <v>16.23512052546222</v>
      </c>
      <c r="H96" t="n">
        <v>2.514106660763842</v>
      </c>
      <c r="I96" t="n">
        <v>0.5714235192873893</v>
      </c>
      <c r="J96" t="n">
        <v>30.87555919071601</v>
      </c>
      <c r="K96" t="n">
        <v>30.44873312210827</v>
      </c>
      <c r="L96" t="n">
        <v>31.99954078064743</v>
      </c>
    </row>
    <row r="97">
      <c r="A97" s="20" t="n">
        <v>48183</v>
      </c>
      <c r="B97" t="n">
        <v>4.588742658117908</v>
      </c>
      <c r="C97" t="n">
        <v>6.274628996484306</v>
      </c>
      <c r="D97" t="n">
        <v>0.7401367346887212</v>
      </c>
      <c r="E97" t="n">
        <v>0.5554116393236709</v>
      </c>
      <c r="F97" t="n">
        <v>0.004461228303837008</v>
      </c>
      <c r="G97" t="n">
        <v>16.01719753724603</v>
      </c>
      <c r="H97" t="n">
        <v>2.399606561380231</v>
      </c>
      <c r="I97" t="n">
        <v>0.5780132468574251</v>
      </c>
      <c r="J97" t="n">
        <v>31.15819860240213</v>
      </c>
      <c r="K97" t="n">
        <v>30.72704214139122</v>
      </c>
      <c r="L97" t="n">
        <v>32.29908755049895</v>
      </c>
    </row>
    <row r="98">
      <c r="A98" s="20" t="n">
        <v>48214</v>
      </c>
      <c r="B98" t="n">
        <v>5.579445751982315</v>
      </c>
      <c r="C98" t="n">
        <v>6.13091390351837</v>
      </c>
      <c r="D98" t="n">
        <v>1.317844749386101</v>
      </c>
      <c r="E98" t="n">
        <v>0.7743706237694745</v>
      </c>
      <c r="F98" t="n">
        <v>0.005695346531056814</v>
      </c>
      <c r="G98" t="n">
        <v>15.40481531001708</v>
      </c>
      <c r="H98" t="n">
        <v>2.643528614566458</v>
      </c>
      <c r="I98" t="n">
        <v>0.5846029744274608</v>
      </c>
      <c r="J98" t="n">
        <v>32.44121727419832</v>
      </c>
      <c r="K98" t="n">
        <v>32.00573042078423</v>
      </c>
      <c r="L98" t="n">
        <v>33.59901358046054</v>
      </c>
    </row>
    <row r="99">
      <c r="A99" s="20" t="n">
        <v>48245</v>
      </c>
      <c r="B99" t="n">
        <v>4.573570037829584</v>
      </c>
      <c r="C99" t="n">
        <v>6.00400035631081</v>
      </c>
      <c r="D99" t="n">
        <v>0.9203511402688467</v>
      </c>
      <c r="E99" t="n">
        <v>0.609421158592989</v>
      </c>
      <c r="F99" t="n">
        <v>0.005690211605395703</v>
      </c>
      <c r="G99" t="n">
        <v>15.16644253291303</v>
      </c>
      <c r="H99" t="n">
        <v>2.598794312080328</v>
      </c>
      <c r="I99" t="n">
        <v>0.5911927019974967</v>
      </c>
      <c r="J99" t="n">
        <v>30.46946245159848</v>
      </c>
      <c r="K99" t="n">
        <v>30.02964520578124</v>
      </c>
      <c r="L99" t="n">
        <v>31.64416611602612</v>
      </c>
    </row>
    <row r="100">
      <c r="A100" s="20" t="n">
        <v>48274</v>
      </c>
      <c r="B100" t="n">
        <v>4.068206450284062</v>
      </c>
      <c r="C100" t="n">
        <v>5.976087426634833</v>
      </c>
      <c r="D100" t="n">
        <v>0.4221113715783263</v>
      </c>
      <c r="E100" t="n">
        <v>0.4193431875105798</v>
      </c>
      <c r="F100" t="n">
        <v>0.005666507171381083</v>
      </c>
      <c r="G100" t="n">
        <v>14.70041434656364</v>
      </c>
      <c r="H100" t="n">
        <v>2.504301106472185</v>
      </c>
      <c r="I100" t="n">
        <v>0.5977824295675325</v>
      </c>
      <c r="J100" t="n">
        <v>28.69391282578254</v>
      </c>
      <c r="K100" t="n">
        <v>28.24976518756213</v>
      </c>
      <c r="L100" t="n">
        <v>29.88552384837558</v>
      </c>
    </row>
    <row r="101">
      <c r="A101" s="20" t="n">
        <v>48305</v>
      </c>
      <c r="B101" t="n">
        <v>4.495762034023503</v>
      </c>
      <c r="C101" t="n">
        <v>5.909259139945459</v>
      </c>
      <c r="D101" t="n">
        <v>0.2740062374838869</v>
      </c>
      <c r="E101" t="n">
        <v>0.3813543559737634</v>
      </c>
      <c r="F101" t="n">
        <v>0.00564941711071875</v>
      </c>
      <c r="G101" t="n">
        <v>14.1992926518784</v>
      </c>
      <c r="H101" t="n">
        <v>2.696204812660747</v>
      </c>
      <c r="I101" t="n">
        <v>0.6043721571375682</v>
      </c>
      <c r="J101" t="n">
        <v>28.56590080621405</v>
      </c>
      <c r="K101" t="n">
        <v>28.11742277559047</v>
      </c>
      <c r="L101" t="n">
        <v>29.77441918697249</v>
      </c>
    </row>
    <row r="102">
      <c r="A102" s="20" t="n">
        <v>48335</v>
      </c>
      <c r="B102" t="n">
        <v>5.792966830004294</v>
      </c>
      <c r="C102" t="n">
        <v>5.776507910798016</v>
      </c>
      <c r="D102" t="n">
        <v>0.1897684762776759</v>
      </c>
      <c r="E102" t="n">
        <v>0.3203715733731184</v>
      </c>
      <c r="F102" t="n">
        <v>0.005637813844727569</v>
      </c>
      <c r="G102" t="n">
        <v>14.63710916827362</v>
      </c>
      <c r="H102" t="n">
        <v>2.930436815745756</v>
      </c>
      <c r="I102" t="n">
        <v>0.6109618847076039</v>
      </c>
      <c r="J102" t="n">
        <v>30.26376047302481</v>
      </c>
      <c r="K102" t="n">
        <v>29.81095204999807</v>
      </c>
      <c r="L102" t="n">
        <v>31.48918621194867</v>
      </c>
    </row>
    <row r="103">
      <c r="A103" s="20" t="n">
        <v>48366</v>
      </c>
      <c r="B103" t="n">
        <v>6.680486736221694</v>
      </c>
      <c r="C103" t="n">
        <v>5.840573198217045</v>
      </c>
      <c r="D103" t="n">
        <v>0.180517859987658</v>
      </c>
      <c r="E103" t="n">
        <v>0.3227800492328575</v>
      </c>
      <c r="F103" t="n">
        <v>0.005620810322505635</v>
      </c>
      <c r="G103" t="n">
        <v>14.78827058143899</v>
      </c>
      <c r="H103" t="n">
        <v>2.873592491132675</v>
      </c>
      <c r="I103" t="n">
        <v>0.6175516122776399</v>
      </c>
      <c r="J103" t="n">
        <v>31.30939333883107</v>
      </c>
      <c r="K103" t="n">
        <v>30.85225452340116</v>
      </c>
      <c r="L103" t="n">
        <v>32.55172643592033</v>
      </c>
    </row>
    <row r="104">
      <c r="A104" s="20" t="n">
        <v>48396</v>
      </c>
      <c r="B104" t="n">
        <v>7.270704077454631</v>
      </c>
      <c r="C104" t="n">
        <v>5.826177249346695</v>
      </c>
      <c r="D104" t="n">
        <v>0.168726560170797</v>
      </c>
      <c r="E104" t="n">
        <v>0.3084697657965955</v>
      </c>
      <c r="F104" t="n">
        <v>0.005609265811633128</v>
      </c>
      <c r="G104" t="n">
        <v>14.38978393145688</v>
      </c>
      <c r="H104" t="n">
        <v>2.742261894043959</v>
      </c>
      <c r="I104" t="n">
        <v>0.6241413398476756</v>
      </c>
      <c r="J104" t="n">
        <v>31.33587408392887</v>
      </c>
      <c r="K104" t="n">
        <v>30.87440487609579</v>
      </c>
      <c r="L104" t="n">
        <v>32.59511453918353</v>
      </c>
    </row>
    <row r="105">
      <c r="A105" s="20" t="n">
        <v>48427</v>
      </c>
      <c r="B105" t="n">
        <v>8.161645258862009</v>
      </c>
      <c r="C105" t="n">
        <v>5.894092293582069</v>
      </c>
      <c r="D105" t="n">
        <v>0.1482262737904032</v>
      </c>
      <c r="E105" t="n">
        <v>0.3006984939751637</v>
      </c>
      <c r="F105" t="n">
        <v>0.004371551560402081</v>
      </c>
      <c r="G105" t="n">
        <v>14.77060529854541</v>
      </c>
      <c r="H105" t="n">
        <v>2.806552744003916</v>
      </c>
      <c r="I105" t="n">
        <v>0.6307310674177113</v>
      </c>
      <c r="J105" t="n">
        <v>32.71692298173708</v>
      </c>
      <c r="K105" t="n">
        <v>32.25112338150084</v>
      </c>
      <c r="L105" t="n">
        <v>33.99307079515716</v>
      </c>
    </row>
    <row r="106">
      <c r="A106" s="20" t="n">
        <v>48458</v>
      </c>
      <c r="B106" t="n">
        <v>6.918029331066658</v>
      </c>
      <c r="C106" t="n">
        <v>5.867849265667964</v>
      </c>
      <c r="D106" t="n">
        <v>0.1458091456183385</v>
      </c>
      <c r="E106" t="n">
        <v>0.3080363694831384</v>
      </c>
      <c r="F106" t="n">
        <v>0.004352621808041308</v>
      </c>
      <c r="G106" t="n">
        <v>15.4700550280206</v>
      </c>
      <c r="H106" t="n">
        <v>2.641954219096749</v>
      </c>
      <c r="I106" t="n">
        <v>0.6373207949877471</v>
      </c>
      <c r="J106" t="n">
        <v>31.99340677574924</v>
      </c>
      <c r="K106" t="n">
        <v>31.52327678310983</v>
      </c>
      <c r="L106" t="n">
        <v>33.28646194733471</v>
      </c>
    </row>
    <row r="107">
      <c r="A107" s="20" t="n">
        <v>48488</v>
      </c>
      <c r="B107" t="n">
        <v>5.436307874895696</v>
      </c>
      <c r="C107" t="n">
        <v>5.713265963011611</v>
      </c>
      <c r="D107" t="n">
        <v>0.2023704248716396</v>
      </c>
      <c r="E107" t="n">
        <v>0.3372686580103906</v>
      </c>
      <c r="F107" t="n">
        <v>0.004349415462606457</v>
      </c>
      <c r="G107" t="n">
        <v>15.89548970777218</v>
      </c>
      <c r="H107" t="n">
        <v>2.520150869153281</v>
      </c>
      <c r="I107" t="n">
        <v>0.6439105225577828</v>
      </c>
      <c r="J107" t="n">
        <v>30.75311343573519</v>
      </c>
      <c r="K107" t="n">
        <v>30.27865305069261</v>
      </c>
      <c r="L107" t="n">
        <v>32.06307596548607</v>
      </c>
    </row>
    <row r="108">
      <c r="A108" s="20" t="n">
        <v>48519</v>
      </c>
      <c r="B108" t="n">
        <v>4.645007511031529</v>
      </c>
      <c r="C108" t="n">
        <v>6.116490735662972</v>
      </c>
      <c r="D108" t="n">
        <v>0.3892954897407014</v>
      </c>
      <c r="E108" t="n">
        <v>0.4226233433984335</v>
      </c>
      <c r="F108" t="n">
        <v>0.004330581564279136</v>
      </c>
      <c r="G108" t="n">
        <v>16.23512052546222</v>
      </c>
      <c r="H108" t="n">
        <v>2.463184494725174</v>
      </c>
      <c r="I108" t="n">
        <v>0.6505002501278188</v>
      </c>
      <c r="J108" t="n">
        <v>30.92655293171313</v>
      </c>
      <c r="K108" t="n">
        <v>30.44776215426738</v>
      </c>
      <c r="L108" t="n">
        <v>32.25342281962942</v>
      </c>
    </row>
    <row r="109">
      <c r="A109" s="20" t="n">
        <v>48549</v>
      </c>
      <c r="B109" t="n">
        <v>4.588742658117908</v>
      </c>
      <c r="C109" t="n">
        <v>6.324347035444935</v>
      </c>
      <c r="D109" t="n">
        <v>0.7179326326480595</v>
      </c>
      <c r="E109" t="n">
        <v>0.5387492901439608</v>
      </c>
      <c r="F109" t="n">
        <v>0.004327391454721897</v>
      </c>
      <c r="G109" t="n">
        <v>16.01719753724603</v>
      </c>
      <c r="H109" t="n">
        <v>2.351003546379683</v>
      </c>
      <c r="I109" t="n">
        <v>0.6570899776978545</v>
      </c>
      <c r="J109" t="n">
        <v>31.19939006913315</v>
      </c>
      <c r="K109" t="n">
        <v>30.71626889928424</v>
      </c>
      <c r="L109" t="n">
        <v>32.54316731521485</v>
      </c>
    </row>
    <row r="110">
      <c r="A110" s="20" t="n">
        <v>48580</v>
      </c>
      <c r="B110" t="n">
        <v>5.579445751982315</v>
      </c>
      <c r="C110" t="n">
        <v>6.179493192666809</v>
      </c>
      <c r="D110" t="n">
        <v>1.278309406904518</v>
      </c>
      <c r="E110" t="n">
        <v>0.7511395050563904</v>
      </c>
      <c r="F110" t="n">
        <v>0.00552448613512511</v>
      </c>
      <c r="G110" t="n">
        <v>15.40481531001708</v>
      </c>
      <c r="H110" t="n">
        <v>2.589985061645746</v>
      </c>
      <c r="I110" t="n">
        <v>0.6636797052678902</v>
      </c>
      <c r="J110" t="n">
        <v>32.45239241967587</v>
      </c>
      <c r="K110" t="n">
        <v>31.96494085742379</v>
      </c>
      <c r="L110" t="n">
        <v>33.81307702392298</v>
      </c>
    </row>
    <row r="111">
      <c r="A111" s="20" t="n">
        <v>48611</v>
      </c>
      <c r="B111" t="n">
        <v>4.573570037829584</v>
      </c>
      <c r="C111" t="n">
        <v>6.051574025415699</v>
      </c>
      <c r="D111" t="n">
        <v>0.8927406060607812</v>
      </c>
      <c r="E111" t="n">
        <v>0.5911385238351993</v>
      </c>
      <c r="F111" t="n">
        <v>0.005519505257233832</v>
      </c>
      <c r="G111" t="n">
        <v>15.16644253291303</v>
      </c>
      <c r="H111" t="n">
        <v>2.546156833517707</v>
      </c>
      <c r="I111" t="n">
        <v>0.6702694328379262</v>
      </c>
      <c r="J111" t="n">
        <v>30.49741149766717</v>
      </c>
      <c r="K111" t="n">
        <v>30.00562954301192</v>
      </c>
      <c r="L111" t="n">
        <v>31.87500346007968</v>
      </c>
    </row>
    <row r="112">
      <c r="A112" s="20" t="n">
        <v>48639</v>
      </c>
      <c r="B112" t="n">
        <v>4.068206450284062</v>
      </c>
      <c r="C112" t="n">
        <v>6.023439923121245</v>
      </c>
      <c r="D112" t="n">
        <v>0.4094480304309765</v>
      </c>
      <c r="E112" t="n">
        <v>0.4067628918852623</v>
      </c>
      <c r="F112" t="n">
        <v>0.00549651195623965</v>
      </c>
      <c r="G112" t="n">
        <v>14.70041434656364</v>
      </c>
      <c r="H112" t="n">
        <v>2.453577547784403</v>
      </c>
      <c r="I112" t="n">
        <v>0.6768591604079619</v>
      </c>
      <c r="J112" t="n">
        <v>28.74420486243379</v>
      </c>
      <c r="K112" t="n">
        <v>28.24809251537538</v>
      </c>
      <c r="L112" t="n">
        <v>30.13870418301171</v>
      </c>
    </row>
    <row r="113">
      <c r="A113" s="20" t="n">
        <v>48670</v>
      </c>
      <c r="B113" t="n">
        <v>4.495762034023503</v>
      </c>
      <c r="C113" t="n">
        <v>5.956082111680184</v>
      </c>
      <c r="D113" t="n">
        <v>0.2657860503593703</v>
      </c>
      <c r="E113" t="n">
        <v>0.3699137252945505</v>
      </c>
      <c r="F113" t="n">
        <v>0.005479934597397188</v>
      </c>
      <c r="G113" t="n">
        <v>14.1992926518784</v>
      </c>
      <c r="H113" t="n">
        <v>2.641594325648691</v>
      </c>
      <c r="I113" t="n">
        <v>0.6834488879779976</v>
      </c>
      <c r="J113" t="n">
        <v>28.61735972146009</v>
      </c>
      <c r="K113" t="n">
        <v>28.11691698199851</v>
      </c>
      <c r="L113" t="n">
        <v>30.02876640020341</v>
      </c>
    </row>
    <row r="114">
      <c r="A114" s="20" t="n">
        <v>48700</v>
      </c>
      <c r="B114" t="n">
        <v>5.792966830004294</v>
      </c>
      <c r="C114" t="n">
        <v>5.822279006670992</v>
      </c>
      <c r="D114" t="n">
        <v>0.1840754219893456</v>
      </c>
      <c r="E114" t="n">
        <v>0.3107604261719249</v>
      </c>
      <c r="F114" t="n">
        <v>0.005468679429385741</v>
      </c>
      <c r="G114" t="n">
        <v>14.63710916827362</v>
      </c>
      <c r="H114" t="n">
        <v>2.871082058675945</v>
      </c>
      <c r="I114" t="n">
        <v>0.6900386155480334</v>
      </c>
      <c r="J114" t="n">
        <v>30.31378020676354</v>
      </c>
      <c r="K114" t="n">
        <v>29.8090070748988</v>
      </c>
      <c r="L114" t="n">
        <v>31.74209424367227</v>
      </c>
    </row>
    <row r="115">
      <c r="A115" s="20" t="n">
        <v>48731</v>
      </c>
      <c r="B115" t="n">
        <v>6.680486736221694</v>
      </c>
      <c r="C115" t="n">
        <v>5.886851925769554</v>
      </c>
      <c r="D115" t="n">
        <v>0.1751023241880283</v>
      </c>
      <c r="E115" t="n">
        <v>0.3130966477558717</v>
      </c>
      <c r="F115" t="n">
        <v>0.005452186012830465</v>
      </c>
      <c r="G115" t="n">
        <v>14.78827058143899</v>
      </c>
      <c r="H115" t="n">
        <v>2.815389091792223</v>
      </c>
      <c r="I115" t="n">
        <v>0.6966283431180691</v>
      </c>
      <c r="J115" t="n">
        <v>31.36127783629726</v>
      </c>
      <c r="K115" t="n">
        <v>30.85217431202935</v>
      </c>
      <c r="L115" t="n">
        <v>32.8064992313714</v>
      </c>
    </row>
    <row r="116">
      <c r="A116" s="20" t="n">
        <v>48761</v>
      </c>
      <c r="B116" t="n">
        <v>7.270704077454631</v>
      </c>
      <c r="C116" t="n">
        <v>5.872341908267063</v>
      </c>
      <c r="D116" t="n">
        <v>0.1636647633656731</v>
      </c>
      <c r="E116" t="n">
        <v>0.2992156728226977</v>
      </c>
      <c r="F116" t="n">
        <v>0.005440987837284135</v>
      </c>
      <c r="G116" t="n">
        <v>14.38978393145688</v>
      </c>
      <c r="H116" t="n">
        <v>2.686718540347266</v>
      </c>
      <c r="I116" t="n">
        <v>0.703218070688105</v>
      </c>
      <c r="J116" t="n">
        <v>31.39108795223961</v>
      </c>
      <c r="K116" t="n">
        <v>30.87765403556853</v>
      </c>
      <c r="L116" t="n">
        <v>32.85321670547914</v>
      </c>
    </row>
    <row r="117">
      <c r="A117" s="20" t="n">
        <v>48792</v>
      </c>
      <c r="B117" t="n">
        <v>8.161645258862009</v>
      </c>
      <c r="C117" t="n">
        <v>5.940795088353529</v>
      </c>
      <c r="D117" t="n">
        <v>0.1437794855766911</v>
      </c>
      <c r="E117" t="n">
        <v>0.2916775391559088</v>
      </c>
      <c r="F117" t="n">
        <v>0.004240405013590019</v>
      </c>
      <c r="G117" t="n">
        <v>14.77060529854541</v>
      </c>
      <c r="H117" t="n">
        <v>2.749707206359532</v>
      </c>
      <c r="I117" t="n">
        <v>0.7098077982581408</v>
      </c>
      <c r="J117" t="n">
        <v>32.77225808012481</v>
      </c>
      <c r="K117" t="n">
        <v>32.25449377105057</v>
      </c>
      <c r="L117" t="n">
        <v>34.25129419152975</v>
      </c>
    </row>
    <row r="118">
      <c r="A118" s="20" t="n">
        <v>48823</v>
      </c>
      <c r="B118" t="n">
        <v>6.918029331066658</v>
      </c>
      <c r="C118" t="n">
        <v>5.914344119557978</v>
      </c>
      <c r="D118" t="n">
        <v>0.1414348712497884</v>
      </c>
      <c r="E118" t="n">
        <v>0.2987952783986442</v>
      </c>
      <c r="F118" t="n">
        <v>0.004222043153800069</v>
      </c>
      <c r="G118" t="n">
        <v>15.4700550280206</v>
      </c>
      <c r="H118" t="n">
        <v>2.588442554889738</v>
      </c>
      <c r="I118" t="n">
        <v>0.7163975258281765</v>
      </c>
      <c r="J118" t="n">
        <v>32.05172075216538</v>
      </c>
      <c r="K118" t="n">
        <v>31.52962605068798</v>
      </c>
      <c r="L118" t="n">
        <v>33.54766422173574</v>
      </c>
    </row>
    <row r="119">
      <c r="A119" s="20" t="n">
        <v>48853</v>
      </c>
      <c r="B119" t="n">
        <v>5.436307874895696</v>
      </c>
      <c r="C119" t="n">
        <v>5.758535951069964</v>
      </c>
      <c r="D119" t="n">
        <v>0.1962993121254904</v>
      </c>
      <c r="E119" t="n">
        <v>0.3271505982700789</v>
      </c>
      <c r="F119" t="n">
        <v>0.004218932998728263</v>
      </c>
      <c r="G119" t="n">
        <v>15.89548970777218</v>
      </c>
      <c r="H119" t="n">
        <v>2.469106280232568</v>
      </c>
      <c r="I119" t="n">
        <v>0.7229872533982125</v>
      </c>
      <c r="J119" t="n">
        <v>30.81009591076291</v>
      </c>
      <c r="K119" t="n">
        <v>30.28367081688234</v>
      </c>
      <c r="L119" t="n">
        <v>32.32294673849867</v>
      </c>
    </row>
    <row r="120">
      <c r="A120" s="20" t="n">
        <v>48884</v>
      </c>
      <c r="B120" t="n">
        <v>4.645007511031529</v>
      </c>
      <c r="C120" t="n">
        <v>6.164955740505237</v>
      </c>
      <c r="D120" t="n">
        <v>0.3776166250484803</v>
      </c>
      <c r="E120" t="n">
        <v>0.4099446430964805</v>
      </c>
      <c r="F120" t="n">
        <v>0.004200664117350762</v>
      </c>
      <c r="G120" t="n">
        <v>16.23512052546222</v>
      </c>
      <c r="H120" t="n">
        <v>2.413293735601152</v>
      </c>
      <c r="I120" t="n">
        <v>0.7295769809682482</v>
      </c>
      <c r="J120" t="n">
        <v>30.97971642583069</v>
      </c>
      <c r="K120" t="n">
        <v>30.44896093954696</v>
      </c>
      <c r="L120" t="n">
        <v>32.50947461173186</v>
      </c>
    </row>
    <row r="121">
      <c r="A121" s="20" t="n">
        <v>48914</v>
      </c>
      <c r="B121" t="n">
        <v>4.588742658117908</v>
      </c>
      <c r="C121" t="n">
        <v>6.374459023338558</v>
      </c>
      <c r="D121" t="n">
        <v>0.6963946536686179</v>
      </c>
      <c r="E121" t="n">
        <v>0.5225868114396419</v>
      </c>
      <c r="F121" t="n">
        <v>0.004197569711080241</v>
      </c>
      <c r="G121" t="n">
        <v>16.01719753724603</v>
      </c>
      <c r="H121" t="n">
        <v>2.303384964871343</v>
      </c>
      <c r="I121" t="n">
        <v>0.7361667085382839</v>
      </c>
      <c r="J121" t="n">
        <v>31.24312992693146</v>
      </c>
      <c r="K121" t="n">
        <v>30.70804404824455</v>
      </c>
      <c r="L121" t="n">
        <v>32.78979547099803</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121"/>
  <sheetViews>
    <sheetView workbookViewId="0">
      <selection activeCell="A1" sqref="A1"/>
    </sheetView>
  </sheetViews>
  <sheetFormatPr baseColWidth="8" defaultRowHeight="15"/>
  <cols>
    <col width="11" customWidth="1" min="1" max="1"/>
  </cols>
  <sheetData>
    <row r="1">
      <c r="A1" t="inlineStr">
        <is>
          <t>Date</t>
        </is>
      </c>
      <c r="B1" t="inlineStr">
        <is>
          <t>LOW data-centre case</t>
        </is>
      </c>
      <c r="C1" t="inlineStr">
        <is>
          <t>BASE data-centre case</t>
        </is>
      </c>
      <c r="D1" t="inlineStr">
        <is>
          <t>HIGH data-centre case</t>
        </is>
      </c>
    </row>
    <row r="2">
      <c r="A2" s="20" t="n">
        <v>45292</v>
      </c>
      <c r="B2" t="n">
        <v>4.140807741935483</v>
      </c>
      <c r="C2" t="n">
        <v>4.140807741935483</v>
      </c>
      <c r="D2" t="n">
        <v>4.140807741935483</v>
      </c>
    </row>
    <row r="3">
      <c r="A3" s="20" t="n">
        <v>45323</v>
      </c>
      <c r="B3" t="n">
        <v>8.521878620689652</v>
      </c>
      <c r="C3" t="n">
        <v>8.521878620689652</v>
      </c>
      <c r="D3" t="n">
        <v>8.521878620689652</v>
      </c>
    </row>
    <row r="4">
      <c r="A4" s="20" t="n">
        <v>45352</v>
      </c>
      <c r="B4" t="n">
        <v>9.454575483870968</v>
      </c>
      <c r="C4" t="n">
        <v>9.454575483870968</v>
      </c>
      <c r="D4" t="n">
        <v>9.454575483870968</v>
      </c>
    </row>
    <row r="5">
      <c r="A5" s="20" t="n">
        <v>45383</v>
      </c>
      <c r="B5" t="n">
        <v>10.541805</v>
      </c>
      <c r="C5" t="n">
        <v>10.541805</v>
      </c>
      <c r="D5" t="n">
        <v>10.541805</v>
      </c>
    </row>
    <row r="6">
      <c r="A6" s="20" t="n">
        <v>45413</v>
      </c>
      <c r="B6" t="n">
        <v>8.29567290322581</v>
      </c>
      <c r="C6" t="n">
        <v>8.29567290322581</v>
      </c>
      <c r="D6" t="n">
        <v>8.29567290322581</v>
      </c>
    </row>
    <row r="7">
      <c r="A7" s="20" t="n">
        <v>45444</v>
      </c>
      <c r="B7" t="n">
        <v>6.917958333333335</v>
      </c>
      <c r="C7" t="n">
        <v>6.917958333333335</v>
      </c>
      <c r="D7" t="n">
        <v>6.917958333333335</v>
      </c>
    </row>
    <row r="8">
      <c r="A8" s="20" t="n">
        <v>45474</v>
      </c>
      <c r="B8" t="n">
        <v>8.266529354838713</v>
      </c>
      <c r="C8" t="n">
        <v>8.266529354838713</v>
      </c>
      <c r="D8" t="n">
        <v>8.266529354838713</v>
      </c>
    </row>
    <row r="9">
      <c r="A9" s="20" t="n">
        <v>45505</v>
      </c>
      <c r="B9" t="n">
        <v>5.672980645161289</v>
      </c>
      <c r="C9" t="n">
        <v>5.672980645161289</v>
      </c>
      <c r="D9" t="n">
        <v>5.672980645161289</v>
      </c>
    </row>
    <row r="10">
      <c r="A10" s="20" t="n">
        <v>45536</v>
      </c>
      <c r="B10" t="n">
        <v>7.475400666666669</v>
      </c>
      <c r="C10" t="n">
        <v>7.475400666666669</v>
      </c>
      <c r="D10" t="n">
        <v>7.475400666666669</v>
      </c>
    </row>
    <row r="11">
      <c r="A11" s="20" t="n">
        <v>45566</v>
      </c>
      <c r="B11" t="n">
        <v>9.006645483870969</v>
      </c>
      <c r="C11" t="n">
        <v>9.006645483870969</v>
      </c>
      <c r="D11" t="n">
        <v>9.006645483870969</v>
      </c>
    </row>
    <row r="12">
      <c r="A12" s="20" t="n">
        <v>45597</v>
      </c>
      <c r="B12" t="n">
        <v>9.693369999999994</v>
      </c>
      <c r="C12" t="n">
        <v>9.693369999999994</v>
      </c>
      <c r="D12" t="n">
        <v>9.693369999999994</v>
      </c>
    </row>
    <row r="13">
      <c r="A13" s="20" t="n">
        <v>45627</v>
      </c>
      <c r="B13" t="n">
        <v>8.757649999999998</v>
      </c>
      <c r="C13" t="n">
        <v>8.757649999999998</v>
      </c>
      <c r="D13" t="n">
        <v>8.757649999999998</v>
      </c>
    </row>
    <row r="14">
      <c r="A14" s="20" t="n">
        <v>45658</v>
      </c>
      <c r="B14" t="n">
        <v>6.127527442682869</v>
      </c>
      <c r="C14" t="n">
        <v>6.127527442682869</v>
      </c>
      <c r="D14" t="n">
        <v>6.127527442682869</v>
      </c>
    </row>
    <row r="15">
      <c r="A15" s="20" t="n">
        <v>45689</v>
      </c>
      <c r="B15" t="n">
        <v>6.740801763599304</v>
      </c>
      <c r="C15" t="n">
        <v>6.740801763599304</v>
      </c>
      <c r="D15" t="n">
        <v>6.740801763599304</v>
      </c>
    </row>
    <row r="16">
      <c r="A16" s="20" t="n">
        <v>45717</v>
      </c>
      <c r="B16" t="n">
        <v>10.55711949504698</v>
      </c>
      <c r="C16" t="n">
        <v>10.55711949504698</v>
      </c>
      <c r="D16" t="n">
        <v>10.55711949504698</v>
      </c>
    </row>
    <row r="17">
      <c r="A17" s="20" t="n">
        <v>45748</v>
      </c>
      <c r="B17" t="n">
        <v>9.805337588501391</v>
      </c>
      <c r="C17" t="n">
        <v>9.805337588501391</v>
      </c>
      <c r="D17" t="n">
        <v>9.805337588501391</v>
      </c>
    </row>
    <row r="18">
      <c r="A18" s="20" t="n">
        <v>45778</v>
      </c>
      <c r="B18" t="n">
        <v>8.428575933689263</v>
      </c>
      <c r="C18" t="n">
        <v>8.428575933689263</v>
      </c>
      <c r="D18" t="n">
        <v>8.428575933689263</v>
      </c>
    </row>
    <row r="19">
      <c r="A19" s="20" t="n">
        <v>45809</v>
      </c>
      <c r="B19" t="n">
        <v>8.128174132195607</v>
      </c>
      <c r="C19" t="n">
        <v>8.128174132195607</v>
      </c>
      <c r="D19" t="n">
        <v>8.128174132195607</v>
      </c>
    </row>
    <row r="20">
      <c r="A20" s="20" t="n">
        <v>45839</v>
      </c>
      <c r="B20" t="n">
        <v>8.405535456886316</v>
      </c>
      <c r="C20" t="n">
        <v>8.405535456886316</v>
      </c>
      <c r="D20" t="n">
        <v>8.405535456886316</v>
      </c>
    </row>
    <row r="21">
      <c r="A21" s="20" t="n">
        <v>45870</v>
      </c>
      <c r="B21" t="n">
        <v>7.834150017682539</v>
      </c>
      <c r="C21" t="n">
        <v>7.834150017682539</v>
      </c>
      <c r="D21" t="n">
        <v>7.834150017682539</v>
      </c>
    </row>
    <row r="22">
      <c r="A22" s="20" t="n">
        <v>45901</v>
      </c>
      <c r="B22" t="n">
        <v>8.700235920587783</v>
      </c>
      <c r="C22" t="n">
        <v>8.700235920587783</v>
      </c>
      <c r="D22" t="n">
        <v>8.700235920587783</v>
      </c>
    </row>
    <row r="23">
      <c r="A23" s="20" t="n">
        <v>45931</v>
      </c>
      <c r="B23" t="n">
        <v>9.513069584714021</v>
      </c>
      <c r="C23" t="n">
        <v>9.513069584714021</v>
      </c>
      <c r="D23" t="n">
        <v>9.513069584714021</v>
      </c>
    </row>
    <row r="24">
      <c r="A24" s="20" t="n">
        <v>45962</v>
      </c>
      <c r="B24" t="n">
        <v>10.00037507020219</v>
      </c>
      <c r="C24" t="n">
        <v>10.00037507020219</v>
      </c>
      <c r="D24" t="n">
        <v>10.00037507020219</v>
      </c>
    </row>
    <row r="25">
      <c r="A25" s="20" t="n">
        <v>45992</v>
      </c>
      <c r="B25" t="n">
        <v>9.228223292132931</v>
      </c>
      <c r="C25" t="n">
        <v>9.228223292132931</v>
      </c>
      <c r="D25" t="n">
        <v>9.228223292132931</v>
      </c>
    </row>
    <row r="26">
      <c r="A26" s="20" t="n">
        <v>46023</v>
      </c>
      <c r="B26" t="n">
        <v>7.335285713558207</v>
      </c>
      <c r="C26" t="n">
        <v>7.335285713558207</v>
      </c>
      <c r="D26" t="n">
        <v>7.335285713558207</v>
      </c>
    </row>
    <row r="27">
      <c r="A27" s="20" t="n">
        <v>46054</v>
      </c>
      <c r="B27" t="n">
        <v>9.276158277213405</v>
      </c>
      <c r="C27" t="n">
        <v>9.276158277213405</v>
      </c>
      <c r="D27" t="n">
        <v>9.276158277213405</v>
      </c>
    </row>
    <row r="28">
      <c r="A28" s="20" t="n">
        <v>46082</v>
      </c>
      <c r="B28" t="n">
        <v>10.58053651762846</v>
      </c>
      <c r="C28" t="n">
        <v>10.58053651762846</v>
      </c>
      <c r="D28" t="n">
        <v>10.58053651762846</v>
      </c>
    </row>
    <row r="29">
      <c r="A29" s="20" t="n">
        <v>46113</v>
      </c>
      <c r="B29" t="n">
        <v>10.30054912997807</v>
      </c>
      <c r="C29" t="n">
        <v>10.30054912997807</v>
      </c>
      <c r="D29" t="n">
        <v>10.30054912997807</v>
      </c>
    </row>
    <row r="30">
      <c r="A30" s="20" t="n">
        <v>46143</v>
      </c>
      <c r="B30" t="n">
        <v>9.481400235125108</v>
      </c>
      <c r="C30" t="n">
        <v>9.481400235125108</v>
      </c>
      <c r="D30" t="n">
        <v>9.481400235125108</v>
      </c>
    </row>
    <row r="31">
      <c r="A31" s="20" t="n">
        <v>46174</v>
      </c>
      <c r="B31" t="n">
        <v>8.406122506792759</v>
      </c>
      <c r="C31" t="n">
        <v>8.406122506792759</v>
      </c>
      <c r="D31" t="n">
        <v>8.406122506792759</v>
      </c>
    </row>
    <row r="32">
      <c r="A32" s="20" t="n">
        <v>46204</v>
      </c>
      <c r="B32" t="n">
        <v>8.777172163307782</v>
      </c>
      <c r="C32" t="n">
        <v>8.777172163307782</v>
      </c>
      <c r="D32" t="n">
        <v>8.777172163307782</v>
      </c>
    </row>
    <row r="33">
      <c r="A33" s="20" t="n">
        <v>46235</v>
      </c>
      <c r="B33" t="n">
        <v>7.450867867963744</v>
      </c>
      <c r="C33" t="n">
        <v>7.443713306601989</v>
      </c>
      <c r="D33" t="n">
        <v>7.426015181128179</v>
      </c>
    </row>
    <row r="34">
      <c r="A34" s="20" t="n">
        <v>46266</v>
      </c>
      <c r="B34" t="n">
        <v>8.698569456546064</v>
      </c>
      <c r="C34" t="n">
        <v>8.684260333822557</v>
      </c>
      <c r="D34" t="n">
        <v>8.648864082874937</v>
      </c>
    </row>
    <row r="35">
      <c r="A35" s="20" t="n">
        <v>46296</v>
      </c>
      <c r="B35" t="n">
        <v>10.24087527956336</v>
      </c>
      <c r="C35" t="n">
        <v>10.2194115954781</v>
      </c>
      <c r="D35" t="n">
        <v>10.16631721905667</v>
      </c>
    </row>
    <row r="36">
      <c r="A36" s="20" t="n">
        <v>46327</v>
      </c>
      <c r="B36" t="n">
        <v>10.34873004731899</v>
      </c>
      <c r="C36" t="n">
        <v>10.32011180187198</v>
      </c>
      <c r="D36" t="n">
        <v>10.24931929997674</v>
      </c>
    </row>
    <row r="37">
      <c r="A37" s="20" t="n">
        <v>46357</v>
      </c>
      <c r="B37" t="n">
        <v>9.920950466686985</v>
      </c>
      <c r="C37" t="n">
        <v>9.88517765987822</v>
      </c>
      <c r="D37" t="n">
        <v>9.796687032509169</v>
      </c>
    </row>
    <row r="38">
      <c r="A38" s="20" t="n">
        <v>46388</v>
      </c>
      <c r="B38" t="n">
        <v>7.873705301247828</v>
      </c>
      <c r="C38" t="n">
        <v>7.830777933077311</v>
      </c>
      <c r="D38" t="n">
        <v>7.724589180234446</v>
      </c>
    </row>
    <row r="39">
      <c r="A39" s="20" t="n">
        <v>46419</v>
      </c>
      <c r="B39" t="n">
        <v>10.11269913804266</v>
      </c>
      <c r="C39" t="n">
        <v>10.06261720851039</v>
      </c>
      <c r="D39" t="n">
        <v>9.938730330193721</v>
      </c>
    </row>
    <row r="40">
      <c r="A40" s="20" t="n">
        <v>46447</v>
      </c>
      <c r="B40" t="n">
        <v>11.96161224749325</v>
      </c>
      <c r="C40" t="n">
        <v>11.90437575659923</v>
      </c>
      <c r="D40" t="n">
        <v>11.76279075280874</v>
      </c>
    </row>
    <row r="41">
      <c r="A41" s="20" t="n">
        <v>46478</v>
      </c>
      <c r="B41" t="n">
        <v>11.77559177866614</v>
      </c>
      <c r="C41" t="n">
        <v>11.71120072641036</v>
      </c>
      <c r="D41" t="n">
        <v>11.55191759714607</v>
      </c>
    </row>
    <row r="42">
      <c r="A42" s="20" t="n">
        <v>46508</v>
      </c>
      <c r="B42" t="n">
        <v>10.29599341727272</v>
      </c>
      <c r="C42" t="n">
        <v>10.22444780365518</v>
      </c>
      <c r="D42" t="n">
        <v>10.04746654891708</v>
      </c>
    </row>
    <row r="43">
      <c r="A43" s="20" t="n">
        <v>46539</v>
      </c>
      <c r="B43" t="n">
        <v>9.324061221354608</v>
      </c>
      <c r="C43" t="n">
        <v>9.245361046375322</v>
      </c>
      <c r="D43" t="n">
        <v>9.050681666163406</v>
      </c>
    </row>
    <row r="44">
      <c r="A44" s="20" t="n">
        <v>46569</v>
      </c>
      <c r="B44" t="n">
        <v>8.981439097210512</v>
      </c>
      <c r="C44" t="n">
        <v>8.895584360869474</v>
      </c>
      <c r="D44" t="n">
        <v>8.683206855183752</v>
      </c>
    </row>
    <row r="45">
      <c r="A45" s="20" t="n">
        <v>46600</v>
      </c>
      <c r="B45" t="n">
        <v>7.709872216760488</v>
      </c>
      <c r="C45" t="n">
        <v>7.616862919057699</v>
      </c>
      <c r="D45" t="n">
        <v>7.386787287898162</v>
      </c>
    </row>
    <row r="46">
      <c r="A46" s="20" t="n">
        <v>46631</v>
      </c>
      <c r="B46" t="n">
        <v>8.689587870083365</v>
      </c>
      <c r="C46" t="n">
        <v>8.589424011018821</v>
      </c>
      <c r="D46" t="n">
        <v>8.341650254385474</v>
      </c>
    </row>
    <row r="47">
      <c r="A47" s="20" t="n">
        <v>46661</v>
      </c>
      <c r="B47" t="n">
        <v>9.889000937543198</v>
      </c>
      <c r="C47" t="n">
        <v>9.781682517116902</v>
      </c>
      <c r="D47" t="n">
        <v>9.516210635009745</v>
      </c>
    </row>
    <row r="48">
      <c r="A48" s="20" t="n">
        <v>46692</v>
      </c>
      <c r="B48" t="n">
        <v>9.63542130320527</v>
      </c>
      <c r="C48" t="n">
        <v>9.520948321417219</v>
      </c>
      <c r="D48" t="n">
        <v>9.237778313836252</v>
      </c>
    </row>
    <row r="49">
      <c r="A49" s="20" t="n">
        <v>46722</v>
      </c>
      <c r="B49" t="n">
        <v>9.153969408345873</v>
      </c>
      <c r="C49" t="n">
        <v>9.032341865196067</v>
      </c>
      <c r="D49" t="n">
        <v>8.731473732141293</v>
      </c>
    </row>
    <row r="50">
      <c r="A50" s="20" t="n">
        <v>46753</v>
      </c>
      <c r="B50" t="n">
        <v>6.831498722197594</v>
      </c>
      <c r="C50" t="n">
        <v>6.702716617686036</v>
      </c>
      <c r="D50" t="n">
        <v>6.384150359157449</v>
      </c>
    </row>
    <row r="51">
      <c r="A51" s="20" t="n">
        <v>46784</v>
      </c>
      <c r="B51" t="n">
        <v>8.933287968936892</v>
      </c>
      <c r="C51" t="n">
        <v>8.797351303063582</v>
      </c>
      <c r="D51" t="n">
        <v>8.461086919061184</v>
      </c>
    </row>
    <row r="52">
      <c r="A52" s="20" t="n">
        <v>46813</v>
      </c>
      <c r="B52" t="n">
        <v>10.88865964778552</v>
      </c>
      <c r="C52" t="n">
        <v>10.74556842055046</v>
      </c>
      <c r="D52" t="n">
        <v>10.39160591107425</v>
      </c>
    </row>
    <row r="53">
      <c r="A53" s="20" t="n">
        <v>46844</v>
      </c>
      <c r="B53" t="n">
        <v>10.90595048253709</v>
      </c>
      <c r="C53" t="n">
        <v>10.75570469394028</v>
      </c>
      <c r="D53" t="n">
        <v>10.38404405899026</v>
      </c>
    </row>
    <row r="54">
      <c r="A54" s="20" t="n">
        <v>46874</v>
      </c>
      <c r="B54" t="n">
        <v>9.376011292456987</v>
      </c>
      <c r="C54" t="n">
        <v>9.218610942498419</v>
      </c>
      <c r="D54" t="n">
        <v>8.82925218207459</v>
      </c>
    </row>
    <row r="55">
      <c r="A55" s="20" t="n">
        <v>46905</v>
      </c>
      <c r="B55" t="n">
        <v>8.353194310678852</v>
      </c>
      <c r="C55" t="n">
        <v>8.188639399358529</v>
      </c>
      <c r="D55" t="n">
        <v>7.78158251346089</v>
      </c>
    </row>
    <row r="56">
      <c r="A56" s="20" t="n">
        <v>46935</v>
      </c>
      <c r="B56" t="n">
        <v>8.194584135166163</v>
      </c>
      <c r="C56" t="n">
        <v>8.022874662484089</v>
      </c>
      <c r="D56" t="n">
        <v>7.598119651112636</v>
      </c>
    </row>
    <row r="57">
      <c r="A57" s="20" t="n">
        <v>46966</v>
      </c>
      <c r="B57" t="n">
        <v>6.953292342659484</v>
      </c>
      <c r="C57" t="n">
        <v>6.774428308615654</v>
      </c>
      <c r="D57" t="n">
        <v>6.331975171770395</v>
      </c>
    </row>
    <row r="58">
      <c r="A58" s="20" t="n">
        <v>46997</v>
      </c>
      <c r="B58" t="n">
        <v>7.821950771247863</v>
      </c>
      <c r="C58" t="n">
        <v>7.635932175842278</v>
      </c>
      <c r="D58" t="n">
        <v>7.175780913523209</v>
      </c>
    </row>
    <row r="59">
      <c r="A59" s="20" t="n">
        <v>47027</v>
      </c>
      <c r="B59" t="n">
        <v>9.137603287734354</v>
      </c>
      <c r="C59" t="n">
        <v>8.944430130967021</v>
      </c>
      <c r="D59" t="n">
        <v>8.466580743174138</v>
      </c>
    </row>
    <row r="60">
      <c r="A60" s="20" t="n">
        <v>47058</v>
      </c>
      <c r="B60" t="n">
        <v>9.128626419485116</v>
      </c>
      <c r="C60" t="n">
        <v>8.928298701356027</v>
      </c>
      <c r="D60" t="n">
        <v>8.432751188089338</v>
      </c>
    </row>
    <row r="61">
      <c r="A61" s="20" t="n">
        <v>47088</v>
      </c>
      <c r="B61" t="n">
        <v>8.878902073632712</v>
      </c>
      <c r="C61" t="n">
        <v>8.671419794141872</v>
      </c>
      <c r="D61" t="n">
        <v>8.158174155401369</v>
      </c>
    </row>
    <row r="62">
      <c r="A62" s="20" t="n">
        <v>47119</v>
      </c>
      <c r="B62" t="n">
        <v>7.379819883069828</v>
      </c>
      <c r="C62" t="n">
        <v>7.165183042217233</v>
      </c>
      <c r="D62" t="n">
        <v>6.634239278002923</v>
      </c>
    </row>
    <row r="63">
      <c r="A63" s="20" t="n">
        <v>47150</v>
      </c>
      <c r="B63" t="n">
        <v>9.395559621420581</v>
      </c>
      <c r="C63" t="n">
        <v>9.173768219206234</v>
      </c>
      <c r="D63" t="n">
        <v>8.62512632951811</v>
      </c>
    </row>
    <row r="64">
      <c r="A64" s="20" t="n">
        <v>47178</v>
      </c>
      <c r="B64" t="n">
        <v>11.19773850842854</v>
      </c>
      <c r="C64" t="n">
        <v>10.96879254485244</v>
      </c>
      <c r="D64" t="n">
        <v>10.4024525296905</v>
      </c>
    </row>
    <row r="65">
      <c r="A65" s="20" t="n">
        <v>47209</v>
      </c>
      <c r="B65" t="n">
        <v>11.36403664765164</v>
      </c>
      <c r="C65" t="n">
        <v>11.12793612271379</v>
      </c>
      <c r="D65" t="n">
        <v>10.54389798207804</v>
      </c>
    </row>
    <row r="66">
      <c r="A66" s="20" t="n">
        <v>47239</v>
      </c>
      <c r="B66" t="n">
        <v>9.852803354512201</v>
      </c>
      <c r="C66" t="n">
        <v>9.609548268212595</v>
      </c>
      <c r="D66" t="n">
        <v>9.007812002103041</v>
      </c>
    </row>
    <row r="67">
      <c r="A67" s="20" t="n">
        <v>47270</v>
      </c>
      <c r="B67" t="n">
        <v>8.956266302128022</v>
      </c>
      <c r="C67" t="n">
        <v>8.705856654466661</v>
      </c>
      <c r="D67" t="n">
        <v>8.0864222628833</v>
      </c>
    </row>
    <row r="68">
      <c r="A68" s="20" t="n">
        <v>47300</v>
      </c>
      <c r="B68" t="n">
        <v>8.992548105041017</v>
      </c>
      <c r="C68" t="n">
        <v>8.734983896017905</v>
      </c>
      <c r="D68" t="n">
        <v>8.09785137896073</v>
      </c>
    </row>
    <row r="69">
      <c r="A69" s="20" t="n">
        <v>47331</v>
      </c>
      <c r="B69" t="n">
        <v>7.794060607937428</v>
      </c>
      <c r="C69" t="n">
        <v>7.529341837552561</v>
      </c>
      <c r="D69" t="n">
        <v>6.874511195021576</v>
      </c>
    </row>
    <row r="70">
      <c r="A70" s="20" t="n">
        <v>47362</v>
      </c>
      <c r="B70" t="n">
        <v>8.762462828614851</v>
      </c>
      <c r="C70" t="n">
        <v>8.490589496868232</v>
      </c>
      <c r="D70" t="n">
        <v>7.818060728863436</v>
      </c>
    </row>
    <row r="71">
      <c r="A71" s="20" t="n">
        <v>47392</v>
      </c>
      <c r="B71" t="n">
        <v>10.18897184063317</v>
      </c>
      <c r="C71" t="n">
        <v>9.909943947524795</v>
      </c>
      <c r="D71" t="n">
        <v>9.219717054046189</v>
      </c>
    </row>
    <row r="72">
      <c r="A72" s="20" t="n">
        <v>47423</v>
      </c>
      <c r="B72" t="n">
        <v>10.17893314038278</v>
      </c>
      <c r="C72" t="n">
        <v>9.892750685912652</v>
      </c>
      <c r="D72" t="n">
        <v>9.184825666960236</v>
      </c>
    </row>
    <row r="73">
      <c r="A73" s="20" t="n">
        <v>47453</v>
      </c>
      <c r="B73" t="n">
        <v>9.959551106250117</v>
      </c>
      <c r="C73" t="n">
        <v>9.666214090418237</v>
      </c>
      <c r="D73" t="n">
        <v>8.94059094599201</v>
      </c>
    </row>
    <row r="74">
      <c r="A74" s="20" t="n">
        <v>47484</v>
      </c>
      <c r="B74" t="n">
        <v>8.575106645315635</v>
      </c>
      <c r="C74" t="n">
        <v>8.274615068122003</v>
      </c>
      <c r="D74" t="n">
        <v>7.531293798221967</v>
      </c>
    </row>
    <row r="75">
      <c r="A75" s="20" t="n">
        <v>47515</v>
      </c>
      <c r="B75" t="n">
        <v>10.60548554166531</v>
      </c>
      <c r="C75" t="n">
        <v>10.29783940310992</v>
      </c>
      <c r="D75" t="n">
        <v>9.536820007736075</v>
      </c>
    </row>
    <row r="76">
      <c r="A76" s="20" t="n">
        <v>47543</v>
      </c>
      <c r="B76" t="n">
        <v>12.41342931550935</v>
      </c>
      <c r="C76" t="n">
        <v>12.09862861559221</v>
      </c>
      <c r="D76" t="n">
        <v>11.31991109474455</v>
      </c>
    </row>
    <row r="77">
      <c r="A77" s="20" t="n">
        <v>47574</v>
      </c>
      <c r="B77" t="n">
        <v>12.5239698113385</v>
      </c>
      <c r="C77" t="n">
        <v>12.20201455005961</v>
      </c>
      <c r="D77" t="n">
        <v>11.40559890373815</v>
      </c>
    </row>
    <row r="78">
      <c r="A78" s="20" t="n">
        <v>47604</v>
      </c>
      <c r="B78" t="n">
        <v>10.95949249560544</v>
      </c>
      <c r="C78" t="n">
        <v>10.6303826729648</v>
      </c>
      <c r="D78" t="n">
        <v>9.816268901169519</v>
      </c>
    </row>
    <row r="79">
      <c r="A79" s="20" t="n">
        <v>47635</v>
      </c>
      <c r="B79" t="n">
        <v>10.00621516455753</v>
      </c>
      <c r="C79" t="n">
        <v>9.669950780555137</v>
      </c>
      <c r="D79" t="n">
        <v>8.838138883286046</v>
      </c>
    </row>
    <row r="80">
      <c r="A80" s="20" t="n">
        <v>47665</v>
      </c>
      <c r="B80" t="n">
        <v>9.863970510379161</v>
      </c>
      <c r="C80" t="n">
        <v>9.520551565015008</v>
      </c>
      <c r="D80" t="n">
        <v>8.671041542272111</v>
      </c>
    </row>
    <row r="81">
      <c r="A81" s="20" t="n">
        <v>47696</v>
      </c>
      <c r="B81" t="n">
        <v>8.524845390319545</v>
      </c>
      <c r="C81" t="n">
        <v>8.174271883593644</v>
      </c>
      <c r="D81" t="n">
        <v>7.307063735376932</v>
      </c>
    </row>
    <row r="82">
      <c r="A82" s="20" t="n">
        <v>47727</v>
      </c>
      <c r="B82" t="n">
        <v>9.190489041123907</v>
      </c>
      <c r="C82" t="n">
        <v>8.832760973036251</v>
      </c>
      <c r="D82" t="n">
        <v>7.947854699345733</v>
      </c>
    </row>
    <row r="83">
      <c r="A83" s="20" t="n">
        <v>47757</v>
      </c>
      <c r="B83" t="n">
        <v>10.36029174265202</v>
      </c>
      <c r="C83" t="n">
        <v>9.995409113202609</v>
      </c>
      <c r="D83" t="n">
        <v>9.09280471403828</v>
      </c>
    </row>
    <row r="84">
      <c r="A84" s="20" t="n">
        <v>47788</v>
      </c>
      <c r="B84" t="n">
        <v>10.09087350847291</v>
      </c>
      <c r="C84" t="n">
        <v>9.718836317661747</v>
      </c>
      <c r="D84" t="n">
        <v>8.798533793023605</v>
      </c>
    </row>
    <row r="85">
      <c r="A85" s="20" t="n">
        <v>47818</v>
      </c>
      <c r="B85" t="n">
        <v>9.645904056262854</v>
      </c>
      <c r="C85" t="n">
        <v>9.266712304089936</v>
      </c>
      <c r="D85" t="n">
        <v>8.328711653977987</v>
      </c>
    </row>
    <row r="86">
      <c r="A86" s="20" t="n">
        <v>47849</v>
      </c>
      <c r="B86" t="n">
        <v>7.991817546023075</v>
      </c>
      <c r="C86" t="n">
        <v>7.608295401446991</v>
      </c>
      <c r="D86" t="n">
        <v>6.653387393169631</v>
      </c>
    </row>
    <row r="87">
      <c r="A87" s="20" t="n">
        <v>47880</v>
      </c>
      <c r="B87" t="n">
        <v>9.730420407919549</v>
      </c>
      <c r="C87" t="n">
        <v>9.3425678709403</v>
      </c>
      <c r="D87" t="n">
        <v>8.370752504497535</v>
      </c>
    </row>
    <row r="88">
      <c r="A88" s="20" t="n">
        <v>47908</v>
      </c>
      <c r="B88" t="n">
        <v>11.27638751331123</v>
      </c>
      <c r="C88" t="n">
        <v>10.88420458392881</v>
      </c>
      <c r="D88" t="n">
        <v>9.895481859320643</v>
      </c>
    </row>
    <row r="89">
      <c r="A89" s="20" t="n">
        <v>47939</v>
      </c>
      <c r="B89" t="n">
        <v>11.24726763753413</v>
      </c>
      <c r="C89" t="n">
        <v>10.85075431574855</v>
      </c>
      <c r="D89" t="n">
        <v>9.845124232974968</v>
      </c>
    </row>
    <row r="90">
      <c r="A90" s="20" t="n">
        <v>47969</v>
      </c>
      <c r="B90" t="n">
        <v>9.422480233286535</v>
      </c>
      <c r="C90" t="n">
        <v>9.021636519097786</v>
      </c>
      <c r="D90" t="n">
        <v>7.999099078158807</v>
      </c>
    </row>
    <row r="91">
      <c r="A91" s="20" t="n">
        <v>48000</v>
      </c>
      <c r="B91" t="n">
        <v>8.334374704624977</v>
      </c>
      <c r="C91" t="n">
        <v>7.929200598033063</v>
      </c>
      <c r="D91" t="n">
        <v>6.889755798928675</v>
      </c>
    </row>
    <row r="92">
      <c r="A92" s="20" t="n">
        <v>48030</v>
      </c>
      <c r="B92" t="n">
        <v>8.259176870627279</v>
      </c>
      <c r="C92" t="n">
        <v>7.849672371632199</v>
      </c>
      <c r="D92" t="n">
        <v>6.793320214362403</v>
      </c>
    </row>
    <row r="93">
      <c r="A93" s="20" t="n">
        <v>48061</v>
      </c>
      <c r="B93" t="n">
        <v>6.834898094633672</v>
      </c>
      <c r="C93" t="n">
        <v>6.421063203235427</v>
      </c>
      <c r="D93" t="n">
        <v>5.347803687800223</v>
      </c>
    </row>
    <row r="94">
      <c r="A94" s="20" t="n">
        <v>48092</v>
      </c>
      <c r="B94" t="n">
        <v>7.513903970779808</v>
      </c>
      <c r="C94" t="n">
        <v>7.095738686978393</v>
      </c>
      <c r="D94" t="n">
        <v>6.005571813377784</v>
      </c>
    </row>
    <row r="95">
      <c r="A95" s="20" t="n">
        <v>48122</v>
      </c>
      <c r="B95" t="n">
        <v>8.787365197325009</v>
      </c>
      <c r="C95" t="n">
        <v>8.364869521120426</v>
      </c>
      <c r="D95" t="n">
        <v>7.257795289354416</v>
      </c>
    </row>
    <row r="96">
      <c r="A96" s="20" t="n">
        <v>48153</v>
      </c>
      <c r="B96" t="n">
        <v>8.644394270376626</v>
      </c>
      <c r="C96" t="n">
        <v>8.217568201768881</v>
      </c>
      <c r="D96" t="n">
        <v>7.093586611837463</v>
      </c>
    </row>
    <row r="97">
      <c r="A97" s="20" t="n">
        <v>48183</v>
      </c>
      <c r="B97" t="n">
        <v>8.39631937481737</v>
      </c>
      <c r="C97" t="n">
        <v>7.965162913806459</v>
      </c>
      <c r="D97" t="n">
        <v>6.824273965709637</v>
      </c>
    </row>
    <row r="98">
      <c r="A98" s="20" t="n">
        <v>48214</v>
      </c>
      <c r="B98" t="n">
        <v>7.132791495210277</v>
      </c>
      <c r="C98" t="n">
        <v>6.697304641796194</v>
      </c>
      <c r="D98" t="n">
        <v>5.539508335533966</v>
      </c>
    </row>
    <row r="99">
      <c r="A99" s="20" t="n">
        <v>48245</v>
      </c>
      <c r="B99" t="n">
        <v>9.124042915820947</v>
      </c>
      <c r="C99" t="n">
        <v>8.684225670003702</v>
      </c>
      <c r="D99" t="n">
        <v>7.509522005576066</v>
      </c>
    </row>
    <row r="100">
      <c r="A100" s="20" t="n">
        <v>48274</v>
      </c>
      <c r="B100" t="n">
        <v>10.91909494771778</v>
      </c>
      <c r="C100" t="n">
        <v>10.47494730949737</v>
      </c>
      <c r="D100" t="n">
        <v>9.28333628690433</v>
      </c>
    </row>
    <row r="101">
      <c r="A101" s="20" t="n">
        <v>48305</v>
      </c>
      <c r="B101" t="n">
        <v>11.06661518368637</v>
      </c>
      <c r="C101" t="n">
        <v>10.61813715306279</v>
      </c>
      <c r="D101" t="n">
        <v>9.409618772304341</v>
      </c>
    </row>
    <row r="102">
      <c r="A102" s="20" t="n">
        <v>48335</v>
      </c>
      <c r="B102" t="n">
        <v>9.38826954584491</v>
      </c>
      <c r="C102" t="n">
        <v>8.935461122818165</v>
      </c>
      <c r="D102" t="n">
        <v>7.710035383894308</v>
      </c>
    </row>
    <row r="103">
      <c r="A103" s="20" t="n">
        <v>48366</v>
      </c>
      <c r="B103" t="n">
        <v>8.362156523828105</v>
      </c>
      <c r="C103" t="n">
        <v>7.905017708398194</v>
      </c>
      <c r="D103" t="n">
        <v>6.662684611308933</v>
      </c>
    </row>
    <row r="104">
      <c r="A104" s="20" t="n">
        <v>48396</v>
      </c>
      <c r="B104" t="n">
        <v>8.355201439591699</v>
      </c>
      <c r="C104" t="n">
        <v>7.893732231758623</v>
      </c>
      <c r="D104" t="n">
        <v>6.634491776503957</v>
      </c>
    </row>
    <row r="105">
      <c r="A105" s="20" t="n">
        <v>48427</v>
      </c>
      <c r="B105" t="n">
        <v>6.993684021969479</v>
      </c>
      <c r="C105" t="n">
        <v>6.527884421733233</v>
      </c>
      <c r="D105" t="n">
        <v>5.251736608313159</v>
      </c>
    </row>
    <row r="106">
      <c r="A106" s="20" t="n">
        <v>48458</v>
      </c>
      <c r="B106" t="n">
        <v>7.736737529721477</v>
      </c>
      <c r="C106" t="n">
        <v>7.266607537082066</v>
      </c>
      <c r="D106" t="n">
        <v>5.973552365496587</v>
      </c>
    </row>
    <row r="107">
      <c r="A107" s="20" t="n">
        <v>48488</v>
      </c>
      <c r="B107" t="n">
        <v>8.99657399533227</v>
      </c>
      <c r="C107" t="n">
        <v>8.522113610289693</v>
      </c>
      <c r="D107" t="n">
        <v>7.21215108053881</v>
      </c>
    </row>
    <row r="108">
      <c r="A108" s="20" t="n">
        <v>48519</v>
      </c>
      <c r="B108" t="n">
        <v>8.84268345103899</v>
      </c>
      <c r="C108" t="n">
        <v>8.363892673593245</v>
      </c>
      <c r="D108" t="n">
        <v>7.037022785676953</v>
      </c>
    </row>
    <row r="109">
      <c r="A109" s="20" t="n">
        <v>48549</v>
      </c>
      <c r="B109" t="n">
        <v>8.589401093647727</v>
      </c>
      <c r="C109" t="n">
        <v>8.106279923798816</v>
      </c>
      <c r="D109" t="n">
        <v>6.762502677717116</v>
      </c>
    </row>
    <row r="110">
      <c r="A110" s="20" t="n">
        <v>48580</v>
      </c>
      <c r="B110" t="n">
        <v>7.348352263243317</v>
      </c>
      <c r="C110" t="n">
        <v>6.860900700991237</v>
      </c>
      <c r="D110" t="n">
        <v>5.500216096744133</v>
      </c>
    </row>
    <row r="111">
      <c r="A111" s="20" t="n">
        <v>48611</v>
      </c>
      <c r="B111" t="n">
        <v>9.315288166712097</v>
      </c>
      <c r="C111" t="n">
        <v>8.823506212056856</v>
      </c>
      <c r="D111" t="n">
        <v>7.445914249644346</v>
      </c>
    </row>
    <row r="112">
      <c r="A112" s="20" t="n">
        <v>48639</v>
      </c>
      <c r="B112" t="n">
        <v>11.08045124501056</v>
      </c>
      <c r="C112" t="n">
        <v>10.58433889795215</v>
      </c>
      <c r="D112" t="n">
        <v>9.189839577374233</v>
      </c>
    </row>
    <row r="113">
      <c r="A113" s="20" t="n">
        <v>48670</v>
      </c>
      <c r="B113" t="n">
        <v>11.21925429093769</v>
      </c>
      <c r="C113" t="n">
        <v>10.71881155147612</v>
      </c>
      <c r="D113" t="n">
        <v>9.307404872732793</v>
      </c>
    </row>
    <row r="114">
      <c r="A114" s="20" t="n">
        <v>48700</v>
      </c>
      <c r="B114" t="n">
        <v>9.534793172759375</v>
      </c>
      <c r="C114" t="n">
        <v>9.030020040894634</v>
      </c>
      <c r="D114" t="n">
        <v>7.601706003985907</v>
      </c>
    </row>
    <row r="115">
      <c r="A115" s="20" t="n">
        <v>48731</v>
      </c>
      <c r="B115" t="n">
        <v>8.499256372805956</v>
      </c>
      <c r="C115" t="n">
        <v>7.990152848538049</v>
      </c>
      <c r="D115" t="n">
        <v>6.54493145346391</v>
      </c>
    </row>
    <row r="116">
      <c r="A116" s="20" t="n">
        <v>48761</v>
      </c>
      <c r="B116" t="n">
        <v>8.481408549182529</v>
      </c>
      <c r="C116" t="n">
        <v>7.967974632511453</v>
      </c>
      <c r="D116" t="n">
        <v>6.505845879271916</v>
      </c>
    </row>
    <row r="117">
      <c r="A117" s="20" t="n">
        <v>48792</v>
      </c>
      <c r="B117" t="n">
        <v>7.112202176638426</v>
      </c>
      <c r="C117" t="n">
        <v>6.594437867564189</v>
      </c>
      <c r="D117" t="n">
        <v>5.115401756159244</v>
      </c>
    </row>
    <row r="118">
      <c r="A118" s="20" t="n">
        <v>48823</v>
      </c>
      <c r="B118" t="n">
        <v>7.844704723244735</v>
      </c>
      <c r="C118" t="n">
        <v>7.322610021767332</v>
      </c>
      <c r="D118" t="n">
        <v>5.826666552196976</v>
      </c>
    </row>
    <row r="119">
      <c r="A119" s="20" t="n">
        <v>48853</v>
      </c>
      <c r="B119" t="n">
        <v>9.098296246883521</v>
      </c>
      <c r="C119" t="n">
        <v>8.571871153002949</v>
      </c>
      <c r="D119" t="n">
        <v>7.059020325267191</v>
      </c>
    </row>
    <row r="120">
      <c r="A120" s="20" t="n">
        <v>48884</v>
      </c>
      <c r="B120" t="n">
        <v>8.940643877925197</v>
      </c>
      <c r="C120" t="n">
        <v>8.409888391641459</v>
      </c>
      <c r="D120" t="n">
        <v>6.880130205740294</v>
      </c>
    </row>
    <row r="121">
      <c r="A121" s="20" t="n">
        <v>48914</v>
      </c>
      <c r="B121" t="n">
        <v>8.689199987090802</v>
      </c>
      <c r="C121" t="n">
        <v>8.154114108403896</v>
      </c>
      <c r="D121" t="n">
        <v>6.607448564337325</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11" customWidth="1" min="1" max="1"/>
  </cols>
  <sheetData>
    <row r="1">
      <c r="A1" t="inlineStr">
        <is>
          <t>Date</t>
        </is>
      </c>
      <c r="B1" t="inlineStr">
        <is>
          <t>History</t>
        </is>
      </c>
      <c r="C1" t="inlineStr">
        <is>
          <t>Forecast - base</t>
        </is>
      </c>
      <c r="D1" t="inlineStr">
        <is>
          <t>Forecast - takeaway delayed 6 months</t>
        </is>
      </c>
    </row>
    <row r="2">
      <c r="A2" s="20" t="n">
        <v>44562</v>
      </c>
      <c r="B2" t="n">
        <v>27.34338709677419</v>
      </c>
    </row>
    <row r="3">
      <c r="A3" s="20" t="n">
        <v>44593</v>
      </c>
      <c r="B3" t="n">
        <v>28.54342857142857</v>
      </c>
    </row>
    <row r="4">
      <c r="A4" s="20" t="n">
        <v>44621</v>
      </c>
      <c r="B4" t="n">
        <v>29.1521935483871</v>
      </c>
    </row>
    <row r="5">
      <c r="A5" s="20" t="n">
        <v>44652</v>
      </c>
      <c r="B5" t="n">
        <v>29.6837</v>
      </c>
    </row>
    <row r="6">
      <c r="A6" s="20" t="n">
        <v>44682</v>
      </c>
      <c r="B6" t="n">
        <v>29.06916129032258</v>
      </c>
    </row>
    <row r="7">
      <c r="A7" s="20" t="n">
        <v>44713</v>
      </c>
      <c r="B7" t="n">
        <v>28.8727</v>
      </c>
    </row>
    <row r="8">
      <c r="A8" s="20" t="n">
        <v>44743</v>
      </c>
      <c r="B8" t="n">
        <v>28.84554838709677</v>
      </c>
    </row>
    <row r="9">
      <c r="A9" s="20" t="n">
        <v>44774</v>
      </c>
      <c r="B9" t="n">
        <v>29.41538709677419</v>
      </c>
    </row>
    <row r="10">
      <c r="A10" s="20" t="n">
        <v>44805</v>
      </c>
      <c r="B10" t="n">
        <v>30.11273333333333</v>
      </c>
    </row>
    <row r="11">
      <c r="A11" s="20" t="n">
        <v>44835</v>
      </c>
      <c r="B11" t="n">
        <v>29.7851935483871</v>
      </c>
    </row>
    <row r="12">
      <c r="A12" s="20" t="n">
        <v>44866</v>
      </c>
      <c r="B12" t="n">
        <v>29.8353</v>
      </c>
    </row>
    <row r="13">
      <c r="A13" s="20" t="n">
        <v>44896</v>
      </c>
      <c r="B13" t="n">
        <v>29.94512903225807</v>
      </c>
    </row>
    <row r="14">
      <c r="A14" s="20" t="n">
        <v>44927</v>
      </c>
      <c r="B14" t="n">
        <v>29.99625806451613</v>
      </c>
    </row>
    <row r="15">
      <c r="A15" s="20" t="n">
        <v>44958</v>
      </c>
      <c r="B15" t="n">
        <v>30.02260714285714</v>
      </c>
    </row>
    <row r="16">
      <c r="A16" s="20" t="n">
        <v>44986</v>
      </c>
      <c r="B16" t="n">
        <v>31.55867741935484</v>
      </c>
    </row>
    <row r="17">
      <c r="A17" s="20" t="n">
        <v>45017</v>
      </c>
      <c r="B17" t="n">
        <v>30.91673333333333</v>
      </c>
    </row>
    <row r="18">
      <c r="A18" s="20" t="n">
        <v>45047</v>
      </c>
      <c r="B18" t="n">
        <v>31.16616129032258</v>
      </c>
    </row>
    <row r="19">
      <c r="A19" s="20" t="n">
        <v>45078</v>
      </c>
      <c r="B19" t="n">
        <v>30.79596666666667</v>
      </c>
    </row>
    <row r="20">
      <c r="A20" s="20" t="n">
        <v>45108</v>
      </c>
      <c r="B20" t="n">
        <v>31.08687096774193</v>
      </c>
    </row>
    <row r="21">
      <c r="A21" s="20" t="n">
        <v>45139</v>
      </c>
      <c r="B21" t="n">
        <v>31.46732258064516</v>
      </c>
    </row>
    <row r="22">
      <c r="A22" s="20" t="n">
        <v>45170</v>
      </c>
      <c r="B22" t="n">
        <v>31.83276666666667</v>
      </c>
    </row>
    <row r="23">
      <c r="A23" s="20" t="n">
        <v>45200</v>
      </c>
      <c r="B23" t="n">
        <v>31.85374193548387</v>
      </c>
    </row>
    <row r="24">
      <c r="A24" s="20" t="n">
        <v>45231</v>
      </c>
      <c r="B24" t="n">
        <v>32.13006666666666</v>
      </c>
    </row>
    <row r="25">
      <c r="A25" s="20" t="n">
        <v>45261</v>
      </c>
      <c r="B25" t="n">
        <v>32.01570967741936</v>
      </c>
    </row>
    <row r="26">
      <c r="A26" s="20" t="n">
        <v>45292</v>
      </c>
      <c r="B26" t="n">
        <v>30.42906451612903</v>
      </c>
    </row>
    <row r="27">
      <c r="A27" s="20" t="n">
        <v>45323</v>
      </c>
      <c r="B27" t="n">
        <v>31.91979310344827</v>
      </c>
    </row>
    <row r="28">
      <c r="A28" s="20" t="n">
        <v>45352</v>
      </c>
      <c r="B28" t="n">
        <v>32.04229032258064</v>
      </c>
    </row>
    <row r="29">
      <c r="A29" s="20" t="n">
        <v>45383</v>
      </c>
      <c r="B29" t="n">
        <v>31.96823333333333</v>
      </c>
    </row>
    <row r="30">
      <c r="A30" s="20" t="n">
        <v>45413</v>
      </c>
      <c r="B30" t="n">
        <v>32.86045161290323</v>
      </c>
    </row>
    <row r="31">
      <c r="A31" s="20" t="n">
        <v>45444</v>
      </c>
      <c r="B31" t="n">
        <v>33.14356666666666</v>
      </c>
    </row>
    <row r="32">
      <c r="A32" s="20" t="n">
        <v>45474</v>
      </c>
      <c r="B32" t="n">
        <v>33.14932258064516</v>
      </c>
    </row>
    <row r="33">
      <c r="A33" s="20" t="n">
        <v>45505</v>
      </c>
      <c r="B33" t="n">
        <v>33.2896129032258</v>
      </c>
    </row>
    <row r="34">
      <c r="A34" s="20" t="n">
        <v>45536</v>
      </c>
      <c r="B34" t="n">
        <v>33.5967</v>
      </c>
    </row>
    <row r="35">
      <c r="A35" s="20" t="n">
        <v>45566</v>
      </c>
      <c r="B35" t="n">
        <v>33.96545161290323</v>
      </c>
    </row>
    <row r="36">
      <c r="A36" s="20" t="n">
        <v>45597</v>
      </c>
      <c r="B36" t="n">
        <v>33.69269999999999</v>
      </c>
    </row>
    <row r="37">
      <c r="A37" s="20" t="n">
        <v>45627</v>
      </c>
      <c r="B37" t="n">
        <v>34.00558064516129</v>
      </c>
    </row>
    <row r="38">
      <c r="A38" s="20" t="n">
        <v>45658</v>
      </c>
      <c r="B38" t="n">
        <v>33.77132258064516</v>
      </c>
    </row>
    <row r="39">
      <c r="A39" s="20" t="n">
        <v>45689</v>
      </c>
      <c r="B39" t="n">
        <v>33.87828571428572</v>
      </c>
    </row>
    <row r="40">
      <c r="A40" s="20" t="n">
        <v>45717</v>
      </c>
      <c r="B40" t="n">
        <v>33.98274193548387</v>
      </c>
    </row>
    <row r="41">
      <c r="A41" s="20" t="n">
        <v>45748</v>
      </c>
      <c r="B41" t="n">
        <v>34.2791</v>
      </c>
    </row>
    <row r="42">
      <c r="A42" s="20" t="n">
        <v>45778</v>
      </c>
      <c r="B42" t="n">
        <v>33.95767741935484</v>
      </c>
    </row>
    <row r="43">
      <c r="A43" s="20" t="n">
        <v>45809</v>
      </c>
      <c r="B43" t="n">
        <v>34.42446666666667</v>
      </c>
    </row>
    <row r="44">
      <c r="A44" s="20" t="n">
        <v>45839</v>
      </c>
      <c r="B44" t="n">
        <v>34.88470967741936</v>
      </c>
    </row>
    <row r="45">
      <c r="A45" s="20" t="n">
        <v>45870</v>
      </c>
      <c r="B45" t="n">
        <v>35.25983870967742</v>
      </c>
    </row>
    <row r="46">
      <c r="A46" s="20" t="n">
        <v>45901</v>
      </c>
      <c r="B46" t="n">
        <v>35.21926666666667</v>
      </c>
    </row>
    <row r="47">
      <c r="A47" s="20" t="n">
        <v>45931</v>
      </c>
      <c r="B47" t="n">
        <v>34.84435483870968</v>
      </c>
    </row>
    <row r="48">
      <c r="A48" s="20" t="n">
        <v>45962</v>
      </c>
      <c r="B48" t="n">
        <v>35.58796666666667</v>
      </c>
    </row>
    <row r="49">
      <c r="A49" s="20" t="n">
        <v>45992</v>
      </c>
      <c r="B49" t="n">
        <v>35.96516129032258</v>
      </c>
    </row>
    <row r="50">
      <c r="A50" s="20" t="n">
        <v>46023</v>
      </c>
      <c r="B50" t="n">
        <v>34.71883870967741</v>
      </c>
    </row>
    <row r="51">
      <c r="A51" s="20" t="n">
        <v>46054</v>
      </c>
      <c r="B51" t="n">
        <v>35.748</v>
      </c>
    </row>
    <row r="52">
      <c r="A52" s="20" t="n">
        <v>46082</v>
      </c>
      <c r="B52" t="n">
        <v>35.92364516129032</v>
      </c>
    </row>
    <row r="53">
      <c r="A53" s="20" t="n">
        <v>46113</v>
      </c>
      <c r="B53" t="n">
        <v>36.20336666666667</v>
      </c>
    </row>
    <row r="54">
      <c r="A54" s="20" t="n">
        <v>46143</v>
      </c>
      <c r="B54" t="n">
        <v>35.91348387096775</v>
      </c>
    </row>
    <row r="55">
      <c r="A55" s="20" t="n">
        <v>46174</v>
      </c>
      <c r="B55" t="n">
        <v>36.40676666666667</v>
      </c>
    </row>
    <row r="56">
      <c r="A56" s="20" t="n">
        <v>46204</v>
      </c>
      <c r="B56" t="n">
        <v>37.34825806451613</v>
      </c>
      <c r="C56" t="n">
        <v>37.34825806451613</v>
      </c>
      <c r="D56" t="n">
        <v>37.34825806451613</v>
      </c>
    </row>
    <row r="57">
      <c r="A57" s="20" t="n">
        <v>46235</v>
      </c>
      <c r="C57" t="n">
        <v>36.95439804076792</v>
      </c>
      <c r="D57" t="n">
        <v>36.82156887226792</v>
      </c>
    </row>
    <row r="58">
      <c r="A58" s="20" t="n">
        <v>46266</v>
      </c>
      <c r="C58" t="n">
        <v>37.07338917076792</v>
      </c>
      <c r="D58" t="n">
        <v>36.90897235326793</v>
      </c>
    </row>
    <row r="59">
      <c r="A59" s="20" t="n">
        <v>46296</v>
      </c>
      <c r="C59" t="n">
        <v>37.15662102976792</v>
      </c>
      <c r="D59" t="n">
        <v>36.98380138426792</v>
      </c>
    </row>
    <row r="60">
      <c r="A60" s="20" t="n">
        <v>46327</v>
      </c>
      <c r="C60" t="n">
        <v>37.30866387226792</v>
      </c>
      <c r="D60" t="n">
        <v>37.05794909626792</v>
      </c>
    </row>
    <row r="61">
      <c r="A61" s="20" t="n">
        <v>46357</v>
      </c>
      <c r="C61" t="n">
        <v>37.55113095276792</v>
      </c>
      <c r="D61" t="n">
        <v>37.13364807226792</v>
      </c>
    </row>
    <row r="62">
      <c r="A62" s="20" t="n">
        <v>46388</v>
      </c>
      <c r="C62" t="n">
        <v>37.33942436776793</v>
      </c>
      <c r="D62" t="n">
        <v>37.33942436776793</v>
      </c>
    </row>
    <row r="63">
      <c r="A63" s="20" t="n">
        <v>46419</v>
      </c>
      <c r="C63" t="n">
        <v>37.80302812976792</v>
      </c>
      <c r="D63" t="n">
        <v>37.67292776726792</v>
      </c>
    </row>
    <row r="64">
      <c r="A64" s="20" t="n">
        <v>46447</v>
      </c>
      <c r="C64" t="n">
        <v>38.31544147026792</v>
      </c>
      <c r="D64" t="n">
        <v>37.76652481526792</v>
      </c>
    </row>
    <row r="65">
      <c r="A65" s="20" t="n">
        <v>46478</v>
      </c>
      <c r="C65" t="n">
        <v>38.60221838576792</v>
      </c>
      <c r="D65" t="n">
        <v>38.60221838576792</v>
      </c>
    </row>
    <row r="66">
      <c r="A66" s="20" t="n">
        <v>46508</v>
      </c>
      <c r="C66" t="n">
        <v>38.89022672776792</v>
      </c>
      <c r="D66" t="n">
        <v>38.89022672776792</v>
      </c>
    </row>
    <row r="67">
      <c r="A67" s="20" t="n">
        <v>46539</v>
      </c>
      <c r="C67" t="n">
        <v>39.17521527876792</v>
      </c>
      <c r="D67" t="n">
        <v>39.17521527876792</v>
      </c>
    </row>
    <row r="68">
      <c r="A68" s="20" t="n">
        <v>46569</v>
      </c>
      <c r="C68" t="n">
        <v>39.45730972076792</v>
      </c>
      <c r="D68" t="n">
        <v>39.45730972076792</v>
      </c>
    </row>
    <row r="69">
      <c r="A69" s="20" t="n">
        <v>46600</v>
      </c>
      <c r="C69" t="n">
        <v>39.73487834926792</v>
      </c>
      <c r="D69" t="n">
        <v>39.73487834926792</v>
      </c>
    </row>
    <row r="70">
      <c r="A70" s="20" t="n">
        <v>46631</v>
      </c>
      <c r="C70" t="n">
        <v>40.01148134576792</v>
      </c>
      <c r="D70" t="n">
        <v>40.01148134576792</v>
      </c>
    </row>
    <row r="71">
      <c r="A71" s="20" t="n">
        <v>46661</v>
      </c>
      <c r="C71" t="n">
        <v>40.28887050976792</v>
      </c>
      <c r="D71" t="n">
        <v>40.28887050976792</v>
      </c>
    </row>
    <row r="72">
      <c r="A72" s="20" t="n">
        <v>46692</v>
      </c>
      <c r="C72" t="n">
        <v>40.55644387076792</v>
      </c>
      <c r="D72" t="n">
        <v>40.55644387076792</v>
      </c>
    </row>
    <row r="73">
      <c r="A73" s="20" t="n">
        <v>46722</v>
      </c>
      <c r="C73" t="n">
        <v>40.81420443676792</v>
      </c>
      <c r="D73" t="n">
        <v>40.81420443676792</v>
      </c>
    </row>
    <row r="74">
      <c r="A74" s="20" t="n">
        <v>46753</v>
      </c>
      <c r="C74" t="n">
        <v>40.13310295841158</v>
      </c>
      <c r="D74" t="n">
        <v>40.13310295841158</v>
      </c>
    </row>
    <row r="75">
      <c r="A75" s="20" t="n">
        <v>46784</v>
      </c>
      <c r="C75" t="n">
        <v>40.63059554593956</v>
      </c>
      <c r="D75" t="n">
        <v>40.63059554593956</v>
      </c>
    </row>
    <row r="76">
      <c r="A76" s="20" t="n">
        <v>46813</v>
      </c>
      <c r="C76" t="n">
        <v>41.18146952508894</v>
      </c>
      <c r="D76" t="n">
        <v>41.18146952508894</v>
      </c>
    </row>
    <row r="77">
      <c r="A77" s="20" t="n">
        <v>46844</v>
      </c>
      <c r="C77" t="n">
        <v>41.48922291305333</v>
      </c>
      <c r="D77" t="n">
        <v>41.48922291305333</v>
      </c>
    </row>
    <row r="78">
      <c r="A78" s="20" t="n">
        <v>46874</v>
      </c>
      <c r="C78" t="n">
        <v>41.79830105138353</v>
      </c>
      <c r="D78" t="n">
        <v>41.79830105138353</v>
      </c>
    </row>
    <row r="79">
      <c r="A79" s="20" t="n">
        <v>46905</v>
      </c>
      <c r="C79" t="n">
        <v>42.10413205389679</v>
      </c>
      <c r="D79" t="n">
        <v>42.10413205389679</v>
      </c>
    </row>
    <row r="80">
      <c r="A80" s="20" t="n">
        <v>46935</v>
      </c>
      <c r="C80" t="n">
        <v>42.40686323469862</v>
      </c>
      <c r="D80" t="n">
        <v>42.40686323469862</v>
      </c>
    </row>
    <row r="81">
      <c r="A81" s="20" t="n">
        <v>46966</v>
      </c>
      <c r="C81" t="n">
        <v>42.70475196875407</v>
      </c>
      <c r="D81" t="n">
        <v>42.70475196875407</v>
      </c>
    </row>
    <row r="82">
      <c r="A82" s="20" t="n">
        <v>46997</v>
      </c>
      <c r="C82" t="n">
        <v>43.0015479376009</v>
      </c>
      <c r="D82" t="n">
        <v>43.0015479376009</v>
      </c>
    </row>
    <row r="83">
      <c r="A83" s="20" t="n">
        <v>47027</v>
      </c>
      <c r="C83" t="n">
        <v>43.29914559142134</v>
      </c>
      <c r="D83" t="n">
        <v>43.29914559142134</v>
      </c>
    </row>
    <row r="84">
      <c r="A84" s="20" t="n">
        <v>47058</v>
      </c>
      <c r="C84" t="n">
        <v>43.5862461949834</v>
      </c>
      <c r="D84" t="n">
        <v>43.5862461949834</v>
      </c>
    </row>
    <row r="85">
      <c r="A85" s="20" t="n">
        <v>47088</v>
      </c>
      <c r="C85" t="n">
        <v>43.86284261676505</v>
      </c>
      <c r="D85" t="n">
        <v>43.86284261676505</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97"/>
  <sheetViews>
    <sheetView workbookViewId="0">
      <selection activeCell="A1" sqref="A1"/>
    </sheetView>
  </sheetViews>
  <sheetFormatPr baseColWidth="8" defaultRowHeight="15"/>
  <cols>
    <col width="11" customWidth="1" min="1" max="1"/>
  </cols>
  <sheetData>
    <row r="1">
      <c r="A1" t="inlineStr">
        <is>
          <t>Date</t>
        </is>
      </c>
      <c r="B1" t="inlineStr">
        <is>
          <t>Base (base production, base LNG)</t>
        </is>
      </c>
      <c r="C1" t="inlineStr">
        <is>
          <t>Delayed (takeaway delayed 6 months, LNG delayed 6 months)</t>
        </is>
      </c>
    </row>
    <row r="2">
      <c r="A2" s="20" t="n">
        <v>44197</v>
      </c>
      <c r="B2" t="n">
        <v>3.716848064516128</v>
      </c>
      <c r="C2" t="n">
        <v>3.716848064516128</v>
      </c>
    </row>
    <row r="3">
      <c r="A3" s="20" t="n">
        <v>44228</v>
      </c>
      <c r="B3" t="n">
        <v>1.69296107142857</v>
      </c>
      <c r="C3" t="n">
        <v>1.69296107142857</v>
      </c>
    </row>
    <row r="4">
      <c r="A4" s="20" t="n">
        <v>44256</v>
      </c>
      <c r="B4" t="n">
        <v>6.786179354838708</v>
      </c>
      <c r="C4" t="n">
        <v>6.786179354838708</v>
      </c>
    </row>
    <row r="5">
      <c r="A5" s="20" t="n">
        <v>44287</v>
      </c>
      <c r="B5" t="n">
        <v>6.742908666666661</v>
      </c>
      <c r="C5" t="n">
        <v>6.742908666666661</v>
      </c>
    </row>
    <row r="6">
      <c r="A6" s="20" t="n">
        <v>44317</v>
      </c>
      <c r="B6" t="n">
        <v>6.816761935483871</v>
      </c>
      <c r="C6" t="n">
        <v>6.816761935483871</v>
      </c>
    </row>
    <row r="7">
      <c r="A7" s="20" t="n">
        <v>44348</v>
      </c>
      <c r="B7" t="n">
        <v>4.585908333333332</v>
      </c>
      <c r="C7" t="n">
        <v>4.585908333333332</v>
      </c>
    </row>
    <row r="8">
      <c r="A8" s="20" t="n">
        <v>44378</v>
      </c>
      <c r="B8" t="n">
        <v>4.606321935483866</v>
      </c>
      <c r="C8" t="n">
        <v>4.606321935483866</v>
      </c>
    </row>
    <row r="9">
      <c r="A9" s="20" t="n">
        <v>44409</v>
      </c>
      <c r="B9" t="n">
        <v>4.406169354838703</v>
      </c>
      <c r="C9" t="n">
        <v>4.406169354838703</v>
      </c>
    </row>
    <row r="10">
      <c r="A10" s="20" t="n">
        <v>44440</v>
      </c>
      <c r="B10" t="n">
        <v>6.713868000000005</v>
      </c>
      <c r="C10" t="n">
        <v>6.713868000000005</v>
      </c>
    </row>
    <row r="11">
      <c r="A11" s="20" t="n">
        <v>44470</v>
      </c>
      <c r="B11" t="n">
        <v>7.267755806451607</v>
      </c>
      <c r="C11" t="n">
        <v>7.267755806451607</v>
      </c>
    </row>
    <row r="12">
      <c r="A12" s="20" t="n">
        <v>44501</v>
      </c>
      <c r="B12" t="n">
        <v>8.019658666666668</v>
      </c>
      <c r="C12" t="n">
        <v>8.019658666666668</v>
      </c>
    </row>
    <row r="13">
      <c r="A13" s="20" t="n">
        <v>44531</v>
      </c>
      <c r="B13" t="n">
        <v>7.689309032258066</v>
      </c>
      <c r="C13" t="n">
        <v>7.689309032258066</v>
      </c>
    </row>
    <row r="14">
      <c r="A14" s="20" t="n">
        <v>44562</v>
      </c>
      <c r="B14" t="n">
        <v>4.266243225806445</v>
      </c>
      <c r="C14" t="n">
        <v>4.266243225806445</v>
      </c>
    </row>
    <row r="15">
      <c r="A15" s="20" t="n">
        <v>44593</v>
      </c>
      <c r="B15" t="n">
        <v>4.689018214285714</v>
      </c>
      <c r="C15" t="n">
        <v>4.689018214285714</v>
      </c>
    </row>
    <row r="16">
      <c r="A16" s="20" t="n">
        <v>44621</v>
      </c>
      <c r="B16" t="n">
        <v>7.723432258064523</v>
      </c>
      <c r="C16" t="n">
        <v>7.723432258064523</v>
      </c>
    </row>
    <row r="17">
      <c r="A17" s="20" t="n">
        <v>44652</v>
      </c>
      <c r="B17" t="n">
        <v>9.449604666666666</v>
      </c>
      <c r="C17" t="n">
        <v>9.449604666666666</v>
      </c>
    </row>
    <row r="18">
      <c r="A18" s="20" t="n">
        <v>44682</v>
      </c>
      <c r="B18" t="n">
        <v>6.77087580645161</v>
      </c>
      <c r="C18" t="n">
        <v>6.77087580645161</v>
      </c>
    </row>
    <row r="19">
      <c r="A19" s="20" t="n">
        <v>44713</v>
      </c>
      <c r="B19" t="n">
        <v>6.78893466666667</v>
      </c>
      <c r="C19" t="n">
        <v>6.78893466666667</v>
      </c>
    </row>
    <row r="20">
      <c r="A20" s="20" t="n">
        <v>44743</v>
      </c>
      <c r="B20" t="n">
        <v>6.265635806451606</v>
      </c>
      <c r="C20" t="n">
        <v>6.265635806451606</v>
      </c>
    </row>
    <row r="21">
      <c r="A21" s="20" t="n">
        <v>44774</v>
      </c>
      <c r="B21" t="n">
        <v>7.077783225806446</v>
      </c>
      <c r="C21" t="n">
        <v>7.077783225806446</v>
      </c>
    </row>
    <row r="22">
      <c r="A22" s="20" t="n">
        <v>44805</v>
      </c>
      <c r="B22" t="n">
        <v>8.963766999999994</v>
      </c>
      <c r="C22" t="n">
        <v>8.963766999999994</v>
      </c>
    </row>
    <row r="23">
      <c r="A23" s="20" t="n">
        <v>44835</v>
      </c>
      <c r="B23" t="n">
        <v>9.765459999999997</v>
      </c>
      <c r="C23" t="n">
        <v>9.765459999999997</v>
      </c>
    </row>
    <row r="24">
      <c r="A24" s="20" t="n">
        <v>44866</v>
      </c>
      <c r="B24" t="n">
        <v>9.212582666666663</v>
      </c>
      <c r="C24" t="n">
        <v>9.212582666666663</v>
      </c>
    </row>
    <row r="25">
      <c r="A25" s="20" t="n">
        <v>44896</v>
      </c>
      <c r="B25" t="n">
        <v>9.008815806451612</v>
      </c>
      <c r="C25" t="n">
        <v>9.008815806451612</v>
      </c>
    </row>
    <row r="26">
      <c r="A26" s="20" t="n">
        <v>44927</v>
      </c>
      <c r="B26" t="n">
        <v>8.654350967741937</v>
      </c>
      <c r="C26" t="n">
        <v>8.654350967741937</v>
      </c>
    </row>
    <row r="27">
      <c r="A27" s="20" t="n">
        <v>44958</v>
      </c>
      <c r="B27" t="n">
        <v>7.744667857142858</v>
      </c>
      <c r="C27" t="n">
        <v>7.744667857142858</v>
      </c>
    </row>
    <row r="28">
      <c r="A28" s="20" t="n">
        <v>44986</v>
      </c>
      <c r="B28" t="n">
        <v>9.850159032258059</v>
      </c>
      <c r="C28" t="n">
        <v>9.850159032258059</v>
      </c>
    </row>
    <row r="29">
      <c r="A29" s="20" t="n">
        <v>45017</v>
      </c>
      <c r="B29" t="n">
        <v>8.734059666666667</v>
      </c>
      <c r="C29" t="n">
        <v>8.734059666666667</v>
      </c>
    </row>
    <row r="30">
      <c r="A30" s="20" t="n">
        <v>45047</v>
      </c>
      <c r="B30" t="n">
        <v>7.367092258064517</v>
      </c>
      <c r="C30" t="n">
        <v>7.367092258064517</v>
      </c>
    </row>
    <row r="31">
      <c r="A31" s="20" t="n">
        <v>45078</v>
      </c>
      <c r="B31" t="n">
        <v>5.058455666666664</v>
      </c>
      <c r="C31" t="n">
        <v>5.058455666666667</v>
      </c>
    </row>
    <row r="32">
      <c r="A32" s="20" t="n">
        <v>45108</v>
      </c>
      <c r="B32" t="n">
        <v>5.42724225806451</v>
      </c>
      <c r="C32" t="n">
        <v>5.42724225806451</v>
      </c>
    </row>
    <row r="33">
      <c r="A33" s="20" t="n">
        <v>45139</v>
      </c>
      <c r="B33" t="n">
        <v>4.387861290322586</v>
      </c>
      <c r="C33" t="n">
        <v>4.387861290322586</v>
      </c>
    </row>
    <row r="34">
      <c r="A34" s="20" t="n">
        <v>45170</v>
      </c>
      <c r="B34" t="n">
        <v>6.548760000000001</v>
      </c>
      <c r="C34" t="n">
        <v>6.548760000000001</v>
      </c>
    </row>
    <row r="35">
      <c r="A35" s="20" t="n">
        <v>45200</v>
      </c>
      <c r="B35" t="n">
        <v>8.278247419354841</v>
      </c>
      <c r="C35" t="n">
        <v>8.278247419354841</v>
      </c>
    </row>
    <row r="36">
      <c r="A36" s="20" t="n">
        <v>45231</v>
      </c>
      <c r="B36" t="n">
        <v>8.06780466666666</v>
      </c>
      <c r="C36" t="n">
        <v>8.06780466666666</v>
      </c>
    </row>
    <row r="37">
      <c r="A37" s="20" t="n">
        <v>45261</v>
      </c>
      <c r="B37" t="n">
        <v>7.571026774193552</v>
      </c>
      <c r="C37" t="n">
        <v>7.571026774193552</v>
      </c>
    </row>
    <row r="38">
      <c r="A38" s="20" t="n">
        <v>45292</v>
      </c>
      <c r="B38" t="n">
        <v>4.140807741935483</v>
      </c>
      <c r="C38" t="n">
        <v>4.140807741935486</v>
      </c>
    </row>
    <row r="39">
      <c r="A39" s="20" t="n">
        <v>45323</v>
      </c>
      <c r="B39" t="n">
        <v>8.521878620689652</v>
      </c>
      <c r="C39" t="n">
        <v>8.521878620689652</v>
      </c>
    </row>
    <row r="40">
      <c r="A40" s="20" t="n">
        <v>45352</v>
      </c>
      <c r="B40" t="n">
        <v>9.454575483870968</v>
      </c>
      <c r="C40" t="n">
        <v>9.454575483870968</v>
      </c>
    </row>
    <row r="41">
      <c r="A41" s="20" t="n">
        <v>45383</v>
      </c>
      <c r="B41" t="n">
        <v>10.541805</v>
      </c>
      <c r="C41" t="n">
        <v>10.541805</v>
      </c>
    </row>
    <row r="42">
      <c r="A42" s="20" t="n">
        <v>45413</v>
      </c>
      <c r="B42" t="n">
        <v>8.29567290322581</v>
      </c>
      <c r="C42" t="n">
        <v>8.29567290322581</v>
      </c>
    </row>
    <row r="43">
      <c r="A43" s="20" t="n">
        <v>45444</v>
      </c>
      <c r="B43" t="n">
        <v>6.917958333333335</v>
      </c>
      <c r="C43" t="n">
        <v>6.917958333333338</v>
      </c>
    </row>
    <row r="44">
      <c r="A44" s="20" t="n">
        <v>45474</v>
      </c>
      <c r="B44" t="n">
        <v>8.266529354838713</v>
      </c>
      <c r="C44" t="n">
        <v>8.266529354838713</v>
      </c>
    </row>
    <row r="45">
      <c r="A45" s="20" t="n">
        <v>45505</v>
      </c>
      <c r="B45" t="n">
        <v>5.672980645161289</v>
      </c>
      <c r="C45" t="n">
        <v>5.672980645161289</v>
      </c>
    </row>
    <row r="46">
      <c r="A46" s="20" t="n">
        <v>45536</v>
      </c>
      <c r="B46" t="n">
        <v>7.475400666666669</v>
      </c>
      <c r="C46" t="n">
        <v>7.475400666666669</v>
      </c>
    </row>
    <row r="47">
      <c r="A47" s="20" t="n">
        <v>45566</v>
      </c>
      <c r="B47" t="n">
        <v>9.006645483870969</v>
      </c>
      <c r="C47" t="n">
        <v>9.006645483870969</v>
      </c>
    </row>
    <row r="48">
      <c r="A48" s="20" t="n">
        <v>45597</v>
      </c>
      <c r="B48" t="n">
        <v>9.693369999999994</v>
      </c>
      <c r="C48" t="n">
        <v>9.693369999999994</v>
      </c>
    </row>
    <row r="49">
      <c r="A49" s="20" t="n">
        <v>45627</v>
      </c>
      <c r="B49" t="n">
        <v>8.757649999999998</v>
      </c>
      <c r="C49" t="n">
        <v>8.757649999999998</v>
      </c>
    </row>
    <row r="50">
      <c r="A50" s="20" t="n">
        <v>45658</v>
      </c>
      <c r="B50" t="n">
        <v>6.127527442682869</v>
      </c>
      <c r="C50" t="n">
        <v>6.127527442682869</v>
      </c>
    </row>
    <row r="51">
      <c r="A51" s="20" t="n">
        <v>45689</v>
      </c>
      <c r="B51" t="n">
        <v>6.740801763599304</v>
      </c>
      <c r="C51" t="n">
        <v>6.740801763599304</v>
      </c>
    </row>
    <row r="52">
      <c r="A52" s="20" t="n">
        <v>45717</v>
      </c>
      <c r="B52" t="n">
        <v>10.55711949504698</v>
      </c>
      <c r="C52" t="n">
        <v>10.55711949504698</v>
      </c>
    </row>
    <row r="53">
      <c r="A53" s="20" t="n">
        <v>45748</v>
      </c>
      <c r="B53" t="n">
        <v>9.805337588501391</v>
      </c>
      <c r="C53" t="n">
        <v>9.805337588501391</v>
      </c>
    </row>
    <row r="54">
      <c r="A54" s="20" t="n">
        <v>45778</v>
      </c>
      <c r="B54" t="n">
        <v>8.428575933689263</v>
      </c>
      <c r="C54" t="n">
        <v>8.428575933689263</v>
      </c>
    </row>
    <row r="55">
      <c r="A55" s="20" t="n">
        <v>45809</v>
      </c>
      <c r="B55" t="n">
        <v>8.128174132195607</v>
      </c>
      <c r="C55" t="n">
        <v>8.128174132195607</v>
      </c>
    </row>
    <row r="56">
      <c r="A56" s="20" t="n">
        <v>45839</v>
      </c>
      <c r="B56" t="n">
        <v>8.405535456886316</v>
      </c>
      <c r="C56" t="n">
        <v>8.405535456886316</v>
      </c>
    </row>
    <row r="57">
      <c r="A57" s="20" t="n">
        <v>45870</v>
      </c>
      <c r="B57" t="n">
        <v>7.834150017682539</v>
      </c>
      <c r="C57" t="n">
        <v>7.834150017682539</v>
      </c>
    </row>
    <row r="58">
      <c r="A58" s="20" t="n">
        <v>45901</v>
      </c>
      <c r="B58" t="n">
        <v>8.700235920587783</v>
      </c>
      <c r="C58" t="n">
        <v>8.700235920587783</v>
      </c>
    </row>
    <row r="59">
      <c r="A59" s="20" t="n">
        <v>45931</v>
      </c>
      <c r="B59" t="n">
        <v>9.513069584714021</v>
      </c>
      <c r="C59" t="n">
        <v>9.513069584714021</v>
      </c>
    </row>
    <row r="60">
      <c r="A60" s="20" t="n">
        <v>45962</v>
      </c>
      <c r="B60" t="n">
        <v>10.00037507020219</v>
      </c>
      <c r="C60" t="n">
        <v>10.00037507020219</v>
      </c>
    </row>
    <row r="61">
      <c r="A61" s="20" t="n">
        <v>45992</v>
      </c>
      <c r="B61" t="n">
        <v>9.228223292132931</v>
      </c>
      <c r="C61" t="n">
        <v>9.228223292132931</v>
      </c>
    </row>
    <row r="62">
      <c r="A62" s="20" t="n">
        <v>46023</v>
      </c>
      <c r="B62" t="n">
        <v>7.335285713558207</v>
      </c>
      <c r="C62" t="n">
        <v>7.335285713558203</v>
      </c>
    </row>
    <row r="63">
      <c r="A63" s="20" t="n">
        <v>46054</v>
      </c>
      <c r="B63" t="n">
        <v>9.276158277213401</v>
      </c>
      <c r="C63" t="n">
        <v>9.276158277213401</v>
      </c>
    </row>
    <row r="64">
      <c r="A64" s="20" t="n">
        <v>46082</v>
      </c>
      <c r="B64" t="n">
        <v>10.58053651762846</v>
      </c>
      <c r="C64" t="n">
        <v>10.58053651762846</v>
      </c>
    </row>
    <row r="65">
      <c r="A65" s="20" t="n">
        <v>46113</v>
      </c>
      <c r="B65" t="n">
        <v>10.30054912997807</v>
      </c>
      <c r="C65" t="n">
        <v>10.30054912997807</v>
      </c>
    </row>
    <row r="66">
      <c r="A66" s="20" t="n">
        <v>46143</v>
      </c>
      <c r="B66" t="n">
        <v>9.481400235125108</v>
      </c>
      <c r="C66" t="n">
        <v>9.481400235125108</v>
      </c>
    </row>
    <row r="67">
      <c r="A67" s="20" t="n">
        <v>46174</v>
      </c>
      <c r="B67" t="n">
        <v>8.406122506792759</v>
      </c>
      <c r="C67" t="n">
        <v>8.406122506792759</v>
      </c>
    </row>
    <row r="68">
      <c r="A68" s="20" t="n">
        <v>46204</v>
      </c>
      <c r="B68" t="n">
        <v>8.777172163307782</v>
      </c>
      <c r="C68" t="n">
        <v>8.777172163307782</v>
      </c>
    </row>
    <row r="69">
      <c r="A69" s="20" t="n">
        <v>46235</v>
      </c>
      <c r="B69" t="n">
        <v>7.453127203130617</v>
      </c>
      <c r="C69" t="n">
        <v>7.342037844088708</v>
      </c>
    </row>
    <row r="70">
      <c r="A70" s="20" t="n">
        <v>46266</v>
      </c>
      <c r="B70" t="n">
        <v>8.703088126879802</v>
      </c>
      <c r="C70" t="n">
        <v>8.565580988364619</v>
      </c>
    </row>
    <row r="71">
      <c r="A71" s="20" t="n">
        <v>46296</v>
      </c>
      <c r="B71" t="n">
        <v>10.24765328506397</v>
      </c>
      <c r="C71" t="n">
        <v>10.1031185878642</v>
      </c>
    </row>
    <row r="72">
      <c r="A72" s="20" t="n">
        <v>46327</v>
      </c>
      <c r="B72" t="n">
        <v>10.35776738798647</v>
      </c>
      <c r="C72" t="n">
        <v>10.1480864565864</v>
      </c>
    </row>
    <row r="73">
      <c r="A73" s="20" t="n">
        <v>46357</v>
      </c>
      <c r="B73" t="n">
        <v>9.932247142521334</v>
      </c>
      <c r="C73" t="n">
        <v>9.720364291826904</v>
      </c>
    </row>
    <row r="74">
      <c r="A74" s="20" t="n">
        <v>46388</v>
      </c>
      <c r="B74" t="n">
        <v>7.887261312249048</v>
      </c>
      <c r="C74" t="n">
        <v>8.074294458337267</v>
      </c>
    </row>
    <row r="75">
      <c r="A75" s="20" t="n">
        <v>46419</v>
      </c>
      <c r="B75" t="n">
        <v>10.12851448421075</v>
      </c>
      <c r="C75" t="n">
        <v>10.25800485864421</v>
      </c>
    </row>
    <row r="76">
      <c r="A76" s="20" t="n">
        <v>46447</v>
      </c>
      <c r="B76" t="n">
        <v>11.97968692882821</v>
      </c>
      <c r="C76" t="n">
        <v>11.93982464615473</v>
      </c>
    </row>
    <row r="77">
      <c r="A77" s="20" t="n">
        <v>46478</v>
      </c>
      <c r="B77" t="n">
        <v>11.79592579516796</v>
      </c>
      <c r="C77" t="n">
        <v>12.45728174034313</v>
      </c>
    </row>
    <row r="78">
      <c r="A78" s="20" t="n">
        <v>46508</v>
      </c>
      <c r="B78" t="n">
        <v>10.31858676894141</v>
      </c>
      <c r="C78" t="n">
        <v>11.22401896177502</v>
      </c>
    </row>
    <row r="79">
      <c r="A79" s="20" t="n">
        <v>46539</v>
      </c>
      <c r="B79" t="n">
        <v>9.348913908190177</v>
      </c>
      <c r="C79" t="n">
        <v>10.36295155680006</v>
      </c>
    </row>
    <row r="80">
      <c r="A80" s="20" t="n">
        <v>46569</v>
      </c>
      <c r="B80" t="n">
        <v>9.008551119212949</v>
      </c>
      <c r="C80" t="n">
        <v>10.28710814106421</v>
      </c>
    </row>
    <row r="81">
      <c r="A81" s="20" t="n">
        <v>46600</v>
      </c>
      <c r="B81" t="n">
        <v>7.739243573929794</v>
      </c>
      <c r="C81" t="n">
        <v>9.277361522227128</v>
      </c>
    </row>
    <row r="82">
      <c r="A82" s="20" t="n">
        <v>46631</v>
      </c>
      <c r="B82" t="n">
        <v>8.721218562419537</v>
      </c>
      <c r="C82" t="n">
        <v>10.42573417037386</v>
      </c>
    </row>
    <row r="83">
      <c r="A83" s="20" t="n">
        <v>46661</v>
      </c>
      <c r="B83" t="n">
        <v>9.922890965046243</v>
      </c>
      <c r="C83" t="n">
        <v>11.81934280889347</v>
      </c>
    </row>
    <row r="84">
      <c r="A84" s="20" t="n">
        <v>46692</v>
      </c>
      <c r="B84" t="n">
        <v>9.671570665875183</v>
      </c>
      <c r="C84" t="n">
        <v>11.75670363317645</v>
      </c>
    </row>
    <row r="85">
      <c r="A85" s="20" t="n">
        <v>46722</v>
      </c>
      <c r="B85" t="n">
        <v>9.192378106182659</v>
      </c>
      <c r="C85" t="n">
        <v>11.29709146678637</v>
      </c>
    </row>
    <row r="86">
      <c r="A86" s="20" t="n">
        <v>46753</v>
      </c>
      <c r="B86" t="n">
        <v>6.872166755201249</v>
      </c>
      <c r="C86" t="n">
        <v>8.669554653158205</v>
      </c>
    </row>
    <row r="87">
      <c r="A87" s="20" t="n">
        <v>46784</v>
      </c>
      <c r="B87" t="n">
        <v>8.976215337107412</v>
      </c>
      <c r="C87" t="n">
        <v>10.73831485464366</v>
      </c>
    </row>
    <row r="88">
      <c r="A88" s="20" t="n">
        <v>46813</v>
      </c>
      <c r="B88" t="n">
        <v>10.93384635112291</v>
      </c>
      <c r="C88" t="n">
        <v>12.58930643025211</v>
      </c>
    </row>
    <row r="89">
      <c r="A89" s="20" t="n">
        <v>46844</v>
      </c>
      <c r="B89" t="n">
        <v>10.95339652104136</v>
      </c>
      <c r="C89" t="n">
        <v>12.38340348354377</v>
      </c>
    </row>
    <row r="90">
      <c r="A90" s="20" t="n">
        <v>46874</v>
      </c>
      <c r="B90" t="n">
        <v>9.425716666128118</v>
      </c>
      <c r="C90" t="n">
        <v>10.76623875106668</v>
      </c>
    </row>
    <row r="91">
      <c r="A91" s="20" t="n">
        <v>46905</v>
      </c>
      <c r="B91" t="n">
        <v>8.405159019516848</v>
      </c>
      <c r="C91" t="n">
        <v>9.778609217488324</v>
      </c>
    </row>
    <row r="92">
      <c r="A92" s="20" t="n">
        <v>46935</v>
      </c>
      <c r="B92" t="n">
        <v>8.248808179171021</v>
      </c>
      <c r="C92" t="n">
        <v>9.749562809350781</v>
      </c>
    </row>
    <row r="93">
      <c r="A93" s="20" t="n">
        <v>46966</v>
      </c>
      <c r="B93" t="n">
        <v>7.009775721831222</v>
      </c>
      <c r="C93" t="n">
        <v>8.488746075722759</v>
      </c>
    </row>
    <row r="94">
      <c r="A94" s="20" t="n">
        <v>46997</v>
      </c>
      <c r="B94" t="n">
        <v>7.88069348558647</v>
      </c>
      <c r="C94" t="n">
        <v>9.478810983308648</v>
      </c>
    </row>
    <row r="95">
      <c r="A95" s="20" t="n">
        <v>47027</v>
      </c>
      <c r="B95" t="n">
        <v>9.198605337239837</v>
      </c>
      <c r="C95" t="n">
        <v>10.86291733282324</v>
      </c>
    </row>
    <row r="96">
      <c r="A96" s="20" t="n">
        <v>47058</v>
      </c>
      <c r="B96" t="n">
        <v>9.19188780415746</v>
      </c>
      <c r="C96" t="n">
        <v>10.77418890683676</v>
      </c>
    </row>
    <row r="97">
      <c r="A97" s="20" t="n">
        <v>47088</v>
      </c>
      <c r="B97" t="n">
        <v>8.944422793471926</v>
      </c>
      <c r="C97" t="n">
        <v>10.3212524249905</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D49"/>
  <sheetViews>
    <sheetView workbookViewId="0">
      <selection activeCell="A1" sqref="A1"/>
    </sheetView>
  </sheetViews>
  <sheetFormatPr baseColWidth="8" defaultRowHeight="15"/>
  <cols>
    <col width="11" customWidth="1" min="1" max="1"/>
  </cols>
  <sheetData>
    <row r="1">
      <c r="A1" t="inlineStr">
        <is>
          <t>Date</t>
        </is>
      </c>
      <c r="B1" t="inlineStr">
        <is>
          <t>STEO Permian marketed</t>
        </is>
      </c>
      <c r="C1" t="inlineStr">
        <is>
          <t>Takeaway + local demand, base</t>
        </is>
      </c>
      <c r="D1" t="inlineStr">
        <is>
          <t>Takeaway + local demand, delayed</t>
        </is>
      </c>
    </row>
    <row r="2">
      <c r="A2" s="20" t="n">
        <v>45658</v>
      </c>
      <c r="B2" t="n">
        <v>25.8656134</v>
      </c>
      <c r="C2" t="n">
        <v>29.5</v>
      </c>
      <c r="D2" t="n">
        <v>29.5</v>
      </c>
    </row>
    <row r="3">
      <c r="A3" s="20" t="n">
        <v>45689</v>
      </c>
      <c r="B3" t="n">
        <v>26.25359514</v>
      </c>
      <c r="C3" t="n">
        <v>29.5</v>
      </c>
      <c r="D3" t="n">
        <v>29.5</v>
      </c>
    </row>
    <row r="4">
      <c r="A4" s="20" t="n">
        <v>45717</v>
      </c>
      <c r="B4" t="n">
        <v>26.90295259</v>
      </c>
      <c r="C4" t="n">
        <v>29.5</v>
      </c>
      <c r="D4" t="n">
        <v>29.5</v>
      </c>
    </row>
    <row r="5">
      <c r="A5" s="20" t="n">
        <v>45748</v>
      </c>
      <c r="B5" t="n">
        <v>26.86164757</v>
      </c>
      <c r="C5" t="n">
        <v>29.5</v>
      </c>
      <c r="D5" t="n">
        <v>29.5</v>
      </c>
    </row>
    <row r="6">
      <c r="A6" s="20" t="n">
        <v>45778</v>
      </c>
      <c r="B6" t="n">
        <v>26.87649226</v>
      </c>
      <c r="C6" t="n">
        <v>29.5</v>
      </c>
      <c r="D6" t="n">
        <v>29.5</v>
      </c>
    </row>
    <row r="7">
      <c r="A7" s="20" t="n">
        <v>45809</v>
      </c>
      <c r="B7" t="n">
        <v>27.44590982</v>
      </c>
      <c r="C7" t="n">
        <v>29.5</v>
      </c>
      <c r="D7" t="n">
        <v>29.5</v>
      </c>
    </row>
    <row r="8">
      <c r="A8" s="20" t="n">
        <v>45839</v>
      </c>
      <c r="B8" t="n">
        <v>28.09928137</v>
      </c>
      <c r="C8" t="n">
        <v>29.5</v>
      </c>
      <c r="D8" t="n">
        <v>29.5</v>
      </c>
    </row>
    <row r="9">
      <c r="A9" s="20" t="n">
        <v>45870</v>
      </c>
      <c r="B9" t="n">
        <v>28.34933697</v>
      </c>
      <c r="C9" t="n">
        <v>29.5</v>
      </c>
      <c r="D9" t="n">
        <v>29.5</v>
      </c>
    </row>
    <row r="10">
      <c r="A10" s="20" t="n">
        <v>45901</v>
      </c>
      <c r="B10" t="n">
        <v>28.48629962</v>
      </c>
      <c r="C10" t="n">
        <v>29.5</v>
      </c>
      <c r="D10" t="n">
        <v>29.5</v>
      </c>
    </row>
    <row r="11">
      <c r="A11" s="20" t="n">
        <v>45931</v>
      </c>
      <c r="B11" t="n">
        <v>27.75974445</v>
      </c>
      <c r="C11" t="n">
        <v>29.5</v>
      </c>
      <c r="D11" t="n">
        <v>29.5</v>
      </c>
    </row>
    <row r="12">
      <c r="A12" s="20" t="n">
        <v>45962</v>
      </c>
      <c r="B12" t="n">
        <v>28.68153881</v>
      </c>
      <c r="C12" t="n">
        <v>29.5</v>
      </c>
      <c r="D12" t="n">
        <v>29.5</v>
      </c>
    </row>
    <row r="13">
      <c r="A13" s="20" t="n">
        <v>45992</v>
      </c>
      <c r="B13" t="n">
        <v>28.91912698</v>
      </c>
      <c r="C13" t="n">
        <v>29.5</v>
      </c>
      <c r="D13" t="n">
        <v>29.5</v>
      </c>
    </row>
    <row r="14">
      <c r="A14" s="20" t="n">
        <v>46023</v>
      </c>
      <c r="B14" t="n">
        <v>27.92296452</v>
      </c>
      <c r="C14" t="n">
        <v>29.5</v>
      </c>
      <c r="D14" t="n">
        <v>29.5</v>
      </c>
    </row>
    <row r="15">
      <c r="A15" s="20" t="n">
        <v>46054</v>
      </c>
      <c r="B15" t="n">
        <v>28.93248373</v>
      </c>
      <c r="C15" t="n">
        <v>29.5</v>
      </c>
      <c r="D15" t="n">
        <v>29.5</v>
      </c>
    </row>
    <row r="16">
      <c r="A16" s="20" t="n">
        <v>46082</v>
      </c>
      <c r="B16" t="n">
        <v>28.84765075</v>
      </c>
      <c r="C16" t="n">
        <v>29.5</v>
      </c>
      <c r="D16" t="n">
        <v>29.5</v>
      </c>
    </row>
    <row r="17">
      <c r="A17" s="20" t="n">
        <v>46113</v>
      </c>
      <c r="B17" t="n">
        <v>28.96837335</v>
      </c>
      <c r="C17" t="n">
        <v>29.5</v>
      </c>
      <c r="D17" t="n">
        <v>29.5</v>
      </c>
    </row>
    <row r="18">
      <c r="A18" s="20" t="n">
        <v>46143</v>
      </c>
      <c r="B18" t="n">
        <v>28.96428488</v>
      </c>
      <c r="C18" t="n">
        <v>29.5</v>
      </c>
      <c r="D18" t="n">
        <v>29.5</v>
      </c>
    </row>
    <row r="19">
      <c r="A19" s="20" t="n">
        <v>46174</v>
      </c>
      <c r="B19" t="n">
        <v>29.45638012</v>
      </c>
      <c r="C19" t="n">
        <v>29.5</v>
      </c>
      <c r="D19" t="n">
        <v>29.5</v>
      </c>
    </row>
    <row r="20">
      <c r="A20" s="20" t="n">
        <v>46204</v>
      </c>
      <c r="B20" t="n">
        <v>29.56494646</v>
      </c>
      <c r="C20" t="n">
        <v>30.07</v>
      </c>
      <c r="D20" t="n">
        <v>29.5</v>
      </c>
    </row>
    <row r="21">
      <c r="A21" s="20" t="n">
        <v>46235</v>
      </c>
      <c r="B21" t="n">
        <v>29.65626961</v>
      </c>
      <c r="C21" t="n">
        <v>30.07</v>
      </c>
      <c r="D21" t="n">
        <v>29.5</v>
      </c>
    </row>
    <row r="22">
      <c r="A22" s="20" t="n">
        <v>46266</v>
      </c>
      <c r="B22" t="n">
        <v>29.69343155</v>
      </c>
      <c r="C22" t="n">
        <v>30.07</v>
      </c>
      <c r="D22" t="n">
        <v>29.5</v>
      </c>
    </row>
    <row r="23">
      <c r="A23" s="20" t="n">
        <v>46296</v>
      </c>
      <c r="B23" t="n">
        <v>29.70331723</v>
      </c>
      <c r="C23" t="n">
        <v>32.57</v>
      </c>
      <c r="D23" t="n">
        <v>29.5</v>
      </c>
    </row>
    <row r="24">
      <c r="A24" s="20" t="n">
        <v>46327</v>
      </c>
      <c r="B24" t="n">
        <v>29.79495856</v>
      </c>
      <c r="C24" t="n">
        <v>32.57</v>
      </c>
      <c r="D24" t="n">
        <v>29.5</v>
      </c>
    </row>
    <row r="25">
      <c r="A25" s="20" t="n">
        <v>46357</v>
      </c>
      <c r="B25" t="n">
        <v>29.99115633</v>
      </c>
      <c r="C25" t="n">
        <v>34.07</v>
      </c>
      <c r="D25" t="n">
        <v>29.5</v>
      </c>
    </row>
    <row r="26">
      <c r="A26" s="20" t="n">
        <v>46388</v>
      </c>
      <c r="B26" t="n">
        <v>29.80984683</v>
      </c>
      <c r="C26" t="n">
        <v>34.07</v>
      </c>
      <c r="D26" t="n">
        <v>30.07</v>
      </c>
    </row>
    <row r="27">
      <c r="A27" s="20" t="n">
        <v>46419</v>
      </c>
      <c r="B27" t="n">
        <v>30.22305925</v>
      </c>
      <c r="C27" t="n">
        <v>34.07</v>
      </c>
      <c r="D27" t="n">
        <v>30.07</v>
      </c>
    </row>
    <row r="28">
      <c r="A28" s="20" t="n">
        <v>46447</v>
      </c>
      <c r="B28" t="n">
        <v>30.7157843</v>
      </c>
      <c r="C28" t="n">
        <v>34.07</v>
      </c>
      <c r="D28" t="n">
        <v>30.07</v>
      </c>
    </row>
    <row r="29">
      <c r="A29" s="20" t="n">
        <v>46478</v>
      </c>
      <c r="B29" t="n">
        <v>30.96319057</v>
      </c>
      <c r="C29" t="n">
        <v>34.07</v>
      </c>
      <c r="D29" t="n">
        <v>32.57</v>
      </c>
    </row>
    <row r="30">
      <c r="A30" s="20" t="n">
        <v>46508</v>
      </c>
      <c r="B30" t="n">
        <v>31.21276197</v>
      </c>
      <c r="C30" t="n">
        <v>34.07</v>
      </c>
      <c r="D30" t="n">
        <v>32.57</v>
      </c>
    </row>
    <row r="31">
      <c r="A31" s="20" t="n">
        <v>46539</v>
      </c>
      <c r="B31" t="n">
        <v>31.45953397</v>
      </c>
      <c r="C31" t="n">
        <v>34.07</v>
      </c>
      <c r="D31" t="n">
        <v>34.07</v>
      </c>
    </row>
    <row r="32">
      <c r="A32" s="20" t="n">
        <v>46569</v>
      </c>
      <c r="B32" t="n">
        <v>31.70434641</v>
      </c>
      <c r="C32" t="n">
        <v>34.77</v>
      </c>
      <c r="D32" t="n">
        <v>34.07</v>
      </c>
    </row>
    <row r="33">
      <c r="A33" s="20" t="n">
        <v>46600</v>
      </c>
      <c r="B33" t="n">
        <v>31.9460196</v>
      </c>
      <c r="C33" t="n">
        <v>34.77</v>
      </c>
      <c r="D33" t="n">
        <v>34.07</v>
      </c>
    </row>
    <row r="34">
      <c r="A34" s="20" t="n">
        <v>46631</v>
      </c>
      <c r="B34" t="n">
        <v>32.18394035</v>
      </c>
      <c r="C34" t="n">
        <v>34.77</v>
      </c>
      <c r="D34" t="n">
        <v>34.07</v>
      </c>
    </row>
    <row r="35">
      <c r="A35" s="20" t="n">
        <v>46661</v>
      </c>
      <c r="B35" t="n">
        <v>32.41735831</v>
      </c>
      <c r="C35" t="n">
        <v>36.52</v>
      </c>
      <c r="D35" t="n">
        <v>34.07</v>
      </c>
    </row>
    <row r="36">
      <c r="A36" s="20" t="n">
        <v>46692</v>
      </c>
      <c r="B36" t="n">
        <v>32.64015681</v>
      </c>
      <c r="C36" t="n">
        <v>36.52</v>
      </c>
      <c r="D36" t="n">
        <v>34.07</v>
      </c>
    </row>
    <row r="37">
      <c r="A37" s="20" t="n">
        <v>46722</v>
      </c>
      <c r="B37" t="n">
        <v>32.85574427</v>
      </c>
      <c r="C37" t="n">
        <v>36.52</v>
      </c>
      <c r="D37" t="n">
        <v>34.07</v>
      </c>
    </row>
    <row r="38">
      <c r="A38" s="20" t="n">
        <v>46753</v>
      </c>
      <c r="B38" t="n">
        <v>32.06876427569971</v>
      </c>
      <c r="C38" t="n">
        <v>36.52</v>
      </c>
      <c r="D38" t="n">
        <v>34.77</v>
      </c>
    </row>
    <row r="39">
      <c r="A39" s="20" t="n">
        <v>46784</v>
      </c>
      <c r="B39" t="n">
        <v>32.51328892449581</v>
      </c>
      <c r="C39" t="n">
        <v>36.52</v>
      </c>
      <c r="D39" t="n">
        <v>34.77</v>
      </c>
    </row>
    <row r="40">
      <c r="A40" s="20" t="n">
        <v>46813</v>
      </c>
      <c r="B40" t="n">
        <v>33.04335147635302</v>
      </c>
      <c r="C40" t="n">
        <v>36.52</v>
      </c>
      <c r="D40" t="n">
        <v>34.77</v>
      </c>
    </row>
    <row r="41">
      <c r="A41" s="20" t="n">
        <v>46844</v>
      </c>
      <c r="B41" t="n">
        <v>33.3095055897306</v>
      </c>
      <c r="C41" t="n">
        <v>36.52</v>
      </c>
      <c r="D41" t="n">
        <v>36.52</v>
      </c>
    </row>
    <row r="42">
      <c r="A42" s="20" t="n">
        <v>46874</v>
      </c>
      <c r="B42" t="n">
        <v>33.57798890137586</v>
      </c>
      <c r="C42" t="n">
        <v>36.52</v>
      </c>
      <c r="D42" t="n">
        <v>36.52</v>
      </c>
    </row>
    <row r="43">
      <c r="A43" s="20" t="n">
        <v>46905</v>
      </c>
      <c r="B43" t="n">
        <v>33.84346068132069</v>
      </c>
      <c r="C43" t="n">
        <v>36.52</v>
      </c>
      <c r="D43" t="n">
        <v>36.52</v>
      </c>
    </row>
    <row r="44">
      <c r="A44" s="20" t="n">
        <v>46935</v>
      </c>
      <c r="B44" t="n">
        <v>34.10682441059078</v>
      </c>
      <c r="C44" t="n">
        <v>39.02</v>
      </c>
      <c r="D44" t="n">
        <v>36.52</v>
      </c>
    </row>
    <row r="45">
      <c r="A45" s="20" t="n">
        <v>46966</v>
      </c>
      <c r="B45" t="n">
        <v>34.3668110051568</v>
      </c>
      <c r="C45" t="n">
        <v>39.02</v>
      </c>
      <c r="D45" t="n">
        <v>36.52</v>
      </c>
    </row>
    <row r="46">
      <c r="A46" s="20" t="n">
        <v>46997</v>
      </c>
      <c r="B46" t="n">
        <v>34.62276080897696</v>
      </c>
      <c r="C46" t="n">
        <v>39.02</v>
      </c>
      <c r="D46" t="n">
        <v>36.52</v>
      </c>
    </row>
    <row r="47">
      <c r="A47" s="20" t="n">
        <v>47027</v>
      </c>
      <c r="B47" t="n">
        <v>34.87386661235941</v>
      </c>
      <c r="C47" t="n">
        <v>39.02</v>
      </c>
      <c r="D47" t="n">
        <v>36.52</v>
      </c>
    </row>
    <row r="48">
      <c r="A48" s="20" t="n">
        <v>47058</v>
      </c>
      <c r="B48" t="n">
        <v>35.11354823897847</v>
      </c>
      <c r="C48" t="n">
        <v>39.02</v>
      </c>
      <c r="D48" t="n">
        <v>36.52</v>
      </c>
    </row>
    <row r="49">
      <c r="A49" s="20" t="n">
        <v>47088</v>
      </c>
      <c r="B49" t="n">
        <v>35.34547239058394</v>
      </c>
      <c r="C49" t="n">
        <v>39.02</v>
      </c>
      <c r="D49" t="n">
        <v>36.52</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J4"/>
  <sheetViews>
    <sheetView workbookViewId="0">
      <selection activeCell="A1" sqref="A1"/>
    </sheetView>
  </sheetViews>
  <sheetFormatPr baseColWidth="8" defaultRowHeight="15"/>
  <sheetData>
    <row r="1">
      <c r="B1" t="inlineStr">
        <is>
          <t>Month</t>
        </is>
      </c>
      <c r="C1" t="inlineStr">
        <is>
          <t>Base Bcf/d</t>
        </is>
      </c>
      <c r="D1" t="inlineStr">
        <is>
          <t>Delayed Bcf/d</t>
        </is>
      </c>
      <c r="E1" t="inlineStr">
        <is>
          <t>Dry production base Bcf/d</t>
        </is>
      </c>
      <c r="F1" t="inlineStr">
        <is>
          <t>Dry production delayed Bcf/d</t>
        </is>
      </c>
      <c r="G1" t="inlineStr">
        <is>
          <t>Demand incl. LNG base Bcf/d</t>
        </is>
      </c>
      <c r="H1" t="inlineStr">
        <is>
          <t>Demand incl. LNG delayed Bcf/d</t>
        </is>
      </c>
      <c r="I1" t="inlineStr">
        <is>
          <t>Base net outflow Bcf/d</t>
        </is>
      </c>
      <c r="J1" t="inlineStr">
        <is>
          <t>Delayed net outflow Bcf/d</t>
        </is>
      </c>
    </row>
    <row r="2">
      <c r="A2" t="n">
        <v>0</v>
      </c>
      <c r="B2" t="inlineStr">
        <is>
          <t>Dec 2026</t>
        </is>
      </c>
      <c r="C2" t="n">
        <v>37.55113095276792</v>
      </c>
      <c r="D2" t="n">
        <v>37.13364807226792</v>
      </c>
      <c r="E2" t="n">
        <v>31.40523362413383</v>
      </c>
      <c r="F2" t="n">
        <v>31.05607909633359</v>
      </c>
      <c r="G2" t="n">
        <v>21.4729864816125</v>
      </c>
      <c r="H2" t="n">
        <v>21.33571480450669</v>
      </c>
      <c r="I2" t="n">
        <v>9.932247142521334</v>
      </c>
      <c r="J2" t="n">
        <v>9.720364291826904</v>
      </c>
    </row>
    <row r="3">
      <c r="A3" t="n">
        <v>1</v>
      </c>
      <c r="B3" t="inlineStr">
        <is>
          <t>Dec 2027</t>
        </is>
      </c>
      <c r="C3" t="n">
        <v>40.81420443676792</v>
      </c>
      <c r="D3" t="n">
        <v>40.81420443676792</v>
      </c>
      <c r="E3" t="n">
        <v>34.13424823694625</v>
      </c>
      <c r="F3" t="n">
        <v>34.13424823694625</v>
      </c>
      <c r="G3" t="n">
        <v>24.94187013076359</v>
      </c>
      <c r="H3" t="n">
        <v>22.83715677015988</v>
      </c>
      <c r="I3" t="n">
        <v>9.192378106182659</v>
      </c>
      <c r="J3" t="n">
        <v>11.29709146678637</v>
      </c>
    </row>
    <row r="4">
      <c r="A4" t="n">
        <v>2</v>
      </c>
      <c r="B4" t="inlineStr">
        <is>
          <t>Dec 2028</t>
        </is>
      </c>
      <c r="C4" t="n">
        <v>43.86284261676505</v>
      </c>
      <c r="D4" t="n">
        <v>43.86284261676505</v>
      </c>
      <c r="E4" t="n">
        <v>36.68392362218805</v>
      </c>
      <c r="F4" t="n">
        <v>36.68392362218805</v>
      </c>
      <c r="G4" t="n">
        <v>27.73950082871613</v>
      </c>
      <c r="H4" t="n">
        <v>26.36267119719755</v>
      </c>
      <c r="I4" t="n">
        <v>8.944422793471926</v>
      </c>
      <c r="J4" t="n">
        <v>10.3212524249905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sheetData>
    <row r="1">
      <c r="B1" t="inlineStr">
        <is>
          <t>Assumption</t>
        </is>
      </c>
      <c r="C1" t="inlineStr">
        <is>
          <t>Value</t>
        </is>
      </c>
      <c r="D1" t="inlineStr">
        <is>
          <t>Unit</t>
        </is>
      </c>
      <c r="E1" t="inlineStr">
        <is>
          <t>Note</t>
        </is>
      </c>
    </row>
    <row r="2">
      <c r="A2" t="n">
        <v>0</v>
      </c>
      <c r="B2" t="inlineStr">
        <is>
          <t>Permian Texas share of STEO Permian</t>
        </is>
      </c>
      <c r="C2" t="n">
        <v>0.85</v>
      </c>
      <c r="D2" t="inlineStr">
        <is>
          <t>share</t>
        </is>
      </c>
      <c r="E2" t="inlineStr">
        <is>
          <t>STEO Permian = Texas + southeast New Mexico (NM about 13-15%). Assumption.</t>
        </is>
      </c>
    </row>
    <row r="3">
      <c r="A3" t="n">
        <v>1</v>
      </c>
      <c r="B3" t="inlineStr">
        <is>
          <t>Haynesville Texas share of STEO Haynesville</t>
        </is>
      </c>
      <c r="C3" t="n">
        <v>0.3</v>
      </c>
      <c r="D3" t="inlineStr">
        <is>
          <t>share</t>
        </is>
      </c>
      <c r="E3" t="inlineStr">
        <is>
          <t>STEO Haynesville = East Texas + Louisiana. Assumption (unverified).</t>
        </is>
      </c>
    </row>
    <row r="4">
      <c r="A4" t="n">
        <v>2</v>
      </c>
      <c r="B4" t="inlineStr">
        <is>
          <t>Eagle Ford Texas share</t>
        </is>
      </c>
      <c r="C4" t="n">
        <v>1</v>
      </c>
      <c r="D4" t="inlineStr">
        <is>
          <t>share</t>
        </is>
      </c>
      <c r="E4" t="inlineStr">
        <is>
          <t>Eagle Ford is in Texas.</t>
        </is>
      </c>
    </row>
    <row r="5">
      <c r="A5" t="n">
        <v>3</v>
      </c>
      <c r="B5" t="inlineStr">
        <is>
          <t>Local Permian demand (power, industrial, Mexico-bound not included)</t>
        </is>
      </c>
      <c r="C5" t="n">
        <v>3</v>
      </c>
      <c r="D5" t="inlineStr">
        <is>
          <t>Bcf/d</t>
        </is>
      </c>
      <c r="E5" t="inlineStr">
        <is>
          <t>Gas consumed in the basin, adds to takeaway in the cap. Unverified.</t>
        </is>
      </c>
    </row>
    <row r="6">
      <c r="A6" t="n">
        <v>4</v>
      </c>
      <c r="B6" t="inlineStr">
        <is>
          <t>Takeaway delay in the delayed scenario</t>
        </is>
      </c>
      <c r="C6" t="n">
        <v>6</v>
      </c>
      <c r="D6" t="inlineStr">
        <is>
          <t>months</t>
        </is>
      </c>
      <c r="E6" t="inlineStr">
        <is>
          <t>Every pipeline with status not 'in service' slips by this many 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
  <sheetViews>
    <sheetView workbookViewId="0">
      <selection activeCell="A1" sqref="A1"/>
    </sheetView>
  </sheetViews>
  <sheetFormatPr baseColWidth="8" defaultRowHeight="15"/>
  <sheetData>
    <row r="1">
      <c r="B1" t="inlineStr">
        <is>
          <t>Unnamed: 0.2</t>
        </is>
      </c>
      <c r="C1" t="inlineStr">
        <is>
          <t>Unnamed: 0.1</t>
        </is>
      </c>
      <c r="D1" t="inlineStr">
        <is>
          <t>Unnamed: 0</t>
        </is>
      </c>
      <c r="E1" t="inlineStr">
        <is>
          <t>Pipeline</t>
        </is>
      </c>
      <c r="F1" t="inlineStr">
        <is>
          <t>Capacity Bcf/d</t>
        </is>
      </c>
      <c r="G1" t="inlineStr">
        <is>
          <t>In-service month</t>
        </is>
      </c>
      <c r="H1" t="inlineStr">
        <is>
          <t>Status</t>
        </is>
      </c>
      <c r="I1" t="inlineStr">
        <is>
          <t>Source / verification</t>
        </is>
      </c>
    </row>
    <row r="2">
      <c r="A2" t="n">
        <v>0</v>
      </c>
      <c r="B2" t="n">
        <v>0</v>
      </c>
      <c r="C2" t="n">
        <v>0</v>
      </c>
      <c r="D2" t="n">
        <v>0</v>
      </c>
      <c r="E2" t="inlineStr">
        <is>
          <t>Existing Permian takeaway (aggregate, Waha-bound + Midland/Eagle Ford routes incl. Matterhorn)</t>
        </is>
      </c>
      <c r="F2" t="n">
        <v>26.5</v>
      </c>
      <c r="G2" t="inlineStr">
        <is>
          <t>2025-01</t>
        </is>
      </c>
      <c r="H2" t="inlineStr">
        <is>
          <t>In service</t>
        </is>
      </c>
      <c r="I2" t="inlineStr">
        <is>
          <t>Calibration: with local demand it brackets STEO Permian marketed in 2026. Total is unverified.</t>
        </is>
      </c>
    </row>
    <row r="3">
      <c r="A3" t="n">
        <v>1</v>
      </c>
      <c r="B3" t="n">
        <v>1</v>
      </c>
      <c r="C3" t="n">
        <v>1</v>
      </c>
      <c r="D3" t="n">
        <v>1</v>
      </c>
      <c r="E3" t="inlineStr">
        <is>
          <t>Matterhorn Express (Kinder/WhiteWater/EnLink/Devon, Waha-Katy)</t>
        </is>
      </c>
      <c r="F3" t="n">
        <v>2.5</v>
      </c>
      <c r="G3" t="inlineStr">
        <is>
          <t>2024-10</t>
        </is>
      </c>
      <c r="H3" t="inlineStr">
        <is>
          <t>In service</t>
        </is>
      </c>
      <c r="I3" t="inlineStr">
        <is>
          <t>Already inside the existing aggregate above (shown for reference, not added).</t>
        </is>
      </c>
    </row>
    <row r="4">
      <c r="A4" t="n">
        <v>2</v>
      </c>
      <c r="B4" t="n">
        <v>2</v>
      </c>
      <c r="C4" t="n">
        <v>2</v>
      </c>
      <c r="D4" t="n">
        <v>2</v>
      </c>
      <c r="E4" t="inlineStr">
        <is>
          <t>Gulf Coast Express expansion (Kinder Morgan)</t>
        </is>
      </c>
      <c r="F4" t="n">
        <v>0.57</v>
      </c>
      <c r="G4" t="inlineStr">
        <is>
          <t>2026-07</t>
        </is>
      </c>
      <c r="H4" t="inlineStr">
        <is>
          <t>Under construction</t>
        </is>
      </c>
      <c r="I4" t="inlineStr">
        <is>
          <t>unverified - company announcement, date from memory</t>
        </is>
      </c>
    </row>
    <row r="5">
      <c r="A5" t="n">
        <v>3</v>
      </c>
      <c r="B5" t="n">
        <v>3</v>
      </c>
      <c r="C5" t="n">
        <v>3</v>
      </c>
      <c r="D5" t="n">
        <v>3</v>
      </c>
      <c r="E5" t="inlineStr">
        <is>
          <t>Blackcomb Pipeline (WhiteWater/Targa/MPLX/Enterprise)</t>
        </is>
      </c>
      <c r="F5" t="n">
        <v>2.5</v>
      </c>
      <c r="G5" t="inlineStr">
        <is>
          <t>2026-10</t>
        </is>
      </c>
      <c r="H5" t="inlineStr">
        <is>
          <t>Under construction</t>
        </is>
      </c>
      <c r="I5" t="inlineStr">
        <is>
          <t>unverified - company announcement, date from memory</t>
        </is>
      </c>
    </row>
    <row r="6">
      <c r="A6" t="n">
        <v>4</v>
      </c>
      <c r="B6" t="n">
        <v>4</v>
      </c>
      <c r="C6" t="n">
        <v>4</v>
      </c>
      <c r="D6" t="n">
        <v>4</v>
      </c>
      <c r="E6" t="inlineStr">
        <is>
          <t>Hugh Brinson Pipeline (Energy Transfer, phase 1)</t>
        </is>
      </c>
      <c r="F6" t="n">
        <v>1.5</v>
      </c>
      <c r="G6" t="inlineStr">
        <is>
          <t>2026-12</t>
        </is>
      </c>
      <c r="H6" t="inlineStr">
        <is>
          <t>Under construction</t>
        </is>
      </c>
      <c r="I6" t="inlineStr">
        <is>
          <t>unverified - company announcement, date from memory</t>
        </is>
      </c>
    </row>
    <row r="7">
      <c r="A7" t="n">
        <v>5</v>
      </c>
      <c r="B7" t="n">
        <v>5</v>
      </c>
      <c r="C7" t="n">
        <v>5</v>
      </c>
      <c r="D7" t="n">
        <v>5</v>
      </c>
      <c r="E7" t="inlineStr">
        <is>
          <t>Hugh Brinson Pipeline (Energy Transfer, phase 2 expansion)</t>
        </is>
      </c>
      <c r="F7" t="n">
        <v>0.7</v>
      </c>
      <c r="G7" t="inlineStr">
        <is>
          <t>2027-07</t>
        </is>
      </c>
      <c r="H7" t="inlineStr">
        <is>
          <t>Under construction</t>
        </is>
      </c>
      <c r="I7" t="inlineStr">
        <is>
          <t>unverified - company announcement, date from memory</t>
        </is>
      </c>
    </row>
    <row r="8">
      <c r="A8" t="n">
        <v>6</v>
      </c>
      <c r="B8" t="n">
        <v>6</v>
      </c>
      <c r="C8" t="n">
        <v>6</v>
      </c>
      <c r="D8" t="n">
        <v>6</v>
      </c>
      <c r="E8" t="inlineStr">
        <is>
          <t>Eiger Express (WhiteWater/Targa/MPLX/Enterprise)</t>
        </is>
      </c>
      <c r="F8" t="n">
        <v>2.5</v>
      </c>
      <c r="G8" t="inlineStr">
        <is>
          <t>2028-07</t>
        </is>
      </c>
      <c r="H8" t="inlineStr">
        <is>
          <t>Planned</t>
        </is>
      </c>
      <c r="I8" t="inlineStr">
        <is>
          <t>unverified - company announcement, date from memory</t>
        </is>
      </c>
    </row>
    <row r="9">
      <c r="A9" t="n">
        <v>7</v>
      </c>
      <c r="B9" t="n">
        <v>7</v>
      </c>
      <c r="C9" t="n">
        <v>7</v>
      </c>
      <c r="D9" t="n">
        <v>7</v>
      </c>
      <c r="E9" t="inlineStr">
        <is>
          <t>Traverse Pipeline (WhiteWater, Agua Dulce)</t>
        </is>
      </c>
      <c r="F9" t="n">
        <v>1.75</v>
      </c>
      <c r="G9" t="inlineStr">
        <is>
          <t>2027-10</t>
        </is>
      </c>
      <c r="H9" t="inlineStr">
        <is>
          <t>Planned</t>
        </is>
      </c>
      <c r="I9" t="inlineStr">
        <is>
          <t>unverified - company announcement, date from memory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Z169"/>
  <sheetViews>
    <sheetView workbookViewId="0">
      <selection activeCell="A1" sqref="A1"/>
    </sheetView>
  </sheetViews>
  <sheetFormatPr baseColWidth="8" defaultRowHeight="15"/>
  <sheetData>
    <row r="1">
      <c r="B1" t="inlineStr">
        <is>
          <t>Month</t>
        </is>
      </c>
      <c r="C1" t="inlineStr">
        <is>
          <t>Type</t>
        </is>
      </c>
      <c r="D1" t="inlineStr">
        <is>
          <t>Texas marketed production (history)</t>
        </is>
      </c>
      <c r="E1" t="inlineStr">
        <is>
          <t>STEO Permian marketed (Bcf/d)</t>
        </is>
      </c>
      <c r="F1" t="inlineStr">
        <is>
          <t>STEO Eagle Ford marketed (Bcf/d)</t>
        </is>
      </c>
      <c r="G1" t="inlineStr">
        <is>
          <t>STEO Haynesville marketed (Bcf/d)</t>
        </is>
      </c>
      <c r="H1" t="inlineStr">
        <is>
          <t>STEO source</t>
        </is>
      </c>
      <c r="I1" t="inlineStr">
        <is>
          <t>Permian takeaway + local demand, base (Bcf/d)</t>
        </is>
      </c>
      <c r="J1" t="inlineStr">
        <is>
          <t>Permian takeaway + local demand, delayed (Bcf/d)</t>
        </is>
      </c>
      <c r="K1" t="inlineStr">
        <is>
          <t>Permian marketed capped, base</t>
        </is>
      </c>
      <c r="L1" t="inlineStr">
        <is>
          <t>Permian marketed capped, delayed</t>
        </is>
      </c>
      <c r="M1" t="inlineStr">
        <is>
          <t>Permian capped by takeaway (base)</t>
        </is>
      </c>
      <c r="N1" t="inlineStr">
        <is>
          <t>Other Texas / calibration (held flat)</t>
        </is>
      </c>
      <c r="O1" t="inlineStr">
        <is>
          <t>Texas production forecast, base</t>
        </is>
      </c>
      <c r="P1" t="inlineStr">
        <is>
          <t>Texas production forecast, delayed</t>
        </is>
      </c>
      <c r="Q1" t="inlineStr">
        <is>
          <t>Dry production, base</t>
        </is>
      </c>
      <c r="R1" t="inlineStr">
        <is>
          <t>Dry production, takeaway delayed</t>
        </is>
      </c>
      <c r="S1" t="inlineStr">
        <is>
          <t>Demand incl. LNG, base</t>
        </is>
      </c>
      <c r="T1" t="inlineStr">
        <is>
          <t>Demand incl. LNG, LNG delayed</t>
        </is>
      </c>
      <c r="U1" t="inlineStr">
        <is>
          <t>LNG feedgas (base)</t>
        </is>
      </c>
      <c r="V1" t="inlineStr">
        <is>
          <t>LNG feedgas (delayed)</t>
        </is>
      </c>
      <c r="W1" t="inlineStr">
        <is>
          <t>Texas consumption, published sectors (history EIA; forecast = TEXAS_GAS_FORECAST)</t>
        </is>
      </c>
      <c r="X1" t="inlineStr">
        <is>
          <t>Pipeline exports to Mexico (history EIA; forecast = TEXAS_GAS_FORECAST)</t>
        </is>
      </c>
      <c r="Y1" t="inlineStr">
        <is>
          <t>Implied net interstate outflow, base</t>
        </is>
      </c>
      <c r="Z1" t="inlineStr">
        <is>
          <t>Implied net interstate outflow, delayed</t>
        </is>
      </c>
    </row>
    <row r="2">
      <c r="A2" t="n">
        <v>0</v>
      </c>
      <c r="B2" s="3" t="n">
        <v>42005</v>
      </c>
      <c r="C2" t="inlineStr">
        <is>
          <t>History</t>
        </is>
      </c>
      <c r="D2" t="n">
        <v>21.50941935483871</v>
      </c>
      <c r="H2" t="inlineStr">
        <is>
          <t>STEO</t>
        </is>
      </c>
      <c r="I2" t="n">
        <v>29.5</v>
      </c>
      <c r="J2" t="n">
        <v>29.5</v>
      </c>
      <c r="K2" t="n">
        <v>29.5</v>
      </c>
      <c r="L2" t="n">
        <v>29.5</v>
      </c>
      <c r="M2" t="b">
        <v>0</v>
      </c>
      <c r="N2" t="n">
        <v>-1.204080180732075</v>
      </c>
    </row>
    <row r="3">
      <c r="A3" t="n">
        <v>1</v>
      </c>
      <c r="B3" s="3" t="n">
        <v>42036</v>
      </c>
      <c r="C3" t="inlineStr">
        <is>
          <t>History</t>
        </is>
      </c>
      <c r="D3" t="n">
        <v>21.97328571428571</v>
      </c>
      <c r="H3" t="inlineStr">
        <is>
          <t>STEO</t>
        </is>
      </c>
      <c r="I3" t="n">
        <v>29.5</v>
      </c>
      <c r="J3" t="n">
        <v>29.5</v>
      </c>
      <c r="K3" t="n">
        <v>29.5</v>
      </c>
      <c r="L3" t="n">
        <v>29.5</v>
      </c>
      <c r="M3" t="b">
        <v>0</v>
      </c>
      <c r="N3" t="n">
        <v>-1.204080180732075</v>
      </c>
    </row>
    <row r="4">
      <c r="A4" t="n">
        <v>2</v>
      </c>
      <c r="B4" s="3" t="n">
        <v>42064</v>
      </c>
      <c r="C4" t="inlineStr">
        <is>
          <t>History</t>
        </is>
      </c>
      <c r="H4" t="inlineStr">
        <is>
          <t>STEO</t>
        </is>
      </c>
      <c r="I4" t="n">
        <v>29.5</v>
      </c>
      <c r="J4" t="n">
        <v>29.5</v>
      </c>
      <c r="K4" t="n">
        <v>29.5</v>
      </c>
      <c r="L4" t="n">
        <v>29.5</v>
      </c>
      <c r="M4" t="b">
        <v>0</v>
      </c>
      <c r="N4" t="n">
        <v>-1.204080180732075</v>
      </c>
    </row>
    <row r="5">
      <c r="A5" t="n">
        <v>3</v>
      </c>
      <c r="B5" s="3" t="n">
        <v>42095</v>
      </c>
      <c r="C5" t="inlineStr">
        <is>
          <t>History</t>
        </is>
      </c>
      <c r="H5" t="inlineStr">
        <is>
          <t>STEO</t>
        </is>
      </c>
      <c r="I5" t="n">
        <v>29.5</v>
      </c>
      <c r="J5" t="n">
        <v>29.5</v>
      </c>
      <c r="K5" t="n">
        <v>29.5</v>
      </c>
      <c r="L5" t="n">
        <v>29.5</v>
      </c>
      <c r="M5" t="b">
        <v>0</v>
      </c>
      <c r="N5" t="n">
        <v>-1.204080180732075</v>
      </c>
    </row>
    <row r="6">
      <c r="A6" t="n">
        <v>4</v>
      </c>
      <c r="B6" s="3" t="n">
        <v>42125</v>
      </c>
      <c r="C6" t="inlineStr">
        <is>
          <t>History</t>
        </is>
      </c>
      <c r="H6" t="inlineStr">
        <is>
          <t>STEO</t>
        </is>
      </c>
      <c r="I6" t="n">
        <v>29.5</v>
      </c>
      <c r="J6" t="n">
        <v>29.5</v>
      </c>
      <c r="K6" t="n">
        <v>29.5</v>
      </c>
      <c r="L6" t="n">
        <v>29.5</v>
      </c>
      <c r="M6" t="b">
        <v>0</v>
      </c>
      <c r="N6" t="n">
        <v>-1.204080180732075</v>
      </c>
    </row>
    <row r="7">
      <c r="A7" t="n">
        <v>5</v>
      </c>
      <c r="B7" s="3" t="n">
        <v>42156</v>
      </c>
      <c r="C7" t="inlineStr">
        <is>
          <t>History</t>
        </is>
      </c>
      <c r="H7" t="inlineStr">
        <is>
          <t>STEO</t>
        </is>
      </c>
      <c r="I7" t="n">
        <v>29.5</v>
      </c>
      <c r="J7" t="n">
        <v>29.5</v>
      </c>
      <c r="K7" t="n">
        <v>29.5</v>
      </c>
      <c r="L7" t="n">
        <v>29.5</v>
      </c>
      <c r="M7" t="b">
        <v>0</v>
      </c>
      <c r="N7" t="n">
        <v>-1.204080180732075</v>
      </c>
    </row>
    <row r="8">
      <c r="A8" t="n">
        <v>6</v>
      </c>
      <c r="B8" s="3" t="n">
        <v>42186</v>
      </c>
      <c r="C8" t="inlineStr">
        <is>
          <t>History</t>
        </is>
      </c>
      <c r="H8" t="inlineStr">
        <is>
          <t>STEO</t>
        </is>
      </c>
      <c r="I8" t="n">
        <v>29.5</v>
      </c>
      <c r="J8" t="n">
        <v>29.5</v>
      </c>
      <c r="K8" t="n">
        <v>29.5</v>
      </c>
      <c r="L8" t="n">
        <v>29.5</v>
      </c>
      <c r="M8" t="b">
        <v>0</v>
      </c>
      <c r="N8" t="n">
        <v>-1.204080180732075</v>
      </c>
    </row>
    <row r="9">
      <c r="A9" t="n">
        <v>7</v>
      </c>
      <c r="B9" s="3" t="n">
        <v>42217</v>
      </c>
      <c r="C9" t="inlineStr">
        <is>
          <t>History</t>
        </is>
      </c>
      <c r="H9" t="inlineStr">
        <is>
          <t>STEO</t>
        </is>
      </c>
      <c r="I9" t="n">
        <v>29.5</v>
      </c>
      <c r="J9" t="n">
        <v>29.5</v>
      </c>
      <c r="K9" t="n">
        <v>29.5</v>
      </c>
      <c r="L9" t="n">
        <v>29.5</v>
      </c>
      <c r="M9" t="b">
        <v>0</v>
      </c>
      <c r="N9" t="n">
        <v>-1.204080180732075</v>
      </c>
    </row>
    <row r="10">
      <c r="A10" t="n">
        <v>8</v>
      </c>
      <c r="B10" s="3" t="n">
        <v>42248</v>
      </c>
      <c r="C10" t="inlineStr">
        <is>
          <t>History</t>
        </is>
      </c>
      <c r="H10" t="inlineStr">
        <is>
          <t>STEO</t>
        </is>
      </c>
      <c r="I10" t="n">
        <v>29.5</v>
      </c>
      <c r="J10" t="n">
        <v>29.5</v>
      </c>
      <c r="K10" t="n">
        <v>29.5</v>
      </c>
      <c r="L10" t="n">
        <v>29.5</v>
      </c>
      <c r="M10" t="b">
        <v>0</v>
      </c>
      <c r="N10" t="n">
        <v>-1.204080180732075</v>
      </c>
    </row>
    <row r="11">
      <c r="A11" t="n">
        <v>9</v>
      </c>
      <c r="B11" s="3" t="n">
        <v>42278</v>
      </c>
      <c r="C11" t="inlineStr">
        <is>
          <t>History</t>
        </is>
      </c>
      <c r="D11" t="n">
        <v>21.30312903225806</v>
      </c>
      <c r="H11" t="inlineStr">
        <is>
          <t>STEO</t>
        </is>
      </c>
      <c r="I11" t="n">
        <v>29.5</v>
      </c>
      <c r="J11" t="n">
        <v>29.5</v>
      </c>
      <c r="K11" t="n">
        <v>29.5</v>
      </c>
      <c r="L11" t="n">
        <v>29.5</v>
      </c>
      <c r="M11" t="b">
        <v>0</v>
      </c>
      <c r="N11" t="n">
        <v>-1.204080180732075</v>
      </c>
    </row>
    <row r="12">
      <c r="A12" t="n">
        <v>10</v>
      </c>
      <c r="B12" s="3" t="n">
        <v>42309</v>
      </c>
      <c r="C12" t="inlineStr">
        <is>
          <t>History</t>
        </is>
      </c>
      <c r="D12" t="n">
        <v>21.0325</v>
      </c>
      <c r="H12" t="inlineStr">
        <is>
          <t>STEO</t>
        </is>
      </c>
      <c r="I12" t="n">
        <v>29.5</v>
      </c>
      <c r="J12" t="n">
        <v>29.5</v>
      </c>
      <c r="K12" t="n">
        <v>29.5</v>
      </c>
      <c r="L12" t="n">
        <v>29.5</v>
      </c>
      <c r="M12" t="b">
        <v>0</v>
      </c>
      <c r="N12" t="n">
        <v>-1.204080180732075</v>
      </c>
    </row>
    <row r="13">
      <c r="A13" t="n">
        <v>11</v>
      </c>
      <c r="B13" s="3" t="n">
        <v>42339</v>
      </c>
      <c r="C13" t="inlineStr">
        <is>
          <t>History</t>
        </is>
      </c>
      <c r="D13" t="n">
        <v>20.82961290322581</v>
      </c>
      <c r="H13" t="inlineStr">
        <is>
          <t>STEO</t>
        </is>
      </c>
      <c r="I13" t="n">
        <v>29.5</v>
      </c>
      <c r="J13" t="n">
        <v>29.5</v>
      </c>
      <c r="K13" t="n">
        <v>29.5</v>
      </c>
      <c r="L13" t="n">
        <v>29.5</v>
      </c>
      <c r="M13" t="b">
        <v>0</v>
      </c>
      <c r="N13" t="n">
        <v>-1.204080180732075</v>
      </c>
    </row>
    <row r="14">
      <c r="A14" t="n">
        <v>12</v>
      </c>
      <c r="B14" s="3" t="n">
        <v>42370</v>
      </c>
      <c r="C14" t="inlineStr">
        <is>
          <t>History</t>
        </is>
      </c>
      <c r="H14" t="inlineStr">
        <is>
          <t>STEO</t>
        </is>
      </c>
      <c r="I14" t="n">
        <v>29.5</v>
      </c>
      <c r="J14" t="n">
        <v>29.5</v>
      </c>
      <c r="K14" t="n">
        <v>29.5</v>
      </c>
      <c r="L14" t="n">
        <v>29.5</v>
      </c>
      <c r="M14" t="b">
        <v>0</v>
      </c>
      <c r="N14" t="n">
        <v>-1.204080180732075</v>
      </c>
    </row>
    <row r="15">
      <c r="A15" t="n">
        <v>13</v>
      </c>
      <c r="B15" s="3" t="n">
        <v>42401</v>
      </c>
      <c r="C15" t="inlineStr">
        <is>
          <t>History</t>
        </is>
      </c>
      <c r="D15" t="n">
        <v>20.56272413793103</v>
      </c>
      <c r="H15" t="inlineStr">
        <is>
          <t>STEO</t>
        </is>
      </c>
      <c r="I15" t="n">
        <v>29.5</v>
      </c>
      <c r="J15" t="n">
        <v>29.5</v>
      </c>
      <c r="K15" t="n">
        <v>29.5</v>
      </c>
      <c r="L15" t="n">
        <v>29.5</v>
      </c>
      <c r="M15" t="b">
        <v>0</v>
      </c>
      <c r="N15" t="n">
        <v>-1.204080180732075</v>
      </c>
    </row>
    <row r="16">
      <c r="A16" t="n">
        <v>14</v>
      </c>
      <c r="B16" s="3" t="n">
        <v>42430</v>
      </c>
      <c r="C16" t="inlineStr">
        <is>
          <t>History</t>
        </is>
      </c>
      <c r="D16" t="n">
        <v>20.09061290322581</v>
      </c>
      <c r="H16" t="inlineStr">
        <is>
          <t>STEO</t>
        </is>
      </c>
      <c r="I16" t="n">
        <v>29.5</v>
      </c>
      <c r="J16" t="n">
        <v>29.5</v>
      </c>
      <c r="K16" t="n">
        <v>29.5</v>
      </c>
      <c r="L16" t="n">
        <v>29.5</v>
      </c>
      <c r="M16" t="b">
        <v>0</v>
      </c>
      <c r="N16" t="n">
        <v>-1.204080180732075</v>
      </c>
    </row>
    <row r="17">
      <c r="A17" t="n">
        <v>15</v>
      </c>
      <c r="B17" s="3" t="n">
        <v>42461</v>
      </c>
      <c r="C17" t="inlineStr">
        <is>
          <t>History</t>
        </is>
      </c>
      <c r="D17" t="n">
        <v>20.41996666666667</v>
      </c>
      <c r="H17" t="inlineStr">
        <is>
          <t>STEO</t>
        </is>
      </c>
      <c r="I17" t="n">
        <v>29.5</v>
      </c>
      <c r="J17" t="n">
        <v>29.5</v>
      </c>
      <c r="K17" t="n">
        <v>29.5</v>
      </c>
      <c r="L17" t="n">
        <v>29.5</v>
      </c>
      <c r="M17" t="b">
        <v>0</v>
      </c>
      <c r="N17" t="n">
        <v>-1.204080180732075</v>
      </c>
    </row>
    <row r="18">
      <c r="A18" t="n">
        <v>16</v>
      </c>
      <c r="B18" s="3" t="n">
        <v>42491</v>
      </c>
      <c r="C18" t="inlineStr">
        <is>
          <t>History</t>
        </is>
      </c>
      <c r="D18" t="n">
        <v>19.95093548387097</v>
      </c>
      <c r="H18" t="inlineStr">
        <is>
          <t>STEO</t>
        </is>
      </c>
      <c r="I18" t="n">
        <v>29.5</v>
      </c>
      <c r="J18" t="n">
        <v>29.5</v>
      </c>
      <c r="K18" t="n">
        <v>29.5</v>
      </c>
      <c r="L18" t="n">
        <v>29.5</v>
      </c>
      <c r="M18" t="b">
        <v>0</v>
      </c>
      <c r="N18" t="n">
        <v>-1.204080180732075</v>
      </c>
    </row>
    <row r="19">
      <c r="A19" t="n">
        <v>17</v>
      </c>
      <c r="B19" s="3" t="n">
        <v>42522</v>
      </c>
      <c r="C19" t="inlineStr">
        <is>
          <t>History</t>
        </is>
      </c>
      <c r="D19" t="n">
        <v>20.05293333333334</v>
      </c>
      <c r="H19" t="inlineStr">
        <is>
          <t>STEO</t>
        </is>
      </c>
      <c r="I19" t="n">
        <v>29.5</v>
      </c>
      <c r="J19" t="n">
        <v>29.5</v>
      </c>
      <c r="K19" t="n">
        <v>29.5</v>
      </c>
      <c r="L19" t="n">
        <v>29.5</v>
      </c>
      <c r="M19" t="b">
        <v>0</v>
      </c>
      <c r="N19" t="n">
        <v>-1.204080180732075</v>
      </c>
    </row>
    <row r="20">
      <c r="A20" t="n">
        <v>18</v>
      </c>
      <c r="B20" s="3" t="n">
        <v>42552</v>
      </c>
      <c r="C20" t="inlineStr">
        <is>
          <t>History</t>
        </is>
      </c>
      <c r="D20" t="n">
        <v>20.14732258064516</v>
      </c>
      <c r="H20" t="inlineStr">
        <is>
          <t>STEO</t>
        </is>
      </c>
      <c r="I20" t="n">
        <v>29.5</v>
      </c>
      <c r="J20" t="n">
        <v>29.5</v>
      </c>
      <c r="K20" t="n">
        <v>29.5</v>
      </c>
      <c r="L20" t="n">
        <v>29.5</v>
      </c>
      <c r="M20" t="b">
        <v>0</v>
      </c>
      <c r="N20" t="n">
        <v>-1.204080180732075</v>
      </c>
    </row>
    <row r="21">
      <c r="A21" t="n">
        <v>19</v>
      </c>
      <c r="B21" s="3" t="n">
        <v>42583</v>
      </c>
      <c r="C21" t="inlineStr">
        <is>
          <t>History</t>
        </is>
      </c>
      <c r="D21" t="n">
        <v>19.66632258064516</v>
      </c>
      <c r="H21" t="inlineStr">
        <is>
          <t>STEO</t>
        </is>
      </c>
      <c r="I21" t="n">
        <v>29.5</v>
      </c>
      <c r="J21" t="n">
        <v>29.5</v>
      </c>
      <c r="K21" t="n">
        <v>29.5</v>
      </c>
      <c r="L21" t="n">
        <v>29.5</v>
      </c>
      <c r="M21" t="b">
        <v>0</v>
      </c>
      <c r="N21" t="n">
        <v>-1.204080180732075</v>
      </c>
    </row>
    <row r="22">
      <c r="A22" t="n">
        <v>20</v>
      </c>
      <c r="B22" s="3" t="n">
        <v>42614</v>
      </c>
      <c r="C22" t="inlineStr">
        <is>
          <t>History</t>
        </is>
      </c>
      <c r="D22" t="n">
        <v>19.39056666666666</v>
      </c>
      <c r="H22" t="inlineStr">
        <is>
          <t>STEO</t>
        </is>
      </c>
      <c r="I22" t="n">
        <v>29.5</v>
      </c>
      <c r="J22" t="n">
        <v>29.5</v>
      </c>
      <c r="K22" t="n">
        <v>29.5</v>
      </c>
      <c r="L22" t="n">
        <v>29.5</v>
      </c>
      <c r="M22" t="b">
        <v>0</v>
      </c>
      <c r="N22" t="n">
        <v>-1.204080180732075</v>
      </c>
    </row>
    <row r="23">
      <c r="A23" t="n">
        <v>21</v>
      </c>
      <c r="B23" s="3" t="n">
        <v>42644</v>
      </c>
      <c r="C23" t="inlineStr">
        <is>
          <t>History</t>
        </is>
      </c>
      <c r="D23" t="n">
        <v>19.1861935483871</v>
      </c>
      <c r="H23" t="inlineStr">
        <is>
          <t>STEO</t>
        </is>
      </c>
      <c r="I23" t="n">
        <v>29.5</v>
      </c>
      <c r="J23" t="n">
        <v>29.5</v>
      </c>
      <c r="K23" t="n">
        <v>29.5</v>
      </c>
      <c r="L23" t="n">
        <v>29.5</v>
      </c>
      <c r="M23" t="b">
        <v>0</v>
      </c>
      <c r="N23" t="n">
        <v>-1.204080180732075</v>
      </c>
    </row>
    <row r="24">
      <c r="A24" t="n">
        <v>22</v>
      </c>
      <c r="B24" s="3" t="n">
        <v>42675</v>
      </c>
      <c r="C24" t="inlineStr">
        <is>
          <t>History</t>
        </is>
      </c>
      <c r="D24" t="n">
        <v>18.96256666666667</v>
      </c>
      <c r="H24" t="inlineStr">
        <is>
          <t>STEO</t>
        </is>
      </c>
      <c r="I24" t="n">
        <v>29.5</v>
      </c>
      <c r="J24" t="n">
        <v>29.5</v>
      </c>
      <c r="K24" t="n">
        <v>29.5</v>
      </c>
      <c r="L24" t="n">
        <v>29.5</v>
      </c>
      <c r="M24" t="b">
        <v>0</v>
      </c>
      <c r="N24" t="n">
        <v>-1.204080180732075</v>
      </c>
    </row>
    <row r="25">
      <c r="A25" t="n">
        <v>23</v>
      </c>
      <c r="B25" s="3" t="n">
        <v>42705</v>
      </c>
      <c r="C25" t="inlineStr">
        <is>
          <t>History</t>
        </is>
      </c>
      <c r="D25" t="n">
        <v>18.42467741935484</v>
      </c>
      <c r="H25" t="inlineStr">
        <is>
          <t>STEO</t>
        </is>
      </c>
      <c r="I25" t="n">
        <v>29.5</v>
      </c>
      <c r="J25" t="n">
        <v>29.5</v>
      </c>
      <c r="K25" t="n">
        <v>29.5</v>
      </c>
      <c r="L25" t="n">
        <v>29.5</v>
      </c>
      <c r="M25" t="b">
        <v>0</v>
      </c>
      <c r="N25" t="n">
        <v>-1.204080180732075</v>
      </c>
    </row>
    <row r="26">
      <c r="A26" t="n">
        <v>24</v>
      </c>
      <c r="B26" s="3" t="n">
        <v>42736</v>
      </c>
      <c r="C26" t="inlineStr">
        <is>
          <t>History</t>
        </is>
      </c>
      <c r="D26" t="n">
        <v>18.23812903225807</v>
      </c>
      <c r="H26" t="inlineStr">
        <is>
          <t>STEO</t>
        </is>
      </c>
      <c r="I26" t="n">
        <v>29.5</v>
      </c>
      <c r="J26" t="n">
        <v>29.5</v>
      </c>
      <c r="K26" t="n">
        <v>29.5</v>
      </c>
      <c r="L26" t="n">
        <v>29.5</v>
      </c>
      <c r="M26" t="b">
        <v>0</v>
      </c>
      <c r="N26" t="n">
        <v>-1.204080180732075</v>
      </c>
    </row>
    <row r="27">
      <c r="A27" t="n">
        <v>25</v>
      </c>
      <c r="B27" s="3" t="n">
        <v>42767</v>
      </c>
      <c r="C27" t="inlineStr">
        <is>
          <t>History</t>
        </is>
      </c>
      <c r="D27" t="n">
        <v>18.73007142857143</v>
      </c>
      <c r="H27" t="inlineStr">
        <is>
          <t>STEO</t>
        </is>
      </c>
      <c r="I27" t="n">
        <v>29.5</v>
      </c>
      <c r="J27" t="n">
        <v>29.5</v>
      </c>
      <c r="K27" t="n">
        <v>29.5</v>
      </c>
      <c r="L27" t="n">
        <v>29.5</v>
      </c>
      <c r="M27" t="b">
        <v>0</v>
      </c>
      <c r="N27" t="n">
        <v>-1.204080180732075</v>
      </c>
    </row>
    <row r="28">
      <c r="A28" t="n">
        <v>26</v>
      </c>
      <c r="B28" s="3" t="n">
        <v>42795</v>
      </c>
      <c r="C28" t="inlineStr">
        <is>
          <t>History</t>
        </is>
      </c>
      <c r="D28" t="n">
        <v>19.24690322580645</v>
      </c>
      <c r="H28" t="inlineStr">
        <is>
          <t>STEO</t>
        </is>
      </c>
      <c r="I28" t="n">
        <v>29.5</v>
      </c>
      <c r="J28" t="n">
        <v>29.5</v>
      </c>
      <c r="K28" t="n">
        <v>29.5</v>
      </c>
      <c r="L28" t="n">
        <v>29.5</v>
      </c>
      <c r="M28" t="b">
        <v>0</v>
      </c>
      <c r="N28" t="n">
        <v>-1.204080180732075</v>
      </c>
    </row>
    <row r="29">
      <c r="A29" t="n">
        <v>27</v>
      </c>
      <c r="B29" s="3" t="n">
        <v>42826</v>
      </c>
      <c r="C29" t="inlineStr">
        <is>
          <t>History</t>
        </is>
      </c>
      <c r="D29" t="n">
        <v>19.6151</v>
      </c>
      <c r="H29" t="inlineStr">
        <is>
          <t>STEO</t>
        </is>
      </c>
      <c r="I29" t="n">
        <v>29.5</v>
      </c>
      <c r="J29" t="n">
        <v>29.5</v>
      </c>
      <c r="K29" t="n">
        <v>29.5</v>
      </c>
      <c r="L29" t="n">
        <v>29.5</v>
      </c>
      <c r="M29" t="b">
        <v>0</v>
      </c>
      <c r="N29" t="n">
        <v>-1.204080180732075</v>
      </c>
    </row>
    <row r="30">
      <c r="A30" t="n">
        <v>28</v>
      </c>
      <c r="B30" s="3" t="n">
        <v>42856</v>
      </c>
      <c r="C30" t="inlineStr">
        <is>
          <t>History</t>
        </is>
      </c>
      <c r="D30" t="n">
        <v>19.58841935483871</v>
      </c>
      <c r="H30" t="inlineStr">
        <is>
          <t>STEO</t>
        </is>
      </c>
      <c r="I30" t="n">
        <v>29.5</v>
      </c>
      <c r="J30" t="n">
        <v>29.5</v>
      </c>
      <c r="K30" t="n">
        <v>29.5</v>
      </c>
      <c r="L30" t="n">
        <v>29.5</v>
      </c>
      <c r="M30" t="b">
        <v>0</v>
      </c>
      <c r="N30" t="n">
        <v>-1.204080180732075</v>
      </c>
    </row>
    <row r="31">
      <c r="A31" t="n">
        <v>29</v>
      </c>
      <c r="B31" s="3" t="n">
        <v>42887</v>
      </c>
      <c r="C31" t="inlineStr">
        <is>
          <t>History</t>
        </is>
      </c>
      <c r="D31" t="n">
        <v>19.7962</v>
      </c>
      <c r="H31" t="inlineStr">
        <is>
          <t>STEO</t>
        </is>
      </c>
      <c r="I31" t="n">
        <v>29.5</v>
      </c>
      <c r="J31" t="n">
        <v>29.5</v>
      </c>
      <c r="K31" t="n">
        <v>29.5</v>
      </c>
      <c r="L31" t="n">
        <v>29.5</v>
      </c>
      <c r="M31" t="b">
        <v>0</v>
      </c>
      <c r="N31" t="n">
        <v>-1.204080180732075</v>
      </c>
    </row>
    <row r="32">
      <c r="A32" t="n">
        <v>30</v>
      </c>
      <c r="B32" s="3" t="n">
        <v>42917</v>
      </c>
      <c r="C32" t="inlineStr">
        <is>
          <t>History</t>
        </is>
      </c>
      <c r="D32" t="n">
        <v>20.12025806451613</v>
      </c>
      <c r="H32" t="inlineStr">
        <is>
          <t>STEO</t>
        </is>
      </c>
      <c r="I32" t="n">
        <v>29.5</v>
      </c>
      <c r="J32" t="n">
        <v>29.5</v>
      </c>
      <c r="K32" t="n">
        <v>29.5</v>
      </c>
      <c r="L32" t="n">
        <v>29.5</v>
      </c>
      <c r="M32" t="b">
        <v>0</v>
      </c>
      <c r="N32" t="n">
        <v>-1.204080180732075</v>
      </c>
    </row>
    <row r="33">
      <c r="A33" t="n">
        <v>31</v>
      </c>
      <c r="B33" s="3" t="n">
        <v>42948</v>
      </c>
      <c r="C33" t="inlineStr">
        <is>
          <t>History</t>
        </is>
      </c>
      <c r="D33" t="n">
        <v>19.56261290322581</v>
      </c>
      <c r="H33" t="inlineStr">
        <is>
          <t>STEO</t>
        </is>
      </c>
      <c r="I33" t="n">
        <v>29.5</v>
      </c>
      <c r="J33" t="n">
        <v>29.5</v>
      </c>
      <c r="K33" t="n">
        <v>29.5</v>
      </c>
      <c r="L33" t="n">
        <v>29.5</v>
      </c>
      <c r="M33" t="b">
        <v>0</v>
      </c>
      <c r="N33" t="n">
        <v>-1.204080180732075</v>
      </c>
    </row>
    <row r="34">
      <c r="A34" t="n">
        <v>32</v>
      </c>
      <c r="B34" s="3" t="n">
        <v>42979</v>
      </c>
      <c r="C34" t="inlineStr">
        <is>
          <t>History</t>
        </is>
      </c>
      <c r="D34" t="n">
        <v>19.95146666666667</v>
      </c>
      <c r="H34" t="inlineStr">
        <is>
          <t>STEO</t>
        </is>
      </c>
      <c r="I34" t="n">
        <v>29.5</v>
      </c>
      <c r="J34" t="n">
        <v>29.5</v>
      </c>
      <c r="K34" t="n">
        <v>29.5</v>
      </c>
      <c r="L34" t="n">
        <v>29.5</v>
      </c>
      <c r="M34" t="b">
        <v>0</v>
      </c>
      <c r="N34" t="n">
        <v>-1.204080180732075</v>
      </c>
    </row>
    <row r="35">
      <c r="A35" t="n">
        <v>33</v>
      </c>
      <c r="B35" s="3" t="n">
        <v>43009</v>
      </c>
      <c r="C35" t="inlineStr">
        <is>
          <t>History</t>
        </is>
      </c>
      <c r="D35" t="n">
        <v>20.76596774193548</v>
      </c>
      <c r="H35" t="inlineStr">
        <is>
          <t>STEO</t>
        </is>
      </c>
      <c r="I35" t="n">
        <v>29.5</v>
      </c>
      <c r="J35" t="n">
        <v>29.5</v>
      </c>
      <c r="K35" t="n">
        <v>29.5</v>
      </c>
      <c r="L35" t="n">
        <v>29.5</v>
      </c>
      <c r="M35" t="b">
        <v>0</v>
      </c>
      <c r="N35" t="n">
        <v>-1.204080180732075</v>
      </c>
    </row>
    <row r="36">
      <c r="A36" t="n">
        <v>34</v>
      </c>
      <c r="B36" s="3" t="n">
        <v>43040</v>
      </c>
      <c r="C36" t="inlineStr">
        <is>
          <t>History</t>
        </is>
      </c>
      <c r="D36" t="n">
        <v>21.13343333333333</v>
      </c>
      <c r="H36" t="inlineStr">
        <is>
          <t>STEO</t>
        </is>
      </c>
      <c r="I36" t="n">
        <v>29.5</v>
      </c>
      <c r="J36" t="n">
        <v>29.5</v>
      </c>
      <c r="K36" t="n">
        <v>29.5</v>
      </c>
      <c r="L36" t="n">
        <v>29.5</v>
      </c>
      <c r="M36" t="b">
        <v>0</v>
      </c>
      <c r="N36" t="n">
        <v>-1.204080180732075</v>
      </c>
    </row>
    <row r="37">
      <c r="A37" t="n">
        <v>35</v>
      </c>
      <c r="B37" s="3" t="n">
        <v>43070</v>
      </c>
      <c r="C37" t="inlineStr">
        <is>
          <t>History</t>
        </is>
      </c>
      <c r="D37" t="n">
        <v>20.6878064516129</v>
      </c>
      <c r="H37" t="inlineStr">
        <is>
          <t>STEO</t>
        </is>
      </c>
      <c r="I37" t="n">
        <v>29.5</v>
      </c>
      <c r="J37" t="n">
        <v>29.5</v>
      </c>
      <c r="K37" t="n">
        <v>29.5</v>
      </c>
      <c r="L37" t="n">
        <v>29.5</v>
      </c>
      <c r="M37" t="b">
        <v>0</v>
      </c>
      <c r="N37" t="n">
        <v>-1.204080180732075</v>
      </c>
    </row>
    <row r="38">
      <c r="A38" t="n">
        <v>36</v>
      </c>
      <c r="B38" s="3" t="n">
        <v>43101</v>
      </c>
      <c r="C38" t="inlineStr">
        <is>
          <t>History</t>
        </is>
      </c>
      <c r="D38" t="n">
        <v>19.92074193548387</v>
      </c>
      <c r="H38" t="inlineStr">
        <is>
          <t>STEO</t>
        </is>
      </c>
      <c r="I38" t="n">
        <v>29.5</v>
      </c>
      <c r="J38" t="n">
        <v>29.5</v>
      </c>
      <c r="K38" t="n">
        <v>29.5</v>
      </c>
      <c r="L38" t="n">
        <v>29.5</v>
      </c>
      <c r="M38" t="b">
        <v>0</v>
      </c>
      <c r="N38" t="n">
        <v>-1.204080180732075</v>
      </c>
    </row>
    <row r="39">
      <c r="A39" t="n">
        <v>37</v>
      </c>
      <c r="B39" s="3" t="n">
        <v>43132</v>
      </c>
      <c r="C39" t="inlineStr">
        <is>
          <t>History</t>
        </is>
      </c>
      <c r="D39" t="n">
        <v>20.63878571428571</v>
      </c>
      <c r="H39" t="inlineStr">
        <is>
          <t>STEO</t>
        </is>
      </c>
      <c r="I39" t="n">
        <v>29.5</v>
      </c>
      <c r="J39" t="n">
        <v>29.5</v>
      </c>
      <c r="K39" t="n">
        <v>29.5</v>
      </c>
      <c r="L39" t="n">
        <v>29.5</v>
      </c>
      <c r="M39" t="b">
        <v>0</v>
      </c>
      <c r="N39" t="n">
        <v>-1.204080180732075</v>
      </c>
    </row>
    <row r="40">
      <c r="A40" t="n">
        <v>38</v>
      </c>
      <c r="B40" s="3" t="n">
        <v>43160</v>
      </c>
      <c r="C40" t="inlineStr">
        <is>
          <t>History</t>
        </is>
      </c>
      <c r="D40" t="n">
        <v>21.32409677419355</v>
      </c>
      <c r="H40" t="inlineStr">
        <is>
          <t>STEO</t>
        </is>
      </c>
      <c r="I40" t="n">
        <v>29.5</v>
      </c>
      <c r="J40" t="n">
        <v>29.5</v>
      </c>
      <c r="K40" t="n">
        <v>29.5</v>
      </c>
      <c r="L40" t="n">
        <v>29.5</v>
      </c>
      <c r="M40" t="b">
        <v>0</v>
      </c>
      <c r="N40" t="n">
        <v>-1.204080180732075</v>
      </c>
    </row>
    <row r="41">
      <c r="A41" t="n">
        <v>39</v>
      </c>
      <c r="B41" s="3" t="n">
        <v>43191</v>
      </c>
      <c r="C41" t="inlineStr">
        <is>
          <t>History</t>
        </is>
      </c>
      <c r="D41" t="n">
        <v>21.22153333333333</v>
      </c>
      <c r="H41" t="inlineStr">
        <is>
          <t>STEO</t>
        </is>
      </c>
      <c r="I41" t="n">
        <v>29.5</v>
      </c>
      <c r="J41" t="n">
        <v>29.5</v>
      </c>
      <c r="K41" t="n">
        <v>29.5</v>
      </c>
      <c r="L41" t="n">
        <v>29.5</v>
      </c>
      <c r="M41" t="b">
        <v>0</v>
      </c>
      <c r="N41" t="n">
        <v>-1.204080180732075</v>
      </c>
    </row>
    <row r="42">
      <c r="A42" t="n">
        <v>40</v>
      </c>
      <c r="B42" s="3" t="n">
        <v>43221</v>
      </c>
      <c r="C42" t="inlineStr">
        <is>
          <t>History</t>
        </is>
      </c>
      <c r="D42" t="n">
        <v>21.74293548387097</v>
      </c>
      <c r="H42" t="inlineStr">
        <is>
          <t>STEO</t>
        </is>
      </c>
      <c r="I42" t="n">
        <v>29.5</v>
      </c>
      <c r="J42" t="n">
        <v>29.5</v>
      </c>
      <c r="K42" t="n">
        <v>29.5</v>
      </c>
      <c r="L42" t="n">
        <v>29.5</v>
      </c>
      <c r="M42" t="b">
        <v>0</v>
      </c>
      <c r="N42" t="n">
        <v>-1.204080180732075</v>
      </c>
    </row>
    <row r="43">
      <c r="A43" t="n">
        <v>41</v>
      </c>
      <c r="B43" s="3" t="n">
        <v>43252</v>
      </c>
      <c r="C43" t="inlineStr">
        <is>
          <t>History</t>
        </is>
      </c>
      <c r="D43" t="n">
        <v>21.9635</v>
      </c>
      <c r="H43" t="inlineStr">
        <is>
          <t>STEO</t>
        </is>
      </c>
      <c r="I43" t="n">
        <v>29.5</v>
      </c>
      <c r="J43" t="n">
        <v>29.5</v>
      </c>
      <c r="K43" t="n">
        <v>29.5</v>
      </c>
      <c r="L43" t="n">
        <v>29.5</v>
      </c>
      <c r="M43" t="b">
        <v>0</v>
      </c>
      <c r="N43" t="n">
        <v>-1.204080180732075</v>
      </c>
    </row>
    <row r="44">
      <c r="A44" t="n">
        <v>42</v>
      </c>
      <c r="B44" s="3" t="n">
        <v>43282</v>
      </c>
      <c r="C44" t="inlineStr">
        <is>
          <t>History</t>
        </is>
      </c>
      <c r="D44" t="n">
        <v>21.77238709677419</v>
      </c>
      <c r="H44" t="inlineStr">
        <is>
          <t>STEO</t>
        </is>
      </c>
      <c r="I44" t="n">
        <v>29.5</v>
      </c>
      <c r="J44" t="n">
        <v>29.5</v>
      </c>
      <c r="K44" t="n">
        <v>29.5</v>
      </c>
      <c r="L44" t="n">
        <v>29.5</v>
      </c>
      <c r="M44" t="b">
        <v>0</v>
      </c>
      <c r="N44" t="n">
        <v>-1.204080180732075</v>
      </c>
    </row>
    <row r="45">
      <c r="A45" t="n">
        <v>43</v>
      </c>
      <c r="B45" s="3" t="n">
        <v>43313</v>
      </c>
      <c r="C45" t="inlineStr">
        <is>
          <t>History</t>
        </is>
      </c>
      <c r="D45" t="n">
        <v>22.42848387096774</v>
      </c>
      <c r="H45" t="inlineStr">
        <is>
          <t>STEO</t>
        </is>
      </c>
      <c r="I45" t="n">
        <v>29.5</v>
      </c>
      <c r="J45" t="n">
        <v>29.5</v>
      </c>
      <c r="K45" t="n">
        <v>29.5</v>
      </c>
      <c r="L45" t="n">
        <v>29.5</v>
      </c>
      <c r="M45" t="b">
        <v>0</v>
      </c>
      <c r="N45" t="n">
        <v>-1.204080180732075</v>
      </c>
    </row>
    <row r="46">
      <c r="A46" t="n">
        <v>44</v>
      </c>
      <c r="B46" s="3" t="n">
        <v>43344</v>
      </c>
      <c r="C46" t="inlineStr">
        <is>
          <t>History</t>
        </is>
      </c>
      <c r="D46" t="n">
        <v>23.10946666666667</v>
      </c>
      <c r="H46" t="inlineStr">
        <is>
          <t>STEO</t>
        </is>
      </c>
      <c r="I46" t="n">
        <v>29.5</v>
      </c>
      <c r="J46" t="n">
        <v>29.5</v>
      </c>
      <c r="K46" t="n">
        <v>29.5</v>
      </c>
      <c r="L46" t="n">
        <v>29.5</v>
      </c>
      <c r="M46" t="b">
        <v>0</v>
      </c>
      <c r="N46" t="n">
        <v>-1.204080180732075</v>
      </c>
    </row>
    <row r="47">
      <c r="A47" t="n">
        <v>45</v>
      </c>
      <c r="B47" s="3" t="n">
        <v>43374</v>
      </c>
      <c r="C47" t="inlineStr">
        <is>
          <t>History</t>
        </is>
      </c>
      <c r="D47" t="n">
        <v>22.90358064516129</v>
      </c>
      <c r="H47" t="inlineStr">
        <is>
          <t>STEO</t>
        </is>
      </c>
      <c r="I47" t="n">
        <v>29.5</v>
      </c>
      <c r="J47" t="n">
        <v>29.5</v>
      </c>
      <c r="K47" t="n">
        <v>29.5</v>
      </c>
      <c r="L47" t="n">
        <v>29.5</v>
      </c>
      <c r="M47" t="b">
        <v>0</v>
      </c>
      <c r="N47" t="n">
        <v>-1.204080180732075</v>
      </c>
    </row>
    <row r="48">
      <c r="A48" t="n">
        <v>46</v>
      </c>
      <c r="B48" s="3" t="n">
        <v>43405</v>
      </c>
      <c r="C48" t="inlineStr">
        <is>
          <t>History</t>
        </is>
      </c>
      <c r="D48" t="n">
        <v>23.9449</v>
      </c>
      <c r="H48" t="inlineStr">
        <is>
          <t>STEO</t>
        </is>
      </c>
      <c r="I48" t="n">
        <v>29.5</v>
      </c>
      <c r="J48" t="n">
        <v>29.5</v>
      </c>
      <c r="K48" t="n">
        <v>29.5</v>
      </c>
      <c r="L48" t="n">
        <v>29.5</v>
      </c>
      <c r="M48" t="b">
        <v>0</v>
      </c>
      <c r="N48" t="n">
        <v>-1.204080180732075</v>
      </c>
    </row>
    <row r="49">
      <c r="A49" t="n">
        <v>47</v>
      </c>
      <c r="B49" s="3" t="n">
        <v>43435</v>
      </c>
      <c r="C49" t="inlineStr">
        <is>
          <t>History</t>
        </is>
      </c>
      <c r="D49" t="n">
        <v>23.32525806451613</v>
      </c>
      <c r="H49" t="inlineStr">
        <is>
          <t>STEO</t>
        </is>
      </c>
      <c r="I49" t="n">
        <v>29.5</v>
      </c>
      <c r="J49" t="n">
        <v>29.5</v>
      </c>
      <c r="K49" t="n">
        <v>29.5</v>
      </c>
      <c r="L49" t="n">
        <v>29.5</v>
      </c>
      <c r="M49" t="b">
        <v>0</v>
      </c>
      <c r="N49" t="n">
        <v>-1.204080180732075</v>
      </c>
    </row>
    <row r="50">
      <c r="A50" t="n">
        <v>48</v>
      </c>
      <c r="B50" s="3" t="n">
        <v>43466</v>
      </c>
      <c r="C50" t="inlineStr">
        <is>
          <t>History</t>
        </is>
      </c>
      <c r="D50" t="n">
        <v>23.78629032258064</v>
      </c>
      <c r="H50" t="inlineStr">
        <is>
          <t>STEO</t>
        </is>
      </c>
      <c r="I50" t="n">
        <v>29.5</v>
      </c>
      <c r="J50" t="n">
        <v>29.5</v>
      </c>
      <c r="K50" t="n">
        <v>29.5</v>
      </c>
      <c r="L50" t="n">
        <v>29.5</v>
      </c>
      <c r="M50" t="b">
        <v>0</v>
      </c>
      <c r="N50" t="n">
        <v>-1.204080180732075</v>
      </c>
    </row>
    <row r="51">
      <c r="A51" t="n">
        <v>49</v>
      </c>
      <c r="B51" s="3" t="n">
        <v>43497</v>
      </c>
      <c r="C51" t="inlineStr">
        <is>
          <t>History</t>
        </is>
      </c>
      <c r="D51" t="n">
        <v>24.21664285714286</v>
      </c>
      <c r="H51" t="inlineStr">
        <is>
          <t>STEO</t>
        </is>
      </c>
      <c r="I51" t="n">
        <v>29.5</v>
      </c>
      <c r="J51" t="n">
        <v>29.5</v>
      </c>
      <c r="K51" t="n">
        <v>29.5</v>
      </c>
      <c r="L51" t="n">
        <v>29.5</v>
      </c>
      <c r="M51" t="b">
        <v>0</v>
      </c>
      <c r="N51" t="n">
        <v>-1.204080180732075</v>
      </c>
    </row>
    <row r="52">
      <c r="A52" t="n">
        <v>50</v>
      </c>
      <c r="B52" s="3" t="n">
        <v>43525</v>
      </c>
      <c r="C52" t="inlineStr">
        <is>
          <t>History</t>
        </is>
      </c>
      <c r="D52" t="n">
        <v>24.47245161290323</v>
      </c>
      <c r="H52" t="inlineStr">
        <is>
          <t>STEO</t>
        </is>
      </c>
      <c r="I52" t="n">
        <v>29.5</v>
      </c>
      <c r="J52" t="n">
        <v>29.5</v>
      </c>
      <c r="K52" t="n">
        <v>29.5</v>
      </c>
      <c r="L52" t="n">
        <v>29.5</v>
      </c>
      <c r="M52" t="b">
        <v>0</v>
      </c>
      <c r="N52" t="n">
        <v>-1.204080180732075</v>
      </c>
    </row>
    <row r="53">
      <c r="A53" t="n">
        <v>51</v>
      </c>
      <c r="B53" s="3" t="n">
        <v>43556</v>
      </c>
      <c r="C53" t="inlineStr">
        <is>
          <t>History</t>
        </is>
      </c>
      <c r="D53" t="n">
        <v>24.2509</v>
      </c>
      <c r="H53" t="inlineStr">
        <is>
          <t>STEO</t>
        </is>
      </c>
      <c r="I53" t="n">
        <v>29.5</v>
      </c>
      <c r="J53" t="n">
        <v>29.5</v>
      </c>
      <c r="K53" t="n">
        <v>29.5</v>
      </c>
      <c r="L53" t="n">
        <v>29.5</v>
      </c>
      <c r="M53" t="b">
        <v>0</v>
      </c>
      <c r="N53" t="n">
        <v>-1.204080180732075</v>
      </c>
    </row>
    <row r="54">
      <c r="A54" t="n">
        <v>52</v>
      </c>
      <c r="B54" s="3" t="n">
        <v>43586</v>
      </c>
      <c r="C54" t="inlineStr">
        <is>
          <t>History</t>
        </is>
      </c>
      <c r="D54" t="n">
        <v>25.19361290322581</v>
      </c>
      <c r="H54" t="inlineStr">
        <is>
          <t>STEO</t>
        </is>
      </c>
      <c r="I54" t="n">
        <v>29.5</v>
      </c>
      <c r="J54" t="n">
        <v>29.5</v>
      </c>
      <c r="K54" t="n">
        <v>29.5</v>
      </c>
      <c r="L54" t="n">
        <v>29.5</v>
      </c>
      <c r="M54" t="b">
        <v>0</v>
      </c>
      <c r="N54" t="n">
        <v>-1.204080180732075</v>
      </c>
    </row>
    <row r="55">
      <c r="A55" t="n">
        <v>53</v>
      </c>
      <c r="B55" s="3" t="n">
        <v>43617</v>
      </c>
      <c r="C55" t="inlineStr">
        <is>
          <t>History</t>
        </is>
      </c>
      <c r="D55" t="n">
        <v>25.5587</v>
      </c>
      <c r="H55" t="inlineStr">
        <is>
          <t>STEO</t>
        </is>
      </c>
      <c r="I55" t="n">
        <v>29.5</v>
      </c>
      <c r="J55" t="n">
        <v>29.5</v>
      </c>
      <c r="K55" t="n">
        <v>29.5</v>
      </c>
      <c r="L55" t="n">
        <v>29.5</v>
      </c>
      <c r="M55" t="b">
        <v>0</v>
      </c>
      <c r="N55" t="n">
        <v>-1.204080180732075</v>
      </c>
    </row>
    <row r="56">
      <c r="A56" t="n">
        <v>54</v>
      </c>
      <c r="B56" s="3" t="n">
        <v>43647</v>
      </c>
      <c r="C56" t="inlineStr">
        <is>
          <t>History</t>
        </is>
      </c>
      <c r="D56" t="n">
        <v>25.96448387096774</v>
      </c>
      <c r="H56" t="inlineStr">
        <is>
          <t>STEO</t>
        </is>
      </c>
      <c r="I56" t="n">
        <v>29.5</v>
      </c>
      <c r="J56" t="n">
        <v>29.5</v>
      </c>
      <c r="K56" t="n">
        <v>29.5</v>
      </c>
      <c r="L56" t="n">
        <v>29.5</v>
      </c>
      <c r="M56" t="b">
        <v>0</v>
      </c>
      <c r="N56" t="n">
        <v>-1.204080180732075</v>
      </c>
    </row>
    <row r="57">
      <c r="A57" t="n">
        <v>55</v>
      </c>
      <c r="B57" s="3" t="n">
        <v>43678</v>
      </c>
      <c r="C57" t="inlineStr">
        <is>
          <t>History</t>
        </is>
      </c>
      <c r="D57" t="n">
        <v>27.0148064516129</v>
      </c>
      <c r="H57" t="inlineStr">
        <is>
          <t>STEO</t>
        </is>
      </c>
      <c r="I57" t="n">
        <v>29.5</v>
      </c>
      <c r="J57" t="n">
        <v>29.5</v>
      </c>
      <c r="K57" t="n">
        <v>29.5</v>
      </c>
      <c r="L57" t="n">
        <v>29.5</v>
      </c>
      <c r="M57" t="b">
        <v>0</v>
      </c>
      <c r="N57" t="n">
        <v>-1.204080180732075</v>
      </c>
    </row>
    <row r="58">
      <c r="A58" t="n">
        <v>56</v>
      </c>
      <c r="B58" s="3" t="n">
        <v>43709</v>
      </c>
      <c r="C58" t="inlineStr">
        <is>
          <t>History</t>
        </is>
      </c>
      <c r="D58" t="n">
        <v>26.60636666666667</v>
      </c>
      <c r="H58" t="inlineStr">
        <is>
          <t>STEO</t>
        </is>
      </c>
      <c r="I58" t="n">
        <v>29.5</v>
      </c>
      <c r="J58" t="n">
        <v>29.5</v>
      </c>
      <c r="K58" t="n">
        <v>29.5</v>
      </c>
      <c r="L58" t="n">
        <v>29.5</v>
      </c>
      <c r="M58" t="b">
        <v>0</v>
      </c>
      <c r="N58" t="n">
        <v>-1.204080180732075</v>
      </c>
    </row>
    <row r="59">
      <c r="A59" t="n">
        <v>57</v>
      </c>
      <c r="B59" s="3" t="n">
        <v>43739</v>
      </c>
      <c r="C59" t="inlineStr">
        <is>
          <t>History</t>
        </is>
      </c>
      <c r="D59" t="n">
        <v>26.72225806451613</v>
      </c>
      <c r="H59" t="inlineStr">
        <is>
          <t>STEO</t>
        </is>
      </c>
      <c r="I59" t="n">
        <v>29.5</v>
      </c>
      <c r="J59" t="n">
        <v>29.5</v>
      </c>
      <c r="K59" t="n">
        <v>29.5</v>
      </c>
      <c r="L59" t="n">
        <v>29.5</v>
      </c>
      <c r="M59" t="b">
        <v>0</v>
      </c>
      <c r="N59" t="n">
        <v>-1.204080180732075</v>
      </c>
    </row>
    <row r="60">
      <c r="A60" t="n">
        <v>58</v>
      </c>
      <c r="B60" s="3" t="n">
        <v>43770</v>
      </c>
      <c r="C60" t="inlineStr">
        <is>
          <t>History</t>
        </is>
      </c>
      <c r="D60" t="n">
        <v>27.16963333333333</v>
      </c>
      <c r="H60" t="inlineStr">
        <is>
          <t>STEO</t>
        </is>
      </c>
      <c r="I60" t="n">
        <v>29.5</v>
      </c>
      <c r="J60" t="n">
        <v>29.5</v>
      </c>
      <c r="K60" t="n">
        <v>29.5</v>
      </c>
      <c r="L60" t="n">
        <v>29.5</v>
      </c>
      <c r="M60" t="b">
        <v>0</v>
      </c>
      <c r="N60" t="n">
        <v>-1.204080180732075</v>
      </c>
    </row>
    <row r="61">
      <c r="A61" t="n">
        <v>59</v>
      </c>
      <c r="B61" s="3" t="n">
        <v>43800</v>
      </c>
      <c r="C61" t="inlineStr">
        <is>
          <t>History</t>
        </is>
      </c>
      <c r="D61" t="n">
        <v>27.26077419354839</v>
      </c>
      <c r="H61" t="inlineStr">
        <is>
          <t>STEO</t>
        </is>
      </c>
      <c r="I61" t="n">
        <v>29.5</v>
      </c>
      <c r="J61" t="n">
        <v>29.5</v>
      </c>
      <c r="K61" t="n">
        <v>29.5</v>
      </c>
      <c r="L61" t="n">
        <v>29.5</v>
      </c>
      <c r="M61" t="b">
        <v>0</v>
      </c>
      <c r="N61" t="n">
        <v>-1.204080180732075</v>
      </c>
    </row>
    <row r="62">
      <c r="A62" t="n">
        <v>60</v>
      </c>
      <c r="B62" s="3" t="n">
        <v>43831</v>
      </c>
      <c r="C62" t="inlineStr">
        <is>
          <t>History</t>
        </is>
      </c>
      <c r="D62" t="n">
        <v>29.85877419354838</v>
      </c>
      <c r="H62" t="inlineStr">
        <is>
          <t>STEO</t>
        </is>
      </c>
      <c r="I62" t="n">
        <v>29.5</v>
      </c>
      <c r="J62" t="n">
        <v>29.5</v>
      </c>
      <c r="K62" t="n">
        <v>29.5</v>
      </c>
      <c r="L62" t="n">
        <v>29.5</v>
      </c>
      <c r="M62" t="b">
        <v>0</v>
      </c>
      <c r="N62" t="n">
        <v>-1.204080180732075</v>
      </c>
    </row>
    <row r="63">
      <c r="A63" t="n">
        <v>61</v>
      </c>
      <c r="B63" s="3" t="n">
        <v>43862</v>
      </c>
      <c r="C63" t="inlineStr">
        <is>
          <t>History</t>
        </is>
      </c>
      <c r="D63" t="n">
        <v>27.8101724137931</v>
      </c>
      <c r="H63" t="inlineStr">
        <is>
          <t>STEO</t>
        </is>
      </c>
      <c r="I63" t="n">
        <v>29.5</v>
      </c>
      <c r="J63" t="n">
        <v>29.5</v>
      </c>
      <c r="K63" t="n">
        <v>29.5</v>
      </c>
      <c r="L63" t="n">
        <v>29.5</v>
      </c>
      <c r="M63" t="b">
        <v>0</v>
      </c>
      <c r="N63" t="n">
        <v>-1.204080180732075</v>
      </c>
    </row>
    <row r="64">
      <c r="A64" t="n">
        <v>62</v>
      </c>
      <c r="B64" s="3" t="n">
        <v>43891</v>
      </c>
      <c r="C64" t="inlineStr">
        <is>
          <t>History</t>
        </is>
      </c>
      <c r="D64" t="n">
        <v>27.86754838709677</v>
      </c>
      <c r="H64" t="inlineStr">
        <is>
          <t>STEO</t>
        </is>
      </c>
      <c r="I64" t="n">
        <v>29.5</v>
      </c>
      <c r="J64" t="n">
        <v>29.5</v>
      </c>
      <c r="K64" t="n">
        <v>29.5</v>
      </c>
      <c r="L64" t="n">
        <v>29.5</v>
      </c>
      <c r="M64" t="b">
        <v>0</v>
      </c>
      <c r="N64" t="n">
        <v>-1.204080180732075</v>
      </c>
    </row>
    <row r="65">
      <c r="A65" t="n">
        <v>63</v>
      </c>
      <c r="B65" s="3" t="n">
        <v>43922</v>
      </c>
      <c r="C65" t="inlineStr">
        <is>
          <t>History</t>
        </is>
      </c>
      <c r="D65" t="n">
        <v>28.98423333333333</v>
      </c>
      <c r="H65" t="inlineStr">
        <is>
          <t>STEO</t>
        </is>
      </c>
      <c r="I65" t="n">
        <v>29.5</v>
      </c>
      <c r="J65" t="n">
        <v>29.5</v>
      </c>
      <c r="K65" t="n">
        <v>29.5</v>
      </c>
      <c r="L65" t="n">
        <v>29.5</v>
      </c>
      <c r="M65" t="b">
        <v>0</v>
      </c>
      <c r="N65" t="n">
        <v>-1.204080180732075</v>
      </c>
    </row>
    <row r="66">
      <c r="A66" t="n">
        <v>64</v>
      </c>
      <c r="B66" s="3" t="n">
        <v>43952</v>
      </c>
      <c r="C66" t="inlineStr">
        <is>
          <t>History</t>
        </is>
      </c>
      <c r="D66" t="n">
        <v>24.7841935483871</v>
      </c>
      <c r="H66" t="inlineStr">
        <is>
          <t>STEO</t>
        </is>
      </c>
      <c r="I66" t="n">
        <v>29.5</v>
      </c>
      <c r="J66" t="n">
        <v>29.5</v>
      </c>
      <c r="K66" t="n">
        <v>29.5</v>
      </c>
      <c r="L66" t="n">
        <v>29.5</v>
      </c>
      <c r="M66" t="b">
        <v>0</v>
      </c>
      <c r="N66" t="n">
        <v>-1.204080180732075</v>
      </c>
    </row>
    <row r="67">
      <c r="A67" t="n">
        <v>65</v>
      </c>
      <c r="B67" s="3" t="n">
        <v>43983</v>
      </c>
      <c r="C67" t="inlineStr">
        <is>
          <t>History</t>
        </is>
      </c>
      <c r="D67" t="n">
        <v>27.00793333333333</v>
      </c>
      <c r="H67" t="inlineStr">
        <is>
          <t>STEO</t>
        </is>
      </c>
      <c r="I67" t="n">
        <v>29.5</v>
      </c>
      <c r="J67" t="n">
        <v>29.5</v>
      </c>
      <c r="K67" t="n">
        <v>29.5</v>
      </c>
      <c r="L67" t="n">
        <v>29.5</v>
      </c>
      <c r="M67" t="b">
        <v>0</v>
      </c>
      <c r="N67" t="n">
        <v>-1.204080180732075</v>
      </c>
    </row>
    <row r="68">
      <c r="A68" t="n">
        <v>66</v>
      </c>
      <c r="B68" s="3" t="n">
        <v>44013</v>
      </c>
      <c r="C68" t="inlineStr">
        <is>
          <t>History</t>
        </is>
      </c>
      <c r="D68" t="n">
        <v>25.48325806451613</v>
      </c>
      <c r="H68" t="inlineStr">
        <is>
          <t>STEO</t>
        </is>
      </c>
      <c r="I68" t="n">
        <v>29.5</v>
      </c>
      <c r="J68" t="n">
        <v>29.5</v>
      </c>
      <c r="K68" t="n">
        <v>29.5</v>
      </c>
      <c r="L68" t="n">
        <v>29.5</v>
      </c>
      <c r="M68" t="b">
        <v>0</v>
      </c>
      <c r="N68" t="n">
        <v>-1.204080180732075</v>
      </c>
    </row>
    <row r="69">
      <c r="A69" t="n">
        <v>67</v>
      </c>
      <c r="B69" s="3" t="n">
        <v>44044</v>
      </c>
      <c r="C69" t="inlineStr">
        <is>
          <t>History</t>
        </is>
      </c>
      <c r="D69" t="n">
        <v>25.90293548387097</v>
      </c>
      <c r="H69" t="inlineStr">
        <is>
          <t>STEO</t>
        </is>
      </c>
      <c r="I69" t="n">
        <v>29.5</v>
      </c>
      <c r="J69" t="n">
        <v>29.5</v>
      </c>
      <c r="K69" t="n">
        <v>29.5</v>
      </c>
      <c r="L69" t="n">
        <v>29.5</v>
      </c>
      <c r="M69" t="b">
        <v>0</v>
      </c>
      <c r="N69" t="n">
        <v>-1.204080180732075</v>
      </c>
    </row>
    <row r="70">
      <c r="A70" t="n">
        <v>68</v>
      </c>
      <c r="B70" s="3" t="n">
        <v>44075</v>
      </c>
      <c r="C70" t="inlineStr">
        <is>
          <t>History</t>
        </is>
      </c>
      <c r="D70" t="n">
        <v>26.8679</v>
      </c>
      <c r="H70" t="inlineStr">
        <is>
          <t>STEO</t>
        </is>
      </c>
      <c r="I70" t="n">
        <v>29.5</v>
      </c>
      <c r="J70" t="n">
        <v>29.5</v>
      </c>
      <c r="K70" t="n">
        <v>29.5</v>
      </c>
      <c r="L70" t="n">
        <v>29.5</v>
      </c>
      <c r="M70" t="b">
        <v>0</v>
      </c>
      <c r="N70" t="n">
        <v>-1.204080180732075</v>
      </c>
    </row>
    <row r="71">
      <c r="A71" t="n">
        <v>69</v>
      </c>
      <c r="B71" s="3" t="n">
        <v>44105</v>
      </c>
      <c r="C71" t="inlineStr">
        <is>
          <t>History</t>
        </is>
      </c>
      <c r="D71" t="n">
        <v>25.53925806451613</v>
      </c>
      <c r="H71" t="inlineStr">
        <is>
          <t>STEO</t>
        </is>
      </c>
      <c r="I71" t="n">
        <v>29.5</v>
      </c>
      <c r="J71" t="n">
        <v>29.5</v>
      </c>
      <c r="K71" t="n">
        <v>29.5</v>
      </c>
      <c r="L71" t="n">
        <v>29.5</v>
      </c>
      <c r="M71" t="b">
        <v>0</v>
      </c>
      <c r="N71" t="n">
        <v>-1.204080180732075</v>
      </c>
    </row>
    <row r="72">
      <c r="A72" t="n">
        <v>70</v>
      </c>
      <c r="B72" s="3" t="n">
        <v>44136</v>
      </c>
      <c r="C72" t="inlineStr">
        <is>
          <t>History</t>
        </is>
      </c>
      <c r="D72" t="n">
        <v>25.78056666666667</v>
      </c>
      <c r="H72" t="inlineStr">
        <is>
          <t>STEO</t>
        </is>
      </c>
      <c r="I72" t="n">
        <v>29.5</v>
      </c>
      <c r="J72" t="n">
        <v>29.5</v>
      </c>
      <c r="K72" t="n">
        <v>29.5</v>
      </c>
      <c r="L72" t="n">
        <v>29.5</v>
      </c>
      <c r="M72" t="b">
        <v>0</v>
      </c>
      <c r="N72" t="n">
        <v>-1.204080180732075</v>
      </c>
    </row>
    <row r="73">
      <c r="A73" t="n">
        <v>71</v>
      </c>
      <c r="B73" s="3" t="n">
        <v>44166</v>
      </c>
      <c r="C73" t="inlineStr">
        <is>
          <t>History</t>
        </is>
      </c>
      <c r="D73" t="n">
        <v>25.96151612903226</v>
      </c>
      <c r="H73" t="inlineStr">
        <is>
          <t>STEO</t>
        </is>
      </c>
      <c r="I73" t="n">
        <v>29.5</v>
      </c>
      <c r="J73" t="n">
        <v>29.5</v>
      </c>
      <c r="K73" t="n">
        <v>29.5</v>
      </c>
      <c r="L73" t="n">
        <v>29.5</v>
      </c>
      <c r="M73" t="b">
        <v>0</v>
      </c>
      <c r="N73" t="n">
        <v>-1.204080180732075</v>
      </c>
    </row>
    <row r="74">
      <c r="A74" t="n">
        <v>72</v>
      </c>
      <c r="B74" s="3" t="n">
        <v>44197</v>
      </c>
      <c r="C74" t="inlineStr">
        <is>
          <t>History</t>
        </is>
      </c>
      <c r="D74" t="n">
        <v>25.78658064516129</v>
      </c>
      <c r="H74" t="inlineStr">
        <is>
          <t>STEO</t>
        </is>
      </c>
      <c r="I74" t="n">
        <v>29.5</v>
      </c>
      <c r="J74" t="n">
        <v>29.5</v>
      </c>
      <c r="K74" t="n">
        <v>29.5</v>
      </c>
      <c r="L74" t="n">
        <v>29.5</v>
      </c>
      <c r="M74" t="b">
        <v>0</v>
      </c>
      <c r="N74" t="n">
        <v>-1.204080180732075</v>
      </c>
      <c r="Q74" t="n">
        <v>22.10383870967742</v>
      </c>
      <c r="R74" t="n">
        <v>22.10383870967742</v>
      </c>
      <c r="S74" t="n">
        <v>18.38699064516129</v>
      </c>
      <c r="T74" t="n">
        <v>18.38699064516129</v>
      </c>
      <c r="U74" t="n">
        <v>4.16024870967742</v>
      </c>
      <c r="V74" t="n">
        <v>4.16024870967742</v>
      </c>
      <c r="W74" t="n">
        <v>11.67425806451613</v>
      </c>
      <c r="X74" t="n">
        <v>2.552483870967742</v>
      </c>
      <c r="Y74" t="n">
        <v>3.716848064516128</v>
      </c>
      <c r="Z74" t="n">
        <v>3.716848064516128</v>
      </c>
    </row>
    <row r="75">
      <c r="A75" t="n">
        <v>73</v>
      </c>
      <c r="B75" s="3" t="n">
        <v>44228</v>
      </c>
      <c r="C75" t="inlineStr">
        <is>
          <t>History</t>
        </is>
      </c>
      <c r="D75" t="n">
        <v>21.81089285714286</v>
      </c>
      <c r="H75" t="inlineStr">
        <is>
          <t>STEO</t>
        </is>
      </c>
      <c r="I75" t="n">
        <v>29.5</v>
      </c>
      <c r="J75" t="n">
        <v>29.5</v>
      </c>
      <c r="K75" t="n">
        <v>29.5</v>
      </c>
      <c r="L75" t="n">
        <v>29.5</v>
      </c>
      <c r="M75" t="b">
        <v>0</v>
      </c>
      <c r="N75" t="n">
        <v>-1.204080180732075</v>
      </c>
      <c r="Q75" t="n">
        <v>18.401</v>
      </c>
      <c r="R75" t="n">
        <v>18.401</v>
      </c>
      <c r="S75" t="n">
        <v>16.70803892857143</v>
      </c>
      <c r="T75" t="n">
        <v>16.70803892857143</v>
      </c>
      <c r="U75" t="n">
        <v>2.483681785714286</v>
      </c>
      <c r="V75" t="n">
        <v>2.483681785714286</v>
      </c>
      <c r="W75" t="n">
        <v>11.97192857142857</v>
      </c>
      <c r="X75" t="n">
        <v>2.252428571428571</v>
      </c>
      <c r="Y75" t="n">
        <v>1.69296107142857</v>
      </c>
      <c r="Z75" t="n">
        <v>1.69296107142857</v>
      </c>
    </row>
    <row r="76">
      <c r="A76" t="n">
        <v>74</v>
      </c>
      <c r="B76" s="3" t="n">
        <v>44256</v>
      </c>
      <c r="C76" t="inlineStr">
        <is>
          <t>History</t>
        </is>
      </c>
      <c r="D76" t="n">
        <v>26.71145161290323</v>
      </c>
      <c r="H76" t="inlineStr">
        <is>
          <t>STEO</t>
        </is>
      </c>
      <c r="I76" t="n">
        <v>29.5</v>
      </c>
      <c r="J76" t="n">
        <v>29.5</v>
      </c>
      <c r="K76" t="n">
        <v>29.5</v>
      </c>
      <c r="L76" t="n">
        <v>29.5</v>
      </c>
      <c r="M76" t="b">
        <v>0</v>
      </c>
      <c r="N76" t="n">
        <v>-1.204080180732075</v>
      </c>
      <c r="Q76" t="n">
        <v>22.99258064516129</v>
      </c>
      <c r="R76" t="n">
        <v>22.99258064516129</v>
      </c>
      <c r="S76" t="n">
        <v>16.20640129032258</v>
      </c>
      <c r="T76" t="n">
        <v>16.20640129032258</v>
      </c>
      <c r="U76" t="n">
        <v>4.437917419354839</v>
      </c>
      <c r="V76" t="n">
        <v>4.437917419354839</v>
      </c>
      <c r="W76" t="n">
        <v>9.124548387096773</v>
      </c>
      <c r="X76" t="n">
        <v>2.643935483870968</v>
      </c>
      <c r="Y76" t="n">
        <v>6.786179354838708</v>
      </c>
      <c r="Z76" t="n">
        <v>6.786179354838708</v>
      </c>
    </row>
    <row r="77">
      <c r="A77" t="n">
        <v>75</v>
      </c>
      <c r="B77" s="3" t="n">
        <v>44287</v>
      </c>
      <c r="C77" t="inlineStr">
        <is>
          <t>History</t>
        </is>
      </c>
      <c r="D77" t="n">
        <v>27.46023333333333</v>
      </c>
      <c r="H77" t="inlineStr">
        <is>
          <t>STEO</t>
        </is>
      </c>
      <c r="I77" t="n">
        <v>29.5</v>
      </c>
      <c r="J77" t="n">
        <v>29.5</v>
      </c>
      <c r="K77" t="n">
        <v>29.5</v>
      </c>
      <c r="L77" t="n">
        <v>29.5</v>
      </c>
      <c r="M77" t="b">
        <v>0</v>
      </c>
      <c r="N77" t="n">
        <v>-1.204080180732075</v>
      </c>
      <c r="Q77" t="n">
        <v>23.71223333333333</v>
      </c>
      <c r="R77" t="n">
        <v>23.71223333333333</v>
      </c>
      <c r="S77" t="n">
        <v>16.96932466666667</v>
      </c>
      <c r="T77" t="n">
        <v>16.96932466666667</v>
      </c>
      <c r="U77" t="n">
        <v>4.377658</v>
      </c>
      <c r="V77" t="n">
        <v>4.377658</v>
      </c>
      <c r="W77" t="n">
        <v>9.921433333333335</v>
      </c>
      <c r="X77" t="n">
        <v>2.670233333333333</v>
      </c>
      <c r="Y77" t="n">
        <v>6.742908666666661</v>
      </c>
      <c r="Z77" t="n">
        <v>6.742908666666661</v>
      </c>
    </row>
    <row r="78">
      <c r="A78" t="n">
        <v>76</v>
      </c>
      <c r="B78" s="3" t="n">
        <v>44317</v>
      </c>
      <c r="C78" t="inlineStr">
        <is>
          <t>History</t>
        </is>
      </c>
      <c r="D78" t="n">
        <v>27.33270967741936</v>
      </c>
      <c r="H78" t="inlineStr">
        <is>
          <t>STEO</t>
        </is>
      </c>
      <c r="I78" t="n">
        <v>29.5</v>
      </c>
      <c r="J78" t="n">
        <v>29.5</v>
      </c>
      <c r="K78" t="n">
        <v>29.5</v>
      </c>
      <c r="L78" t="n">
        <v>29.5</v>
      </c>
      <c r="M78" t="b">
        <v>0</v>
      </c>
      <c r="N78" t="n">
        <v>-1.204080180732075</v>
      </c>
      <c r="Q78" t="n">
        <v>23.58770967741935</v>
      </c>
      <c r="R78" t="n">
        <v>23.58770967741935</v>
      </c>
      <c r="S78" t="n">
        <v>16.77094774193548</v>
      </c>
      <c r="T78" t="n">
        <v>16.77094774193548</v>
      </c>
      <c r="U78" t="n">
        <v>4.289044516129032</v>
      </c>
      <c r="V78" t="n">
        <v>4.289044516129032</v>
      </c>
      <c r="W78" t="n">
        <v>9.715580645161289</v>
      </c>
      <c r="X78" t="n">
        <v>2.766322580645161</v>
      </c>
      <c r="Y78" t="n">
        <v>6.816761935483871</v>
      </c>
      <c r="Z78" t="n">
        <v>6.816761935483871</v>
      </c>
    </row>
    <row r="79">
      <c r="A79" t="n">
        <v>77</v>
      </c>
      <c r="B79" s="3" t="n">
        <v>44348</v>
      </c>
      <c r="C79" t="inlineStr">
        <is>
          <t>History</t>
        </is>
      </c>
      <c r="D79" t="n">
        <v>27.25273333333334</v>
      </c>
      <c r="H79" t="inlineStr">
        <is>
          <t>STEO</t>
        </is>
      </c>
      <c r="I79" t="n">
        <v>29.5</v>
      </c>
      <c r="J79" t="n">
        <v>29.5</v>
      </c>
      <c r="K79" t="n">
        <v>29.5</v>
      </c>
      <c r="L79" t="n">
        <v>29.5</v>
      </c>
      <c r="M79" t="b">
        <v>0</v>
      </c>
      <c r="N79" t="n">
        <v>-1.204080180732075</v>
      </c>
      <c r="Q79" t="n">
        <v>23.52116666666667</v>
      </c>
      <c r="R79" t="n">
        <v>23.52116666666667</v>
      </c>
      <c r="S79" t="n">
        <v>18.93525833333334</v>
      </c>
      <c r="T79" t="n">
        <v>18.93525833333334</v>
      </c>
      <c r="U79" t="n">
        <v>4.362725</v>
      </c>
      <c r="V79" t="n">
        <v>4.362725</v>
      </c>
      <c r="W79" t="n">
        <v>11.6426</v>
      </c>
      <c r="X79" t="n">
        <v>2.929933333333334</v>
      </c>
      <c r="Y79" t="n">
        <v>4.585908333333332</v>
      </c>
      <c r="Z79" t="n">
        <v>4.585908333333332</v>
      </c>
    </row>
    <row r="80">
      <c r="A80" t="n">
        <v>78</v>
      </c>
      <c r="B80" s="3" t="n">
        <v>44378</v>
      </c>
      <c r="C80" t="inlineStr">
        <is>
          <t>History</t>
        </is>
      </c>
      <c r="D80" t="n">
        <v>27.76387096774194</v>
      </c>
      <c r="H80" t="inlineStr">
        <is>
          <t>STEO</t>
        </is>
      </c>
      <c r="I80" t="n">
        <v>29.5</v>
      </c>
      <c r="J80" t="n">
        <v>29.5</v>
      </c>
      <c r="K80" t="n">
        <v>29.5</v>
      </c>
      <c r="L80" t="n">
        <v>29.5</v>
      </c>
      <c r="M80" t="b">
        <v>0</v>
      </c>
      <c r="N80" t="n">
        <v>-1.204080180732075</v>
      </c>
      <c r="Q80" t="n">
        <v>23.99703225806451</v>
      </c>
      <c r="R80" t="n">
        <v>23.99703225806451</v>
      </c>
      <c r="S80" t="n">
        <v>19.39071032258065</v>
      </c>
      <c r="T80" t="n">
        <v>19.39071032258065</v>
      </c>
      <c r="U80" t="n">
        <v>4.267807096774193</v>
      </c>
      <c r="V80" t="n">
        <v>4.267807096774193</v>
      </c>
      <c r="W80" t="n">
        <v>12.24670967741936</v>
      </c>
      <c r="X80" t="n">
        <v>2.876193548387096</v>
      </c>
      <c r="Y80" t="n">
        <v>4.606321935483866</v>
      </c>
      <c r="Z80" t="n">
        <v>4.606321935483866</v>
      </c>
    </row>
    <row r="81">
      <c r="A81" t="n">
        <v>79</v>
      </c>
      <c r="B81" s="3" t="n">
        <v>44409</v>
      </c>
      <c r="C81" t="inlineStr">
        <is>
          <t>History</t>
        </is>
      </c>
      <c r="D81" t="n">
        <v>27.81929032258065</v>
      </c>
      <c r="H81" t="inlineStr">
        <is>
          <t>STEO</t>
        </is>
      </c>
      <c r="I81" t="n">
        <v>29.5</v>
      </c>
      <c r="J81" t="n">
        <v>29.5</v>
      </c>
      <c r="K81" t="n">
        <v>29.5</v>
      </c>
      <c r="L81" t="n">
        <v>29.5</v>
      </c>
      <c r="M81" t="b">
        <v>0</v>
      </c>
      <c r="N81" t="n">
        <v>-1.204080180732075</v>
      </c>
      <c r="Q81" t="n">
        <v>24.04129032258064</v>
      </c>
      <c r="R81" t="n">
        <v>24.04129032258064</v>
      </c>
      <c r="S81" t="n">
        <v>19.63512096774194</v>
      </c>
      <c r="T81" t="n">
        <v>19.63512096774194</v>
      </c>
      <c r="U81" t="n">
        <v>4.47866935483871</v>
      </c>
      <c r="V81" t="n">
        <v>4.47866935483871</v>
      </c>
      <c r="W81" t="n">
        <v>12.35364516129032</v>
      </c>
      <c r="X81" t="n">
        <v>2.802806451612903</v>
      </c>
      <c r="Y81" t="n">
        <v>4.406169354838703</v>
      </c>
      <c r="Z81" t="n">
        <v>4.406169354838703</v>
      </c>
    </row>
    <row r="82">
      <c r="A82" t="n">
        <v>80</v>
      </c>
      <c r="B82" s="3" t="n">
        <v>44440</v>
      </c>
      <c r="C82" t="inlineStr">
        <is>
          <t>History</t>
        </is>
      </c>
      <c r="D82" t="n">
        <v>28.62506666666667</v>
      </c>
      <c r="H82" t="inlineStr">
        <is>
          <t>STEO</t>
        </is>
      </c>
      <c r="I82" t="n">
        <v>29.5</v>
      </c>
      <c r="J82" t="n">
        <v>29.5</v>
      </c>
      <c r="K82" t="n">
        <v>29.5</v>
      </c>
      <c r="L82" t="n">
        <v>29.5</v>
      </c>
      <c r="M82" t="b">
        <v>0</v>
      </c>
      <c r="N82" t="n">
        <v>-1.204080180732075</v>
      </c>
      <c r="Q82" t="n">
        <v>24.82143333333334</v>
      </c>
      <c r="R82" t="n">
        <v>24.82143333333334</v>
      </c>
      <c r="S82" t="n">
        <v>18.10756533333333</v>
      </c>
      <c r="T82" t="n">
        <v>18.10756533333333</v>
      </c>
      <c r="U82" t="n">
        <v>4.103632000000001</v>
      </c>
      <c r="V82" t="n">
        <v>4.103632000000001</v>
      </c>
      <c r="W82" t="n">
        <v>11.39013333333333</v>
      </c>
      <c r="X82" t="n">
        <v>2.6138</v>
      </c>
      <c r="Y82" t="n">
        <v>6.713868000000005</v>
      </c>
      <c r="Z82" t="n">
        <v>6.713868000000005</v>
      </c>
    </row>
    <row r="83">
      <c r="A83" t="n">
        <v>81</v>
      </c>
      <c r="B83" s="3" t="n">
        <v>44470</v>
      </c>
      <c r="C83" t="inlineStr">
        <is>
          <t>History</t>
        </is>
      </c>
      <c r="D83" t="n">
        <v>28.61251612903226</v>
      </c>
      <c r="H83" t="inlineStr">
        <is>
          <t>STEO</t>
        </is>
      </c>
      <c r="I83" t="n">
        <v>29.5</v>
      </c>
      <c r="J83" t="n">
        <v>29.5</v>
      </c>
      <c r="K83" t="n">
        <v>29.5</v>
      </c>
      <c r="L83" t="n">
        <v>29.5</v>
      </c>
      <c r="M83" t="b">
        <v>0</v>
      </c>
      <c r="N83" t="n">
        <v>-1.204080180732075</v>
      </c>
      <c r="Q83" t="n">
        <v>24.74848387096774</v>
      </c>
      <c r="R83" t="n">
        <v>24.74848387096774</v>
      </c>
      <c r="S83" t="n">
        <v>17.48072806451613</v>
      </c>
      <c r="T83" t="n">
        <v>17.48072806451613</v>
      </c>
      <c r="U83" t="n">
        <v>4.390695806451613</v>
      </c>
      <c r="V83" t="n">
        <v>4.390695806451613</v>
      </c>
      <c r="W83" t="n">
        <v>10.32216129032258</v>
      </c>
      <c r="X83" t="n">
        <v>2.767870967741935</v>
      </c>
      <c r="Y83" t="n">
        <v>7.267755806451607</v>
      </c>
      <c r="Z83" t="n">
        <v>7.267755806451607</v>
      </c>
    </row>
    <row r="84">
      <c r="A84" t="n">
        <v>82</v>
      </c>
      <c r="B84" s="3" t="n">
        <v>44501</v>
      </c>
      <c r="C84" t="inlineStr">
        <is>
          <t>History</t>
        </is>
      </c>
      <c r="D84" t="n">
        <v>28.5496</v>
      </c>
      <c r="H84" t="inlineStr">
        <is>
          <t>STEO</t>
        </is>
      </c>
      <c r="I84" t="n">
        <v>29.5</v>
      </c>
      <c r="J84" t="n">
        <v>29.5</v>
      </c>
      <c r="K84" t="n">
        <v>29.5</v>
      </c>
      <c r="L84" t="n">
        <v>29.5</v>
      </c>
      <c r="M84" t="b">
        <v>0</v>
      </c>
      <c r="N84" t="n">
        <v>-1.204080180732075</v>
      </c>
      <c r="Q84" t="n">
        <v>24.64196666666667</v>
      </c>
      <c r="R84" t="n">
        <v>24.64196666666667</v>
      </c>
      <c r="S84" t="n">
        <v>16.622308</v>
      </c>
      <c r="T84" t="n">
        <v>16.622308</v>
      </c>
      <c r="U84" t="n">
        <v>3.903508</v>
      </c>
      <c r="V84" t="n">
        <v>3.903508</v>
      </c>
      <c r="W84" t="n">
        <v>10.16123333333333</v>
      </c>
      <c r="X84" t="n">
        <v>2.557566666666667</v>
      </c>
      <c r="Y84" t="n">
        <v>8.019658666666668</v>
      </c>
      <c r="Z84" t="n">
        <v>8.019658666666668</v>
      </c>
    </row>
    <row r="85">
      <c r="A85" t="n">
        <v>83</v>
      </c>
      <c r="B85" s="3" t="n">
        <v>44531</v>
      </c>
      <c r="C85" t="inlineStr">
        <is>
          <t>History</t>
        </is>
      </c>
      <c r="D85" t="n">
        <v>28.93558064516129</v>
      </c>
      <c r="H85" t="inlineStr">
        <is>
          <t>STEO</t>
        </is>
      </c>
      <c r="I85" t="n">
        <v>29.5</v>
      </c>
      <c r="J85" t="n">
        <v>29.5</v>
      </c>
      <c r="K85" t="n">
        <v>29.5</v>
      </c>
      <c r="L85" t="n">
        <v>29.5</v>
      </c>
      <c r="M85" t="b">
        <v>0</v>
      </c>
      <c r="N85" t="n">
        <v>-1.204080180732075</v>
      </c>
      <c r="Q85" t="n">
        <v>24.995</v>
      </c>
      <c r="R85" t="n">
        <v>24.995</v>
      </c>
      <c r="S85" t="n">
        <v>17.30569096774193</v>
      </c>
      <c r="T85" t="n">
        <v>17.30569096774193</v>
      </c>
      <c r="U85" t="n">
        <v>4.614497419354839</v>
      </c>
      <c r="V85" t="n">
        <v>4.614497419354839</v>
      </c>
      <c r="W85" t="n">
        <v>10.28545161290323</v>
      </c>
      <c r="X85" t="n">
        <v>2.405741935483871</v>
      </c>
      <c r="Y85" t="n">
        <v>7.689309032258066</v>
      </c>
      <c r="Z85" t="n">
        <v>7.689309032258066</v>
      </c>
    </row>
    <row r="86">
      <c r="A86" t="n">
        <v>84</v>
      </c>
      <c r="B86" s="3" t="n">
        <v>44562</v>
      </c>
      <c r="C86" t="inlineStr">
        <is>
          <t>History</t>
        </is>
      </c>
      <c r="D86" t="n">
        <v>27.34338709677419</v>
      </c>
      <c r="H86" t="inlineStr">
        <is>
          <t>STEO</t>
        </is>
      </c>
      <c r="I86" t="n">
        <v>29.5</v>
      </c>
      <c r="J86" t="n">
        <v>29.5</v>
      </c>
      <c r="K86" t="n">
        <v>29.5</v>
      </c>
      <c r="L86" t="n">
        <v>29.5</v>
      </c>
      <c r="M86" t="b">
        <v>0</v>
      </c>
      <c r="N86" t="n">
        <v>-1.204080180732075</v>
      </c>
      <c r="Q86" t="n">
        <v>23.17987096774193</v>
      </c>
      <c r="R86" t="n">
        <v>23.17987096774193</v>
      </c>
      <c r="S86" t="n">
        <v>18.91362774193549</v>
      </c>
      <c r="T86" t="n">
        <v>18.91362774193549</v>
      </c>
      <c r="U86" t="n">
        <v>4.595369677419355</v>
      </c>
      <c r="V86" t="n">
        <v>4.595369677419355</v>
      </c>
      <c r="W86" t="n">
        <v>11.75564516129032</v>
      </c>
      <c r="X86" t="n">
        <v>2.562612903225807</v>
      </c>
      <c r="Y86" t="n">
        <v>4.266243225806445</v>
      </c>
      <c r="Z86" t="n">
        <v>4.266243225806445</v>
      </c>
    </row>
    <row r="87">
      <c r="A87" t="n">
        <v>85</v>
      </c>
      <c r="B87" s="3" t="n">
        <v>44593</v>
      </c>
      <c r="C87" t="inlineStr">
        <is>
          <t>History</t>
        </is>
      </c>
      <c r="D87" t="n">
        <v>28.54342857142857</v>
      </c>
      <c r="H87" t="inlineStr">
        <is>
          <t>STEO</t>
        </is>
      </c>
      <c r="I87" t="n">
        <v>29.5</v>
      </c>
      <c r="J87" t="n">
        <v>29.5</v>
      </c>
      <c r="K87" t="n">
        <v>29.5</v>
      </c>
      <c r="L87" t="n">
        <v>29.5</v>
      </c>
      <c r="M87" t="b">
        <v>0</v>
      </c>
      <c r="N87" t="n">
        <v>-1.204080180732075</v>
      </c>
      <c r="Q87" t="n">
        <v>24.34007142857143</v>
      </c>
      <c r="R87" t="n">
        <v>24.34007142857143</v>
      </c>
      <c r="S87" t="n">
        <v>19.65105321428572</v>
      </c>
      <c r="T87" t="n">
        <v>19.65105321428572</v>
      </c>
      <c r="U87" t="n">
        <v>4.697160357142858</v>
      </c>
      <c r="V87" t="n">
        <v>4.697160357142858</v>
      </c>
      <c r="W87" t="n">
        <v>12.22685714285715</v>
      </c>
      <c r="X87" t="n">
        <v>2.727035714285714</v>
      </c>
      <c r="Y87" t="n">
        <v>4.689018214285714</v>
      </c>
      <c r="Z87" t="n">
        <v>4.689018214285714</v>
      </c>
    </row>
    <row r="88">
      <c r="A88" t="n">
        <v>86</v>
      </c>
      <c r="B88" s="3" t="n">
        <v>44621</v>
      </c>
      <c r="C88" t="inlineStr">
        <is>
          <t>History</t>
        </is>
      </c>
      <c r="D88" t="n">
        <v>29.1521935483871</v>
      </c>
      <c r="H88" t="inlineStr">
        <is>
          <t>STEO</t>
        </is>
      </c>
      <c r="I88" t="n">
        <v>29.5</v>
      </c>
      <c r="J88" t="n">
        <v>29.5</v>
      </c>
      <c r="K88" t="n">
        <v>29.5</v>
      </c>
      <c r="L88" t="n">
        <v>29.5</v>
      </c>
      <c r="M88" t="b">
        <v>0</v>
      </c>
      <c r="N88" t="n">
        <v>-1.204080180732075</v>
      </c>
      <c r="Q88" t="n">
        <v>24.87987096774194</v>
      </c>
      <c r="R88" t="n">
        <v>24.87987096774194</v>
      </c>
      <c r="S88" t="n">
        <v>17.15643870967742</v>
      </c>
      <c r="T88" t="n">
        <v>17.15643870967742</v>
      </c>
      <c r="U88" t="n">
        <v>4.382503225806452</v>
      </c>
      <c r="V88" t="n">
        <v>4.382503225806452</v>
      </c>
      <c r="W88" t="n">
        <v>10.106</v>
      </c>
      <c r="X88" t="n">
        <v>2.667935483870968</v>
      </c>
      <c r="Y88" t="n">
        <v>7.723432258064523</v>
      </c>
      <c r="Z88" t="n">
        <v>7.723432258064523</v>
      </c>
    </row>
    <row r="89">
      <c r="A89" t="n">
        <v>87</v>
      </c>
      <c r="B89" s="3" t="n">
        <v>44652</v>
      </c>
      <c r="C89" t="inlineStr">
        <is>
          <t>History</t>
        </is>
      </c>
      <c r="D89" t="n">
        <v>29.6837</v>
      </c>
      <c r="H89" t="inlineStr">
        <is>
          <t>STEO</t>
        </is>
      </c>
      <c r="I89" t="n">
        <v>29.5</v>
      </c>
      <c r="J89" t="n">
        <v>29.5</v>
      </c>
      <c r="K89" t="n">
        <v>29.5</v>
      </c>
      <c r="L89" t="n">
        <v>29.5</v>
      </c>
      <c r="M89" t="b">
        <v>0</v>
      </c>
      <c r="N89" t="n">
        <v>-1.204080180732075</v>
      </c>
      <c r="Q89" t="n">
        <v>25.36933333333333</v>
      </c>
      <c r="R89" t="n">
        <v>25.36933333333333</v>
      </c>
      <c r="S89" t="n">
        <v>15.91972866666666</v>
      </c>
      <c r="T89" t="n">
        <v>15.91972866666666</v>
      </c>
      <c r="U89" t="n">
        <v>3.544462</v>
      </c>
      <c r="V89" t="n">
        <v>3.544462</v>
      </c>
      <c r="W89" t="n">
        <v>9.650866666666666</v>
      </c>
      <c r="X89" t="n">
        <v>2.7244</v>
      </c>
      <c r="Y89" t="n">
        <v>9.449604666666666</v>
      </c>
      <c r="Z89" t="n">
        <v>9.449604666666666</v>
      </c>
    </row>
    <row r="90">
      <c r="A90" t="n">
        <v>88</v>
      </c>
      <c r="B90" s="3" t="n">
        <v>44682</v>
      </c>
      <c r="C90" t="inlineStr">
        <is>
          <t>History</t>
        </is>
      </c>
      <c r="D90" t="n">
        <v>29.06916129032258</v>
      </c>
      <c r="H90" t="inlineStr">
        <is>
          <t>STEO</t>
        </is>
      </c>
      <c r="I90" t="n">
        <v>29.5</v>
      </c>
      <c r="J90" t="n">
        <v>29.5</v>
      </c>
      <c r="K90" t="n">
        <v>29.5</v>
      </c>
      <c r="L90" t="n">
        <v>29.5</v>
      </c>
      <c r="M90" t="b">
        <v>0</v>
      </c>
      <c r="N90" t="n">
        <v>-1.204080180732075</v>
      </c>
      <c r="Q90" t="n">
        <v>24.7518064516129</v>
      </c>
      <c r="R90" t="n">
        <v>24.7518064516129</v>
      </c>
      <c r="S90" t="n">
        <v>17.98093064516129</v>
      </c>
      <c r="T90" t="n">
        <v>17.98093064516129</v>
      </c>
      <c r="U90" t="n">
        <v>4.411511290322581</v>
      </c>
      <c r="V90" t="n">
        <v>4.411511290322581</v>
      </c>
      <c r="W90" t="n">
        <v>10.76425806451613</v>
      </c>
      <c r="X90" t="n">
        <v>2.805161290322581</v>
      </c>
      <c r="Y90" t="n">
        <v>6.77087580645161</v>
      </c>
      <c r="Z90" t="n">
        <v>6.77087580645161</v>
      </c>
    </row>
    <row r="91">
      <c r="A91" t="n">
        <v>89</v>
      </c>
      <c r="B91" s="3" t="n">
        <v>44713</v>
      </c>
      <c r="C91" t="inlineStr">
        <is>
          <t>History</t>
        </is>
      </c>
      <c r="D91" t="n">
        <v>28.8727</v>
      </c>
      <c r="H91" t="inlineStr">
        <is>
          <t>STEO</t>
        </is>
      </c>
      <c r="I91" t="n">
        <v>29.5</v>
      </c>
      <c r="J91" t="n">
        <v>29.5</v>
      </c>
      <c r="K91" t="n">
        <v>29.5</v>
      </c>
      <c r="L91" t="n">
        <v>29.5</v>
      </c>
      <c r="M91" t="b">
        <v>0</v>
      </c>
      <c r="N91" t="n">
        <v>-1.204080180732075</v>
      </c>
      <c r="Q91" t="n">
        <v>24.54246666666667</v>
      </c>
      <c r="R91" t="n">
        <v>24.54246666666667</v>
      </c>
      <c r="S91" t="n">
        <v>17.753532</v>
      </c>
      <c r="T91" t="n">
        <v>17.753532</v>
      </c>
      <c r="U91" t="n">
        <v>2.944598666666666</v>
      </c>
      <c r="V91" t="n">
        <v>2.944598666666666</v>
      </c>
      <c r="W91" t="n">
        <v>12.13486666666667</v>
      </c>
      <c r="X91" t="n">
        <v>2.674066666666667</v>
      </c>
      <c r="Y91" t="n">
        <v>6.78893466666667</v>
      </c>
      <c r="Z91" t="n">
        <v>6.78893466666667</v>
      </c>
    </row>
    <row r="92">
      <c r="A92" t="n">
        <v>90</v>
      </c>
      <c r="B92" s="3" t="n">
        <v>44743</v>
      </c>
      <c r="C92" t="inlineStr">
        <is>
          <t>History</t>
        </is>
      </c>
      <c r="D92" t="n">
        <v>28.84554838709677</v>
      </c>
      <c r="H92" t="inlineStr">
        <is>
          <t>STEO</t>
        </is>
      </c>
      <c r="I92" t="n">
        <v>29.5</v>
      </c>
      <c r="J92" t="n">
        <v>29.5</v>
      </c>
      <c r="K92" t="n">
        <v>29.5</v>
      </c>
      <c r="L92" t="n">
        <v>29.5</v>
      </c>
      <c r="M92" t="b">
        <v>0</v>
      </c>
      <c r="N92" t="n">
        <v>-1.204080180732075</v>
      </c>
      <c r="Q92" t="n">
        <v>24.48077419354838</v>
      </c>
      <c r="R92" t="n">
        <v>24.48077419354838</v>
      </c>
      <c r="S92" t="n">
        <v>18.21513838709678</v>
      </c>
      <c r="T92" t="n">
        <v>18.21513838709678</v>
      </c>
      <c r="U92" t="n">
        <v>2.218009354838709</v>
      </c>
      <c r="V92" t="n">
        <v>2.218009354838709</v>
      </c>
      <c r="W92" t="n">
        <v>13.17945161290323</v>
      </c>
      <c r="X92" t="n">
        <v>2.817677419354839</v>
      </c>
      <c r="Y92" t="n">
        <v>6.265635806451606</v>
      </c>
      <c r="Z92" t="n">
        <v>6.265635806451606</v>
      </c>
    </row>
    <row r="93">
      <c r="A93" t="n">
        <v>91</v>
      </c>
      <c r="B93" s="3" t="n">
        <v>44774</v>
      </c>
      <c r="C93" t="inlineStr">
        <is>
          <t>History</t>
        </is>
      </c>
      <c r="D93" t="n">
        <v>29.41538709677419</v>
      </c>
      <c r="H93" t="inlineStr">
        <is>
          <t>STEO</t>
        </is>
      </c>
      <c r="I93" t="n">
        <v>29.5</v>
      </c>
      <c r="J93" t="n">
        <v>29.5</v>
      </c>
      <c r="K93" t="n">
        <v>29.5</v>
      </c>
      <c r="L93" t="n">
        <v>29.5</v>
      </c>
      <c r="M93" t="b">
        <v>0</v>
      </c>
      <c r="N93" t="n">
        <v>-1.204080180732075</v>
      </c>
      <c r="Q93" t="n">
        <v>25.02229032258064</v>
      </c>
      <c r="R93" t="n">
        <v>25.02229032258064</v>
      </c>
      <c r="S93" t="n">
        <v>17.9445070967742</v>
      </c>
      <c r="T93" t="n">
        <v>17.9445070967742</v>
      </c>
      <c r="U93" t="n">
        <v>2.229507096774194</v>
      </c>
      <c r="V93" t="n">
        <v>2.229507096774194</v>
      </c>
      <c r="W93" t="n">
        <v>12.92409677419355</v>
      </c>
      <c r="X93" t="n">
        <v>2.790903225806451</v>
      </c>
      <c r="Y93" t="n">
        <v>7.077783225806446</v>
      </c>
      <c r="Z93" t="n">
        <v>7.077783225806446</v>
      </c>
    </row>
    <row r="94">
      <c r="A94" t="n">
        <v>92</v>
      </c>
      <c r="B94" s="3" t="n">
        <v>44805</v>
      </c>
      <c r="C94" t="inlineStr">
        <is>
          <t>History</t>
        </is>
      </c>
      <c r="D94" t="n">
        <v>30.11273333333333</v>
      </c>
      <c r="H94" t="inlineStr">
        <is>
          <t>STEO</t>
        </is>
      </c>
      <c r="I94" t="n">
        <v>29.5</v>
      </c>
      <c r="J94" t="n">
        <v>29.5</v>
      </c>
      <c r="K94" t="n">
        <v>29.5</v>
      </c>
      <c r="L94" t="n">
        <v>29.5</v>
      </c>
      <c r="M94" t="b">
        <v>0</v>
      </c>
      <c r="N94" t="n">
        <v>-1.204080180732075</v>
      </c>
      <c r="Q94" t="n">
        <v>25.65153333333333</v>
      </c>
      <c r="R94" t="n">
        <v>25.65153333333333</v>
      </c>
      <c r="S94" t="n">
        <v>16.68776633333334</v>
      </c>
      <c r="T94" t="n">
        <v>16.68776633333334</v>
      </c>
      <c r="U94" t="n">
        <v>2.173133</v>
      </c>
      <c r="V94" t="n">
        <v>2.173133</v>
      </c>
      <c r="W94" t="n">
        <v>11.7547</v>
      </c>
      <c r="X94" t="n">
        <v>2.759933333333333</v>
      </c>
      <c r="Y94" t="n">
        <v>8.963766999999994</v>
      </c>
      <c r="Z94" t="n">
        <v>8.963766999999994</v>
      </c>
    </row>
    <row r="95">
      <c r="A95" t="n">
        <v>93</v>
      </c>
      <c r="B95" s="3" t="n">
        <v>44835</v>
      </c>
      <c r="C95" t="inlineStr">
        <is>
          <t>History</t>
        </is>
      </c>
      <c r="D95" t="n">
        <v>29.7851935483871</v>
      </c>
      <c r="H95" t="inlineStr">
        <is>
          <t>STEO</t>
        </is>
      </c>
      <c r="I95" t="n">
        <v>29.5</v>
      </c>
      <c r="J95" t="n">
        <v>29.5</v>
      </c>
      <c r="K95" t="n">
        <v>29.5</v>
      </c>
      <c r="L95" t="n">
        <v>29.5</v>
      </c>
      <c r="M95" t="b">
        <v>0</v>
      </c>
      <c r="N95" t="n">
        <v>-1.204080180732075</v>
      </c>
      <c r="Q95" t="n">
        <v>25.33190322580645</v>
      </c>
      <c r="R95" t="n">
        <v>25.33190322580645</v>
      </c>
      <c r="S95" t="n">
        <v>15.56644322580645</v>
      </c>
      <c r="T95" t="n">
        <v>15.56644322580645</v>
      </c>
      <c r="U95" t="n">
        <v>2.348281935483871</v>
      </c>
      <c r="V95" t="n">
        <v>2.348281935483871</v>
      </c>
      <c r="W95" t="n">
        <v>10.47748387096774</v>
      </c>
      <c r="X95" t="n">
        <v>2.740677419354839</v>
      </c>
      <c r="Y95" t="n">
        <v>9.765459999999997</v>
      </c>
      <c r="Z95" t="n">
        <v>9.765459999999997</v>
      </c>
    </row>
    <row r="96">
      <c r="A96" t="n">
        <v>94</v>
      </c>
      <c r="B96" s="3" t="n">
        <v>44866</v>
      </c>
      <c r="C96" t="inlineStr">
        <is>
          <t>History</t>
        </is>
      </c>
      <c r="D96" t="n">
        <v>29.8353</v>
      </c>
      <c r="H96" t="inlineStr">
        <is>
          <t>STEO</t>
        </is>
      </c>
      <c r="I96" t="n">
        <v>29.5</v>
      </c>
      <c r="J96" t="n">
        <v>29.5</v>
      </c>
      <c r="K96" t="n">
        <v>29.5</v>
      </c>
      <c r="L96" t="n">
        <v>29.5</v>
      </c>
      <c r="M96" t="b">
        <v>0</v>
      </c>
      <c r="N96" t="n">
        <v>-1.204080180732075</v>
      </c>
      <c r="Q96" t="n">
        <v>25.37643333333333</v>
      </c>
      <c r="R96" t="n">
        <v>25.37643333333333</v>
      </c>
      <c r="S96" t="n">
        <v>16.16385066666667</v>
      </c>
      <c r="T96" t="n">
        <v>16.16385066666667</v>
      </c>
      <c r="U96" t="n">
        <v>2.072017333333334</v>
      </c>
      <c r="V96" t="n">
        <v>2.072017333333334</v>
      </c>
      <c r="W96" t="n">
        <v>11.34086666666667</v>
      </c>
      <c r="X96" t="n">
        <v>2.750966666666667</v>
      </c>
      <c r="Y96" t="n">
        <v>9.212582666666663</v>
      </c>
      <c r="Z96" t="n">
        <v>9.212582666666663</v>
      </c>
    </row>
    <row r="97">
      <c r="A97" t="n">
        <v>95</v>
      </c>
      <c r="B97" s="3" t="n">
        <v>44896</v>
      </c>
      <c r="C97" t="inlineStr">
        <is>
          <t>History</t>
        </is>
      </c>
      <c r="D97" t="n">
        <v>29.94512903225807</v>
      </c>
      <c r="H97" t="inlineStr">
        <is>
          <t>STEO</t>
        </is>
      </c>
      <c r="I97" t="n">
        <v>29.5</v>
      </c>
      <c r="J97" t="n">
        <v>29.5</v>
      </c>
      <c r="K97" t="n">
        <v>29.5</v>
      </c>
      <c r="L97" t="n">
        <v>29.5</v>
      </c>
      <c r="M97" t="b">
        <v>0</v>
      </c>
      <c r="N97" t="n">
        <v>-1.204080180732075</v>
      </c>
      <c r="Q97" t="n">
        <v>25.55032258064516</v>
      </c>
      <c r="R97" t="n">
        <v>25.55032258064516</v>
      </c>
      <c r="S97" t="n">
        <v>16.54150677419355</v>
      </c>
      <c r="T97" t="n">
        <v>16.54150677419355</v>
      </c>
      <c r="U97" t="n">
        <v>2.254506774193549</v>
      </c>
      <c r="V97" t="n">
        <v>2.254506774193549</v>
      </c>
      <c r="W97" t="n">
        <v>11.76348387096774</v>
      </c>
      <c r="X97" t="n">
        <v>2.523516129032258</v>
      </c>
      <c r="Y97" t="n">
        <v>9.008815806451612</v>
      </c>
      <c r="Z97" t="n">
        <v>9.008815806451612</v>
      </c>
    </row>
    <row r="98">
      <c r="A98" t="n">
        <v>96</v>
      </c>
      <c r="B98" s="3" t="n">
        <v>44927</v>
      </c>
      <c r="C98" t="inlineStr">
        <is>
          <t>History</t>
        </is>
      </c>
      <c r="D98" t="n">
        <v>29.99625806451613</v>
      </c>
      <c r="H98" t="inlineStr">
        <is>
          <t>STEO</t>
        </is>
      </c>
      <c r="I98" t="n">
        <v>29.5</v>
      </c>
      <c r="J98" t="n">
        <v>29.5</v>
      </c>
      <c r="K98" t="n">
        <v>29.5</v>
      </c>
      <c r="L98" t="n">
        <v>29.5</v>
      </c>
      <c r="M98" t="b">
        <v>0</v>
      </c>
      <c r="N98" t="n">
        <v>-1.204080180732075</v>
      </c>
      <c r="Q98" t="n">
        <v>25.18170967741936</v>
      </c>
      <c r="R98" t="n">
        <v>25.18170967741936</v>
      </c>
      <c r="S98" t="n">
        <v>16.52735870967742</v>
      </c>
      <c r="T98" t="n">
        <v>16.52735870967742</v>
      </c>
      <c r="U98" t="n">
        <v>2.199971612903226</v>
      </c>
      <c r="V98" t="n">
        <v>2.199971612903226</v>
      </c>
      <c r="W98" t="n">
        <v>11.61964516129032</v>
      </c>
      <c r="X98" t="n">
        <v>2.707741935483871</v>
      </c>
      <c r="Y98" t="n">
        <v>8.654350967741937</v>
      </c>
      <c r="Z98" t="n">
        <v>8.654350967741937</v>
      </c>
    </row>
    <row r="99">
      <c r="A99" t="n">
        <v>97</v>
      </c>
      <c r="B99" s="3" t="n">
        <v>44958</v>
      </c>
      <c r="C99" t="inlineStr">
        <is>
          <t>History</t>
        </is>
      </c>
      <c r="D99" t="n">
        <v>30.02260714285714</v>
      </c>
      <c r="H99" t="inlineStr">
        <is>
          <t>STEO</t>
        </is>
      </c>
      <c r="I99" t="n">
        <v>29.5</v>
      </c>
      <c r="J99" t="n">
        <v>29.5</v>
      </c>
      <c r="K99" t="n">
        <v>29.5</v>
      </c>
      <c r="L99" t="n">
        <v>29.5</v>
      </c>
      <c r="M99" t="b">
        <v>0</v>
      </c>
      <c r="N99" t="n">
        <v>-1.204080180732075</v>
      </c>
      <c r="Q99" t="n">
        <v>25.22707142857143</v>
      </c>
      <c r="R99" t="n">
        <v>25.22707142857143</v>
      </c>
      <c r="S99" t="n">
        <v>17.48240357142857</v>
      </c>
      <c r="T99" t="n">
        <v>17.48240357142857</v>
      </c>
      <c r="U99" t="n">
        <v>2.945725</v>
      </c>
      <c r="V99" t="n">
        <v>2.945725</v>
      </c>
      <c r="W99" t="n">
        <v>11.82910714285715</v>
      </c>
      <c r="X99" t="n">
        <v>2.707571428571429</v>
      </c>
      <c r="Y99" t="n">
        <v>7.744667857142858</v>
      </c>
      <c r="Z99" t="n">
        <v>7.744667857142858</v>
      </c>
    </row>
    <row r="100">
      <c r="A100" t="n">
        <v>98</v>
      </c>
      <c r="B100" s="3" t="n">
        <v>44986</v>
      </c>
      <c r="C100" t="inlineStr">
        <is>
          <t>History</t>
        </is>
      </c>
      <c r="D100" t="n">
        <v>31.55867741935484</v>
      </c>
      <c r="H100" t="inlineStr">
        <is>
          <t>STEO</t>
        </is>
      </c>
      <c r="I100" t="n">
        <v>29.5</v>
      </c>
      <c r="J100" t="n">
        <v>29.5</v>
      </c>
      <c r="K100" t="n">
        <v>29.5</v>
      </c>
      <c r="L100" t="n">
        <v>29.5</v>
      </c>
      <c r="M100" t="b">
        <v>0</v>
      </c>
      <c r="N100" t="n">
        <v>-1.204080180732075</v>
      </c>
      <c r="Q100" t="n">
        <v>26.69438709677419</v>
      </c>
      <c r="R100" t="n">
        <v>26.69438709677419</v>
      </c>
      <c r="S100" t="n">
        <v>16.84422806451613</v>
      </c>
      <c r="T100" t="n">
        <v>16.84422806451613</v>
      </c>
      <c r="U100" t="n">
        <v>3.37980870967742</v>
      </c>
      <c r="V100" t="n">
        <v>3.37980870967742</v>
      </c>
      <c r="W100" t="n">
        <v>10.60835483870968</v>
      </c>
      <c r="X100" t="n">
        <v>2.856064516129032</v>
      </c>
      <c r="Y100" t="n">
        <v>9.850159032258059</v>
      </c>
      <c r="Z100" t="n">
        <v>9.850159032258059</v>
      </c>
    </row>
    <row r="101">
      <c r="A101" t="n">
        <v>99</v>
      </c>
      <c r="B101" s="3" t="n">
        <v>45017</v>
      </c>
      <c r="C101" t="inlineStr">
        <is>
          <t>History</t>
        </is>
      </c>
      <c r="D101" t="n">
        <v>30.91673333333333</v>
      </c>
      <c r="H101" t="inlineStr">
        <is>
          <t>STEO</t>
        </is>
      </c>
      <c r="I101" t="n">
        <v>29.5</v>
      </c>
      <c r="J101" t="n">
        <v>29.5</v>
      </c>
      <c r="K101" t="n">
        <v>29.5</v>
      </c>
      <c r="L101" t="n">
        <v>29.5</v>
      </c>
      <c r="M101" t="b">
        <v>0</v>
      </c>
      <c r="N101" t="n">
        <v>-1.204080180732075</v>
      </c>
      <c r="Q101" t="n">
        <v>26.09276666666667</v>
      </c>
      <c r="R101" t="n">
        <v>26.09276666666667</v>
      </c>
      <c r="S101" t="n">
        <v>17.358707</v>
      </c>
      <c r="T101" t="n">
        <v>17.358707</v>
      </c>
      <c r="U101" t="n">
        <v>4.289840333333334</v>
      </c>
      <c r="V101" t="n">
        <v>4.289840333333334</v>
      </c>
      <c r="W101" t="n">
        <v>10.3161</v>
      </c>
      <c r="X101" t="n">
        <v>2.752766666666667</v>
      </c>
      <c r="Y101" t="n">
        <v>8.734059666666667</v>
      </c>
      <c r="Z101" t="n">
        <v>8.734059666666667</v>
      </c>
    </row>
    <row r="102">
      <c r="A102" t="n">
        <v>100</v>
      </c>
      <c r="B102" s="3" t="n">
        <v>45047</v>
      </c>
      <c r="C102" t="inlineStr">
        <is>
          <t>History</t>
        </is>
      </c>
      <c r="D102" t="n">
        <v>31.16616129032258</v>
      </c>
      <c r="H102" t="inlineStr">
        <is>
          <t>STEO</t>
        </is>
      </c>
      <c r="I102" t="n">
        <v>29.5</v>
      </c>
      <c r="J102" t="n">
        <v>29.5</v>
      </c>
      <c r="K102" t="n">
        <v>29.5</v>
      </c>
      <c r="L102" t="n">
        <v>29.5</v>
      </c>
      <c r="M102" t="b">
        <v>0</v>
      </c>
      <c r="N102" t="n">
        <v>-1.204080180732075</v>
      </c>
      <c r="Q102" t="n">
        <v>26.302</v>
      </c>
      <c r="R102" t="n">
        <v>26.302</v>
      </c>
      <c r="S102" t="n">
        <v>18.93490774193548</v>
      </c>
      <c r="T102" t="n">
        <v>18.93490774193548</v>
      </c>
      <c r="U102" t="n">
        <v>4.435456129032259</v>
      </c>
      <c r="V102" t="n">
        <v>4.435456129032259</v>
      </c>
      <c r="W102" t="n">
        <v>11.55948387096774</v>
      </c>
      <c r="X102" t="n">
        <v>2.939967741935484</v>
      </c>
      <c r="Y102" t="n">
        <v>7.367092258064517</v>
      </c>
      <c r="Z102" t="n">
        <v>7.367092258064517</v>
      </c>
    </row>
    <row r="103">
      <c r="A103" t="n">
        <v>101</v>
      </c>
      <c r="B103" s="3" t="n">
        <v>45078</v>
      </c>
      <c r="C103" t="inlineStr">
        <is>
          <t>History</t>
        </is>
      </c>
      <c r="D103" t="n">
        <v>30.79596666666667</v>
      </c>
      <c r="H103" t="inlineStr">
        <is>
          <t>STEO</t>
        </is>
      </c>
      <c r="I103" t="n">
        <v>29.5</v>
      </c>
      <c r="J103" t="n">
        <v>29.5</v>
      </c>
      <c r="K103" t="n">
        <v>29.5</v>
      </c>
      <c r="L103" t="n">
        <v>29.5</v>
      </c>
      <c r="M103" t="b">
        <v>0</v>
      </c>
      <c r="N103" t="n">
        <v>-1.204080180732075</v>
      </c>
      <c r="Q103" t="n">
        <v>25.9884</v>
      </c>
      <c r="R103" t="n">
        <v>25.9884</v>
      </c>
      <c r="S103" t="n">
        <v>20.92994433333334</v>
      </c>
      <c r="T103" t="n">
        <v>20.92994433333333</v>
      </c>
      <c r="U103" t="n">
        <v>4.568444333333334</v>
      </c>
      <c r="V103" t="n">
        <v>4.568444333333334</v>
      </c>
      <c r="W103" t="n">
        <v>12.9935</v>
      </c>
      <c r="X103" t="n">
        <v>3.368</v>
      </c>
      <c r="Y103" t="n">
        <v>5.058455666666664</v>
      </c>
      <c r="Z103" t="n">
        <v>5.058455666666667</v>
      </c>
    </row>
    <row r="104">
      <c r="A104" t="n">
        <v>102</v>
      </c>
      <c r="B104" s="3" t="n">
        <v>45108</v>
      </c>
      <c r="C104" t="inlineStr">
        <is>
          <t>History</t>
        </is>
      </c>
      <c r="D104" t="n">
        <v>31.08687096774193</v>
      </c>
      <c r="H104" t="inlineStr">
        <is>
          <t>STEO</t>
        </is>
      </c>
      <c r="I104" t="n">
        <v>29.5</v>
      </c>
      <c r="J104" t="n">
        <v>29.5</v>
      </c>
      <c r="K104" t="n">
        <v>29.5</v>
      </c>
      <c r="L104" t="n">
        <v>29.5</v>
      </c>
      <c r="M104" t="b">
        <v>0</v>
      </c>
      <c r="N104" t="n">
        <v>-1.204080180732075</v>
      </c>
      <c r="Q104" t="n">
        <v>26.24264516129032</v>
      </c>
      <c r="R104" t="n">
        <v>26.24264516129032</v>
      </c>
      <c r="S104" t="n">
        <v>20.81540290322581</v>
      </c>
      <c r="T104" t="n">
        <v>20.81540290322581</v>
      </c>
      <c r="U104" t="n">
        <v>4.154693225806452</v>
      </c>
      <c r="V104" t="n">
        <v>4.154693225806452</v>
      </c>
      <c r="W104" t="n">
        <v>13.53761290322581</v>
      </c>
      <c r="X104" t="n">
        <v>3.123096774193549</v>
      </c>
      <c r="Y104" t="n">
        <v>5.42724225806451</v>
      </c>
      <c r="Z104" t="n">
        <v>5.42724225806451</v>
      </c>
    </row>
    <row r="105">
      <c r="A105" t="n">
        <v>103</v>
      </c>
      <c r="B105" s="3" t="n">
        <v>45139</v>
      </c>
      <c r="C105" t="inlineStr">
        <is>
          <t>History</t>
        </is>
      </c>
      <c r="D105" t="n">
        <v>31.46732258064516</v>
      </c>
      <c r="H105" t="inlineStr">
        <is>
          <t>STEO</t>
        </is>
      </c>
      <c r="I105" t="n">
        <v>29.5</v>
      </c>
      <c r="J105" t="n">
        <v>29.5</v>
      </c>
      <c r="K105" t="n">
        <v>29.5</v>
      </c>
      <c r="L105" t="n">
        <v>29.5</v>
      </c>
      <c r="M105" t="b">
        <v>0</v>
      </c>
      <c r="N105" t="n">
        <v>-1.204080180732075</v>
      </c>
      <c r="Q105" t="n">
        <v>26.59361290322581</v>
      </c>
      <c r="R105" t="n">
        <v>26.59361290322581</v>
      </c>
      <c r="S105" t="n">
        <v>22.20575161290322</v>
      </c>
      <c r="T105" t="n">
        <v>22.20575161290322</v>
      </c>
      <c r="U105" t="n">
        <v>4.355429032258065</v>
      </c>
      <c r="V105" t="n">
        <v>4.355429032258065</v>
      </c>
      <c r="W105" t="n">
        <v>14.67709677419355</v>
      </c>
      <c r="X105" t="n">
        <v>3.173225806451613</v>
      </c>
      <c r="Y105" t="n">
        <v>4.387861290322586</v>
      </c>
      <c r="Z105" t="n">
        <v>4.387861290322586</v>
      </c>
    </row>
    <row r="106">
      <c r="A106" t="n">
        <v>104</v>
      </c>
      <c r="B106" s="3" t="n">
        <v>45170</v>
      </c>
      <c r="C106" t="inlineStr">
        <is>
          <t>History</t>
        </is>
      </c>
      <c r="D106" t="n">
        <v>31.83276666666667</v>
      </c>
      <c r="H106" t="inlineStr">
        <is>
          <t>STEO</t>
        </is>
      </c>
      <c r="I106" t="n">
        <v>29.5</v>
      </c>
      <c r="J106" t="n">
        <v>29.5</v>
      </c>
      <c r="K106" t="n">
        <v>29.5</v>
      </c>
      <c r="L106" t="n">
        <v>29.5</v>
      </c>
      <c r="M106" t="b">
        <v>0</v>
      </c>
      <c r="N106" t="n">
        <v>-1.204080180732075</v>
      </c>
      <c r="Q106" t="n">
        <v>26.9492</v>
      </c>
      <c r="R106" t="n">
        <v>26.9492</v>
      </c>
      <c r="S106" t="n">
        <v>20.40044</v>
      </c>
      <c r="T106" t="n">
        <v>20.40044</v>
      </c>
      <c r="U106" t="n">
        <v>4.119473333333334</v>
      </c>
      <c r="V106" t="n">
        <v>4.119473333333334</v>
      </c>
      <c r="W106" t="n">
        <v>13.15623333333333</v>
      </c>
      <c r="X106" t="n">
        <v>3.124733333333333</v>
      </c>
      <c r="Y106" t="n">
        <v>6.548760000000001</v>
      </c>
      <c r="Z106" t="n">
        <v>6.548760000000001</v>
      </c>
    </row>
    <row r="107">
      <c r="A107" t="n">
        <v>105</v>
      </c>
      <c r="B107" s="3" t="n">
        <v>45200</v>
      </c>
      <c r="C107" t="inlineStr">
        <is>
          <t>History</t>
        </is>
      </c>
      <c r="D107" t="n">
        <v>31.85374193548387</v>
      </c>
      <c r="H107" t="inlineStr">
        <is>
          <t>STEO</t>
        </is>
      </c>
      <c r="I107" t="n">
        <v>29.5</v>
      </c>
      <c r="J107" t="n">
        <v>29.5</v>
      </c>
      <c r="K107" t="n">
        <v>29.5</v>
      </c>
      <c r="L107" t="n">
        <v>29.5</v>
      </c>
      <c r="M107" t="b">
        <v>0</v>
      </c>
      <c r="N107" t="n">
        <v>-1.204080180732075</v>
      </c>
      <c r="Q107" t="n">
        <v>26.96512903225807</v>
      </c>
      <c r="R107" t="n">
        <v>26.96512903225807</v>
      </c>
      <c r="S107" t="n">
        <v>18.68688161290323</v>
      </c>
      <c r="T107" t="n">
        <v>18.68688161290323</v>
      </c>
      <c r="U107" t="n">
        <v>4.477333225806452</v>
      </c>
      <c r="V107" t="n">
        <v>4.477333225806452</v>
      </c>
      <c r="W107" t="n">
        <v>11.15516129032258</v>
      </c>
      <c r="X107" t="n">
        <v>3.054387096774194</v>
      </c>
      <c r="Y107" t="n">
        <v>8.278247419354841</v>
      </c>
      <c r="Z107" t="n">
        <v>8.278247419354841</v>
      </c>
    </row>
    <row r="108">
      <c r="A108" t="n">
        <v>106</v>
      </c>
      <c r="B108" s="3" t="n">
        <v>45231</v>
      </c>
      <c r="C108" t="inlineStr">
        <is>
          <t>History</t>
        </is>
      </c>
      <c r="D108" t="n">
        <v>32.13006666666666</v>
      </c>
      <c r="H108" t="inlineStr">
        <is>
          <t>STEO</t>
        </is>
      </c>
      <c r="I108" t="n">
        <v>29.5</v>
      </c>
      <c r="J108" t="n">
        <v>29.5</v>
      </c>
      <c r="K108" t="n">
        <v>29.5</v>
      </c>
      <c r="L108" t="n">
        <v>29.5</v>
      </c>
      <c r="M108" t="b">
        <v>0</v>
      </c>
      <c r="N108" t="n">
        <v>-1.204080180732075</v>
      </c>
      <c r="Q108" t="n">
        <v>27.1668</v>
      </c>
      <c r="R108" t="n">
        <v>27.1668</v>
      </c>
      <c r="S108" t="n">
        <v>19.09899533333334</v>
      </c>
      <c r="T108" t="n">
        <v>19.09899533333334</v>
      </c>
      <c r="U108" t="n">
        <v>4.525462</v>
      </c>
      <c r="V108" t="n">
        <v>4.525462</v>
      </c>
      <c r="W108" t="n">
        <v>11.66476666666667</v>
      </c>
      <c r="X108" t="n">
        <v>2.908766666666667</v>
      </c>
      <c r="Y108" t="n">
        <v>8.06780466666666</v>
      </c>
      <c r="Z108" t="n">
        <v>8.06780466666666</v>
      </c>
    </row>
    <row r="109">
      <c r="A109" t="n">
        <v>107</v>
      </c>
      <c r="B109" s="3" t="n">
        <v>45261</v>
      </c>
      <c r="C109" t="inlineStr">
        <is>
          <t>History</t>
        </is>
      </c>
      <c r="D109" t="n">
        <v>32.01570967741936</v>
      </c>
      <c r="H109" t="inlineStr">
        <is>
          <t>STEO</t>
        </is>
      </c>
      <c r="I109" t="n">
        <v>29.5</v>
      </c>
      <c r="J109" t="n">
        <v>29.5</v>
      </c>
      <c r="K109" t="n">
        <v>29.5</v>
      </c>
      <c r="L109" t="n">
        <v>29.5</v>
      </c>
      <c r="M109" t="b">
        <v>0</v>
      </c>
      <c r="N109" t="n">
        <v>-1.204080180732075</v>
      </c>
      <c r="Q109" t="n">
        <v>27.04570967741936</v>
      </c>
      <c r="R109" t="n">
        <v>27.04570967741936</v>
      </c>
      <c r="S109" t="n">
        <v>19.47468290322581</v>
      </c>
      <c r="T109" t="n">
        <v>19.47468290322581</v>
      </c>
      <c r="U109" t="n">
        <v>4.761295806451614</v>
      </c>
      <c r="V109" t="n">
        <v>4.761295806451614</v>
      </c>
      <c r="W109" t="n">
        <v>11.97922580645161</v>
      </c>
      <c r="X109" t="n">
        <v>2.73416129032258</v>
      </c>
      <c r="Y109" t="n">
        <v>7.571026774193552</v>
      </c>
      <c r="Z109" t="n">
        <v>7.571026774193552</v>
      </c>
    </row>
    <row r="110">
      <c r="A110" t="n">
        <v>108</v>
      </c>
      <c r="B110" s="3" t="n">
        <v>45292</v>
      </c>
      <c r="C110" t="inlineStr">
        <is>
          <t>History</t>
        </is>
      </c>
      <c r="D110" t="n">
        <v>30.42906451612903</v>
      </c>
      <c r="E110" t="n">
        <v>22.59695542</v>
      </c>
      <c r="F110" t="n">
        <v>6.808142264</v>
      </c>
      <c r="G110" t="n">
        <v>15.51337931</v>
      </c>
      <c r="H110" t="inlineStr">
        <is>
          <t>STEO</t>
        </is>
      </c>
      <c r="I110" t="n">
        <v>29.5</v>
      </c>
      <c r="J110" t="n">
        <v>29.5</v>
      </c>
      <c r="K110" t="n">
        <v>22.59695542</v>
      </c>
      <c r="L110" t="n">
        <v>22.59695542</v>
      </c>
      <c r="M110" t="b">
        <v>0</v>
      </c>
      <c r="N110" t="n">
        <v>-1.204080180732075</v>
      </c>
      <c r="Q110" t="n">
        <v>25.127</v>
      </c>
      <c r="R110" t="n">
        <v>25.127</v>
      </c>
      <c r="S110" t="n">
        <v>20.98619225806452</v>
      </c>
      <c r="T110" t="n">
        <v>20.98619225806451</v>
      </c>
      <c r="U110" t="n">
        <v>4.002901935483871</v>
      </c>
      <c r="V110" t="n">
        <v>4.002901935483871</v>
      </c>
      <c r="W110" t="n">
        <v>13.938</v>
      </c>
      <c r="X110" t="n">
        <v>3.045290322580645</v>
      </c>
      <c r="Y110" t="n">
        <v>4.140807741935483</v>
      </c>
      <c r="Z110" t="n">
        <v>4.140807741935486</v>
      </c>
    </row>
    <row r="111">
      <c r="A111" t="n">
        <v>109</v>
      </c>
      <c r="B111" s="3" t="n">
        <v>45323</v>
      </c>
      <c r="C111" t="inlineStr">
        <is>
          <t>History</t>
        </is>
      </c>
      <c r="D111" t="n">
        <v>31.91979310344827</v>
      </c>
      <c r="E111" t="n">
        <v>23.68395313</v>
      </c>
      <c r="F111" t="n">
        <v>7.085724085</v>
      </c>
      <c r="G111" t="n">
        <v>15.98869871</v>
      </c>
      <c r="H111" t="inlineStr">
        <is>
          <t>STEO</t>
        </is>
      </c>
      <c r="I111" t="n">
        <v>29.5</v>
      </c>
      <c r="J111" t="n">
        <v>29.5</v>
      </c>
      <c r="K111" t="n">
        <v>23.68395313</v>
      </c>
      <c r="L111" t="n">
        <v>23.68395313</v>
      </c>
      <c r="M111" t="b">
        <v>0</v>
      </c>
      <c r="N111" t="n">
        <v>-1.204080180732075</v>
      </c>
      <c r="Q111" t="n">
        <v>26.47165517241379</v>
      </c>
      <c r="R111" t="n">
        <v>26.47165517241379</v>
      </c>
      <c r="S111" t="n">
        <v>17.94977655172414</v>
      </c>
      <c r="T111" t="n">
        <v>17.94977655172414</v>
      </c>
      <c r="U111" t="n">
        <v>3.654431724137932</v>
      </c>
      <c r="V111" t="n">
        <v>3.654431724137932</v>
      </c>
      <c r="W111" t="n">
        <v>11.41420689655172</v>
      </c>
      <c r="X111" t="n">
        <v>2.881137931034483</v>
      </c>
      <c r="Y111" t="n">
        <v>8.521878620689652</v>
      </c>
      <c r="Z111" t="n">
        <v>8.521878620689652</v>
      </c>
    </row>
    <row r="112">
      <c r="A112" t="n">
        <v>110</v>
      </c>
      <c r="B112" s="3" t="n">
        <v>45352</v>
      </c>
      <c r="C112" t="inlineStr">
        <is>
          <t>History</t>
        </is>
      </c>
      <c r="D112" t="n">
        <v>32.04229032258064</v>
      </c>
      <c r="E112" t="n">
        <v>24.05521084</v>
      </c>
      <c r="F112" t="n">
        <v>6.991810852</v>
      </c>
      <c r="G112" t="n">
        <v>15.37431097</v>
      </c>
      <c r="H112" t="inlineStr">
        <is>
          <t>STEO</t>
        </is>
      </c>
      <c r="I112" t="n">
        <v>29.5</v>
      </c>
      <c r="J112" t="n">
        <v>29.5</v>
      </c>
      <c r="K112" t="n">
        <v>24.05521084</v>
      </c>
      <c r="L112" t="n">
        <v>24.05521084</v>
      </c>
      <c r="M112" t="b">
        <v>0</v>
      </c>
      <c r="N112" t="n">
        <v>-1.204080180732075</v>
      </c>
      <c r="Q112" t="n">
        <v>26.71183870967742</v>
      </c>
      <c r="R112" t="n">
        <v>26.71183870967742</v>
      </c>
      <c r="S112" t="n">
        <v>17.25726322580645</v>
      </c>
      <c r="T112" t="n">
        <v>17.25726322580645</v>
      </c>
      <c r="U112" t="n">
        <v>3.077456774193548</v>
      </c>
      <c r="V112" t="n">
        <v>3.077456774193548</v>
      </c>
      <c r="W112" t="n">
        <v>11.21325806451613</v>
      </c>
      <c r="X112" t="n">
        <v>2.966548387096774</v>
      </c>
      <c r="Y112" t="n">
        <v>9.454575483870968</v>
      </c>
      <c r="Z112" t="n">
        <v>9.454575483870968</v>
      </c>
    </row>
    <row r="113">
      <c r="A113" t="n">
        <v>111</v>
      </c>
      <c r="B113" s="3" t="n">
        <v>45383</v>
      </c>
      <c r="C113" t="inlineStr">
        <is>
          <t>History</t>
        </is>
      </c>
      <c r="D113" t="n">
        <v>31.96823333333333</v>
      </c>
      <c r="E113" t="n">
        <v>24.10201897</v>
      </c>
      <c r="F113" t="n">
        <v>6.774593488</v>
      </c>
      <c r="G113" t="n">
        <v>14.5394001</v>
      </c>
      <c r="H113" t="inlineStr">
        <is>
          <t>STEO</t>
        </is>
      </c>
      <c r="I113" t="n">
        <v>29.5</v>
      </c>
      <c r="J113" t="n">
        <v>29.5</v>
      </c>
      <c r="K113" t="n">
        <v>24.10201897</v>
      </c>
      <c r="L113" t="n">
        <v>24.10201897</v>
      </c>
      <c r="M113" t="b">
        <v>0</v>
      </c>
      <c r="N113" t="n">
        <v>-1.204080180732075</v>
      </c>
      <c r="Q113" t="n">
        <v>26.68763333333333</v>
      </c>
      <c r="R113" t="n">
        <v>26.68763333333333</v>
      </c>
      <c r="S113" t="n">
        <v>16.14582833333333</v>
      </c>
      <c r="T113" t="n">
        <v>16.14582833333333</v>
      </c>
      <c r="U113" t="n">
        <v>2.211428333333334</v>
      </c>
      <c r="V113" t="n">
        <v>2.211428333333334</v>
      </c>
      <c r="W113" t="n">
        <v>10.7466</v>
      </c>
      <c r="X113" t="n">
        <v>3.1878</v>
      </c>
      <c r="Y113" t="n">
        <v>10.541805</v>
      </c>
      <c r="Z113" t="n">
        <v>10.541805</v>
      </c>
    </row>
    <row r="114">
      <c r="A114" t="n">
        <v>112</v>
      </c>
      <c r="B114" s="3" t="n">
        <v>45413</v>
      </c>
      <c r="C114" t="inlineStr">
        <is>
          <t>History</t>
        </is>
      </c>
      <c r="D114" t="n">
        <v>32.86045161290323</v>
      </c>
      <c r="E114" t="n">
        <v>24.28678653</v>
      </c>
      <c r="F114" t="n">
        <v>7.26385623</v>
      </c>
      <c r="G114" t="n">
        <v>13.99352065</v>
      </c>
      <c r="H114" t="inlineStr">
        <is>
          <t>STEO</t>
        </is>
      </c>
      <c r="I114" t="n">
        <v>29.5</v>
      </c>
      <c r="J114" t="n">
        <v>29.5</v>
      </c>
      <c r="K114" t="n">
        <v>24.28678653</v>
      </c>
      <c r="L114" t="n">
        <v>24.28678653</v>
      </c>
      <c r="M114" t="b">
        <v>0</v>
      </c>
      <c r="N114" t="n">
        <v>-1.204080180732075</v>
      </c>
      <c r="Q114" t="n">
        <v>27.57170967741936</v>
      </c>
      <c r="R114" t="n">
        <v>27.57170967741936</v>
      </c>
      <c r="S114" t="n">
        <v>19.27603677419355</v>
      </c>
      <c r="T114" t="n">
        <v>19.27603677419355</v>
      </c>
      <c r="U114" t="n">
        <v>4.10494</v>
      </c>
      <c r="V114" t="n">
        <v>4.10494</v>
      </c>
      <c r="W114" t="n">
        <v>11.91341935483871</v>
      </c>
      <c r="X114" t="n">
        <v>3.257677419354839</v>
      </c>
      <c r="Y114" t="n">
        <v>8.29567290322581</v>
      </c>
      <c r="Z114" t="n">
        <v>8.29567290322581</v>
      </c>
    </row>
    <row r="115">
      <c r="A115" t="n">
        <v>113</v>
      </c>
      <c r="B115" s="3" t="n">
        <v>45444</v>
      </c>
      <c r="C115" t="inlineStr">
        <is>
          <t>History</t>
        </is>
      </c>
      <c r="D115" t="n">
        <v>33.14356666666666</v>
      </c>
      <c r="E115" t="n">
        <v>24.9598424</v>
      </c>
      <c r="F115" t="n">
        <v>6.959433172</v>
      </c>
      <c r="G115" t="n">
        <v>13.97531401</v>
      </c>
      <c r="H115" t="inlineStr">
        <is>
          <t>STEO</t>
        </is>
      </c>
      <c r="I115" t="n">
        <v>29.5</v>
      </c>
      <c r="J115" t="n">
        <v>29.5</v>
      </c>
      <c r="K115" t="n">
        <v>24.9598424</v>
      </c>
      <c r="L115" t="n">
        <v>24.9598424</v>
      </c>
      <c r="M115" t="b">
        <v>0</v>
      </c>
      <c r="N115" t="n">
        <v>-1.204080180732075</v>
      </c>
      <c r="Q115" t="n">
        <v>27.7913</v>
      </c>
      <c r="R115" t="n">
        <v>27.7913</v>
      </c>
      <c r="S115" t="n">
        <v>20.87334166666666</v>
      </c>
      <c r="T115" t="n">
        <v>20.87334166666666</v>
      </c>
      <c r="U115" t="n">
        <v>4.706075</v>
      </c>
      <c r="V115" t="n">
        <v>4.706075</v>
      </c>
      <c r="W115" t="n">
        <v>13.05013333333333</v>
      </c>
      <c r="X115" t="n">
        <v>3.117133333333333</v>
      </c>
      <c r="Y115" t="n">
        <v>6.917958333333335</v>
      </c>
      <c r="Z115" t="n">
        <v>6.917958333333338</v>
      </c>
    </row>
    <row r="116">
      <c r="A116" t="n">
        <v>114</v>
      </c>
      <c r="B116" s="3" t="n">
        <v>45474</v>
      </c>
      <c r="C116" t="inlineStr">
        <is>
          <t>History</t>
        </is>
      </c>
      <c r="D116" t="n">
        <v>33.14932258064516</v>
      </c>
      <c r="E116" t="n">
        <v>25.3119424</v>
      </c>
      <c r="F116" t="n">
        <v>6.960782441</v>
      </c>
      <c r="G116" t="n">
        <v>14.36439032</v>
      </c>
      <c r="H116" t="inlineStr">
        <is>
          <t>STEO</t>
        </is>
      </c>
      <c r="I116" t="n">
        <v>29.5</v>
      </c>
      <c r="J116" t="n">
        <v>29.5</v>
      </c>
      <c r="K116" t="n">
        <v>25.3119424</v>
      </c>
      <c r="L116" t="n">
        <v>25.3119424</v>
      </c>
      <c r="M116" t="b">
        <v>0</v>
      </c>
      <c r="N116" t="n">
        <v>-1.204080180732075</v>
      </c>
      <c r="Q116" t="n">
        <v>27.72906451612904</v>
      </c>
      <c r="R116" t="n">
        <v>27.72906451612904</v>
      </c>
      <c r="S116" t="n">
        <v>19.46253516129033</v>
      </c>
      <c r="T116" t="n">
        <v>19.46253516129033</v>
      </c>
      <c r="U116" t="n">
        <v>2.888535161290323</v>
      </c>
      <c r="V116" t="n">
        <v>2.888535161290323</v>
      </c>
      <c r="W116" t="n">
        <v>13.42690322580645</v>
      </c>
      <c r="X116" t="n">
        <v>3.147096774193549</v>
      </c>
      <c r="Y116" t="n">
        <v>8.266529354838713</v>
      </c>
      <c r="Z116" t="n">
        <v>8.266529354838713</v>
      </c>
    </row>
    <row r="117">
      <c r="A117" t="n">
        <v>115</v>
      </c>
      <c r="B117" s="3" t="n">
        <v>45505</v>
      </c>
      <c r="C117" t="inlineStr">
        <is>
          <t>History</t>
        </is>
      </c>
      <c r="D117" t="n">
        <v>33.2896129032258</v>
      </c>
      <c r="E117" t="n">
        <v>25.74684842</v>
      </c>
      <c r="F117" t="n">
        <v>6.896070541</v>
      </c>
      <c r="G117" t="n">
        <v>14.31843361</v>
      </c>
      <c r="H117" t="inlineStr">
        <is>
          <t>STEO</t>
        </is>
      </c>
      <c r="I117" t="n">
        <v>29.5</v>
      </c>
      <c r="J117" t="n">
        <v>29.5</v>
      </c>
      <c r="K117" t="n">
        <v>25.74684842</v>
      </c>
      <c r="L117" t="n">
        <v>25.74684842</v>
      </c>
      <c r="M117" t="b">
        <v>0</v>
      </c>
      <c r="N117" t="n">
        <v>-1.204080180732075</v>
      </c>
      <c r="Q117" t="n">
        <v>27.9198064516129</v>
      </c>
      <c r="R117" t="n">
        <v>27.9198064516129</v>
      </c>
      <c r="S117" t="n">
        <v>22.24682580645161</v>
      </c>
      <c r="T117" t="n">
        <v>22.24682580645161</v>
      </c>
      <c r="U117" t="n">
        <v>4.445793548387098</v>
      </c>
      <c r="V117" t="n">
        <v>4.445793548387098</v>
      </c>
      <c r="W117" t="n">
        <v>14.60748387096774</v>
      </c>
      <c r="X117" t="n">
        <v>3.193548387096774</v>
      </c>
      <c r="Y117" t="n">
        <v>5.672980645161289</v>
      </c>
      <c r="Z117" t="n">
        <v>5.672980645161289</v>
      </c>
    </row>
    <row r="118">
      <c r="A118" t="n">
        <v>116</v>
      </c>
      <c r="B118" s="3" t="n">
        <v>45536</v>
      </c>
      <c r="C118" t="inlineStr">
        <is>
          <t>History</t>
        </is>
      </c>
      <c r="D118" t="n">
        <v>33.5967</v>
      </c>
      <c r="E118" t="n">
        <v>25.69825872</v>
      </c>
      <c r="F118" t="n">
        <v>6.839683392</v>
      </c>
      <c r="G118" t="n">
        <v>13.88202195</v>
      </c>
      <c r="H118" t="inlineStr">
        <is>
          <t>STEO</t>
        </is>
      </c>
      <c r="I118" t="n">
        <v>29.5</v>
      </c>
      <c r="J118" t="n">
        <v>29.5</v>
      </c>
      <c r="K118" t="n">
        <v>25.69825872</v>
      </c>
      <c r="L118" t="n">
        <v>25.69825872</v>
      </c>
      <c r="M118" t="b">
        <v>0</v>
      </c>
      <c r="N118" t="n">
        <v>-1.204080180732075</v>
      </c>
      <c r="Q118" t="n">
        <v>28.2645</v>
      </c>
      <c r="R118" t="n">
        <v>28.2645</v>
      </c>
      <c r="S118" t="n">
        <v>20.78909933333333</v>
      </c>
      <c r="T118" t="n">
        <v>20.78909933333333</v>
      </c>
      <c r="U118" t="n">
        <v>4.636932666666667</v>
      </c>
      <c r="V118" t="n">
        <v>4.636932666666667</v>
      </c>
      <c r="W118" t="n">
        <v>13.06096666666667</v>
      </c>
      <c r="X118" t="n">
        <v>3.0912</v>
      </c>
      <c r="Y118" t="n">
        <v>7.475400666666669</v>
      </c>
      <c r="Z118" t="n">
        <v>7.475400666666669</v>
      </c>
    </row>
    <row r="119">
      <c r="A119" t="n">
        <v>117</v>
      </c>
      <c r="B119" s="3" t="n">
        <v>45566</v>
      </c>
      <c r="C119" t="inlineStr">
        <is>
          <t>History</t>
        </is>
      </c>
      <c r="D119" t="n">
        <v>33.96545161290323</v>
      </c>
      <c r="E119" t="n">
        <v>26.28777553</v>
      </c>
      <c r="F119" t="n">
        <v>7.12729676</v>
      </c>
      <c r="G119" t="n">
        <v>13.86241774</v>
      </c>
      <c r="H119" t="inlineStr">
        <is>
          <t>STEO</t>
        </is>
      </c>
      <c r="I119" t="n">
        <v>29.5</v>
      </c>
      <c r="J119" t="n">
        <v>29.5</v>
      </c>
      <c r="K119" t="n">
        <v>26.28777553</v>
      </c>
      <c r="L119" t="n">
        <v>26.28777553</v>
      </c>
      <c r="M119" t="b">
        <v>0</v>
      </c>
      <c r="N119" t="n">
        <v>-1.204080180732075</v>
      </c>
      <c r="Q119" t="n">
        <v>28.559</v>
      </c>
      <c r="R119" t="n">
        <v>28.559</v>
      </c>
      <c r="S119" t="n">
        <v>19.55235451612903</v>
      </c>
      <c r="T119" t="n">
        <v>19.55235451612903</v>
      </c>
      <c r="U119" t="n">
        <v>4.77529</v>
      </c>
      <c r="V119" t="n">
        <v>4.77529</v>
      </c>
      <c r="W119" t="n">
        <v>11.90767741935484</v>
      </c>
      <c r="X119" t="n">
        <v>2.869387096774194</v>
      </c>
      <c r="Y119" t="n">
        <v>9.006645483870969</v>
      </c>
      <c r="Z119" t="n">
        <v>9.006645483870969</v>
      </c>
    </row>
    <row r="120">
      <c r="A120" t="n">
        <v>118</v>
      </c>
      <c r="B120" s="3" t="n">
        <v>45597</v>
      </c>
      <c r="C120" t="inlineStr">
        <is>
          <t>History</t>
        </is>
      </c>
      <c r="D120" t="n">
        <v>33.69269999999999</v>
      </c>
      <c r="E120" t="n">
        <v>26.12159507</v>
      </c>
      <c r="F120" t="n">
        <v>7.041497605</v>
      </c>
      <c r="G120" t="n">
        <v>13.97030765</v>
      </c>
      <c r="H120" t="inlineStr">
        <is>
          <t>STEO</t>
        </is>
      </c>
      <c r="I120" t="n">
        <v>29.5</v>
      </c>
      <c r="J120" t="n">
        <v>29.5</v>
      </c>
      <c r="K120" t="n">
        <v>26.12159507</v>
      </c>
      <c r="L120" t="n">
        <v>26.12159507</v>
      </c>
      <c r="M120" t="b">
        <v>0</v>
      </c>
      <c r="N120" t="n">
        <v>-1.204080180732075</v>
      </c>
      <c r="Q120" t="n">
        <v>28.28536666666666</v>
      </c>
      <c r="R120" t="n">
        <v>28.28536666666666</v>
      </c>
      <c r="S120" t="n">
        <v>18.59199666666667</v>
      </c>
      <c r="T120" t="n">
        <v>18.59199666666667</v>
      </c>
      <c r="U120" t="n">
        <v>4.40033</v>
      </c>
      <c r="V120" t="n">
        <v>4.40033</v>
      </c>
      <c r="W120" t="n">
        <v>11.44886666666667</v>
      </c>
      <c r="X120" t="n">
        <v>2.7428</v>
      </c>
      <c r="Y120" t="n">
        <v>9.693369999999994</v>
      </c>
      <c r="Z120" t="n">
        <v>9.693369999999994</v>
      </c>
    </row>
    <row r="121">
      <c r="A121" t="n">
        <v>119</v>
      </c>
      <c r="B121" s="3" t="n">
        <v>45627</v>
      </c>
      <c r="C121" t="inlineStr">
        <is>
          <t>History</t>
        </is>
      </c>
      <c r="D121" t="n">
        <v>34.00558064516129</v>
      </c>
      <c r="E121" t="n">
        <v>26.53084596</v>
      </c>
      <c r="F121" t="n">
        <v>7.019454062</v>
      </c>
      <c r="G121" t="n">
        <v>13.9672529</v>
      </c>
      <c r="H121" t="inlineStr">
        <is>
          <t>STEO</t>
        </is>
      </c>
      <c r="I121" t="n">
        <v>29.5</v>
      </c>
      <c r="J121" t="n">
        <v>29.5</v>
      </c>
      <c r="K121" t="n">
        <v>26.53084596</v>
      </c>
      <c r="L121" t="n">
        <v>26.53084596</v>
      </c>
      <c r="M121" t="b">
        <v>0</v>
      </c>
      <c r="N121" t="n">
        <v>-1.204080180732075</v>
      </c>
      <c r="Q121" t="n">
        <v>28.49945161290323</v>
      </c>
      <c r="R121" t="n">
        <v>28.49945161290323</v>
      </c>
      <c r="S121" t="n">
        <v>19.74180161290323</v>
      </c>
      <c r="T121" t="n">
        <v>19.74180161290323</v>
      </c>
      <c r="U121" t="n">
        <v>4.759608064516129</v>
      </c>
      <c r="V121" t="n">
        <v>4.759608064516129</v>
      </c>
      <c r="W121" t="n">
        <v>12.28454838709678</v>
      </c>
      <c r="X121" t="n">
        <v>2.697645161290323</v>
      </c>
      <c r="Y121" t="n">
        <v>8.757649999999998</v>
      </c>
      <c r="Z121" t="n">
        <v>8.757649999999998</v>
      </c>
    </row>
    <row r="122">
      <c r="A122" t="n">
        <v>120</v>
      </c>
      <c r="B122" s="3" t="n">
        <v>45658</v>
      </c>
      <c r="C122" t="inlineStr">
        <is>
          <t>History</t>
        </is>
      </c>
      <c r="D122" t="n">
        <v>33.77132258064516</v>
      </c>
      <c r="E122" t="n">
        <v>25.8656134</v>
      </c>
      <c r="F122" t="n">
        <v>6.870920635</v>
      </c>
      <c r="G122" t="n">
        <v>14.07692738</v>
      </c>
      <c r="H122" t="inlineStr">
        <is>
          <t>STEO</t>
        </is>
      </c>
      <c r="I122" t="n">
        <v>29.5</v>
      </c>
      <c r="J122" t="n">
        <v>29.5</v>
      </c>
      <c r="K122" t="n">
        <v>25.8656134</v>
      </c>
      <c r="L122" t="n">
        <v>25.8656134</v>
      </c>
      <c r="M122" t="b">
        <v>0</v>
      </c>
      <c r="N122" t="n">
        <v>-1.204080180732075</v>
      </c>
      <c r="Q122" t="n">
        <v>28.24405679752158</v>
      </c>
      <c r="R122" t="n">
        <v>28.24405679752158</v>
      </c>
      <c r="S122" t="n">
        <v>22.11652935483871</v>
      </c>
      <c r="T122" t="n">
        <v>22.11652935483871</v>
      </c>
      <c r="U122" t="n">
        <v>4.154271290322582</v>
      </c>
      <c r="V122" t="n">
        <v>4.154271290322582</v>
      </c>
      <c r="W122" t="n">
        <v>14.83267741935484</v>
      </c>
      <c r="X122" t="n">
        <v>3.12958064516129</v>
      </c>
      <c r="Y122" t="n">
        <v>6.127527442682869</v>
      </c>
      <c r="Z122" t="n">
        <v>6.127527442682869</v>
      </c>
    </row>
    <row r="123">
      <c r="A123" t="n">
        <v>121</v>
      </c>
      <c r="B123" s="3" t="n">
        <v>45689</v>
      </c>
      <c r="C123" t="inlineStr">
        <is>
          <t>History</t>
        </is>
      </c>
      <c r="D123" t="n">
        <v>33.87828571428572</v>
      </c>
      <c r="E123" t="n">
        <v>26.25359514</v>
      </c>
      <c r="F123" t="n">
        <v>7.114271322</v>
      </c>
      <c r="G123" t="n">
        <v>14.20246245</v>
      </c>
      <c r="H123" t="inlineStr">
        <is>
          <t>STEO</t>
        </is>
      </c>
      <c r="I123" t="n">
        <v>29.5</v>
      </c>
      <c r="J123" t="n">
        <v>29.5</v>
      </c>
      <c r="K123" t="n">
        <v>26.25359514</v>
      </c>
      <c r="L123" t="n">
        <v>26.25359514</v>
      </c>
      <c r="M123" t="b">
        <v>0</v>
      </c>
      <c r="N123" t="n">
        <v>-1.204080180732075</v>
      </c>
      <c r="Q123" t="n">
        <v>28.33351354931359</v>
      </c>
      <c r="R123" t="n">
        <v>28.33351354931359</v>
      </c>
      <c r="S123" t="n">
        <v>21.59271178571429</v>
      </c>
      <c r="T123" t="n">
        <v>21.59271178571429</v>
      </c>
      <c r="U123" t="n">
        <v>4.985854642857143</v>
      </c>
      <c r="V123" t="n">
        <v>4.985854642857143</v>
      </c>
      <c r="W123" t="n">
        <v>13.569</v>
      </c>
      <c r="X123" t="n">
        <v>3.037857142857143</v>
      </c>
      <c r="Y123" t="n">
        <v>6.740801763599304</v>
      </c>
      <c r="Z123" t="n">
        <v>6.740801763599304</v>
      </c>
    </row>
    <row r="124">
      <c r="A124" t="n">
        <v>122</v>
      </c>
      <c r="B124" s="3" t="n">
        <v>45717</v>
      </c>
      <c r="C124" t="inlineStr">
        <is>
          <t>History</t>
        </is>
      </c>
      <c r="D124" t="n">
        <v>33.98274193548387</v>
      </c>
      <c r="E124" t="n">
        <v>26.90295259</v>
      </c>
      <c r="F124" t="n">
        <v>7.121448929</v>
      </c>
      <c r="G124" t="n">
        <v>15.64264792</v>
      </c>
      <c r="H124" t="inlineStr">
        <is>
          <t>STEO</t>
        </is>
      </c>
      <c r="I124" t="n">
        <v>29.5</v>
      </c>
      <c r="J124" t="n">
        <v>29.5</v>
      </c>
      <c r="K124" t="n">
        <v>26.90295259</v>
      </c>
      <c r="L124" t="n">
        <v>26.90295259</v>
      </c>
      <c r="M124" t="b">
        <v>0</v>
      </c>
      <c r="N124" t="n">
        <v>-1.204080180732075</v>
      </c>
      <c r="Q124" t="n">
        <v>28.42087368859537</v>
      </c>
      <c r="R124" t="n">
        <v>28.42087368859537</v>
      </c>
      <c r="S124" t="n">
        <v>17.86375419354839</v>
      </c>
      <c r="T124" t="n">
        <v>17.86375419354839</v>
      </c>
      <c r="U124" t="n">
        <v>4.598463870967742</v>
      </c>
      <c r="V124" t="n">
        <v>4.598463870967742</v>
      </c>
      <c r="W124" t="n">
        <v>10.40090322580645</v>
      </c>
      <c r="X124" t="n">
        <v>2.864387096774194</v>
      </c>
      <c r="Y124" t="n">
        <v>10.55711949504698</v>
      </c>
      <c r="Z124" t="n">
        <v>10.55711949504698</v>
      </c>
    </row>
    <row r="125">
      <c r="A125" t="n">
        <v>123</v>
      </c>
      <c r="B125" s="3" t="n">
        <v>45748</v>
      </c>
      <c r="C125" t="inlineStr">
        <is>
          <t>History</t>
        </is>
      </c>
      <c r="D125" t="n">
        <v>34.2791</v>
      </c>
      <c r="E125" t="n">
        <v>26.86164757</v>
      </c>
      <c r="F125" t="n">
        <v>7.28595454</v>
      </c>
      <c r="G125" t="n">
        <v>15.25995961</v>
      </c>
      <c r="H125" t="inlineStr">
        <is>
          <t>STEO</t>
        </is>
      </c>
      <c r="I125" t="n">
        <v>29.5</v>
      </c>
      <c r="J125" t="n">
        <v>29.5</v>
      </c>
      <c r="K125" t="n">
        <v>26.86164757</v>
      </c>
      <c r="L125" t="n">
        <v>26.86164757</v>
      </c>
      <c r="M125" t="b">
        <v>0</v>
      </c>
      <c r="N125" t="n">
        <v>-1.204080180732075</v>
      </c>
      <c r="Q125" t="n">
        <v>28.66872758850139</v>
      </c>
      <c r="R125" t="n">
        <v>28.66872758850139</v>
      </c>
      <c r="S125" t="n">
        <v>18.86339</v>
      </c>
      <c r="T125" t="n">
        <v>18.86339</v>
      </c>
      <c r="U125" t="n">
        <v>4.81889</v>
      </c>
      <c r="V125" t="n">
        <v>4.81889</v>
      </c>
      <c r="W125" t="n">
        <v>10.7925</v>
      </c>
      <c r="X125" t="n">
        <v>3.252</v>
      </c>
      <c r="Y125" t="n">
        <v>9.805337588501391</v>
      </c>
      <c r="Z125" t="n">
        <v>9.805337588501391</v>
      </c>
    </row>
    <row r="126">
      <c r="A126" t="n">
        <v>124</v>
      </c>
      <c r="B126" s="3" t="n">
        <v>45778</v>
      </c>
      <c r="C126" t="inlineStr">
        <is>
          <t>History</t>
        </is>
      </c>
      <c r="D126" t="n">
        <v>33.95767741935484</v>
      </c>
      <c r="E126" t="n">
        <v>26.87649226</v>
      </c>
      <c r="F126" t="n">
        <v>7.331046398</v>
      </c>
      <c r="G126" t="n">
        <v>15.17012098</v>
      </c>
      <c r="H126" t="inlineStr">
        <is>
          <t>STEO</t>
        </is>
      </c>
      <c r="I126" t="n">
        <v>29.5</v>
      </c>
      <c r="J126" t="n">
        <v>29.5</v>
      </c>
      <c r="K126" t="n">
        <v>26.87649226</v>
      </c>
      <c r="L126" t="n">
        <v>26.87649226</v>
      </c>
      <c r="M126" t="b">
        <v>0</v>
      </c>
      <c r="N126" t="n">
        <v>-1.204080180732075</v>
      </c>
      <c r="Q126" t="n">
        <v>28.39991141756023</v>
      </c>
      <c r="R126" t="n">
        <v>28.39991141756023</v>
      </c>
      <c r="S126" t="n">
        <v>19.97133548387097</v>
      </c>
      <c r="T126" t="n">
        <v>19.97133548387097</v>
      </c>
      <c r="U126" t="n">
        <v>4.495722580645161</v>
      </c>
      <c r="V126" t="n">
        <v>4.495722580645161</v>
      </c>
      <c r="W126" t="n">
        <v>11.95177419354839</v>
      </c>
      <c r="X126" t="n">
        <v>3.523838709677419</v>
      </c>
      <c r="Y126" t="n">
        <v>8.428575933689263</v>
      </c>
      <c r="Z126" t="n">
        <v>8.428575933689263</v>
      </c>
    </row>
    <row r="127">
      <c r="A127" t="n">
        <v>125</v>
      </c>
      <c r="B127" s="3" t="n">
        <v>45809</v>
      </c>
      <c r="C127" t="inlineStr">
        <is>
          <t>History</t>
        </is>
      </c>
      <c r="D127" t="n">
        <v>34.42446666666667</v>
      </c>
      <c r="E127" t="n">
        <v>27.44590982</v>
      </c>
      <c r="F127" t="n">
        <v>7.485957938</v>
      </c>
      <c r="G127" t="n">
        <v>14.30456019</v>
      </c>
      <c r="H127" t="inlineStr">
        <is>
          <t>STEO</t>
        </is>
      </c>
      <c r="I127" t="n">
        <v>29.5</v>
      </c>
      <c r="J127" t="n">
        <v>29.5</v>
      </c>
      <c r="K127" t="n">
        <v>27.44590982</v>
      </c>
      <c r="L127" t="n">
        <v>27.44590982</v>
      </c>
      <c r="M127" t="b">
        <v>0</v>
      </c>
      <c r="N127" t="n">
        <v>-1.204080180732075</v>
      </c>
      <c r="Q127" t="n">
        <v>28.79030246552894</v>
      </c>
      <c r="R127" t="n">
        <v>28.79030246552894</v>
      </c>
      <c r="S127" t="n">
        <v>20.66212833333333</v>
      </c>
      <c r="T127" t="n">
        <v>20.66212833333333</v>
      </c>
      <c r="U127" t="n">
        <v>4.700261666666666</v>
      </c>
      <c r="V127" t="n">
        <v>4.700261666666666</v>
      </c>
      <c r="W127" t="n">
        <v>12.51573333333333</v>
      </c>
      <c r="X127" t="n">
        <v>3.446133333333333</v>
      </c>
      <c r="Y127" t="n">
        <v>8.128174132195607</v>
      </c>
      <c r="Z127" t="n">
        <v>8.128174132195607</v>
      </c>
    </row>
    <row r="128">
      <c r="A128" t="n">
        <v>126</v>
      </c>
      <c r="B128" s="3" t="n">
        <v>45839</v>
      </c>
      <c r="C128" t="inlineStr">
        <is>
          <t>History</t>
        </is>
      </c>
      <c r="D128" t="n">
        <v>34.88470967741936</v>
      </c>
      <c r="E128" t="n">
        <v>28.09928137</v>
      </c>
      <c r="F128" t="n">
        <v>7.512304785</v>
      </c>
      <c r="G128" t="n">
        <v>14.83679842</v>
      </c>
      <c r="H128" t="inlineStr">
        <is>
          <t>STEO</t>
        </is>
      </c>
      <c r="I128" t="n">
        <v>29.5</v>
      </c>
      <c r="J128" t="n">
        <v>29.5</v>
      </c>
      <c r="K128" t="n">
        <v>28.09928137</v>
      </c>
      <c r="L128" t="n">
        <v>28.09928137</v>
      </c>
      <c r="M128" t="b">
        <v>0</v>
      </c>
      <c r="N128" t="n">
        <v>-1.204080180732075</v>
      </c>
      <c r="Q128" t="n">
        <v>29.17521868269277</v>
      </c>
      <c r="R128" t="n">
        <v>29.17521868269277</v>
      </c>
      <c r="S128" t="n">
        <v>20.76968322580645</v>
      </c>
      <c r="T128" t="n">
        <v>20.76968322580645</v>
      </c>
      <c r="U128" t="n">
        <v>4.497199354838711</v>
      </c>
      <c r="V128" t="n">
        <v>4.497199354838711</v>
      </c>
      <c r="W128" t="n">
        <v>13.17790322580645</v>
      </c>
      <c r="X128" t="n">
        <v>3.09458064516129</v>
      </c>
      <c r="Y128" t="n">
        <v>8.405535456886316</v>
      </c>
      <c r="Z128" t="n">
        <v>8.405535456886316</v>
      </c>
    </row>
    <row r="129">
      <c r="A129" t="n">
        <v>127</v>
      </c>
      <c r="B129" s="3" t="n">
        <v>45870</v>
      </c>
      <c r="C129" t="inlineStr">
        <is>
          <t>History</t>
        </is>
      </c>
      <c r="D129" t="n">
        <v>35.25983870967742</v>
      </c>
      <c r="E129" t="n">
        <v>28.34933697</v>
      </c>
      <c r="F129" t="n">
        <v>7.621252246</v>
      </c>
      <c r="G129" t="n">
        <v>15.22038488</v>
      </c>
      <c r="H129" t="inlineStr">
        <is>
          <t>STEO</t>
        </is>
      </c>
      <c r="I129" t="n">
        <v>29.5</v>
      </c>
      <c r="J129" t="n">
        <v>29.5</v>
      </c>
      <c r="K129" t="n">
        <v>28.34933697</v>
      </c>
      <c r="L129" t="n">
        <v>28.34933697</v>
      </c>
      <c r="M129" t="b">
        <v>0</v>
      </c>
      <c r="N129" t="n">
        <v>-1.204080180732075</v>
      </c>
      <c r="Q129" t="n">
        <v>29.48895130800512</v>
      </c>
      <c r="R129" t="n">
        <v>29.48895130800512</v>
      </c>
      <c r="S129" t="n">
        <v>21.65480129032258</v>
      </c>
      <c r="T129" t="n">
        <v>21.65480129032258</v>
      </c>
      <c r="U129" t="n">
        <v>4.468156129032257</v>
      </c>
      <c r="V129" t="n">
        <v>4.468156129032257</v>
      </c>
      <c r="W129" t="n">
        <v>13.83635483870968</v>
      </c>
      <c r="X129" t="n">
        <v>3.350290322580645</v>
      </c>
      <c r="Y129" t="n">
        <v>7.834150017682539</v>
      </c>
      <c r="Z129" t="n">
        <v>7.834150017682539</v>
      </c>
    </row>
    <row r="130">
      <c r="A130" t="n">
        <v>128</v>
      </c>
      <c r="B130" s="3" t="n">
        <v>45901</v>
      </c>
      <c r="C130" t="inlineStr">
        <is>
          <t>History</t>
        </is>
      </c>
      <c r="D130" t="n">
        <v>35.21926666666667</v>
      </c>
      <c r="E130" t="n">
        <v>28.48629962</v>
      </c>
      <c r="F130" t="n">
        <v>7.620341427</v>
      </c>
      <c r="G130" t="n">
        <v>14.84693182</v>
      </c>
      <c r="H130" t="inlineStr">
        <is>
          <t>STEO</t>
        </is>
      </c>
      <c r="I130" t="n">
        <v>29.5</v>
      </c>
      <c r="J130" t="n">
        <v>29.5</v>
      </c>
      <c r="K130" t="n">
        <v>28.48629962</v>
      </c>
      <c r="L130" t="n">
        <v>28.48629962</v>
      </c>
      <c r="M130" t="b">
        <v>0</v>
      </c>
      <c r="N130" t="n">
        <v>-1.204080180732075</v>
      </c>
      <c r="Q130" t="n">
        <v>29.45501958725445</v>
      </c>
      <c r="R130" t="n">
        <v>29.45501958725445</v>
      </c>
      <c r="S130" t="n">
        <v>20.75478366666667</v>
      </c>
      <c r="T130" t="n">
        <v>20.75478366666667</v>
      </c>
      <c r="U130" t="n">
        <v>4.724750333333334</v>
      </c>
      <c r="V130" t="n">
        <v>4.724750333333334</v>
      </c>
      <c r="W130" t="n">
        <v>13.0801</v>
      </c>
      <c r="X130" t="n">
        <v>2.949933333333334</v>
      </c>
      <c r="Y130" t="n">
        <v>8.700235920587783</v>
      </c>
      <c r="Z130" t="n">
        <v>8.700235920587783</v>
      </c>
    </row>
    <row r="131">
      <c r="A131" t="n">
        <v>129</v>
      </c>
      <c r="B131" s="3" t="n">
        <v>45931</v>
      </c>
      <c r="C131" t="inlineStr">
        <is>
          <t>History</t>
        </is>
      </c>
      <c r="D131" t="n">
        <v>34.84435483870968</v>
      </c>
      <c r="E131" t="n">
        <v>27.75974445</v>
      </c>
      <c r="F131" t="n">
        <v>7.698884059</v>
      </c>
      <c r="G131" t="n">
        <v>14.98790843</v>
      </c>
      <c r="H131" t="inlineStr">
        <is>
          <t>STEO</t>
        </is>
      </c>
      <c r="I131" t="n">
        <v>29.5</v>
      </c>
      <c r="J131" t="n">
        <v>29.5</v>
      </c>
      <c r="K131" t="n">
        <v>27.75974445</v>
      </c>
      <c r="L131" t="n">
        <v>27.75974445</v>
      </c>
      <c r="M131" t="b">
        <v>0</v>
      </c>
      <c r="N131" t="n">
        <v>-1.204080180732075</v>
      </c>
      <c r="Q131" t="n">
        <v>29.14146861697209</v>
      </c>
      <c r="R131" t="n">
        <v>29.14146861697209</v>
      </c>
      <c r="S131" t="n">
        <v>19.62839903225807</v>
      </c>
      <c r="T131" t="n">
        <v>19.62839903225807</v>
      </c>
      <c r="U131" t="n">
        <v>5.143850645161292</v>
      </c>
      <c r="V131" t="n">
        <v>5.143850645161292</v>
      </c>
      <c r="W131" t="n">
        <v>11.65106451612903</v>
      </c>
      <c r="X131" t="n">
        <v>2.833483870967742</v>
      </c>
      <c r="Y131" t="n">
        <v>9.513069584714021</v>
      </c>
      <c r="Z131" t="n">
        <v>9.513069584714021</v>
      </c>
    </row>
    <row r="132">
      <c r="A132" t="n">
        <v>130</v>
      </c>
      <c r="B132" s="3" t="n">
        <v>45962</v>
      </c>
      <c r="C132" t="inlineStr">
        <is>
          <t>History</t>
        </is>
      </c>
      <c r="D132" t="n">
        <v>35.58796666666667</v>
      </c>
      <c r="E132" t="n">
        <v>28.68153881</v>
      </c>
      <c r="F132" t="n">
        <v>7.751826746</v>
      </c>
      <c r="G132" t="n">
        <v>15.64517397</v>
      </c>
      <c r="H132" t="inlineStr">
        <is>
          <t>STEO</t>
        </is>
      </c>
      <c r="I132" t="n">
        <v>29.5</v>
      </c>
      <c r="J132" t="n">
        <v>29.5</v>
      </c>
      <c r="K132" t="n">
        <v>28.68153881</v>
      </c>
      <c r="L132" t="n">
        <v>28.68153881</v>
      </c>
      <c r="M132" t="b">
        <v>0</v>
      </c>
      <c r="N132" t="n">
        <v>-1.204080180732075</v>
      </c>
      <c r="Q132" t="n">
        <v>29.76337540353552</v>
      </c>
      <c r="R132" t="n">
        <v>29.76337540353552</v>
      </c>
      <c r="S132" t="n">
        <v>19.76300033333333</v>
      </c>
      <c r="T132" t="n">
        <v>19.76300033333333</v>
      </c>
      <c r="U132" t="n">
        <v>5.420533666666667</v>
      </c>
      <c r="V132" t="n">
        <v>5.420533666666667</v>
      </c>
      <c r="W132" t="n">
        <v>11.42236666666667</v>
      </c>
      <c r="X132" t="n">
        <v>2.9201</v>
      </c>
      <c r="Y132" t="n">
        <v>10.00037507020219</v>
      </c>
      <c r="Z132" t="n">
        <v>10.00037507020219</v>
      </c>
    </row>
    <row r="133">
      <c r="A133" t="n">
        <v>131</v>
      </c>
      <c r="B133" s="3" t="n">
        <v>45992</v>
      </c>
      <c r="C133" t="inlineStr">
        <is>
          <t>History</t>
        </is>
      </c>
      <c r="D133" t="n">
        <v>35.96516129032258</v>
      </c>
      <c r="E133" t="n">
        <v>28.91912698</v>
      </c>
      <c r="F133" t="n">
        <v>7.833988388</v>
      </c>
      <c r="G133" t="n">
        <v>15.76791317</v>
      </c>
      <c r="H133" t="inlineStr">
        <is>
          <t>STEO</t>
        </is>
      </c>
      <c r="I133" t="n">
        <v>29.5</v>
      </c>
      <c r="J133" t="n">
        <v>29.5</v>
      </c>
      <c r="K133" t="n">
        <v>28.91912698</v>
      </c>
      <c r="L133" t="n">
        <v>28.91912698</v>
      </c>
      <c r="M133" t="b">
        <v>0</v>
      </c>
      <c r="N133" t="n">
        <v>-1.204080180732075</v>
      </c>
      <c r="Q133" t="n">
        <v>30.07883555019745</v>
      </c>
      <c r="R133" t="n">
        <v>30.07883555019745</v>
      </c>
      <c r="S133" t="n">
        <v>20.85061225806452</v>
      </c>
      <c r="T133" t="n">
        <v>20.85061225806452</v>
      </c>
      <c r="U133" t="n">
        <v>5.626580000000001</v>
      </c>
      <c r="V133" t="n">
        <v>5.626580000000001</v>
      </c>
      <c r="W133" t="n">
        <v>12.45958064516129</v>
      </c>
      <c r="X133" t="n">
        <v>2.764451612903226</v>
      </c>
      <c r="Y133" t="n">
        <v>9.228223292132931</v>
      </c>
      <c r="Z133" t="n">
        <v>9.228223292132931</v>
      </c>
    </row>
    <row r="134">
      <c r="A134" t="n">
        <v>132</v>
      </c>
      <c r="B134" s="3" t="n">
        <v>46023</v>
      </c>
      <c r="C134" t="inlineStr">
        <is>
          <t>History</t>
        </is>
      </c>
      <c r="D134" t="n">
        <v>34.71883870967741</v>
      </c>
      <c r="E134" t="n">
        <v>27.92296452</v>
      </c>
      <c r="F134" t="n">
        <v>7.562513448</v>
      </c>
      <c r="G134" t="n">
        <v>15.03105648</v>
      </c>
      <c r="H134" t="inlineStr">
        <is>
          <t>STEO</t>
        </is>
      </c>
      <c r="I134" t="n">
        <v>29.5</v>
      </c>
      <c r="J134" t="n">
        <v>29.5</v>
      </c>
      <c r="K134" t="n">
        <v>27.92296452</v>
      </c>
      <c r="L134" t="n">
        <v>27.92296452</v>
      </c>
      <c r="M134" t="b">
        <v>0</v>
      </c>
      <c r="N134" t="n">
        <v>-1.204080180732075</v>
      </c>
      <c r="Q134" t="n">
        <v>29.03649539097756</v>
      </c>
      <c r="R134" t="n">
        <v>29.03649539097756</v>
      </c>
      <c r="S134" t="n">
        <v>21.70120967741935</v>
      </c>
      <c r="T134" t="n">
        <v>21.70120967741936</v>
      </c>
      <c r="U134" t="n">
        <v>5.1775</v>
      </c>
      <c r="V134" t="n">
        <v>5.1775</v>
      </c>
      <c r="W134" t="n">
        <v>13.65035483870968</v>
      </c>
      <c r="X134" t="n">
        <v>2.873354838709677</v>
      </c>
      <c r="Y134" t="n">
        <v>7.335285713558207</v>
      </c>
      <c r="Z134" t="n">
        <v>7.335285713558203</v>
      </c>
    </row>
    <row r="135">
      <c r="A135" t="n">
        <v>133</v>
      </c>
      <c r="B135" s="3" t="n">
        <v>46054</v>
      </c>
      <c r="C135" t="inlineStr">
        <is>
          <t>History</t>
        </is>
      </c>
      <c r="D135" t="n">
        <v>35.748</v>
      </c>
      <c r="E135" t="n">
        <v>28.93248373</v>
      </c>
      <c r="F135" t="n">
        <v>7.786687781</v>
      </c>
      <c r="G135" t="n">
        <v>15.69554903</v>
      </c>
      <c r="H135" t="inlineStr">
        <is>
          <t>STEO</t>
        </is>
      </c>
      <c r="I135" t="n">
        <v>29.5</v>
      </c>
      <c r="J135" t="n">
        <v>29.5</v>
      </c>
      <c r="K135" t="n">
        <v>28.93248373</v>
      </c>
      <c r="L135" t="n">
        <v>28.93248373</v>
      </c>
      <c r="M135" t="b">
        <v>0</v>
      </c>
      <c r="N135" t="n">
        <v>-1.204080180732075</v>
      </c>
      <c r="Q135" t="n">
        <v>29.89721649149912</v>
      </c>
      <c r="R135" t="n">
        <v>29.89721649149912</v>
      </c>
      <c r="S135" t="n">
        <v>20.62105821428572</v>
      </c>
      <c r="T135" t="n">
        <v>20.62105821428572</v>
      </c>
      <c r="U135" t="n">
        <v>5.757808214285715</v>
      </c>
      <c r="V135" t="n">
        <v>5.757808214285715</v>
      </c>
      <c r="W135" t="n">
        <v>11.87414285714286</v>
      </c>
      <c r="X135" t="n">
        <v>2.989107142857143</v>
      </c>
      <c r="Y135" t="n">
        <v>9.276158277213401</v>
      </c>
      <c r="Z135" t="n">
        <v>9.276158277213401</v>
      </c>
    </row>
    <row r="136">
      <c r="A136" t="n">
        <v>134</v>
      </c>
      <c r="B136" s="3" t="n">
        <v>46082</v>
      </c>
      <c r="C136" t="inlineStr">
        <is>
          <t>History</t>
        </is>
      </c>
      <c r="D136" t="n">
        <v>35.92364516129032</v>
      </c>
      <c r="E136" t="n">
        <v>28.84765075</v>
      </c>
      <c r="F136" t="n">
        <v>7.824946614</v>
      </c>
      <c r="G136" t="n">
        <v>16.00503677</v>
      </c>
      <c r="H136" t="inlineStr">
        <is>
          <t>STEO</t>
        </is>
      </c>
      <c r="I136" t="n">
        <v>29.5</v>
      </c>
      <c r="J136" t="n">
        <v>29.5</v>
      </c>
      <c r="K136" t="n">
        <v>28.84765075</v>
      </c>
      <c r="L136" t="n">
        <v>28.84765075</v>
      </c>
      <c r="M136" t="b">
        <v>0</v>
      </c>
      <c r="N136" t="n">
        <v>-1.204080180732075</v>
      </c>
      <c r="Q136" t="n">
        <v>30.04411425956394</v>
      </c>
      <c r="R136" t="n">
        <v>30.04411425956394</v>
      </c>
      <c r="S136" t="n">
        <v>19.46357774193548</v>
      </c>
      <c r="T136" t="n">
        <v>19.46357774193548</v>
      </c>
      <c r="U136" t="n">
        <v>5.815642258064516</v>
      </c>
      <c r="V136" t="n">
        <v>5.815642258064516</v>
      </c>
      <c r="W136" t="n">
        <v>10.87935483870968</v>
      </c>
      <c r="X136" t="n">
        <v>2.768580645161291</v>
      </c>
      <c r="Y136" t="n">
        <v>10.58053651762846</v>
      </c>
      <c r="Z136" t="n">
        <v>10.58053651762846</v>
      </c>
    </row>
    <row r="137">
      <c r="A137" t="n">
        <v>135</v>
      </c>
      <c r="B137" s="3" t="n">
        <v>46113</v>
      </c>
      <c r="C137" t="inlineStr">
        <is>
          <t>History</t>
        </is>
      </c>
      <c r="D137" t="n">
        <v>36.20336666666667</v>
      </c>
      <c r="E137" t="n">
        <v>28.96837335</v>
      </c>
      <c r="F137" t="n">
        <v>7.885874356</v>
      </c>
      <c r="G137" t="n">
        <v>16.30378015</v>
      </c>
      <c r="H137" t="inlineStr">
        <is>
          <t>STEO</t>
        </is>
      </c>
      <c r="I137" t="n">
        <v>29.5</v>
      </c>
      <c r="J137" t="n">
        <v>29.5</v>
      </c>
      <c r="K137" t="n">
        <v>28.96837335</v>
      </c>
      <c r="L137" t="n">
        <v>28.96837335</v>
      </c>
      <c r="M137" t="b">
        <v>0</v>
      </c>
      <c r="N137" t="n">
        <v>-1.204080180732075</v>
      </c>
      <c r="Q137" t="n">
        <v>30.27805446331141</v>
      </c>
      <c r="R137" t="n">
        <v>30.27805446331141</v>
      </c>
      <c r="S137" t="n">
        <v>19.97750533333334</v>
      </c>
      <c r="T137" t="n">
        <v>19.97750533333334</v>
      </c>
      <c r="U137" t="n">
        <v>5.796038666666668</v>
      </c>
      <c r="V137" t="n">
        <v>5.796038666666668</v>
      </c>
      <c r="W137" t="n">
        <v>11.3438</v>
      </c>
      <c r="X137" t="n">
        <v>2.837666666666667</v>
      </c>
      <c r="Y137" t="n">
        <v>10.30054912997807</v>
      </c>
      <c r="Z137" t="n">
        <v>10.30054912997807</v>
      </c>
    </row>
    <row r="138">
      <c r="A138" t="n">
        <v>136</v>
      </c>
      <c r="B138" s="3" t="n">
        <v>46143</v>
      </c>
      <c r="C138" t="inlineStr">
        <is>
          <t>History</t>
        </is>
      </c>
      <c r="D138" t="n">
        <v>35.91348387096775</v>
      </c>
      <c r="E138" t="n">
        <v>28.96428488</v>
      </c>
      <c r="F138" t="n">
        <v>7.832995993</v>
      </c>
      <c r="G138" t="n">
        <v>15.93682106</v>
      </c>
      <c r="H138" t="inlineStr">
        <is>
          <t>STEO</t>
        </is>
      </c>
      <c r="I138" t="n">
        <v>29.5</v>
      </c>
      <c r="J138" t="n">
        <v>29.5</v>
      </c>
      <c r="K138" t="n">
        <v>28.96428488</v>
      </c>
      <c r="L138" t="n">
        <v>28.96428488</v>
      </c>
      <c r="M138" t="b">
        <v>0</v>
      </c>
      <c r="N138" t="n">
        <v>-1.204080180732075</v>
      </c>
      <c r="Q138" t="n">
        <v>30.03561604157672</v>
      </c>
      <c r="R138" t="n">
        <v>30.03561604157672</v>
      </c>
      <c r="S138" t="n">
        <v>20.55421580645161</v>
      </c>
      <c r="T138" t="n">
        <v>20.55421580645161</v>
      </c>
      <c r="U138" t="n">
        <v>5.236957741935484</v>
      </c>
      <c r="V138" t="n">
        <v>5.236957741935484</v>
      </c>
      <c r="W138" t="n">
        <v>12.0008064516129</v>
      </c>
      <c r="X138" t="n">
        <v>3.316451612903226</v>
      </c>
      <c r="Y138" t="n">
        <v>9.481400235125108</v>
      </c>
      <c r="Z138" t="n">
        <v>9.481400235125108</v>
      </c>
    </row>
    <row r="139">
      <c r="A139" t="n">
        <v>137</v>
      </c>
      <c r="B139" s="3" t="n">
        <v>46174</v>
      </c>
      <c r="C139" t="inlineStr">
        <is>
          <t>History</t>
        </is>
      </c>
      <c r="D139" t="n">
        <v>36.40676666666667</v>
      </c>
      <c r="E139" t="n">
        <v>29.45638012</v>
      </c>
      <c r="F139" t="n">
        <v>7.935449238</v>
      </c>
      <c r="G139" t="n">
        <v>16.44097261</v>
      </c>
      <c r="H139" t="inlineStr">
        <is>
          <t>STEO</t>
        </is>
      </c>
      <c r="I139" t="n">
        <v>29.5</v>
      </c>
      <c r="J139" t="n">
        <v>29.5</v>
      </c>
      <c r="K139" t="n">
        <v>29.45638012</v>
      </c>
      <c r="L139" t="n">
        <v>29.45638012</v>
      </c>
      <c r="M139" t="b">
        <v>0</v>
      </c>
      <c r="N139" t="n">
        <v>-1.204080180732075</v>
      </c>
      <c r="Q139" t="n">
        <v>30.44816450679276</v>
      </c>
      <c r="R139" t="n">
        <v>30.44816450679276</v>
      </c>
      <c r="S139" t="n">
        <v>22.042042</v>
      </c>
      <c r="T139" t="n">
        <v>22.042042</v>
      </c>
      <c r="U139" t="n">
        <v>5.555875333333335</v>
      </c>
      <c r="V139" t="n">
        <v>5.555875333333335</v>
      </c>
      <c r="W139" t="n">
        <v>13.13166666666667</v>
      </c>
      <c r="X139" t="n">
        <v>3.3545</v>
      </c>
      <c r="Y139" t="n">
        <v>8.406122506792759</v>
      </c>
      <c r="Z139" t="n">
        <v>8.406122506792759</v>
      </c>
    </row>
    <row r="140">
      <c r="A140" t="n">
        <v>138</v>
      </c>
      <c r="B140" s="3" t="n">
        <v>46204</v>
      </c>
      <c r="C140" t="inlineStr">
        <is>
          <t>History</t>
        </is>
      </c>
      <c r="D140" t="n">
        <v>37.34825806451613</v>
      </c>
      <c r="E140" t="n">
        <v>29.56494646</v>
      </c>
      <c r="F140" t="n">
        <v>7.916835185</v>
      </c>
      <c r="G140" t="n">
        <v>16.48854355</v>
      </c>
      <c r="H140" t="inlineStr">
        <is>
          <t>STEO</t>
        </is>
      </c>
      <c r="I140" t="n">
        <v>30.07</v>
      </c>
      <c r="J140" t="n">
        <v>29.5</v>
      </c>
      <c r="K140" t="n">
        <v>29.56494646</v>
      </c>
      <c r="L140" t="n">
        <v>29.5</v>
      </c>
      <c r="M140" t="b">
        <v>0</v>
      </c>
      <c r="N140" t="n">
        <v>-1.204080180732075</v>
      </c>
      <c r="Q140" t="n">
        <v>31.2355644213723</v>
      </c>
      <c r="R140" t="n">
        <v>31.2355644213723</v>
      </c>
      <c r="S140" t="n">
        <v>22.45839225806452</v>
      </c>
      <c r="T140" t="n">
        <v>22.45839225806452</v>
      </c>
      <c r="U140" t="n">
        <v>5.482489032258065</v>
      </c>
      <c r="V140" t="n">
        <v>5.482489032258065</v>
      </c>
      <c r="W140" t="n">
        <v>13.73912903225806</v>
      </c>
      <c r="X140" t="n">
        <v>3.236774193548387</v>
      </c>
      <c r="Y140" t="n">
        <v>8.777172163307782</v>
      </c>
      <c r="Z140" t="n">
        <v>8.777172163307782</v>
      </c>
    </row>
    <row r="141">
      <c r="A141" t="n">
        <v>139</v>
      </c>
      <c r="B141" s="3" t="n">
        <v>46235</v>
      </c>
      <c r="C141" t="inlineStr">
        <is>
          <t>Forecast</t>
        </is>
      </c>
      <c r="E141" t="n">
        <v>29.65626961</v>
      </c>
      <c r="F141" t="n">
        <v>7.956741506</v>
      </c>
      <c r="G141" t="n">
        <v>16.64635849</v>
      </c>
      <c r="H141" t="inlineStr">
        <is>
          <t>STEO</t>
        </is>
      </c>
      <c r="I141" t="n">
        <v>30.07</v>
      </c>
      <c r="J141" t="n">
        <v>29.5</v>
      </c>
      <c r="K141" t="n">
        <v>29.65626961</v>
      </c>
      <c r="L141" t="n">
        <v>29.5</v>
      </c>
      <c r="M141" t="b">
        <v>0</v>
      </c>
      <c r="N141" t="n">
        <v>-1.204080180732075</v>
      </c>
      <c r="O141" t="n">
        <v>36.95439804076792</v>
      </c>
      <c r="P141" t="n">
        <v>36.82156887226792</v>
      </c>
      <c r="Q141" t="n">
        <v>30.90616645792407</v>
      </c>
      <c r="R141" t="n">
        <v>30.79507709888216</v>
      </c>
      <c r="S141" t="n">
        <v>23.45303925479345</v>
      </c>
      <c r="T141" t="n">
        <v>23.45303925479345</v>
      </c>
      <c r="U141" t="n">
        <v>5.887831766063428</v>
      </c>
      <c r="V141" t="n">
        <v>5.887831766063428</v>
      </c>
      <c r="W141" t="n">
        <v>14.3920345078997</v>
      </c>
      <c r="X141" t="n">
        <v>3.173172980830325</v>
      </c>
      <c r="Y141" t="n">
        <v>7.453127203130617</v>
      </c>
      <c r="Z141" t="n">
        <v>7.342037844088708</v>
      </c>
    </row>
    <row r="142">
      <c r="A142" t="n">
        <v>140</v>
      </c>
      <c r="B142" s="3" t="n">
        <v>46266</v>
      </c>
      <c r="C142" t="inlineStr">
        <is>
          <t>Forecast</t>
        </is>
      </c>
      <c r="E142" t="n">
        <v>29.69343155</v>
      </c>
      <c r="F142" t="n">
        <v>7.991832775</v>
      </c>
      <c r="G142" t="n">
        <v>16.82073253</v>
      </c>
      <c r="H142" t="inlineStr">
        <is>
          <t>STEO</t>
        </is>
      </c>
      <c r="I142" t="n">
        <v>30.07</v>
      </c>
      <c r="J142" t="n">
        <v>29.5</v>
      </c>
      <c r="K142" t="n">
        <v>29.69343155</v>
      </c>
      <c r="L142" t="n">
        <v>29.5</v>
      </c>
      <c r="M142" t="b">
        <v>0</v>
      </c>
      <c r="N142" t="n">
        <v>-1.204080180732075</v>
      </c>
      <c r="O142" t="n">
        <v>37.07338917076792</v>
      </c>
      <c r="P142" t="n">
        <v>36.90897235326793</v>
      </c>
      <c r="Q142" t="n">
        <v>31.00568261474902</v>
      </c>
      <c r="R142" t="n">
        <v>30.86817547623383</v>
      </c>
      <c r="S142" t="n">
        <v>22.30259448786921</v>
      </c>
      <c r="T142" t="n">
        <v>22.30259448786921</v>
      </c>
      <c r="U142" t="n">
        <v>6.196107924570369</v>
      </c>
      <c r="V142" t="n">
        <v>6.196107924570369</v>
      </c>
      <c r="W142" t="n">
        <v>13.11941362745639</v>
      </c>
      <c r="X142" t="n">
        <v>2.987072935842459</v>
      </c>
      <c r="Y142" t="n">
        <v>8.703088126879802</v>
      </c>
      <c r="Z142" t="n">
        <v>8.565580988364619</v>
      </c>
    </row>
    <row r="143">
      <c r="A143" t="n">
        <v>141</v>
      </c>
      <c r="B143" s="3" t="n">
        <v>46296</v>
      </c>
      <c r="C143" t="inlineStr">
        <is>
          <t>Forecast</t>
        </is>
      </c>
      <c r="E143" t="n">
        <v>29.70331723</v>
      </c>
      <c r="F143" t="n">
        <v>8.030175263</v>
      </c>
      <c r="G143" t="n">
        <v>16.94235434</v>
      </c>
      <c r="H143" t="inlineStr">
        <is>
          <t>STEO</t>
        </is>
      </c>
      <c r="I143" t="n">
        <v>32.57</v>
      </c>
      <c r="J143" t="n">
        <v>29.5</v>
      </c>
      <c r="K143" t="n">
        <v>29.70331723</v>
      </c>
      <c r="L143" t="n">
        <v>29.5</v>
      </c>
      <c r="M143" t="b">
        <v>0</v>
      </c>
      <c r="N143" t="n">
        <v>-1.204080180732075</v>
      </c>
      <c r="O143" t="n">
        <v>37.15662102976792</v>
      </c>
      <c r="P143" t="n">
        <v>36.98380138426792</v>
      </c>
      <c r="Q143" t="n">
        <v>31.07529212877813</v>
      </c>
      <c r="R143" t="n">
        <v>30.93075743157835</v>
      </c>
      <c r="S143" t="n">
        <v>20.82763884371415</v>
      </c>
      <c r="T143" t="n">
        <v>20.82763884371415</v>
      </c>
      <c r="U143" t="n">
        <v>6.396777187440787</v>
      </c>
      <c r="V143" t="n">
        <v>6.396777187440787</v>
      </c>
      <c r="W143" t="n">
        <v>11.58150325290887</v>
      </c>
      <c r="X143" t="n">
        <v>2.849358403364498</v>
      </c>
      <c r="Y143" t="n">
        <v>10.24765328506397</v>
      </c>
      <c r="Z143" t="n">
        <v>10.1031185878642</v>
      </c>
    </row>
    <row r="144">
      <c r="A144" t="n">
        <v>142</v>
      </c>
      <c r="B144" s="3" t="n">
        <v>46327</v>
      </c>
      <c r="C144" t="inlineStr">
        <is>
          <t>Forecast</t>
        </is>
      </c>
      <c r="E144" t="n">
        <v>29.79495856</v>
      </c>
      <c r="F144" t="n">
        <v>8.07434168</v>
      </c>
      <c r="G144" t="n">
        <v>17.04229199</v>
      </c>
      <c r="H144" t="inlineStr">
        <is>
          <t>STEO</t>
        </is>
      </c>
      <c r="I144" t="n">
        <v>32.57</v>
      </c>
      <c r="J144" t="n">
        <v>29.5</v>
      </c>
      <c r="K144" t="n">
        <v>29.79495856</v>
      </c>
      <c r="L144" t="n">
        <v>29.5</v>
      </c>
      <c r="M144" t="b">
        <v>0</v>
      </c>
      <c r="N144" t="n">
        <v>-1.204080180732075</v>
      </c>
      <c r="O144" t="n">
        <v>37.30866387226792</v>
      </c>
      <c r="P144" t="n">
        <v>37.05794909626792</v>
      </c>
      <c r="Q144" t="n">
        <v>31.2024505090569</v>
      </c>
      <c r="R144" t="n">
        <v>30.99276957765683</v>
      </c>
      <c r="S144" t="n">
        <v>20.84468312107043</v>
      </c>
      <c r="T144" t="n">
        <v>20.84468312107043</v>
      </c>
      <c r="U144" t="n">
        <v>6.56437371390203</v>
      </c>
      <c r="V144" t="n">
        <v>6.56437371390203</v>
      </c>
      <c r="W144" t="n">
        <v>11.49535890083606</v>
      </c>
      <c r="X144" t="n">
        <v>2.784950506332339</v>
      </c>
      <c r="Y144" t="n">
        <v>10.35776738798647</v>
      </c>
      <c r="Z144" t="n">
        <v>10.1480864565864</v>
      </c>
    </row>
    <row r="145">
      <c r="A145" t="n">
        <v>143</v>
      </c>
      <c r="B145" s="3" t="n">
        <v>46357</v>
      </c>
      <c r="C145" t="inlineStr">
        <is>
          <t>Forecast</t>
        </is>
      </c>
      <c r="E145" t="n">
        <v>29.99115633</v>
      </c>
      <c r="F145" t="n">
        <v>8.123236301</v>
      </c>
      <c r="G145" t="n">
        <v>17.13163984</v>
      </c>
      <c r="H145" t="inlineStr">
        <is>
          <t>STEO</t>
        </is>
      </c>
      <c r="I145" t="n">
        <v>34.07</v>
      </c>
      <c r="J145" t="n">
        <v>29.5</v>
      </c>
      <c r="K145" t="n">
        <v>29.99115633</v>
      </c>
      <c r="L145" t="n">
        <v>29.5</v>
      </c>
      <c r="M145" t="b">
        <v>0</v>
      </c>
      <c r="N145" t="n">
        <v>-1.204080180732075</v>
      </c>
      <c r="O145" t="n">
        <v>37.55113095276792</v>
      </c>
      <c r="P145" t="n">
        <v>37.13364807226792</v>
      </c>
      <c r="Q145" t="n">
        <v>31.40523362413383</v>
      </c>
      <c r="R145" t="n">
        <v>31.05607909633359</v>
      </c>
      <c r="S145" t="n">
        <v>21.4729864816125</v>
      </c>
      <c r="T145" t="n">
        <v>21.33571480450669</v>
      </c>
      <c r="U145" t="n">
        <v>6.644037038101145</v>
      </c>
      <c r="V145" t="n">
        <v>6.506765360995336</v>
      </c>
      <c r="W145" t="n">
        <v>12.17083409287468</v>
      </c>
      <c r="X145" t="n">
        <v>2.658115350636673</v>
      </c>
      <c r="Y145" t="n">
        <v>9.932247142521334</v>
      </c>
      <c r="Z145" t="n">
        <v>9.720364291826904</v>
      </c>
    </row>
    <row r="146">
      <c r="A146" t="n">
        <v>144</v>
      </c>
      <c r="B146" s="3" t="n">
        <v>46388</v>
      </c>
      <c r="C146" t="inlineStr">
        <is>
          <t>Forecast</t>
        </is>
      </c>
      <c r="E146" t="n">
        <v>29.80984683</v>
      </c>
      <c r="F146" t="n">
        <v>8.077845387</v>
      </c>
      <c r="G146" t="n">
        <v>17.09096452</v>
      </c>
      <c r="H146" t="inlineStr">
        <is>
          <t>STEO</t>
        </is>
      </c>
      <c r="I146" t="n">
        <v>34.07</v>
      </c>
      <c r="J146" t="n">
        <v>30.07</v>
      </c>
      <c r="K146" t="n">
        <v>29.80984683</v>
      </c>
      <c r="L146" t="n">
        <v>29.80984683</v>
      </c>
      <c r="M146" t="b">
        <v>0</v>
      </c>
      <c r="N146" t="n">
        <v>-1.204080180732075</v>
      </c>
      <c r="O146" t="n">
        <v>37.33942436776793</v>
      </c>
      <c r="P146" t="n">
        <v>37.33942436776793</v>
      </c>
      <c r="Q146" t="n">
        <v>31.22817651312284</v>
      </c>
      <c r="R146" t="n">
        <v>31.22817651312284</v>
      </c>
      <c r="S146" t="n">
        <v>23.34091520087379</v>
      </c>
      <c r="T146" t="n">
        <v>23.15388205478558</v>
      </c>
      <c r="U146" t="n">
        <v>6.474365214734833</v>
      </c>
      <c r="V146" t="n">
        <v>6.287332068646612</v>
      </c>
      <c r="W146" t="n">
        <v>13.93823494344936</v>
      </c>
      <c r="X146" t="n">
        <v>2.928315042689603</v>
      </c>
      <c r="Y146" t="n">
        <v>7.887261312249048</v>
      </c>
      <c r="Z146" t="n">
        <v>8.074294458337267</v>
      </c>
    </row>
    <row r="147">
      <c r="A147" t="n">
        <v>145</v>
      </c>
      <c r="B147" s="3" t="n">
        <v>46419</v>
      </c>
      <c r="C147" t="inlineStr">
        <is>
          <t>Forecast</t>
        </is>
      </c>
      <c r="E147" t="n">
        <v>30.22305925</v>
      </c>
      <c r="F147" t="n">
        <v>8.152787748</v>
      </c>
      <c r="G147" t="n">
        <v>17.215734</v>
      </c>
      <c r="H147" t="inlineStr">
        <is>
          <t>STEO</t>
        </is>
      </c>
      <c r="I147" t="n">
        <v>34.07</v>
      </c>
      <c r="J147" t="n">
        <v>30.07</v>
      </c>
      <c r="K147" t="n">
        <v>30.22305925</v>
      </c>
      <c r="L147" t="n">
        <v>30.07</v>
      </c>
      <c r="M147" t="b">
        <v>0</v>
      </c>
      <c r="N147" t="n">
        <v>-1.204080180732075</v>
      </c>
      <c r="O147" t="n">
        <v>37.80302812976792</v>
      </c>
      <c r="P147" t="n">
        <v>37.67292776726792</v>
      </c>
      <c r="Q147" t="n">
        <v>31.61590343599369</v>
      </c>
      <c r="R147" t="n">
        <v>31.50709626626994</v>
      </c>
      <c r="S147" t="n">
        <v>21.48738895178294</v>
      </c>
      <c r="T147" t="n">
        <v>21.24909140762573</v>
      </c>
      <c r="U147" t="n">
        <v>6.457224532049643</v>
      </c>
      <c r="V147" t="n">
        <v>6.218926987892429</v>
      </c>
      <c r="W147" t="n">
        <v>12.15140289054551</v>
      </c>
      <c r="X147" t="n">
        <v>2.878761529187784</v>
      </c>
      <c r="Y147" t="n">
        <v>10.12851448421075</v>
      </c>
      <c r="Z147" t="n">
        <v>10.25800485864421</v>
      </c>
    </row>
    <row r="148">
      <c r="A148" t="n">
        <v>146</v>
      </c>
      <c r="B148" s="3" t="n">
        <v>46447</v>
      </c>
      <c r="C148" t="inlineStr">
        <is>
          <t>Forecast</t>
        </is>
      </c>
      <c r="E148" t="n">
        <v>30.7157843</v>
      </c>
      <c r="F148" t="n">
        <v>8.189526194999999</v>
      </c>
      <c r="G148" t="n">
        <v>17.40526267</v>
      </c>
      <c r="H148" t="inlineStr">
        <is>
          <t>STEO</t>
        </is>
      </c>
      <c r="I148" t="n">
        <v>34.07</v>
      </c>
      <c r="J148" t="n">
        <v>30.07</v>
      </c>
      <c r="K148" t="n">
        <v>30.7157843</v>
      </c>
      <c r="L148" t="n">
        <v>30.07</v>
      </c>
      <c r="M148" t="b">
        <v>0</v>
      </c>
      <c r="N148" t="n">
        <v>-1.204080180732075</v>
      </c>
      <c r="O148" t="n">
        <v>38.31544147026792</v>
      </c>
      <c r="P148" t="n">
        <v>37.76652481526792</v>
      </c>
      <c r="Q148" t="n">
        <v>32.04445139879052</v>
      </c>
      <c r="R148" t="n">
        <v>31.58537452538992</v>
      </c>
      <c r="S148" t="n">
        <v>20.06476446996231</v>
      </c>
      <c r="T148" t="n">
        <v>19.6455498792352</v>
      </c>
      <c r="U148" t="n">
        <v>6.475045955188901</v>
      </c>
      <c r="V148" t="n">
        <v>6.055831364461786</v>
      </c>
      <c r="W148" t="n">
        <v>10.8156299117229</v>
      </c>
      <c r="X148" t="n">
        <v>2.774088603050508</v>
      </c>
      <c r="Y148" t="n">
        <v>11.97968692882821</v>
      </c>
      <c r="Z148" t="n">
        <v>11.93982464615473</v>
      </c>
    </row>
    <row r="149">
      <c r="A149" t="n">
        <v>147</v>
      </c>
      <c r="B149" s="3" t="n">
        <v>46478</v>
      </c>
      <c r="C149" t="inlineStr">
        <is>
          <t>Forecast</t>
        </is>
      </c>
      <c r="E149" t="n">
        <v>30.96319057</v>
      </c>
      <c r="F149" t="n">
        <v>8.237041095</v>
      </c>
      <c r="G149" t="n">
        <v>17.50181829</v>
      </c>
      <c r="H149" t="inlineStr">
        <is>
          <t>STEO</t>
        </is>
      </c>
      <c r="I149" t="n">
        <v>34.07</v>
      </c>
      <c r="J149" t="n">
        <v>32.57</v>
      </c>
      <c r="K149" t="n">
        <v>30.96319057</v>
      </c>
      <c r="L149" t="n">
        <v>30.96319057</v>
      </c>
      <c r="M149" t="b">
        <v>0</v>
      </c>
      <c r="N149" t="n">
        <v>-1.204080180732075</v>
      </c>
      <c r="O149" t="n">
        <v>38.60221838576792</v>
      </c>
      <c r="P149" t="n">
        <v>38.60221838576792</v>
      </c>
      <c r="Q149" t="n">
        <v>32.28429227177552</v>
      </c>
      <c r="R149" t="n">
        <v>32.28429227177552</v>
      </c>
      <c r="S149" t="n">
        <v>20.48836647660756</v>
      </c>
      <c r="T149" t="n">
        <v>19.82701053143239</v>
      </c>
      <c r="U149" t="n">
        <v>6.537792984935101</v>
      </c>
      <c r="V149" t="n">
        <v>5.876437039759936</v>
      </c>
      <c r="W149" t="n">
        <v>10.96390746219148</v>
      </c>
      <c r="X149" t="n">
        <v>2.986666029480982</v>
      </c>
      <c r="Y149" t="n">
        <v>11.79592579516796</v>
      </c>
      <c r="Z149" t="n">
        <v>12.45728174034313</v>
      </c>
    </row>
    <row r="150">
      <c r="A150" t="n">
        <v>148</v>
      </c>
      <c r="B150" s="3" t="n">
        <v>46508</v>
      </c>
      <c r="C150" t="inlineStr">
        <is>
          <t>Forecast</t>
        </is>
      </c>
      <c r="E150" t="n">
        <v>31.21276197</v>
      </c>
      <c r="F150" t="n">
        <v>8.28440919</v>
      </c>
      <c r="G150" t="n">
        <v>17.59683348</v>
      </c>
      <c r="H150" t="inlineStr">
        <is>
          <t>STEO</t>
        </is>
      </c>
      <c r="I150" t="n">
        <v>34.07</v>
      </c>
      <c r="J150" t="n">
        <v>32.57</v>
      </c>
      <c r="K150" t="n">
        <v>31.21276197</v>
      </c>
      <c r="L150" t="n">
        <v>31.21276197</v>
      </c>
      <c r="M150" t="b">
        <v>0</v>
      </c>
      <c r="N150" t="n">
        <v>-1.204080180732075</v>
      </c>
      <c r="O150" t="n">
        <v>38.89022672776792</v>
      </c>
      <c r="P150" t="n">
        <v>38.89022672776792</v>
      </c>
      <c r="Q150" t="n">
        <v>32.52516302684243</v>
      </c>
      <c r="R150" t="n">
        <v>32.52516302684243</v>
      </c>
      <c r="S150" t="n">
        <v>22.20657625790102</v>
      </c>
      <c r="T150" t="n">
        <v>21.30114406506741</v>
      </c>
      <c r="U150" t="n">
        <v>6.990937874296153</v>
      </c>
      <c r="V150" t="n">
        <v>6.085505681462548</v>
      </c>
      <c r="W150" t="n">
        <v>11.96950661793565</v>
      </c>
      <c r="X150" t="n">
        <v>3.246131765669215</v>
      </c>
      <c r="Y150" t="n">
        <v>10.31858676894141</v>
      </c>
      <c r="Z150" t="n">
        <v>11.22401896177502</v>
      </c>
    </row>
    <row r="151">
      <c r="A151" t="n">
        <v>149</v>
      </c>
      <c r="B151" s="3" t="n">
        <v>46539</v>
      </c>
      <c r="C151" t="inlineStr">
        <is>
          <t>Forecast</t>
        </is>
      </c>
      <c r="E151" t="n">
        <v>31.45953397</v>
      </c>
      <c r="F151" t="n">
        <v>8.331565903</v>
      </c>
      <c r="G151" t="n">
        <v>17.69041894</v>
      </c>
      <c r="H151" t="inlineStr">
        <is>
          <t>STEO</t>
        </is>
      </c>
      <c r="I151" t="n">
        <v>34.07</v>
      </c>
      <c r="J151" t="n">
        <v>34.07</v>
      </c>
      <c r="K151" t="n">
        <v>31.45953397</v>
      </c>
      <c r="L151" t="n">
        <v>31.45953397</v>
      </c>
      <c r="M151" t="b">
        <v>0</v>
      </c>
      <c r="N151" t="n">
        <v>-1.204080180732075</v>
      </c>
      <c r="O151" t="n">
        <v>39.17521527876792</v>
      </c>
      <c r="P151" t="n">
        <v>39.17521527876792</v>
      </c>
      <c r="Q151" t="n">
        <v>32.7635082323601</v>
      </c>
      <c r="R151" t="n">
        <v>32.7635082323601</v>
      </c>
      <c r="S151" t="n">
        <v>23.41459432416992</v>
      </c>
      <c r="T151" t="n">
        <v>22.40055667556004</v>
      </c>
      <c r="U151" t="n">
        <v>7.317293769208743</v>
      </c>
      <c r="V151" t="n">
        <v>6.30325612059886</v>
      </c>
      <c r="W151" t="n">
        <v>12.91413693343793</v>
      </c>
      <c r="X151" t="n">
        <v>3.183163621523247</v>
      </c>
      <c r="Y151" t="n">
        <v>9.348913908190177</v>
      </c>
      <c r="Z151" t="n">
        <v>10.36295155680006</v>
      </c>
    </row>
    <row r="152">
      <c r="A152" t="n">
        <v>150</v>
      </c>
      <c r="B152" s="3" t="n">
        <v>46569</v>
      </c>
      <c r="C152" t="inlineStr">
        <is>
          <t>Forecast</t>
        </is>
      </c>
      <c r="E152" t="n">
        <v>31.70434641</v>
      </c>
      <c r="F152" t="n">
        <v>8.37790261</v>
      </c>
      <c r="G152" t="n">
        <v>17.78264281</v>
      </c>
      <c r="H152" t="inlineStr">
        <is>
          <t>STEO</t>
        </is>
      </c>
      <c r="I152" t="n">
        <v>34.77</v>
      </c>
      <c r="J152" t="n">
        <v>34.07</v>
      </c>
      <c r="K152" t="n">
        <v>31.70434641</v>
      </c>
      <c r="L152" t="n">
        <v>31.70434641</v>
      </c>
      <c r="M152" t="b">
        <v>0</v>
      </c>
      <c r="N152" t="n">
        <v>-1.204080180732075</v>
      </c>
      <c r="O152" t="n">
        <v>39.45730972076792</v>
      </c>
      <c r="P152" t="n">
        <v>39.45730972076792</v>
      </c>
      <c r="Q152" t="n">
        <v>32.99943300027782</v>
      </c>
      <c r="R152" t="n">
        <v>32.99943300027782</v>
      </c>
      <c r="S152" t="n">
        <v>23.99088188106487</v>
      </c>
      <c r="T152" t="n">
        <v>22.71232485921361</v>
      </c>
      <c r="U152" t="n">
        <v>7.490755317494782</v>
      </c>
      <c r="V152" t="n">
        <v>6.212198295643518</v>
      </c>
      <c r="W152" t="n">
        <v>13.46244173917473</v>
      </c>
      <c r="X152" t="n">
        <v>3.037684824395354</v>
      </c>
      <c r="Y152" t="n">
        <v>9.008551119212949</v>
      </c>
      <c r="Z152" t="n">
        <v>10.28710814106421</v>
      </c>
    </row>
    <row r="153">
      <c r="A153" t="n">
        <v>151</v>
      </c>
      <c r="B153" s="3" t="n">
        <v>46600</v>
      </c>
      <c r="C153" t="inlineStr">
        <is>
          <t>Forecast</t>
        </is>
      </c>
      <c r="E153" t="n">
        <v>31.9460196</v>
      </c>
      <c r="F153" t="n">
        <v>8.422777041</v>
      </c>
      <c r="G153" t="n">
        <v>17.87354943</v>
      </c>
      <c r="H153" t="inlineStr">
        <is>
          <t>STEO</t>
        </is>
      </c>
      <c r="I153" t="n">
        <v>34.77</v>
      </c>
      <c r="J153" t="n">
        <v>34.07</v>
      </c>
      <c r="K153" t="n">
        <v>31.9460196</v>
      </c>
      <c r="L153" t="n">
        <v>31.9460196</v>
      </c>
      <c r="M153" t="b">
        <v>0</v>
      </c>
      <c r="N153" t="n">
        <v>-1.204080180732075</v>
      </c>
      <c r="O153" t="n">
        <v>39.73487834926792</v>
      </c>
      <c r="P153" t="n">
        <v>39.73487834926792</v>
      </c>
      <c r="Q153" t="n">
        <v>33.2315726829877</v>
      </c>
      <c r="R153" t="n">
        <v>33.2315726829877</v>
      </c>
      <c r="S153" t="n">
        <v>25.49232910905791</v>
      </c>
      <c r="T153" t="n">
        <v>23.95421116076058</v>
      </c>
      <c r="U153" t="n">
        <v>7.99559592769987</v>
      </c>
      <c r="V153" t="n">
        <v>6.457477979402537</v>
      </c>
      <c r="W153" t="n">
        <v>14.38783147585625</v>
      </c>
      <c r="X153" t="n">
        <v>3.108901705501789</v>
      </c>
      <c r="Y153" t="n">
        <v>7.739243573929794</v>
      </c>
      <c r="Z153" t="n">
        <v>9.277361522227128</v>
      </c>
    </row>
    <row r="154">
      <c r="A154" t="n">
        <v>152</v>
      </c>
      <c r="B154" s="3" t="n">
        <v>46631</v>
      </c>
      <c r="C154" t="inlineStr">
        <is>
          <t>Forecast</t>
        </is>
      </c>
      <c r="E154" t="n">
        <v>32.18394035</v>
      </c>
      <c r="F154" t="n">
        <v>8.470268246</v>
      </c>
      <c r="G154" t="n">
        <v>17.96314661</v>
      </c>
      <c r="H154" t="inlineStr">
        <is>
          <t>STEO</t>
        </is>
      </c>
      <c r="I154" t="n">
        <v>34.77</v>
      </c>
      <c r="J154" t="n">
        <v>34.07</v>
      </c>
      <c r="K154" t="n">
        <v>32.18394035</v>
      </c>
      <c r="L154" t="n">
        <v>32.18394035</v>
      </c>
      <c r="M154" t="b">
        <v>0</v>
      </c>
      <c r="N154" t="n">
        <v>-1.204080180732075</v>
      </c>
      <c r="O154" t="n">
        <v>40.01148134576792</v>
      </c>
      <c r="P154" t="n">
        <v>40.01148134576792</v>
      </c>
      <c r="Q154" t="n">
        <v>33.46290477621132</v>
      </c>
      <c r="R154" t="n">
        <v>33.46290477621132</v>
      </c>
      <c r="S154" t="n">
        <v>24.74168621379178</v>
      </c>
      <c r="T154" t="n">
        <v>23.03717060583746</v>
      </c>
      <c r="U154" t="n">
        <v>8.695339501376306</v>
      </c>
      <c r="V154" t="n">
        <v>6.990823893421982</v>
      </c>
      <c r="W154" t="n">
        <v>13.11977567427785</v>
      </c>
      <c r="X154" t="n">
        <v>2.926571038137622</v>
      </c>
      <c r="Y154" t="n">
        <v>8.721218562419537</v>
      </c>
      <c r="Z154" t="n">
        <v>10.42573417037386</v>
      </c>
    </row>
    <row r="155">
      <c r="A155" t="n">
        <v>153</v>
      </c>
      <c r="B155" s="3" t="n">
        <v>46661</v>
      </c>
      <c r="C155" t="inlineStr">
        <is>
          <t>Forecast</t>
        </is>
      </c>
      <c r="E155" t="n">
        <v>32.41735831</v>
      </c>
      <c r="F155" t="n">
        <v>8.520568793000001</v>
      </c>
      <c r="G155" t="n">
        <v>18.05875778</v>
      </c>
      <c r="H155" t="inlineStr">
        <is>
          <t>STEO</t>
        </is>
      </c>
      <c r="I155" t="n">
        <v>36.52</v>
      </c>
      <c r="J155" t="n">
        <v>34.07</v>
      </c>
      <c r="K155" t="n">
        <v>32.41735831</v>
      </c>
      <c r="L155" t="n">
        <v>32.41735831</v>
      </c>
      <c r="M155" t="b">
        <v>0</v>
      </c>
      <c r="N155" t="n">
        <v>-1.204080180732075</v>
      </c>
      <c r="O155" t="n">
        <v>40.28887050976792</v>
      </c>
      <c r="P155" t="n">
        <v>40.28887050976792</v>
      </c>
      <c r="Q155" t="n">
        <v>33.6948943669158</v>
      </c>
      <c r="R155" t="n">
        <v>33.6948943669158</v>
      </c>
      <c r="S155" t="n">
        <v>23.77200340186956</v>
      </c>
      <c r="T155" t="n">
        <v>21.87555155802234</v>
      </c>
      <c r="U155" t="n">
        <v>9.396864497151917</v>
      </c>
      <c r="V155" t="n">
        <v>7.500412653304695</v>
      </c>
      <c r="W155" t="n">
        <v>11.58349304950563</v>
      </c>
      <c r="X155" t="n">
        <v>2.791645855212018</v>
      </c>
      <c r="Y155" t="n">
        <v>9.922890965046243</v>
      </c>
      <c r="Z155" t="n">
        <v>11.81934280889347</v>
      </c>
    </row>
    <row r="156">
      <c r="A156" t="n">
        <v>154</v>
      </c>
      <c r="B156" s="3" t="n">
        <v>46692</v>
      </c>
      <c r="C156" t="inlineStr">
        <is>
          <t>Forecast</t>
        </is>
      </c>
      <c r="E156" t="n">
        <v>32.64015681</v>
      </c>
      <c r="F156" t="n">
        <v>8.568265381</v>
      </c>
      <c r="G156" t="n">
        <v>18.16041794</v>
      </c>
      <c r="H156" t="inlineStr">
        <is>
          <t>STEO</t>
        </is>
      </c>
      <c r="I156" t="n">
        <v>36.52</v>
      </c>
      <c r="J156" t="n">
        <v>34.07</v>
      </c>
      <c r="K156" t="n">
        <v>32.64015681</v>
      </c>
      <c r="L156" t="n">
        <v>32.64015681</v>
      </c>
      <c r="M156" t="b">
        <v>0</v>
      </c>
      <c r="N156" t="n">
        <v>-1.204080180732075</v>
      </c>
      <c r="O156" t="n">
        <v>40.55644387076792</v>
      </c>
      <c r="P156" t="n">
        <v>40.55644387076792</v>
      </c>
      <c r="Q156" t="n">
        <v>33.91867468193133</v>
      </c>
      <c r="R156" t="n">
        <v>33.91867468193133</v>
      </c>
      <c r="S156" t="n">
        <v>24.24710401605615</v>
      </c>
      <c r="T156" t="n">
        <v>22.16197104875488</v>
      </c>
      <c r="U156" t="n">
        <v>10.02482796884667</v>
      </c>
      <c r="V156" t="n">
        <v>7.939695001545404</v>
      </c>
      <c r="W156" t="n">
        <v>11.49373353434303</v>
      </c>
      <c r="X156" t="n">
        <v>2.728542512866443</v>
      </c>
      <c r="Y156" t="n">
        <v>9.671570665875183</v>
      </c>
      <c r="Z156" t="n">
        <v>11.75670363317645</v>
      </c>
    </row>
    <row r="157">
      <c r="A157" t="n">
        <v>155</v>
      </c>
      <c r="B157" s="3" t="n">
        <v>46722</v>
      </c>
      <c r="C157" t="inlineStr">
        <is>
          <t>Forecast</t>
        </is>
      </c>
      <c r="E157" t="n">
        <v>32.85574427</v>
      </c>
      <c r="F157" t="n">
        <v>8.613061998999999</v>
      </c>
      <c r="G157" t="n">
        <v>18.25946663</v>
      </c>
      <c r="H157" t="inlineStr">
        <is>
          <t>STEO</t>
        </is>
      </c>
      <c r="I157" t="n">
        <v>36.52</v>
      </c>
      <c r="J157" t="n">
        <v>34.07</v>
      </c>
      <c r="K157" t="n">
        <v>32.85574427</v>
      </c>
      <c r="L157" t="n">
        <v>32.85574427</v>
      </c>
      <c r="M157" t="b">
        <v>0</v>
      </c>
      <c r="N157" t="n">
        <v>-1.204080180732075</v>
      </c>
      <c r="O157" t="n">
        <v>40.81420443676792</v>
      </c>
      <c r="P157" t="n">
        <v>40.81420443676792</v>
      </c>
      <c r="Q157" t="n">
        <v>34.13424823694625</v>
      </c>
      <c r="R157" t="n">
        <v>34.13424823694625</v>
      </c>
      <c r="S157" t="n">
        <v>24.94187013076359</v>
      </c>
      <c r="T157" t="n">
        <v>22.83715677015988</v>
      </c>
      <c r="U157" t="n">
        <v>10.18260905034924</v>
      </c>
      <c r="V157" t="n">
        <v>8.077895689745533</v>
      </c>
      <c r="W157" t="n">
        <v>12.15498473086204</v>
      </c>
      <c r="X157" t="n">
        <v>2.604276349552315</v>
      </c>
      <c r="Y157" t="n">
        <v>9.192378106182659</v>
      </c>
      <c r="Z157" t="n">
        <v>11.29709146678637</v>
      </c>
    </row>
    <row r="158">
      <c r="A158" t="n">
        <v>156</v>
      </c>
      <c r="B158" s="3" t="n">
        <v>46753</v>
      </c>
      <c r="C158" t="inlineStr">
        <is>
          <t>Forecast</t>
        </is>
      </c>
      <c r="E158" t="n">
        <v>32.06876427569971</v>
      </c>
      <c r="F158" t="n">
        <v>8.530951751457533</v>
      </c>
      <c r="G158" t="n">
        <v>18.49260584447124</v>
      </c>
      <c r="H158" t="inlineStr">
        <is>
          <t>extension of 2027 at STEO 2027/2026 growth</t>
        </is>
      </c>
      <c r="I158" t="n">
        <v>36.52</v>
      </c>
      <c r="J158" t="n">
        <v>34.77</v>
      </c>
      <c r="K158" t="n">
        <v>32.06876427569971</v>
      </c>
      <c r="L158" t="n">
        <v>32.06876427569971</v>
      </c>
      <c r="M158" t="b">
        <v>0</v>
      </c>
      <c r="N158" t="n">
        <v>-1.204080180732075</v>
      </c>
      <c r="O158" t="n">
        <v>40.13310295841158</v>
      </c>
      <c r="P158" t="n">
        <v>40.13310295841158</v>
      </c>
      <c r="Q158" t="n">
        <v>33.56462089132972</v>
      </c>
      <c r="R158" t="n">
        <v>33.56462089132972</v>
      </c>
      <c r="S158" t="n">
        <v>26.69245413612847</v>
      </c>
      <c r="T158" t="n">
        <v>24.89506623817151</v>
      </c>
      <c r="U158" t="n">
        <v>9.933882743400588</v>
      </c>
      <c r="V158" t="n">
        <v>8.136494845443632</v>
      </c>
      <c r="W158" t="n">
        <v>13.88956813149311</v>
      </c>
      <c r="X158" t="n">
        <v>2.869003261234766</v>
      </c>
      <c r="Y158" t="n">
        <v>6.872166755201249</v>
      </c>
      <c r="Z158" t="n">
        <v>8.669554653158205</v>
      </c>
    </row>
    <row r="159">
      <c r="A159" t="n">
        <v>157</v>
      </c>
      <c r="B159" s="3" t="n">
        <v>46784</v>
      </c>
      <c r="C159" t="inlineStr">
        <is>
          <t>Forecast</t>
        </is>
      </c>
      <c r="E159" t="n">
        <v>32.51328892449581</v>
      </c>
      <c r="F159" t="n">
        <v>8.610097815191336</v>
      </c>
      <c r="G159" t="n">
        <v>18.62760775219621</v>
      </c>
      <c r="H159" t="inlineStr">
        <is>
          <t>extension of 2027 at STEO 2027/2026 growth</t>
        </is>
      </c>
      <c r="I159" t="n">
        <v>36.52</v>
      </c>
      <c r="J159" t="n">
        <v>34.77</v>
      </c>
      <c r="K159" t="n">
        <v>32.51328892449581</v>
      </c>
      <c r="L159" t="n">
        <v>32.51328892449581</v>
      </c>
      <c r="M159" t="b">
        <v>0</v>
      </c>
      <c r="N159" t="n">
        <v>-1.204080180732075</v>
      </c>
      <c r="O159" t="n">
        <v>40.63059554593956</v>
      </c>
      <c r="P159" t="n">
        <v>40.63059554593956</v>
      </c>
      <c r="Q159" t="n">
        <v>33.9806901425393</v>
      </c>
      <c r="R159" t="n">
        <v>33.9806901425393</v>
      </c>
      <c r="S159" t="n">
        <v>25.00447480543189</v>
      </c>
      <c r="T159" t="n">
        <v>23.24237528789564</v>
      </c>
      <c r="U159" t="n">
        <v>10.05862295544212</v>
      </c>
      <c r="V159" t="n">
        <v>8.296523437905869</v>
      </c>
      <c r="W159" t="n">
        <v>12.12539841681988</v>
      </c>
      <c r="X159" t="n">
        <v>2.820453433169895</v>
      </c>
      <c r="Y159" t="n">
        <v>8.976215337107412</v>
      </c>
      <c r="Z159" t="n">
        <v>10.73831485464366</v>
      </c>
    </row>
    <row r="160">
      <c r="A160" t="n">
        <v>158</v>
      </c>
      <c r="B160" s="3" t="n">
        <v>46813</v>
      </c>
      <c r="C160" t="inlineStr">
        <is>
          <t>Forecast</t>
        </is>
      </c>
      <c r="E160" t="n">
        <v>33.04335147635302</v>
      </c>
      <c r="F160" t="n">
        <v>8.648897012720527</v>
      </c>
      <c r="G160" t="n">
        <v>18.83267979400142</v>
      </c>
      <c r="H160" t="inlineStr">
        <is>
          <t>extension of 2027 at STEO 2027/2026 growth</t>
        </is>
      </c>
      <c r="I160" t="n">
        <v>36.52</v>
      </c>
      <c r="J160" t="n">
        <v>34.77</v>
      </c>
      <c r="K160" t="n">
        <v>33.04335147635302</v>
      </c>
      <c r="L160" t="n">
        <v>33.04335147635302</v>
      </c>
      <c r="M160" t="b">
        <v>0</v>
      </c>
      <c r="N160" t="n">
        <v>-1.204080180732075</v>
      </c>
      <c r="O160" t="n">
        <v>41.18146952508894</v>
      </c>
      <c r="P160" t="n">
        <v>41.18146952508894</v>
      </c>
      <c r="Q160" t="n">
        <v>34.44140398986399</v>
      </c>
      <c r="R160" t="n">
        <v>34.44140398986399</v>
      </c>
      <c r="S160" t="n">
        <v>23.50755763874108</v>
      </c>
      <c r="T160" t="n">
        <v>21.85209755961188</v>
      </c>
      <c r="U160" t="n">
        <v>9.974197376981069</v>
      </c>
      <c r="V160" t="n">
        <v>8.318737297851872</v>
      </c>
      <c r="W160" t="n">
        <v>10.81545964892293</v>
      </c>
      <c r="X160" t="n">
        <v>2.717900612837079</v>
      </c>
      <c r="Y160" t="n">
        <v>10.93384635112291</v>
      </c>
      <c r="Z160" t="n">
        <v>12.58930643025211</v>
      </c>
    </row>
    <row r="161">
      <c r="A161" t="n">
        <v>159</v>
      </c>
      <c r="B161" s="3" t="n">
        <v>46844</v>
      </c>
      <c r="C161" t="inlineStr">
        <is>
          <t>Forecast</t>
        </is>
      </c>
      <c r="E161" t="n">
        <v>33.3095055897306</v>
      </c>
      <c r="F161" t="n">
        <v>8.699077141202272</v>
      </c>
      <c r="G161" t="n">
        <v>18.93715400437375</v>
      </c>
      <c r="H161" t="inlineStr">
        <is>
          <t>extension of 2027 at STEO 2027/2026 growth</t>
        </is>
      </c>
      <c r="I161" t="n">
        <v>36.52</v>
      </c>
      <c r="J161" t="n">
        <v>36.52</v>
      </c>
      <c r="K161" t="n">
        <v>33.3095055897306</v>
      </c>
      <c r="L161" t="n">
        <v>33.3095055897306</v>
      </c>
      <c r="M161" t="b">
        <v>0</v>
      </c>
      <c r="N161" t="n">
        <v>-1.204080180732075</v>
      </c>
      <c r="O161" t="n">
        <v>41.48922291305333</v>
      </c>
      <c r="P161" t="n">
        <v>41.48922291305333</v>
      </c>
      <c r="Q161" t="n">
        <v>34.69878816984506</v>
      </c>
      <c r="R161" t="n">
        <v>34.69878816984506</v>
      </c>
      <c r="S161" t="n">
        <v>23.7453916488037</v>
      </c>
      <c r="T161" t="n">
        <v>22.31538468630129</v>
      </c>
      <c r="U161" t="n">
        <v>9.851180955530085</v>
      </c>
      <c r="V161" t="n">
        <v>8.421173993027676</v>
      </c>
      <c r="W161" t="n">
        <v>10.96803831978139</v>
      </c>
      <c r="X161" t="n">
        <v>2.926172373492228</v>
      </c>
      <c r="Y161" t="n">
        <v>10.95339652104136</v>
      </c>
      <c r="Z161" t="n">
        <v>12.38340348354377</v>
      </c>
    </row>
    <row r="162">
      <c r="A162" t="n">
        <v>160</v>
      </c>
      <c r="B162" s="3" t="n">
        <v>46874</v>
      </c>
      <c r="C162" t="inlineStr">
        <is>
          <t>Forecast</t>
        </is>
      </c>
      <c r="E162" t="n">
        <v>33.57798890137586</v>
      </c>
      <c r="F162" t="n">
        <v>8.749102230027788</v>
      </c>
      <c r="G162" t="n">
        <v>19.03996145306112</v>
      </c>
      <c r="H162" t="inlineStr">
        <is>
          <t>extension of 2027 at STEO 2027/2026 growth</t>
        </is>
      </c>
      <c r="I162" t="n">
        <v>36.52</v>
      </c>
      <c r="J162" t="n">
        <v>36.52</v>
      </c>
      <c r="K162" t="n">
        <v>33.57798890137586</v>
      </c>
      <c r="L162" t="n">
        <v>33.57798890137586</v>
      </c>
      <c r="M162" t="b">
        <v>0</v>
      </c>
      <c r="N162" t="n">
        <v>-1.204080180732075</v>
      </c>
      <c r="O162" t="n">
        <v>41.79830105138353</v>
      </c>
      <c r="P162" t="n">
        <v>41.79830105138353</v>
      </c>
      <c r="Q162" t="n">
        <v>34.957280281696</v>
      </c>
      <c r="R162" t="n">
        <v>34.957280281696</v>
      </c>
      <c r="S162" t="n">
        <v>25.53156361556788</v>
      </c>
      <c r="T162" t="n">
        <v>24.19104153062932</v>
      </c>
      <c r="U162" t="n">
        <v>10.37861337246806</v>
      </c>
      <c r="V162" t="n">
        <v>9.0380912875295</v>
      </c>
      <c r="W162" t="n">
        <v>11.97256750205814</v>
      </c>
      <c r="X162" t="n">
        <v>3.180382741041683</v>
      </c>
      <c r="Y162" t="n">
        <v>9.425716666128118</v>
      </c>
      <c r="Z162" t="n">
        <v>10.76623875106668</v>
      </c>
    </row>
    <row r="163">
      <c r="A163" t="n">
        <v>161</v>
      </c>
      <c r="B163" s="3" t="n">
        <v>46905</v>
      </c>
      <c r="C163" t="inlineStr">
        <is>
          <t>Forecast</t>
        </is>
      </c>
      <c r="E163" t="n">
        <v>33.84346068132069</v>
      </c>
      <c r="F163" t="n">
        <v>8.798904079913124</v>
      </c>
      <c r="G163" t="n">
        <v>19.14122191864388</v>
      </c>
      <c r="H163" t="inlineStr">
        <is>
          <t>extension of 2027 at STEO 2027/2026 growth</t>
        </is>
      </c>
      <c r="I163" t="n">
        <v>36.52</v>
      </c>
      <c r="J163" t="n">
        <v>36.52</v>
      </c>
      <c r="K163" t="n">
        <v>33.84346068132069</v>
      </c>
      <c r="L163" t="n">
        <v>33.84346068132069</v>
      </c>
      <c r="M163" t="b">
        <v>0</v>
      </c>
      <c r="N163" t="n">
        <v>-1.204080180732075</v>
      </c>
      <c r="O163" t="n">
        <v>42.10413205389679</v>
      </c>
      <c r="P163" t="n">
        <v>42.10413205389679</v>
      </c>
      <c r="Q163" t="n">
        <v>35.21305670812409</v>
      </c>
      <c r="R163" t="n">
        <v>35.21305670812409</v>
      </c>
      <c r="S163" t="n">
        <v>26.80789768860724</v>
      </c>
      <c r="T163" t="n">
        <v>25.43444749063577</v>
      </c>
      <c r="U163" t="n">
        <v>10.77479381700417</v>
      </c>
      <c r="V163" t="n">
        <v>9.401343619032692</v>
      </c>
      <c r="W163" t="n">
        <v>12.91441388160595</v>
      </c>
      <c r="X163" t="n">
        <v>3.118689989997125</v>
      </c>
      <c r="Y163" t="n">
        <v>8.405159019516848</v>
      </c>
      <c r="Z163" t="n">
        <v>9.778609217488324</v>
      </c>
    </row>
    <row r="164">
      <c r="A164" t="n">
        <v>162</v>
      </c>
      <c r="B164" s="3" t="n">
        <v>46935</v>
      </c>
      <c r="C164" t="inlineStr">
        <is>
          <t>Forecast</t>
        </is>
      </c>
      <c r="E164" t="n">
        <v>34.10682441059078</v>
      </c>
      <c r="F164" t="n">
        <v>8.847839927629966</v>
      </c>
      <c r="G164" t="n">
        <v>19.24100912932856</v>
      </c>
      <c r="H164" t="inlineStr">
        <is>
          <t>extension of 2027 at STEO 2027/2026 growth</t>
        </is>
      </c>
      <c r="I164" t="n">
        <v>39.02</v>
      </c>
      <c r="J164" t="n">
        <v>36.52</v>
      </c>
      <c r="K164" t="n">
        <v>34.10682441059078</v>
      </c>
      <c r="L164" t="n">
        <v>34.10682441059078</v>
      </c>
      <c r="M164" t="b">
        <v>0</v>
      </c>
      <c r="N164" t="n">
        <v>-1.204080180732075</v>
      </c>
      <c r="O164" t="n">
        <v>42.40686323469862</v>
      </c>
      <c r="P164" t="n">
        <v>42.40686323469862</v>
      </c>
      <c r="Q164" t="n">
        <v>35.46624065271286</v>
      </c>
      <c r="R164" t="n">
        <v>35.46624065271286</v>
      </c>
      <c r="S164" t="n">
        <v>27.21743247354184</v>
      </c>
      <c r="T164" t="n">
        <v>25.71667784336208</v>
      </c>
      <c r="U164" t="n">
        <v>10.78008861771616</v>
      </c>
      <c r="V164" t="n">
        <v>9.2793339875364</v>
      </c>
      <c r="W164" t="n">
        <v>13.46118605151069</v>
      </c>
      <c r="X164" t="n">
        <v>2.976157804314986</v>
      </c>
      <c r="Y164" t="n">
        <v>8.248808179171021</v>
      </c>
      <c r="Z164" t="n">
        <v>9.749562809350781</v>
      </c>
    </row>
    <row r="165">
      <c r="A165" t="n">
        <v>163</v>
      </c>
      <c r="B165" s="3" t="n">
        <v>46966</v>
      </c>
      <c r="C165" t="inlineStr">
        <is>
          <t>Forecast</t>
        </is>
      </c>
      <c r="E165" t="n">
        <v>34.3668110051568</v>
      </c>
      <c r="F165" t="n">
        <v>8.895231476662484</v>
      </c>
      <c r="G165" t="n">
        <v>19.33937106146796</v>
      </c>
      <c r="H165" t="inlineStr">
        <is>
          <t>extension of 2027 at STEO 2027/2026 growth</t>
        </is>
      </c>
      <c r="I165" t="n">
        <v>39.02</v>
      </c>
      <c r="J165" t="n">
        <v>36.52</v>
      </c>
      <c r="K165" t="n">
        <v>34.3668110051568</v>
      </c>
      <c r="L165" t="n">
        <v>34.3668110051568</v>
      </c>
      <c r="M165" t="b">
        <v>0</v>
      </c>
      <c r="N165" t="n">
        <v>-1.204080180732075</v>
      </c>
      <c r="O165" t="n">
        <v>42.70475196875407</v>
      </c>
      <c r="P165" t="n">
        <v>42.70475196875407</v>
      </c>
      <c r="Q165" t="n">
        <v>35.71537470139906</v>
      </c>
      <c r="R165" t="n">
        <v>35.71537470139906</v>
      </c>
      <c r="S165" t="n">
        <v>28.70559897956784</v>
      </c>
      <c r="T165" t="n">
        <v>27.22662862567631</v>
      </c>
      <c r="U165" t="n">
        <v>11.27506783682496</v>
      </c>
      <c r="V165" t="n">
        <v>9.796097482933424</v>
      </c>
      <c r="W165" t="n">
        <v>14.38459892509781</v>
      </c>
      <c r="X165" t="n">
        <v>3.045932217645071</v>
      </c>
      <c r="Y165" t="n">
        <v>7.009775721831222</v>
      </c>
      <c r="Z165" t="n">
        <v>8.488746075722759</v>
      </c>
    </row>
    <row r="166">
      <c r="A166" t="n">
        <v>164</v>
      </c>
      <c r="B166" s="3" t="n">
        <v>46997</v>
      </c>
      <c r="C166" t="inlineStr">
        <is>
          <t>Forecast</t>
        </is>
      </c>
      <c r="E166" t="n">
        <v>34.62276080897696</v>
      </c>
      <c r="F166" t="n">
        <v>8.945386581032963</v>
      </c>
      <c r="G166" t="n">
        <v>19.43631616556534</v>
      </c>
      <c r="H166" t="inlineStr">
        <is>
          <t>extension of 2027 at STEO 2027/2026 growth</t>
        </is>
      </c>
      <c r="I166" t="n">
        <v>39.02</v>
      </c>
      <c r="J166" t="n">
        <v>36.52</v>
      </c>
      <c r="K166" t="n">
        <v>34.62276080897696</v>
      </c>
      <c r="L166" t="n">
        <v>34.62276080897696</v>
      </c>
      <c r="M166" t="b">
        <v>0</v>
      </c>
      <c r="N166" t="n">
        <v>-1.204080180732075</v>
      </c>
      <c r="O166" t="n">
        <v>43.0015479376009</v>
      </c>
      <c r="P166" t="n">
        <v>43.0015479376009</v>
      </c>
      <c r="Q166" t="n">
        <v>35.96359483495669</v>
      </c>
      <c r="R166" t="n">
        <v>35.96359483495669</v>
      </c>
      <c r="S166" t="n">
        <v>28.08290134937022</v>
      </c>
      <c r="T166" t="n">
        <v>26.48478385164805</v>
      </c>
      <c r="U166" t="n">
        <v>12.09451430971443</v>
      </c>
      <c r="V166" t="n">
        <v>10.49639681199225</v>
      </c>
      <c r="W166" t="n">
        <v>13.12109245889915</v>
      </c>
      <c r="X166" t="n">
        <v>2.867294580756643</v>
      </c>
      <c r="Y166" t="n">
        <v>7.88069348558647</v>
      </c>
      <c r="Z166" t="n">
        <v>9.478810983308648</v>
      </c>
    </row>
    <row r="167">
      <c r="A167" t="n">
        <v>165</v>
      </c>
      <c r="B167" s="3" t="n">
        <v>47027</v>
      </c>
      <c r="C167" t="inlineStr">
        <is>
          <t>Forecast</t>
        </is>
      </c>
      <c r="E167" t="n">
        <v>34.87386661235941</v>
      </c>
      <c r="F167" t="n">
        <v>8.998508610357703</v>
      </c>
      <c r="G167" t="n">
        <v>19.5397684709674</v>
      </c>
      <c r="H167" t="inlineStr">
        <is>
          <t>extension of 2027 at STEO 2027/2026 growth</t>
        </is>
      </c>
      <c r="I167" t="n">
        <v>39.02</v>
      </c>
      <c r="J167" t="n">
        <v>36.52</v>
      </c>
      <c r="K167" t="n">
        <v>34.87386661235941</v>
      </c>
      <c r="L167" t="n">
        <v>34.87386661235941</v>
      </c>
      <c r="M167" t="b">
        <v>0</v>
      </c>
      <c r="N167" t="n">
        <v>-1.204080180732075</v>
      </c>
      <c r="O167" t="n">
        <v>43.29914559142134</v>
      </c>
      <c r="P167" t="n">
        <v>43.29914559142134</v>
      </c>
      <c r="Q167" t="n">
        <v>36.21248544376367</v>
      </c>
      <c r="R167" t="n">
        <v>36.21248544376367</v>
      </c>
      <c r="S167" t="n">
        <v>27.01388010652383</v>
      </c>
      <c r="T167" t="n">
        <v>25.34956811094043</v>
      </c>
      <c r="U167" t="n">
        <v>12.69228003083021</v>
      </c>
      <c r="V167" t="n">
        <v>11.02796803524681</v>
      </c>
      <c r="W167" t="n">
        <v>11.58649782540451</v>
      </c>
      <c r="X167" t="n">
        <v>2.735102250289116</v>
      </c>
      <c r="Y167" t="n">
        <v>9.198605337239837</v>
      </c>
      <c r="Z167" t="n">
        <v>10.86291733282324</v>
      </c>
    </row>
    <row r="168">
      <c r="A168" t="n">
        <v>166</v>
      </c>
      <c r="B168" s="3" t="n">
        <v>47058</v>
      </c>
      <c r="C168" t="inlineStr">
        <is>
          <t>Forecast</t>
        </is>
      </c>
      <c r="E168" t="n">
        <v>35.11354823897847</v>
      </c>
      <c r="F168" t="n">
        <v>9.048880618169585</v>
      </c>
      <c r="G168" t="n">
        <v>19.64976584804732</v>
      </c>
      <c r="H168" t="inlineStr">
        <is>
          <t>extension of 2027 at STEO 2027/2026 growth</t>
        </is>
      </c>
      <c r="I168" t="n">
        <v>39.02</v>
      </c>
      <c r="J168" t="n">
        <v>36.52</v>
      </c>
      <c r="K168" t="n">
        <v>35.11354823897847</v>
      </c>
      <c r="L168" t="n">
        <v>35.11354823897847</v>
      </c>
      <c r="M168" t="b">
        <v>0</v>
      </c>
      <c r="N168" t="n">
        <v>-1.204080180732075</v>
      </c>
      <c r="O168" t="n">
        <v>43.5862461949834</v>
      </c>
      <c r="P168" t="n">
        <v>43.5862461949834</v>
      </c>
      <c r="Q168" t="n">
        <v>36.45259702761549</v>
      </c>
      <c r="R168" t="n">
        <v>36.45259702761549</v>
      </c>
      <c r="S168" t="n">
        <v>27.26070922345803</v>
      </c>
      <c r="T168" t="n">
        <v>25.67840812077873</v>
      </c>
      <c r="U168" t="n">
        <v>13.09400310968609</v>
      </c>
      <c r="V168" t="n">
        <v>11.51170200700679</v>
      </c>
      <c r="W168" t="n">
        <v>11.49342907434469</v>
      </c>
      <c r="X168" t="n">
        <v>2.673277039427246</v>
      </c>
      <c r="Y168" t="n">
        <v>9.19188780415746</v>
      </c>
      <c r="Z168" t="n">
        <v>10.77418890683676</v>
      </c>
    </row>
    <row r="169">
      <c r="A169" t="n">
        <v>167</v>
      </c>
      <c r="B169" s="3" t="n">
        <v>47088</v>
      </c>
      <c r="C169" t="inlineStr">
        <is>
          <t>Forecast</t>
        </is>
      </c>
      <c r="E169" t="n">
        <v>35.34547239058394</v>
      </c>
      <c r="F169" t="n">
        <v>9.096189989478114</v>
      </c>
      <c r="G169" t="n">
        <v>19.75693758674221</v>
      </c>
      <c r="H169" t="inlineStr">
        <is>
          <t>extension of 2027 at STEO 2027/2026 growth</t>
        </is>
      </c>
      <c r="I169" t="n">
        <v>39.02</v>
      </c>
      <c r="J169" t="n">
        <v>36.52</v>
      </c>
      <c r="K169" t="n">
        <v>35.34547239058394</v>
      </c>
      <c r="L169" t="n">
        <v>35.34547239058394</v>
      </c>
      <c r="M169" t="b">
        <v>0</v>
      </c>
      <c r="N169" t="n">
        <v>-1.204080180732075</v>
      </c>
      <c r="O169" t="n">
        <v>43.86284261676505</v>
      </c>
      <c r="P169" t="n">
        <v>43.86284261676505</v>
      </c>
      <c r="Q169" t="n">
        <v>36.68392362218805</v>
      </c>
      <c r="R169" t="n">
        <v>36.68392362218805</v>
      </c>
      <c r="S169" t="n">
        <v>27.73950082871613</v>
      </c>
      <c r="T169" t="n">
        <v>26.36267119719755</v>
      </c>
      <c r="U169" t="n">
        <v>13.04702460392215</v>
      </c>
      <c r="V169" t="n">
        <v>11.67019497240357</v>
      </c>
      <c r="W169" t="n">
        <v>12.1409483901524</v>
      </c>
      <c r="X169" t="n">
        <v>2.55152783464158</v>
      </c>
      <c r="Y169" t="n">
        <v>8.944422793471926</v>
      </c>
      <c r="Z169" t="n">
        <v>10.3212524249905</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7"/>
  <sheetViews>
    <sheetView workbookViewId="0">
      <selection activeCell="A1" sqref="A1"/>
    </sheetView>
  </sheetViews>
  <sheetFormatPr baseColWidth="8" defaultRowHeight="15"/>
  <sheetData>
    <row r="1">
      <c r="B1" t="inlineStr">
        <is>
          <t>Month</t>
        </is>
      </c>
      <c r="C1" t="inlineStr">
        <is>
          <t>Type</t>
        </is>
      </c>
      <c r="D1" t="inlineStr">
        <is>
          <t>Electric power</t>
        </is>
      </c>
      <c r="E1" t="inlineStr">
        <is>
          <t>Industrial</t>
        </is>
      </c>
      <c r="F1" t="inlineStr">
        <is>
          <t>Residential</t>
        </is>
      </c>
      <c r="G1" t="inlineStr">
        <is>
          <t>Commercial</t>
        </is>
      </c>
      <c r="H1" t="inlineStr">
        <is>
          <t>Vehicle fuel</t>
        </is>
      </c>
      <c r="I1" t="inlineStr">
        <is>
          <t>LNG feedgas (base)</t>
        </is>
      </c>
      <c r="J1" t="inlineStr">
        <is>
          <t>Pipeline exports to Mexico</t>
        </is>
      </c>
      <c r="K1" t="inlineStr">
        <is>
          <t>Demand incl. LNG, base</t>
        </is>
      </c>
      <c r="L1" t="inlineStr">
        <is>
          <t>LNG feedgas (delayed)</t>
        </is>
      </c>
      <c r="M1" t="inlineStr">
        <is>
          <t>Demand incl. LNG, LNG delayed</t>
        </is>
      </c>
      <c r="N1" t="inlineStr">
        <is>
          <t>Dry production, base</t>
        </is>
      </c>
      <c r="O1" t="inlineStr">
        <is>
          <t>Dry production, takeaway delayed</t>
        </is>
      </c>
      <c r="P1" t="inlineStr">
        <is>
          <t>Implied net outflow, base</t>
        </is>
      </c>
      <c r="Q1" t="inlineStr">
        <is>
          <t>Implied net outflow, delayed (production and LNG both delayed)</t>
        </is>
      </c>
    </row>
    <row r="2">
      <c r="A2" t="n">
        <v>0</v>
      </c>
      <c r="B2" s="3" t="n">
        <v>44197</v>
      </c>
      <c r="C2" t="inlineStr">
        <is>
          <t>Actual</t>
        </is>
      </c>
      <c r="D2" t="n">
        <v>3.671612903225806</v>
      </c>
      <c r="E2" t="n">
        <v>5.748096774193549</v>
      </c>
      <c r="F2" t="n">
        <v>1.457193548387097</v>
      </c>
      <c r="G2" t="n">
        <v>0.7947741935483871</v>
      </c>
      <c r="H2" t="n">
        <v>0.002580645161290323</v>
      </c>
      <c r="I2" t="n">
        <v>4.16024870967742</v>
      </c>
      <c r="J2" t="n">
        <v>2.552483870967742</v>
      </c>
      <c r="K2" t="n">
        <v>18.38699064516129</v>
      </c>
      <c r="L2" t="n">
        <v>4.16024870967742</v>
      </c>
      <c r="M2" t="n">
        <v>18.38699064516129</v>
      </c>
      <c r="N2" t="n">
        <v>22.10383870967742</v>
      </c>
      <c r="O2" t="n">
        <v>22.10383870967742</v>
      </c>
      <c r="P2" t="n">
        <v>3.716848064516128</v>
      </c>
      <c r="Q2" t="n">
        <v>3.716848064516128</v>
      </c>
    </row>
    <row r="3">
      <c r="A3" t="n">
        <v>1</v>
      </c>
      <c r="B3" s="3" t="n">
        <v>44228</v>
      </c>
      <c r="C3" t="inlineStr">
        <is>
          <t>Actual</t>
        </is>
      </c>
      <c r="D3" t="n">
        <v>4.4955</v>
      </c>
      <c r="E3" t="n">
        <v>4.749571428571429</v>
      </c>
      <c r="F3" t="n">
        <v>1.7995</v>
      </c>
      <c r="G3" t="n">
        <v>0.9247857142857143</v>
      </c>
      <c r="H3" t="n">
        <v>0.002571428571428572</v>
      </c>
      <c r="I3" t="n">
        <v>2.483681785714286</v>
      </c>
      <c r="J3" t="n">
        <v>2.252428571428571</v>
      </c>
      <c r="K3" t="n">
        <v>16.70803892857143</v>
      </c>
      <c r="L3" t="n">
        <v>2.483681785714286</v>
      </c>
      <c r="M3" t="n">
        <v>16.70803892857143</v>
      </c>
      <c r="N3" t="n">
        <v>18.401</v>
      </c>
      <c r="O3" t="n">
        <v>18.401</v>
      </c>
      <c r="P3" t="n">
        <v>1.69296107142857</v>
      </c>
      <c r="Q3" t="n">
        <v>1.69296107142857</v>
      </c>
    </row>
    <row r="4">
      <c r="A4" t="n">
        <v>2</v>
      </c>
      <c r="B4" s="3" t="n">
        <v>44256</v>
      </c>
      <c r="C4" t="inlineStr">
        <is>
          <t>Actual</t>
        </is>
      </c>
      <c r="D4" t="n">
        <v>2.87358064516129</v>
      </c>
      <c r="E4" t="n">
        <v>4.849387096774193</v>
      </c>
      <c r="F4" t="n">
        <v>0.8512580645161291</v>
      </c>
      <c r="G4" t="n">
        <v>0.547741935483871</v>
      </c>
      <c r="H4" t="n">
        <v>0.002580645161290323</v>
      </c>
      <c r="I4" t="n">
        <v>4.437917419354839</v>
      </c>
      <c r="J4" t="n">
        <v>2.643935483870968</v>
      </c>
      <c r="K4" t="n">
        <v>16.20640129032258</v>
      </c>
      <c r="L4" t="n">
        <v>4.437917419354839</v>
      </c>
      <c r="M4" t="n">
        <v>16.20640129032258</v>
      </c>
      <c r="N4" t="n">
        <v>22.99258064516129</v>
      </c>
      <c r="O4" t="n">
        <v>22.99258064516129</v>
      </c>
      <c r="P4" t="n">
        <v>6.786179354838708</v>
      </c>
      <c r="Q4" t="n">
        <v>6.786179354838708</v>
      </c>
    </row>
    <row r="5">
      <c r="A5" t="n">
        <v>3</v>
      </c>
      <c r="B5" s="3" t="n">
        <v>44287</v>
      </c>
      <c r="C5" t="inlineStr">
        <is>
          <t>Actual</t>
        </is>
      </c>
      <c r="D5" t="n">
        <v>3.746233333333333</v>
      </c>
      <c r="E5" t="n">
        <v>5.287166666666667</v>
      </c>
      <c r="F5" t="n">
        <v>0.4110333333333334</v>
      </c>
      <c r="G5" t="n">
        <v>0.4744333333333333</v>
      </c>
      <c r="H5" t="n">
        <v>0.002566666666666667</v>
      </c>
      <c r="I5" t="n">
        <v>4.377658</v>
      </c>
      <c r="J5" t="n">
        <v>2.670233333333333</v>
      </c>
      <c r="K5" t="n">
        <v>16.96932466666667</v>
      </c>
      <c r="L5" t="n">
        <v>4.377658</v>
      </c>
      <c r="M5" t="n">
        <v>16.96932466666667</v>
      </c>
      <c r="N5" t="n">
        <v>23.71223333333333</v>
      </c>
      <c r="O5" t="n">
        <v>23.71223333333333</v>
      </c>
      <c r="P5" t="n">
        <v>6.742908666666661</v>
      </c>
      <c r="Q5" t="n">
        <v>6.742908666666661</v>
      </c>
    </row>
    <row r="6">
      <c r="A6" t="n">
        <v>4</v>
      </c>
      <c r="B6" s="3" t="n">
        <v>44317</v>
      </c>
      <c r="C6" t="inlineStr">
        <is>
          <t>Actual</t>
        </is>
      </c>
      <c r="D6" t="n">
        <v>3.843774193548387</v>
      </c>
      <c r="E6" t="n">
        <v>5.234774193548387</v>
      </c>
      <c r="F6" t="n">
        <v>0.2831612903225807</v>
      </c>
      <c r="G6" t="n">
        <v>0.3512903225806452</v>
      </c>
      <c r="H6" t="n">
        <v>0.002580645161290323</v>
      </c>
      <c r="I6" t="n">
        <v>4.289044516129032</v>
      </c>
      <c r="J6" t="n">
        <v>2.766322580645161</v>
      </c>
      <c r="K6" t="n">
        <v>16.77094774193548</v>
      </c>
      <c r="L6" t="n">
        <v>4.289044516129032</v>
      </c>
      <c r="M6" t="n">
        <v>16.77094774193548</v>
      </c>
      <c r="N6" t="n">
        <v>23.58770967741935</v>
      </c>
      <c r="O6" t="n">
        <v>23.58770967741935</v>
      </c>
      <c r="P6" t="n">
        <v>6.816761935483871</v>
      </c>
      <c r="Q6" t="n">
        <v>6.816761935483871</v>
      </c>
    </row>
    <row r="7">
      <c r="A7" t="n">
        <v>5</v>
      </c>
      <c r="B7" s="3" t="n">
        <v>44348</v>
      </c>
      <c r="C7" t="inlineStr">
        <is>
          <t>Actual</t>
        </is>
      </c>
      <c r="D7" t="n">
        <v>5.751166666666667</v>
      </c>
      <c r="E7" t="n">
        <v>5.296266666666666</v>
      </c>
      <c r="F7" t="n">
        <v>0.2299</v>
      </c>
      <c r="G7" t="n">
        <v>0.3627</v>
      </c>
      <c r="H7" t="n">
        <v>0.002566666666666667</v>
      </c>
      <c r="I7" t="n">
        <v>4.362725</v>
      </c>
      <c r="J7" t="n">
        <v>2.929933333333334</v>
      </c>
      <c r="K7" t="n">
        <v>18.93525833333334</v>
      </c>
      <c r="L7" t="n">
        <v>4.362725</v>
      </c>
      <c r="M7" t="n">
        <v>18.93525833333334</v>
      </c>
      <c r="N7" t="n">
        <v>23.52116666666667</v>
      </c>
      <c r="O7" t="n">
        <v>23.52116666666667</v>
      </c>
      <c r="P7" t="n">
        <v>4.585908333333332</v>
      </c>
      <c r="Q7" t="n">
        <v>4.585908333333332</v>
      </c>
    </row>
    <row r="8">
      <c r="A8" t="n">
        <v>6</v>
      </c>
      <c r="B8" s="3" t="n">
        <v>44378</v>
      </c>
      <c r="C8" t="inlineStr">
        <is>
          <t>Actual</t>
        </is>
      </c>
      <c r="D8" t="n">
        <v>6.234870967741935</v>
      </c>
      <c r="E8" t="n">
        <v>5.42283870967742</v>
      </c>
      <c r="F8" t="n">
        <v>0.215258064516129</v>
      </c>
      <c r="G8" t="n">
        <v>0.3711612903225807</v>
      </c>
      <c r="H8" t="n">
        <v>0.002580645161290323</v>
      </c>
      <c r="I8" t="n">
        <v>4.267807096774193</v>
      </c>
      <c r="J8" t="n">
        <v>2.876193548387096</v>
      </c>
      <c r="K8" t="n">
        <v>19.39071032258065</v>
      </c>
      <c r="L8" t="n">
        <v>4.267807096774193</v>
      </c>
      <c r="M8" t="n">
        <v>19.39071032258065</v>
      </c>
      <c r="N8" t="n">
        <v>23.99703225806451</v>
      </c>
      <c r="O8" t="n">
        <v>23.99703225806451</v>
      </c>
      <c r="P8" t="n">
        <v>4.606321935483866</v>
      </c>
      <c r="Q8" t="n">
        <v>4.606321935483866</v>
      </c>
    </row>
    <row r="9">
      <c r="A9" t="n">
        <v>7</v>
      </c>
      <c r="B9" s="3" t="n">
        <v>44409</v>
      </c>
      <c r="C9" t="inlineStr">
        <is>
          <t>Actual</t>
        </is>
      </c>
      <c r="D9" t="n">
        <v>6.327096774193548</v>
      </c>
      <c r="E9" t="n">
        <v>5.458516129032258</v>
      </c>
      <c r="F9" t="n">
        <v>0.1994193548387097</v>
      </c>
      <c r="G9" t="n">
        <v>0.3660322580645162</v>
      </c>
      <c r="H9" t="n">
        <v>0.002580645161290323</v>
      </c>
      <c r="I9" t="n">
        <v>4.47866935483871</v>
      </c>
      <c r="J9" t="n">
        <v>2.802806451612903</v>
      </c>
      <c r="K9" t="n">
        <v>19.63512096774194</v>
      </c>
      <c r="L9" t="n">
        <v>4.47866935483871</v>
      </c>
      <c r="M9" t="n">
        <v>19.63512096774194</v>
      </c>
      <c r="N9" t="n">
        <v>24.04129032258064</v>
      </c>
      <c r="O9" t="n">
        <v>24.04129032258064</v>
      </c>
      <c r="P9" t="n">
        <v>4.406169354838703</v>
      </c>
      <c r="Q9" t="n">
        <v>4.406169354838703</v>
      </c>
    </row>
    <row r="10">
      <c r="A10" t="n">
        <v>8</v>
      </c>
      <c r="B10" s="3" t="n">
        <v>44440</v>
      </c>
      <c r="C10" t="inlineStr">
        <is>
          <t>Actual</t>
        </is>
      </c>
      <c r="D10" t="n">
        <v>5.298666666666667</v>
      </c>
      <c r="E10" t="n">
        <v>5.518066666666667</v>
      </c>
      <c r="F10" t="n">
        <v>0.2002666666666667</v>
      </c>
      <c r="G10" t="n">
        <v>0.3705666666666667</v>
      </c>
      <c r="H10" t="n">
        <v>0.002566666666666667</v>
      </c>
      <c r="I10" t="n">
        <v>4.103632000000001</v>
      </c>
      <c r="J10" t="n">
        <v>2.6138</v>
      </c>
      <c r="K10" t="n">
        <v>18.10756533333333</v>
      </c>
      <c r="L10" t="n">
        <v>4.103632000000001</v>
      </c>
      <c r="M10" t="n">
        <v>18.10756533333333</v>
      </c>
      <c r="N10" t="n">
        <v>24.82143333333334</v>
      </c>
      <c r="O10" t="n">
        <v>24.82143333333334</v>
      </c>
      <c r="P10" t="n">
        <v>6.713868000000005</v>
      </c>
      <c r="Q10" t="n">
        <v>6.713868000000005</v>
      </c>
    </row>
    <row r="11">
      <c r="A11" t="n">
        <v>9</v>
      </c>
      <c r="B11" s="3" t="n">
        <v>44470</v>
      </c>
      <c r="C11" t="inlineStr">
        <is>
          <t>Actual</t>
        </is>
      </c>
      <c r="D11" t="n">
        <v>4.412612903225807</v>
      </c>
      <c r="E11" t="n">
        <v>5.262677419354839</v>
      </c>
      <c r="F11" t="n">
        <v>0.2569354838709678</v>
      </c>
      <c r="G11" t="n">
        <v>0.3873548387096775</v>
      </c>
      <c r="H11" t="n">
        <v>0.002580645161290323</v>
      </c>
      <c r="I11" t="n">
        <v>4.390695806451613</v>
      </c>
      <c r="J11" t="n">
        <v>2.767870967741935</v>
      </c>
      <c r="K11" t="n">
        <v>17.48072806451613</v>
      </c>
      <c r="L11" t="n">
        <v>4.390695806451613</v>
      </c>
      <c r="M11" t="n">
        <v>17.48072806451613</v>
      </c>
      <c r="N11" t="n">
        <v>24.74848387096774</v>
      </c>
      <c r="O11" t="n">
        <v>24.74848387096774</v>
      </c>
      <c r="P11" t="n">
        <v>7.267755806451607</v>
      </c>
      <c r="Q11" t="n">
        <v>7.267755806451607</v>
      </c>
    </row>
    <row r="12">
      <c r="A12" t="n">
        <v>10</v>
      </c>
      <c r="B12" s="3" t="n">
        <v>44501</v>
      </c>
      <c r="C12" t="inlineStr">
        <is>
          <t>Actual</t>
        </is>
      </c>
      <c r="D12" t="n">
        <v>3.4576</v>
      </c>
      <c r="E12" t="n">
        <v>5.6497</v>
      </c>
      <c r="F12" t="n">
        <v>0.5384333333333333</v>
      </c>
      <c r="G12" t="n">
        <v>0.5129333333333332</v>
      </c>
      <c r="H12" t="n">
        <v>0.002566666666666667</v>
      </c>
      <c r="I12" t="n">
        <v>3.903508</v>
      </c>
      <c r="J12" t="n">
        <v>2.557566666666667</v>
      </c>
      <c r="K12" t="n">
        <v>16.622308</v>
      </c>
      <c r="L12" t="n">
        <v>3.903508</v>
      </c>
      <c r="M12" t="n">
        <v>16.622308</v>
      </c>
      <c r="N12" t="n">
        <v>24.64196666666667</v>
      </c>
      <c r="O12" t="n">
        <v>24.64196666666667</v>
      </c>
      <c r="P12" t="n">
        <v>8.019658666666668</v>
      </c>
      <c r="Q12" t="n">
        <v>8.019658666666668</v>
      </c>
    </row>
    <row r="13">
      <c r="A13" t="n">
        <v>11</v>
      </c>
      <c r="B13" s="3" t="n">
        <v>44531</v>
      </c>
      <c r="C13" t="inlineStr">
        <is>
          <t>Actual</t>
        </is>
      </c>
      <c r="D13" t="n">
        <v>3.378290322580646</v>
      </c>
      <c r="E13" t="n">
        <v>5.783322580645161</v>
      </c>
      <c r="F13" t="n">
        <v>0.5891612903225806</v>
      </c>
      <c r="G13" t="n">
        <v>0.5320967741935484</v>
      </c>
      <c r="H13" t="n">
        <v>0.002580645161290323</v>
      </c>
      <c r="I13" t="n">
        <v>4.614497419354839</v>
      </c>
      <c r="J13" t="n">
        <v>2.405741935483871</v>
      </c>
      <c r="K13" t="n">
        <v>17.30569096774193</v>
      </c>
      <c r="L13" t="n">
        <v>4.614497419354839</v>
      </c>
      <c r="M13" t="n">
        <v>17.30569096774193</v>
      </c>
      <c r="N13" t="n">
        <v>24.995</v>
      </c>
      <c r="O13" t="n">
        <v>24.995</v>
      </c>
      <c r="P13" t="n">
        <v>7.689309032258066</v>
      </c>
      <c r="Q13" t="n">
        <v>7.689309032258066</v>
      </c>
    </row>
    <row r="14">
      <c r="A14" t="n">
        <v>12</v>
      </c>
      <c r="B14" s="3" t="n">
        <v>44562</v>
      </c>
      <c r="C14" t="inlineStr">
        <is>
          <t>Actual</t>
        </is>
      </c>
      <c r="D14" t="n">
        <v>4.094129032258064</v>
      </c>
      <c r="E14" t="n">
        <v>5.599161290322581</v>
      </c>
      <c r="F14" t="n">
        <v>1.307903225806452</v>
      </c>
      <c r="G14" t="n">
        <v>0.7509677419354839</v>
      </c>
      <c r="H14" t="n">
        <v>0.003483870967741936</v>
      </c>
      <c r="I14" t="n">
        <v>4.595369677419355</v>
      </c>
      <c r="J14" t="n">
        <v>2.562612903225807</v>
      </c>
      <c r="K14" t="n">
        <v>18.91362774193549</v>
      </c>
      <c r="L14" t="n">
        <v>4.595369677419355</v>
      </c>
      <c r="M14" t="n">
        <v>18.91362774193549</v>
      </c>
      <c r="N14" t="n">
        <v>23.17987096774193</v>
      </c>
      <c r="O14" t="n">
        <v>23.17987096774193</v>
      </c>
      <c r="P14" t="n">
        <v>4.266243225806445</v>
      </c>
      <c r="Q14" t="n">
        <v>4.266243225806445</v>
      </c>
    </row>
    <row r="15">
      <c r="A15" t="n">
        <v>13</v>
      </c>
      <c r="B15" s="3" t="n">
        <v>44593</v>
      </c>
      <c r="C15" t="inlineStr">
        <is>
          <t>Actual</t>
        </is>
      </c>
      <c r="D15" t="n">
        <v>4.156392857142857</v>
      </c>
      <c r="E15" t="n">
        <v>5.527285714285715</v>
      </c>
      <c r="F15" t="n">
        <v>1.646</v>
      </c>
      <c r="G15" t="n">
        <v>0.8936785714285714</v>
      </c>
      <c r="H15" t="n">
        <v>0.0035</v>
      </c>
      <c r="I15" t="n">
        <v>4.697160357142858</v>
      </c>
      <c r="J15" t="n">
        <v>2.727035714285714</v>
      </c>
      <c r="K15" t="n">
        <v>19.65105321428572</v>
      </c>
      <c r="L15" t="n">
        <v>4.697160357142858</v>
      </c>
      <c r="M15" t="n">
        <v>19.65105321428572</v>
      </c>
      <c r="N15" t="n">
        <v>24.34007142857143</v>
      </c>
      <c r="O15" t="n">
        <v>24.34007142857143</v>
      </c>
      <c r="P15" t="n">
        <v>4.689018214285714</v>
      </c>
      <c r="Q15" t="n">
        <v>4.689018214285714</v>
      </c>
    </row>
    <row r="16">
      <c r="A16" t="n">
        <v>14</v>
      </c>
      <c r="B16" s="3" t="n">
        <v>44621</v>
      </c>
      <c r="C16" t="inlineStr">
        <is>
          <t>Actual</t>
        </is>
      </c>
      <c r="D16" t="n">
        <v>2.959516129032258</v>
      </c>
      <c r="E16" t="n">
        <v>5.511225806451613</v>
      </c>
      <c r="F16" t="n">
        <v>0.9952903225806451</v>
      </c>
      <c r="G16" t="n">
        <v>0.6364838709677419</v>
      </c>
      <c r="H16" t="n">
        <v>0.003483870967741936</v>
      </c>
      <c r="I16" t="n">
        <v>4.382503225806452</v>
      </c>
      <c r="J16" t="n">
        <v>2.667935483870968</v>
      </c>
      <c r="K16" t="n">
        <v>17.15643870967742</v>
      </c>
      <c r="L16" t="n">
        <v>4.382503225806452</v>
      </c>
      <c r="M16" t="n">
        <v>17.15643870967742</v>
      </c>
      <c r="N16" t="n">
        <v>24.87987096774194</v>
      </c>
      <c r="O16" t="n">
        <v>24.87987096774194</v>
      </c>
      <c r="P16" t="n">
        <v>7.723432258064523</v>
      </c>
      <c r="Q16" t="n">
        <v>7.723432258064523</v>
      </c>
    </row>
    <row r="17">
      <c r="A17" t="n">
        <v>15</v>
      </c>
      <c r="B17" s="3" t="n">
        <v>44652</v>
      </c>
      <c r="C17" t="inlineStr">
        <is>
          <t>Actual</t>
        </is>
      </c>
      <c r="D17" t="n">
        <v>3.282933333333333</v>
      </c>
      <c r="E17" t="n">
        <v>5.453966666666666</v>
      </c>
      <c r="F17" t="n">
        <v>0.4558</v>
      </c>
      <c r="G17" t="n">
        <v>0.4546666666666667</v>
      </c>
      <c r="H17" t="n">
        <v>0.0035</v>
      </c>
      <c r="I17" t="n">
        <v>3.544462</v>
      </c>
      <c r="J17" t="n">
        <v>2.7244</v>
      </c>
      <c r="K17" t="n">
        <v>15.91972866666666</v>
      </c>
      <c r="L17" t="n">
        <v>3.544462</v>
      </c>
      <c r="M17" t="n">
        <v>15.91972866666666</v>
      </c>
      <c r="N17" t="n">
        <v>25.36933333333333</v>
      </c>
      <c r="O17" t="n">
        <v>25.36933333333333</v>
      </c>
      <c r="P17" t="n">
        <v>9.449604666666666</v>
      </c>
      <c r="Q17" t="n">
        <v>9.449604666666666</v>
      </c>
    </row>
    <row r="18">
      <c r="A18" t="n">
        <v>16</v>
      </c>
      <c r="B18" s="3" t="n">
        <v>44682</v>
      </c>
      <c r="C18" t="inlineStr">
        <is>
          <t>Actual</t>
        </is>
      </c>
      <c r="D18" t="n">
        <v>4.855322580645161</v>
      </c>
      <c r="E18" t="n">
        <v>5.277774193548387</v>
      </c>
      <c r="F18" t="n">
        <v>0.2358387096774194</v>
      </c>
      <c r="G18" t="n">
        <v>0.3918387096774194</v>
      </c>
      <c r="H18" t="n">
        <v>0.003483870967741936</v>
      </c>
      <c r="I18" t="n">
        <v>4.411511290322581</v>
      </c>
      <c r="J18" t="n">
        <v>2.805161290322581</v>
      </c>
      <c r="K18" t="n">
        <v>17.98093064516129</v>
      </c>
      <c r="L18" t="n">
        <v>4.411511290322581</v>
      </c>
      <c r="M18" t="n">
        <v>17.98093064516129</v>
      </c>
      <c r="N18" t="n">
        <v>24.7518064516129</v>
      </c>
      <c r="O18" t="n">
        <v>24.7518064516129</v>
      </c>
      <c r="P18" t="n">
        <v>6.77087580645161</v>
      </c>
      <c r="Q18" t="n">
        <v>6.77087580645161</v>
      </c>
    </row>
    <row r="19">
      <c r="A19" t="n">
        <v>17</v>
      </c>
      <c r="B19" s="3" t="n">
        <v>44713</v>
      </c>
      <c r="C19" t="inlineStr">
        <is>
          <t>Actual</t>
        </is>
      </c>
      <c r="D19" t="n">
        <v>6.1464</v>
      </c>
      <c r="E19" t="n">
        <v>5.399933333333333</v>
      </c>
      <c r="F19" t="n">
        <v>0.2081</v>
      </c>
      <c r="G19" t="n">
        <v>0.3769333333333333</v>
      </c>
      <c r="H19" t="n">
        <v>0.0035</v>
      </c>
      <c r="I19" t="n">
        <v>2.944598666666666</v>
      </c>
      <c r="J19" t="n">
        <v>2.674066666666667</v>
      </c>
      <c r="K19" t="n">
        <v>17.753532</v>
      </c>
      <c r="L19" t="n">
        <v>2.944598666666666</v>
      </c>
      <c r="M19" t="n">
        <v>17.753532</v>
      </c>
      <c r="N19" t="n">
        <v>24.54246666666667</v>
      </c>
      <c r="O19" t="n">
        <v>24.54246666666667</v>
      </c>
      <c r="P19" t="n">
        <v>6.78893466666667</v>
      </c>
      <c r="Q19" t="n">
        <v>6.78893466666667</v>
      </c>
    </row>
    <row r="20">
      <c r="A20" t="n">
        <v>18</v>
      </c>
      <c r="B20" s="3" t="n">
        <v>44743</v>
      </c>
      <c r="C20" t="inlineStr">
        <is>
          <t>Actual</t>
        </is>
      </c>
      <c r="D20" t="n">
        <v>7.247</v>
      </c>
      <c r="E20" t="n">
        <v>5.349774193548387</v>
      </c>
      <c r="F20" t="n">
        <v>0.198</v>
      </c>
      <c r="G20" t="n">
        <v>0.3811935483870968</v>
      </c>
      <c r="H20" t="n">
        <v>0.003483870967741936</v>
      </c>
      <c r="I20" t="n">
        <v>2.218009354838709</v>
      </c>
      <c r="J20" t="n">
        <v>2.817677419354839</v>
      </c>
      <c r="K20" t="n">
        <v>18.21513838709678</v>
      </c>
      <c r="L20" t="n">
        <v>2.218009354838709</v>
      </c>
      <c r="M20" t="n">
        <v>18.21513838709678</v>
      </c>
      <c r="N20" t="n">
        <v>24.48077419354838</v>
      </c>
      <c r="O20" t="n">
        <v>24.48077419354838</v>
      </c>
      <c r="P20" t="n">
        <v>6.265635806451606</v>
      </c>
      <c r="Q20" t="n">
        <v>6.265635806451606</v>
      </c>
    </row>
    <row r="21">
      <c r="A21" t="n">
        <v>19</v>
      </c>
      <c r="B21" s="3" t="n">
        <v>44774</v>
      </c>
      <c r="C21" t="inlineStr">
        <is>
          <t>Actual</t>
        </is>
      </c>
      <c r="D21" t="n">
        <v>7.078322580645161</v>
      </c>
      <c r="E21" t="n">
        <v>5.306225806451613</v>
      </c>
      <c r="F21" t="n">
        <v>0.1731290322580645</v>
      </c>
      <c r="G21" t="n">
        <v>0.3629354838709677</v>
      </c>
      <c r="H21" t="n">
        <v>0.003483870967741936</v>
      </c>
      <c r="I21" t="n">
        <v>2.229507096774194</v>
      </c>
      <c r="J21" t="n">
        <v>2.790903225806451</v>
      </c>
      <c r="K21" t="n">
        <v>17.9445070967742</v>
      </c>
      <c r="L21" t="n">
        <v>2.229507096774194</v>
      </c>
      <c r="M21" t="n">
        <v>17.9445070967742</v>
      </c>
      <c r="N21" t="n">
        <v>25.02229032258064</v>
      </c>
      <c r="O21" t="n">
        <v>25.02229032258064</v>
      </c>
      <c r="P21" t="n">
        <v>7.077783225806446</v>
      </c>
      <c r="Q21" t="n">
        <v>7.077783225806446</v>
      </c>
    </row>
    <row r="22">
      <c r="A22" t="n">
        <v>20</v>
      </c>
      <c r="B22" s="3" t="n">
        <v>44805</v>
      </c>
      <c r="C22" t="inlineStr">
        <is>
          <t>Actual</t>
        </is>
      </c>
      <c r="D22" t="n">
        <v>6.03</v>
      </c>
      <c r="E22" t="n">
        <v>5.1567</v>
      </c>
      <c r="F22" t="n">
        <v>0.1889666666666667</v>
      </c>
      <c r="G22" t="n">
        <v>0.3755333333333334</v>
      </c>
      <c r="H22" t="n">
        <v>0.0035</v>
      </c>
      <c r="I22" t="n">
        <v>2.173133</v>
      </c>
      <c r="J22" t="n">
        <v>2.759933333333333</v>
      </c>
      <c r="K22" t="n">
        <v>16.68776633333334</v>
      </c>
      <c r="L22" t="n">
        <v>2.173133</v>
      </c>
      <c r="M22" t="n">
        <v>16.68776633333334</v>
      </c>
      <c r="N22" t="n">
        <v>25.65153333333333</v>
      </c>
      <c r="O22" t="n">
        <v>25.65153333333333</v>
      </c>
      <c r="P22" t="n">
        <v>8.963766999999994</v>
      </c>
      <c r="Q22" t="n">
        <v>8.963766999999994</v>
      </c>
    </row>
    <row r="23">
      <c r="A23" t="n">
        <v>21</v>
      </c>
      <c r="B23" s="3" t="n">
        <v>44835</v>
      </c>
      <c r="C23" t="inlineStr">
        <is>
          <t>Actual</t>
        </is>
      </c>
      <c r="D23" t="n">
        <v>4.475677419354839</v>
      </c>
      <c r="E23" t="n">
        <v>5.268645161290323</v>
      </c>
      <c r="F23" t="n">
        <v>0.2959032258064516</v>
      </c>
      <c r="G23" t="n">
        <v>0.4337741935483871</v>
      </c>
      <c r="H23" t="n">
        <v>0.003483870967741936</v>
      </c>
      <c r="I23" t="n">
        <v>2.348281935483871</v>
      </c>
      <c r="J23" t="n">
        <v>2.740677419354839</v>
      </c>
      <c r="K23" t="n">
        <v>15.56644322580645</v>
      </c>
      <c r="L23" t="n">
        <v>2.348281935483871</v>
      </c>
      <c r="M23" t="n">
        <v>15.56644322580645</v>
      </c>
      <c r="N23" t="n">
        <v>25.33190322580645</v>
      </c>
      <c r="O23" t="n">
        <v>25.33190322580645</v>
      </c>
      <c r="P23" t="n">
        <v>9.765459999999997</v>
      </c>
      <c r="Q23" t="n">
        <v>9.765459999999997</v>
      </c>
    </row>
    <row r="24">
      <c r="A24" t="n">
        <v>22</v>
      </c>
      <c r="B24" s="3" t="n">
        <v>44866</v>
      </c>
      <c r="C24" t="inlineStr">
        <is>
          <t>Actual</t>
        </is>
      </c>
      <c r="D24" t="n">
        <v>4.325966666666666</v>
      </c>
      <c r="E24" t="n">
        <v>5.461066666666667</v>
      </c>
      <c r="F24" t="n">
        <v>0.8497333333333333</v>
      </c>
      <c r="G24" t="n">
        <v>0.7006</v>
      </c>
      <c r="H24" t="n">
        <v>0.0035</v>
      </c>
      <c r="I24" t="n">
        <v>2.072017333333334</v>
      </c>
      <c r="J24" t="n">
        <v>2.750966666666667</v>
      </c>
      <c r="K24" t="n">
        <v>16.16385066666667</v>
      </c>
      <c r="L24" t="n">
        <v>2.072017333333334</v>
      </c>
      <c r="M24" t="n">
        <v>16.16385066666667</v>
      </c>
      <c r="N24" t="n">
        <v>25.37643333333333</v>
      </c>
      <c r="O24" t="n">
        <v>25.37643333333333</v>
      </c>
      <c r="P24" t="n">
        <v>9.212582666666663</v>
      </c>
      <c r="Q24" t="n">
        <v>9.212582666666663</v>
      </c>
    </row>
    <row r="25">
      <c r="A25" t="n">
        <v>23</v>
      </c>
      <c r="B25" s="3" t="n">
        <v>44896</v>
      </c>
      <c r="C25" t="inlineStr">
        <is>
          <t>Actual</t>
        </is>
      </c>
      <c r="D25" t="n">
        <v>4.625387096774193</v>
      </c>
      <c r="E25" t="n">
        <v>5.226</v>
      </c>
      <c r="F25" t="n">
        <v>1.168129032258065</v>
      </c>
      <c r="G25" t="n">
        <v>0.7404838709677419</v>
      </c>
      <c r="H25" t="n">
        <v>0.003483870967741936</v>
      </c>
      <c r="I25" t="n">
        <v>2.254506774193549</v>
      </c>
      <c r="J25" t="n">
        <v>2.523516129032258</v>
      </c>
      <c r="K25" t="n">
        <v>16.54150677419355</v>
      </c>
      <c r="L25" t="n">
        <v>2.254506774193549</v>
      </c>
      <c r="M25" t="n">
        <v>16.54150677419355</v>
      </c>
      <c r="N25" t="n">
        <v>25.55032258064516</v>
      </c>
      <c r="O25" t="n">
        <v>25.55032258064516</v>
      </c>
      <c r="P25" t="n">
        <v>9.008815806451612</v>
      </c>
      <c r="Q25" t="n">
        <v>9.008815806451612</v>
      </c>
    </row>
    <row r="26">
      <c r="A26" t="n">
        <v>24</v>
      </c>
      <c r="B26" s="3" t="n">
        <v>44927</v>
      </c>
      <c r="C26" t="inlineStr">
        <is>
          <t>Actual</t>
        </is>
      </c>
      <c r="D26" t="n">
        <v>4.131806451612904</v>
      </c>
      <c r="E26" t="n">
        <v>5.51583870967742</v>
      </c>
      <c r="F26" t="n">
        <v>1.208774193548387</v>
      </c>
      <c r="G26" t="n">
        <v>0.7606774193548387</v>
      </c>
      <c r="H26" t="n">
        <v>0.002548387096774193</v>
      </c>
      <c r="I26" t="n">
        <v>2.199971612903226</v>
      </c>
      <c r="J26" t="n">
        <v>2.707741935483871</v>
      </c>
      <c r="K26" t="n">
        <v>16.52735870967742</v>
      </c>
      <c r="L26" t="n">
        <v>2.199971612903226</v>
      </c>
      <c r="M26" t="n">
        <v>16.52735870967742</v>
      </c>
      <c r="N26" t="n">
        <v>25.18170967741936</v>
      </c>
      <c r="O26" t="n">
        <v>25.18170967741936</v>
      </c>
      <c r="P26" t="n">
        <v>8.654350967741937</v>
      </c>
      <c r="Q26" t="n">
        <v>8.654350967741937</v>
      </c>
    </row>
    <row r="27">
      <c r="A27" t="n">
        <v>25</v>
      </c>
      <c r="B27" s="3" t="n">
        <v>44958</v>
      </c>
      <c r="C27" t="inlineStr">
        <is>
          <t>Actual</t>
        </is>
      </c>
      <c r="D27" t="n">
        <v>4.249357142857143</v>
      </c>
      <c r="E27" t="n">
        <v>5.526035714285714</v>
      </c>
      <c r="F27" t="n">
        <v>1.250571428571429</v>
      </c>
      <c r="G27" t="n">
        <v>0.8006071428571429</v>
      </c>
      <c r="H27" t="n">
        <v>0.002535714285714286</v>
      </c>
      <c r="I27" t="n">
        <v>2.945725</v>
      </c>
      <c r="J27" t="n">
        <v>2.707571428571429</v>
      </c>
      <c r="K27" t="n">
        <v>17.48240357142857</v>
      </c>
      <c r="L27" t="n">
        <v>2.945725</v>
      </c>
      <c r="M27" t="n">
        <v>17.48240357142857</v>
      </c>
      <c r="N27" t="n">
        <v>25.22707142857143</v>
      </c>
      <c r="O27" t="n">
        <v>25.22707142857143</v>
      </c>
      <c r="P27" t="n">
        <v>7.744667857142858</v>
      </c>
      <c r="Q27" t="n">
        <v>7.744667857142858</v>
      </c>
    </row>
    <row r="28">
      <c r="A28" t="n">
        <v>26</v>
      </c>
      <c r="B28" s="3" t="n">
        <v>44986</v>
      </c>
      <c r="C28" t="inlineStr">
        <is>
          <t>Actual</t>
        </is>
      </c>
      <c r="D28" t="n">
        <v>3.893903225806452</v>
      </c>
      <c r="E28" t="n">
        <v>5.402161290322581</v>
      </c>
      <c r="F28" t="n">
        <v>0.694516129032258</v>
      </c>
      <c r="G28" t="n">
        <v>0.615225806451613</v>
      </c>
      <c r="H28" t="n">
        <v>0.002548387096774193</v>
      </c>
      <c r="I28" t="n">
        <v>3.37980870967742</v>
      </c>
      <c r="J28" t="n">
        <v>2.856064516129032</v>
      </c>
      <c r="K28" t="n">
        <v>16.84422806451613</v>
      </c>
      <c r="L28" t="n">
        <v>3.37980870967742</v>
      </c>
      <c r="M28" t="n">
        <v>16.84422806451613</v>
      </c>
      <c r="N28" t="n">
        <v>26.69438709677419</v>
      </c>
      <c r="O28" t="n">
        <v>26.69438709677419</v>
      </c>
      <c r="P28" t="n">
        <v>9.850159032258059</v>
      </c>
      <c r="Q28" t="n">
        <v>9.850159032258059</v>
      </c>
    </row>
    <row r="29">
      <c r="A29" t="n">
        <v>27</v>
      </c>
      <c r="B29" s="3" t="n">
        <v>45017</v>
      </c>
      <c r="C29" t="inlineStr">
        <is>
          <t>Actual</t>
        </is>
      </c>
      <c r="D29" t="n">
        <v>3.9954</v>
      </c>
      <c r="E29" t="n">
        <v>5.470466666666666</v>
      </c>
      <c r="F29" t="n">
        <v>0.4013333333333333</v>
      </c>
      <c r="G29" t="n">
        <v>0.4463666666666667</v>
      </c>
      <c r="H29" t="n">
        <v>0.002533333333333333</v>
      </c>
      <c r="I29" t="n">
        <v>4.289840333333334</v>
      </c>
      <c r="J29" t="n">
        <v>2.752766666666667</v>
      </c>
      <c r="K29" t="n">
        <v>17.358707</v>
      </c>
      <c r="L29" t="n">
        <v>4.289840333333334</v>
      </c>
      <c r="M29" t="n">
        <v>17.358707</v>
      </c>
      <c r="N29" t="n">
        <v>26.09276666666667</v>
      </c>
      <c r="O29" t="n">
        <v>26.09276666666667</v>
      </c>
      <c r="P29" t="n">
        <v>8.734059666666667</v>
      </c>
      <c r="Q29" t="n">
        <v>8.734059666666667</v>
      </c>
    </row>
    <row r="30">
      <c r="A30" t="n">
        <v>28</v>
      </c>
      <c r="B30" s="3" t="n">
        <v>45047</v>
      </c>
      <c r="C30" t="inlineStr">
        <is>
          <t>Actual</t>
        </is>
      </c>
      <c r="D30" t="n">
        <v>5.581419354838709</v>
      </c>
      <c r="E30" t="n">
        <v>5.328387096774193</v>
      </c>
      <c r="F30" t="n">
        <v>0.2346774193548387</v>
      </c>
      <c r="G30" t="n">
        <v>0.4124516129032258</v>
      </c>
      <c r="H30" t="n">
        <v>0.002548387096774193</v>
      </c>
      <c r="I30" t="n">
        <v>4.435456129032259</v>
      </c>
      <c r="J30" t="n">
        <v>2.939967741935484</v>
      </c>
      <c r="K30" t="n">
        <v>18.93490774193548</v>
      </c>
      <c r="L30" t="n">
        <v>4.435456129032259</v>
      </c>
      <c r="M30" t="n">
        <v>18.93490774193548</v>
      </c>
      <c r="N30" t="n">
        <v>26.302</v>
      </c>
      <c r="O30" t="n">
        <v>26.302</v>
      </c>
      <c r="P30" t="n">
        <v>7.367092258064517</v>
      </c>
      <c r="Q30" t="n">
        <v>7.367092258064517</v>
      </c>
    </row>
    <row r="31">
      <c r="A31" t="n">
        <v>29</v>
      </c>
      <c r="B31" s="3" t="n">
        <v>45078</v>
      </c>
      <c r="C31" t="inlineStr">
        <is>
          <t>Actual</t>
        </is>
      </c>
      <c r="D31" t="n">
        <v>7.014966666666666</v>
      </c>
      <c r="E31" t="n">
        <v>5.343</v>
      </c>
      <c r="F31" t="n">
        <v>0.2256666666666667</v>
      </c>
      <c r="G31" t="n">
        <v>0.4073333333333333</v>
      </c>
      <c r="H31" t="n">
        <v>0.002533333333333333</v>
      </c>
      <c r="I31" t="n">
        <v>4.568444333333334</v>
      </c>
      <c r="J31" t="n">
        <v>3.368</v>
      </c>
      <c r="K31" t="n">
        <v>20.92994433333334</v>
      </c>
      <c r="L31" t="n">
        <v>4.568444333333334</v>
      </c>
      <c r="M31" t="n">
        <v>20.92994433333333</v>
      </c>
      <c r="N31" t="n">
        <v>25.9884</v>
      </c>
      <c r="O31" t="n">
        <v>25.9884</v>
      </c>
      <c r="P31" t="n">
        <v>5.058455666666664</v>
      </c>
      <c r="Q31" t="n">
        <v>5.058455666666667</v>
      </c>
    </row>
    <row r="32">
      <c r="A32" t="n">
        <v>30</v>
      </c>
      <c r="B32" s="3" t="n">
        <v>45108</v>
      </c>
      <c r="C32" t="inlineStr">
        <is>
          <t>Actual</t>
        </is>
      </c>
      <c r="D32" t="n">
        <v>7.577548387096774</v>
      </c>
      <c r="E32" t="n">
        <v>5.342064516129033</v>
      </c>
      <c r="F32" t="n">
        <v>0.2085161290322581</v>
      </c>
      <c r="G32" t="n">
        <v>0.4069354838709677</v>
      </c>
      <c r="H32" t="n">
        <v>0.002548387096774193</v>
      </c>
      <c r="I32" t="n">
        <v>4.154693225806452</v>
      </c>
      <c r="J32" t="n">
        <v>3.123096774193549</v>
      </c>
      <c r="K32" t="n">
        <v>20.81540290322581</v>
      </c>
      <c r="L32" t="n">
        <v>4.154693225806452</v>
      </c>
      <c r="M32" t="n">
        <v>20.81540290322581</v>
      </c>
      <c r="N32" t="n">
        <v>26.24264516129032</v>
      </c>
      <c r="O32" t="n">
        <v>26.24264516129032</v>
      </c>
      <c r="P32" t="n">
        <v>5.42724225806451</v>
      </c>
      <c r="Q32" t="n">
        <v>5.42724225806451</v>
      </c>
    </row>
    <row r="33">
      <c r="A33" t="n">
        <v>31</v>
      </c>
      <c r="B33" s="3" t="n">
        <v>45139</v>
      </c>
      <c r="C33" t="inlineStr">
        <is>
          <t>Actual</t>
        </is>
      </c>
      <c r="D33" t="n">
        <v>8.656483870967742</v>
      </c>
      <c r="E33" t="n">
        <v>5.447580645161291</v>
      </c>
      <c r="F33" t="n">
        <v>0.1878064516129032</v>
      </c>
      <c r="G33" t="n">
        <v>0.3826774193548387</v>
      </c>
      <c r="H33" t="n">
        <v>0.002548387096774193</v>
      </c>
      <c r="I33" t="n">
        <v>4.355429032258065</v>
      </c>
      <c r="J33" t="n">
        <v>3.173225806451613</v>
      </c>
      <c r="K33" t="n">
        <v>22.20575161290322</v>
      </c>
      <c r="L33" t="n">
        <v>4.355429032258065</v>
      </c>
      <c r="M33" t="n">
        <v>22.20575161290322</v>
      </c>
      <c r="N33" t="n">
        <v>26.59361290322581</v>
      </c>
      <c r="O33" t="n">
        <v>26.59361290322581</v>
      </c>
      <c r="P33" t="n">
        <v>4.387861290322586</v>
      </c>
      <c r="Q33" t="n">
        <v>4.387861290322586</v>
      </c>
    </row>
    <row r="34">
      <c r="A34" t="n">
        <v>32</v>
      </c>
      <c r="B34" s="3" t="n">
        <v>45170</v>
      </c>
      <c r="C34" t="inlineStr">
        <is>
          <t>Actual</t>
        </is>
      </c>
      <c r="D34" t="n">
        <v>7.155399999999999</v>
      </c>
      <c r="E34" t="n">
        <v>5.445399999999999</v>
      </c>
      <c r="F34" t="n">
        <v>0.1764</v>
      </c>
      <c r="G34" t="n">
        <v>0.3765</v>
      </c>
      <c r="H34" t="n">
        <v>0.002533333333333333</v>
      </c>
      <c r="I34" t="n">
        <v>4.119473333333334</v>
      </c>
      <c r="J34" t="n">
        <v>3.124733333333333</v>
      </c>
      <c r="K34" t="n">
        <v>20.40044</v>
      </c>
      <c r="L34" t="n">
        <v>4.119473333333334</v>
      </c>
      <c r="M34" t="n">
        <v>20.40044</v>
      </c>
      <c r="N34" t="n">
        <v>26.9492</v>
      </c>
      <c r="O34" t="n">
        <v>26.9492</v>
      </c>
      <c r="P34" t="n">
        <v>6.548760000000001</v>
      </c>
      <c r="Q34" t="n">
        <v>6.548760000000001</v>
      </c>
    </row>
    <row r="35">
      <c r="A35" t="n">
        <v>33</v>
      </c>
      <c r="B35" s="3" t="n">
        <v>45200</v>
      </c>
      <c r="C35" t="inlineStr">
        <is>
          <t>Actual</t>
        </is>
      </c>
      <c r="D35" t="n">
        <v>4.932032258064516</v>
      </c>
      <c r="E35" t="n">
        <v>5.434838709677419</v>
      </c>
      <c r="F35" t="n">
        <v>0.3194516129032258</v>
      </c>
      <c r="G35" t="n">
        <v>0.4662903225806452</v>
      </c>
      <c r="H35" t="n">
        <v>0.002548387096774193</v>
      </c>
      <c r="I35" t="n">
        <v>4.477333225806452</v>
      </c>
      <c r="J35" t="n">
        <v>3.054387096774194</v>
      </c>
      <c r="K35" t="n">
        <v>18.68688161290323</v>
      </c>
      <c r="L35" t="n">
        <v>4.477333225806452</v>
      </c>
      <c r="M35" t="n">
        <v>18.68688161290323</v>
      </c>
      <c r="N35" t="n">
        <v>26.96512903225807</v>
      </c>
      <c r="O35" t="n">
        <v>26.96512903225807</v>
      </c>
      <c r="P35" t="n">
        <v>8.278247419354841</v>
      </c>
      <c r="Q35" t="n">
        <v>8.278247419354841</v>
      </c>
    </row>
    <row r="36">
      <c r="A36" t="n">
        <v>34</v>
      </c>
      <c r="B36" s="3" t="n">
        <v>45231</v>
      </c>
      <c r="C36" t="inlineStr">
        <is>
          <t>Actual</t>
        </is>
      </c>
      <c r="D36" t="n">
        <v>4.633666666666667</v>
      </c>
      <c r="E36" t="n">
        <v>5.712766666666666</v>
      </c>
      <c r="F36" t="n">
        <v>0.6995</v>
      </c>
      <c r="G36" t="n">
        <v>0.6163</v>
      </c>
      <c r="H36" t="n">
        <v>0.002533333333333333</v>
      </c>
      <c r="I36" t="n">
        <v>4.525462</v>
      </c>
      <c r="J36" t="n">
        <v>2.908766666666667</v>
      </c>
      <c r="K36" t="n">
        <v>19.09899533333334</v>
      </c>
      <c r="L36" t="n">
        <v>4.525462</v>
      </c>
      <c r="M36" t="n">
        <v>19.09899533333334</v>
      </c>
      <c r="N36" t="n">
        <v>27.1668</v>
      </c>
      <c r="O36" t="n">
        <v>27.1668</v>
      </c>
      <c r="P36" t="n">
        <v>8.06780466666666</v>
      </c>
      <c r="Q36" t="n">
        <v>8.06780466666666</v>
      </c>
    </row>
    <row r="37">
      <c r="A37" t="n">
        <v>35</v>
      </c>
      <c r="B37" s="3" t="n">
        <v>45261</v>
      </c>
      <c r="C37" t="inlineStr">
        <is>
          <t>Actual</t>
        </is>
      </c>
      <c r="D37" t="n">
        <v>4.421</v>
      </c>
      <c r="E37" t="n">
        <v>5.817548387096775</v>
      </c>
      <c r="F37" t="n">
        <v>1.020774193548387</v>
      </c>
      <c r="G37" t="n">
        <v>0.7173548387096774</v>
      </c>
      <c r="H37" t="n">
        <v>0.002548387096774193</v>
      </c>
      <c r="I37" t="n">
        <v>4.761295806451614</v>
      </c>
      <c r="J37" t="n">
        <v>2.73416129032258</v>
      </c>
      <c r="K37" t="n">
        <v>19.47468290322581</v>
      </c>
      <c r="L37" t="n">
        <v>4.761295806451614</v>
      </c>
      <c r="M37" t="n">
        <v>19.47468290322581</v>
      </c>
      <c r="N37" t="n">
        <v>27.04570967741936</v>
      </c>
      <c r="O37" t="n">
        <v>27.04570967741936</v>
      </c>
      <c r="P37" t="n">
        <v>7.571026774193552</v>
      </c>
      <c r="Q37" t="n">
        <v>7.571026774193552</v>
      </c>
    </row>
    <row r="38">
      <c r="A38" t="n">
        <v>36</v>
      </c>
      <c r="B38" s="3" t="n">
        <v>45292</v>
      </c>
      <c r="C38" t="inlineStr">
        <is>
          <t>Actual</t>
        </is>
      </c>
      <c r="D38" t="n">
        <v>5.561419354838709</v>
      </c>
      <c r="E38" t="n">
        <v>5.737903225806452</v>
      </c>
      <c r="F38" t="n">
        <v>1.718290322580645</v>
      </c>
      <c r="G38" t="n">
        <v>0.9129677419354839</v>
      </c>
      <c r="H38" t="n">
        <v>0.007419354838709677</v>
      </c>
      <c r="I38" t="n">
        <v>4.002901935483871</v>
      </c>
      <c r="J38" t="n">
        <v>3.045290322580645</v>
      </c>
      <c r="K38" t="n">
        <v>20.98619225806452</v>
      </c>
      <c r="L38" t="n">
        <v>4.002901935483871</v>
      </c>
      <c r="M38" t="n">
        <v>20.98619225806451</v>
      </c>
      <c r="N38" t="n">
        <v>25.127</v>
      </c>
      <c r="O38" t="n">
        <v>25.127</v>
      </c>
      <c r="P38" t="n">
        <v>4.140807741935483</v>
      </c>
      <c r="Q38" t="n">
        <v>4.140807741935486</v>
      </c>
    </row>
    <row r="39">
      <c r="A39" t="n">
        <v>37</v>
      </c>
      <c r="B39" s="3" t="n">
        <v>45323</v>
      </c>
      <c r="C39" t="inlineStr">
        <is>
          <t>Actual</t>
        </is>
      </c>
      <c r="D39" t="n">
        <v>4.008068965517241</v>
      </c>
      <c r="E39" t="n">
        <v>5.536586206896551</v>
      </c>
      <c r="F39" t="n">
        <v>1.097586206896552</v>
      </c>
      <c r="G39" t="n">
        <v>0.764551724137931</v>
      </c>
      <c r="H39" t="n">
        <v>0.007413793103448276</v>
      </c>
      <c r="I39" t="n">
        <v>3.654431724137932</v>
      </c>
      <c r="J39" t="n">
        <v>2.881137931034483</v>
      </c>
      <c r="K39" t="n">
        <v>17.94977655172414</v>
      </c>
      <c r="L39" t="n">
        <v>3.654431724137932</v>
      </c>
      <c r="M39" t="n">
        <v>17.94977655172414</v>
      </c>
      <c r="N39" t="n">
        <v>26.47165517241379</v>
      </c>
      <c r="O39" t="n">
        <v>26.47165517241379</v>
      </c>
      <c r="P39" t="n">
        <v>8.521878620689652</v>
      </c>
      <c r="Q39" t="n">
        <v>8.521878620689652</v>
      </c>
    </row>
    <row r="40">
      <c r="A40" t="n">
        <v>38</v>
      </c>
      <c r="B40" s="3" t="n">
        <v>45352</v>
      </c>
      <c r="C40" t="inlineStr">
        <is>
          <t>Actual</t>
        </is>
      </c>
      <c r="D40" t="n">
        <v>4.475806451612903</v>
      </c>
      <c r="E40" t="n">
        <v>5.56</v>
      </c>
      <c r="F40" t="n">
        <v>0.5969677419354839</v>
      </c>
      <c r="G40" t="n">
        <v>0.5730645161290323</v>
      </c>
      <c r="H40" t="n">
        <v>0.007419354838709677</v>
      </c>
      <c r="I40" t="n">
        <v>3.077456774193548</v>
      </c>
      <c r="J40" t="n">
        <v>2.966548387096774</v>
      </c>
      <c r="K40" t="n">
        <v>17.25726322580645</v>
      </c>
      <c r="L40" t="n">
        <v>3.077456774193548</v>
      </c>
      <c r="M40" t="n">
        <v>17.25726322580645</v>
      </c>
      <c r="N40" t="n">
        <v>26.71183870967742</v>
      </c>
      <c r="O40" t="n">
        <v>26.71183870967742</v>
      </c>
      <c r="P40" t="n">
        <v>9.454575483870968</v>
      </c>
      <c r="Q40" t="n">
        <v>9.454575483870968</v>
      </c>
    </row>
    <row r="41">
      <c r="A41" t="n">
        <v>39</v>
      </c>
      <c r="B41" s="3" t="n">
        <v>45383</v>
      </c>
      <c r="C41" t="inlineStr">
        <is>
          <t>Actual</t>
        </is>
      </c>
      <c r="D41" t="n">
        <v>4.507533333333334</v>
      </c>
      <c r="E41" t="n">
        <v>5.455</v>
      </c>
      <c r="F41" t="n">
        <v>0.3352</v>
      </c>
      <c r="G41" t="n">
        <v>0.4414666666666666</v>
      </c>
      <c r="H41" t="n">
        <v>0.0074</v>
      </c>
      <c r="I41" t="n">
        <v>2.211428333333334</v>
      </c>
      <c r="J41" t="n">
        <v>3.1878</v>
      </c>
      <c r="K41" t="n">
        <v>16.14582833333333</v>
      </c>
      <c r="L41" t="n">
        <v>2.211428333333334</v>
      </c>
      <c r="M41" t="n">
        <v>16.14582833333333</v>
      </c>
      <c r="N41" t="n">
        <v>26.68763333333333</v>
      </c>
      <c r="O41" t="n">
        <v>26.68763333333333</v>
      </c>
      <c r="P41" t="n">
        <v>10.541805</v>
      </c>
      <c r="Q41" t="n">
        <v>10.541805</v>
      </c>
    </row>
    <row r="42">
      <c r="A42" t="n">
        <v>40</v>
      </c>
      <c r="B42" s="3" t="n">
        <v>45413</v>
      </c>
      <c r="C42" t="inlineStr">
        <is>
          <t>Actual</t>
        </is>
      </c>
      <c r="D42" t="n">
        <v>6.010064516129032</v>
      </c>
      <c r="E42" t="n">
        <v>5.232161290322581</v>
      </c>
      <c r="F42" t="n">
        <v>0.2444516129032258</v>
      </c>
      <c r="G42" t="n">
        <v>0.4193225806451613</v>
      </c>
      <c r="H42" t="n">
        <v>0.007419354838709677</v>
      </c>
      <c r="I42" t="n">
        <v>4.10494</v>
      </c>
      <c r="J42" t="n">
        <v>3.257677419354839</v>
      </c>
      <c r="K42" t="n">
        <v>19.27603677419355</v>
      </c>
      <c r="L42" t="n">
        <v>4.10494</v>
      </c>
      <c r="M42" t="n">
        <v>19.27603677419355</v>
      </c>
      <c r="N42" t="n">
        <v>27.57170967741936</v>
      </c>
      <c r="O42" t="n">
        <v>27.57170967741936</v>
      </c>
      <c r="P42" t="n">
        <v>8.29567290322581</v>
      </c>
      <c r="Q42" t="n">
        <v>8.29567290322581</v>
      </c>
    </row>
    <row r="43">
      <c r="A43" t="n">
        <v>41</v>
      </c>
      <c r="B43" s="3" t="n">
        <v>45444</v>
      </c>
      <c r="C43" t="inlineStr">
        <is>
          <t>Actual</t>
        </is>
      </c>
      <c r="D43" t="n">
        <v>6.976733333333334</v>
      </c>
      <c r="E43" t="n">
        <v>5.412633333333333</v>
      </c>
      <c r="F43" t="n">
        <v>0.2411666666666667</v>
      </c>
      <c r="G43" t="n">
        <v>0.4122</v>
      </c>
      <c r="H43" t="n">
        <v>0.0074</v>
      </c>
      <c r="I43" t="n">
        <v>4.706075</v>
      </c>
      <c r="J43" t="n">
        <v>3.117133333333333</v>
      </c>
      <c r="K43" t="n">
        <v>20.87334166666666</v>
      </c>
      <c r="L43" t="n">
        <v>4.706075</v>
      </c>
      <c r="M43" t="n">
        <v>20.87334166666666</v>
      </c>
      <c r="N43" t="n">
        <v>27.7913</v>
      </c>
      <c r="O43" t="n">
        <v>27.7913</v>
      </c>
      <c r="P43" t="n">
        <v>6.917958333333335</v>
      </c>
      <c r="Q43" t="n">
        <v>6.917958333333338</v>
      </c>
    </row>
    <row r="44">
      <c r="A44" t="n">
        <v>42</v>
      </c>
      <c r="B44" s="3" t="n">
        <v>45474</v>
      </c>
      <c r="C44" t="inlineStr">
        <is>
          <t>Actual</t>
        </is>
      </c>
      <c r="D44" t="n">
        <v>7.261322580645161</v>
      </c>
      <c r="E44" t="n">
        <v>5.511741935483871</v>
      </c>
      <c r="F44" t="n">
        <v>0.2387096774193548</v>
      </c>
      <c r="G44" t="n">
        <v>0.4077096774193548</v>
      </c>
      <c r="H44" t="n">
        <v>0.007419354838709677</v>
      </c>
      <c r="I44" t="n">
        <v>2.888535161290323</v>
      </c>
      <c r="J44" t="n">
        <v>3.147096774193549</v>
      </c>
      <c r="K44" t="n">
        <v>19.46253516129033</v>
      </c>
      <c r="L44" t="n">
        <v>2.888535161290323</v>
      </c>
      <c r="M44" t="n">
        <v>19.46253516129033</v>
      </c>
      <c r="N44" t="n">
        <v>27.72906451612904</v>
      </c>
      <c r="O44" t="n">
        <v>27.72906451612904</v>
      </c>
      <c r="P44" t="n">
        <v>8.266529354838713</v>
      </c>
      <c r="Q44" t="n">
        <v>8.266529354838713</v>
      </c>
    </row>
    <row r="45">
      <c r="A45" t="n">
        <v>43</v>
      </c>
      <c r="B45" s="3" t="n">
        <v>45505</v>
      </c>
      <c r="C45" t="inlineStr">
        <is>
          <t>Actual</t>
        </is>
      </c>
      <c r="D45" t="n">
        <v>8.358483870967742</v>
      </c>
      <c r="E45" t="n">
        <v>5.637741935483871</v>
      </c>
      <c r="F45" t="n">
        <v>0.2118709677419355</v>
      </c>
      <c r="G45" t="n">
        <v>0.3919677419354838</v>
      </c>
      <c r="H45" t="n">
        <v>0.007419354838709677</v>
      </c>
      <c r="I45" t="n">
        <v>4.445793548387098</v>
      </c>
      <c r="J45" t="n">
        <v>3.193548387096774</v>
      </c>
      <c r="K45" t="n">
        <v>22.24682580645161</v>
      </c>
      <c r="L45" t="n">
        <v>4.445793548387098</v>
      </c>
      <c r="M45" t="n">
        <v>22.24682580645161</v>
      </c>
      <c r="N45" t="n">
        <v>27.9198064516129</v>
      </c>
      <c r="O45" t="n">
        <v>27.9198064516129</v>
      </c>
      <c r="P45" t="n">
        <v>5.672980645161289</v>
      </c>
      <c r="Q45" t="n">
        <v>5.672980645161289</v>
      </c>
    </row>
    <row r="46">
      <c r="A46" t="n">
        <v>44</v>
      </c>
      <c r="B46" s="3" t="n">
        <v>45536</v>
      </c>
      <c r="C46" t="inlineStr">
        <is>
          <t>Actual</t>
        </is>
      </c>
      <c r="D46" t="n">
        <v>6.897866666666666</v>
      </c>
      <c r="E46" t="n">
        <v>5.5316</v>
      </c>
      <c r="F46" t="n">
        <v>0.2098333333333333</v>
      </c>
      <c r="G46" t="n">
        <v>0.4142666666666667</v>
      </c>
      <c r="H46" t="n">
        <v>0.0074</v>
      </c>
      <c r="I46" t="n">
        <v>4.636932666666667</v>
      </c>
      <c r="J46" t="n">
        <v>3.0912</v>
      </c>
      <c r="K46" t="n">
        <v>20.78909933333333</v>
      </c>
      <c r="L46" t="n">
        <v>4.636932666666667</v>
      </c>
      <c r="M46" t="n">
        <v>20.78909933333333</v>
      </c>
      <c r="N46" t="n">
        <v>28.2645</v>
      </c>
      <c r="O46" t="n">
        <v>28.2645</v>
      </c>
      <c r="P46" t="n">
        <v>7.475400666666669</v>
      </c>
      <c r="Q46" t="n">
        <v>7.475400666666669</v>
      </c>
    </row>
    <row r="47">
      <c r="A47" t="n">
        <v>45</v>
      </c>
      <c r="B47" s="3" t="n">
        <v>45566</v>
      </c>
      <c r="C47" t="inlineStr">
        <is>
          <t>Actual</t>
        </is>
      </c>
      <c r="D47" t="n">
        <v>5.92516129032258</v>
      </c>
      <c r="E47" t="n">
        <v>5.303709677419355</v>
      </c>
      <c r="F47" t="n">
        <v>0.2420322580645161</v>
      </c>
      <c r="G47" t="n">
        <v>0.4293548387096774</v>
      </c>
      <c r="H47" t="n">
        <v>0.007419354838709677</v>
      </c>
      <c r="I47" t="n">
        <v>4.77529</v>
      </c>
      <c r="J47" t="n">
        <v>2.869387096774194</v>
      </c>
      <c r="K47" t="n">
        <v>19.55235451612903</v>
      </c>
      <c r="L47" t="n">
        <v>4.77529</v>
      </c>
      <c r="M47" t="n">
        <v>19.55235451612903</v>
      </c>
      <c r="N47" t="n">
        <v>28.559</v>
      </c>
      <c r="O47" t="n">
        <v>28.559</v>
      </c>
      <c r="P47" t="n">
        <v>9.006645483870969</v>
      </c>
      <c r="Q47" t="n">
        <v>9.006645483870969</v>
      </c>
    </row>
    <row r="48">
      <c r="A48" t="n">
        <v>46</v>
      </c>
      <c r="B48" s="3" t="n">
        <v>45597</v>
      </c>
      <c r="C48" t="inlineStr">
        <is>
          <t>Actual</t>
        </is>
      </c>
      <c r="D48" t="n">
        <v>4.806333333333333</v>
      </c>
      <c r="E48" t="n">
        <v>5.701866666666667</v>
      </c>
      <c r="F48" t="n">
        <v>0.4328666666666667</v>
      </c>
      <c r="G48" t="n">
        <v>0.5004</v>
      </c>
      <c r="H48" t="n">
        <v>0.0074</v>
      </c>
      <c r="I48" t="n">
        <v>4.40033</v>
      </c>
      <c r="J48" t="n">
        <v>2.7428</v>
      </c>
      <c r="K48" t="n">
        <v>18.59199666666667</v>
      </c>
      <c r="L48" t="n">
        <v>4.40033</v>
      </c>
      <c r="M48" t="n">
        <v>18.59199666666667</v>
      </c>
      <c r="N48" t="n">
        <v>28.28536666666666</v>
      </c>
      <c r="O48" t="n">
        <v>28.28536666666666</v>
      </c>
      <c r="P48" t="n">
        <v>9.693369999999994</v>
      </c>
      <c r="Q48" t="n">
        <v>9.693369999999994</v>
      </c>
    </row>
    <row r="49">
      <c r="A49" t="n">
        <v>47</v>
      </c>
      <c r="B49" s="3" t="n">
        <v>45627</v>
      </c>
      <c r="C49" t="inlineStr">
        <is>
          <t>Actual</t>
        </is>
      </c>
      <c r="D49" t="n">
        <v>4.653419354838709</v>
      </c>
      <c r="E49" t="n">
        <v>6.043483870967742</v>
      </c>
      <c r="F49" t="n">
        <v>0.8987419354838709</v>
      </c>
      <c r="G49" t="n">
        <v>0.681483870967742</v>
      </c>
      <c r="H49" t="n">
        <v>0.007419354838709677</v>
      </c>
      <c r="I49" t="n">
        <v>4.759608064516129</v>
      </c>
      <c r="J49" t="n">
        <v>2.697645161290323</v>
      </c>
      <c r="K49" t="n">
        <v>19.74180161290323</v>
      </c>
      <c r="L49" t="n">
        <v>4.759608064516129</v>
      </c>
      <c r="M49" t="n">
        <v>19.74180161290323</v>
      </c>
      <c r="N49" t="n">
        <v>28.49945161290323</v>
      </c>
      <c r="O49" t="n">
        <v>28.49945161290323</v>
      </c>
      <c r="P49" t="n">
        <v>8.757649999999998</v>
      </c>
      <c r="Q49" t="n">
        <v>8.757649999999998</v>
      </c>
    </row>
    <row r="50">
      <c r="A50" t="n">
        <v>48</v>
      </c>
      <c r="B50" s="3" t="n">
        <v>45658</v>
      </c>
      <c r="C50" t="inlineStr">
        <is>
          <t>Actual</t>
        </is>
      </c>
      <c r="D50" t="n">
        <v>5.869</v>
      </c>
      <c r="E50" t="n">
        <v>5.845741935483871</v>
      </c>
      <c r="F50" t="n">
        <v>2.010354838709677</v>
      </c>
      <c r="G50" t="n">
        <v>1.101387096774194</v>
      </c>
      <c r="H50" t="n">
        <v>0.006193548387096774</v>
      </c>
      <c r="I50" t="n">
        <v>4.154271290322582</v>
      </c>
      <c r="J50" t="n">
        <v>3.12958064516129</v>
      </c>
      <c r="K50" t="n">
        <v>22.11652935483871</v>
      </c>
      <c r="L50" t="n">
        <v>4.154271290322582</v>
      </c>
      <c r="M50" t="n">
        <v>22.11652935483871</v>
      </c>
      <c r="N50" t="n">
        <v>28.24405679752158</v>
      </c>
      <c r="O50" t="n">
        <v>28.24405679752158</v>
      </c>
      <c r="P50" t="n">
        <v>6.127527442682869</v>
      </c>
      <c r="Q50" t="n">
        <v>6.127527442682869</v>
      </c>
    </row>
    <row r="51">
      <c r="A51" t="n">
        <v>49</v>
      </c>
      <c r="B51" s="3" t="n">
        <v>45689</v>
      </c>
      <c r="C51" t="inlineStr">
        <is>
          <t>Actual</t>
        </is>
      </c>
      <c r="D51" t="n">
        <v>5.272785714285715</v>
      </c>
      <c r="E51" t="n">
        <v>5.759535714285715</v>
      </c>
      <c r="F51" t="n">
        <v>1.569142857142857</v>
      </c>
      <c r="G51" t="n">
        <v>0.9613214285714285</v>
      </c>
      <c r="H51" t="n">
        <v>0.006214285714285715</v>
      </c>
      <c r="I51" t="n">
        <v>4.985854642857143</v>
      </c>
      <c r="J51" t="n">
        <v>3.037857142857143</v>
      </c>
      <c r="K51" t="n">
        <v>21.59271178571429</v>
      </c>
      <c r="L51" t="n">
        <v>4.985854642857143</v>
      </c>
      <c r="M51" t="n">
        <v>21.59271178571429</v>
      </c>
      <c r="N51" t="n">
        <v>28.33351354931359</v>
      </c>
      <c r="O51" t="n">
        <v>28.33351354931359</v>
      </c>
      <c r="P51" t="n">
        <v>6.740801763599304</v>
      </c>
      <c r="Q51" t="n">
        <v>6.740801763599304</v>
      </c>
    </row>
    <row r="52">
      <c r="A52" t="n">
        <v>50</v>
      </c>
      <c r="B52" s="3" t="n">
        <v>45717</v>
      </c>
      <c r="C52" t="inlineStr">
        <is>
          <t>Actual</t>
        </is>
      </c>
      <c r="D52" t="n">
        <v>3.69841935483871</v>
      </c>
      <c r="E52" t="n">
        <v>5.697580645161291</v>
      </c>
      <c r="F52" t="n">
        <v>0.5337741935483871</v>
      </c>
      <c r="G52" t="n">
        <v>0.4649354838709677</v>
      </c>
      <c r="H52" t="n">
        <v>0.006193548387096774</v>
      </c>
      <c r="I52" t="n">
        <v>4.598463870967742</v>
      </c>
      <c r="J52" t="n">
        <v>2.864387096774194</v>
      </c>
      <c r="K52" t="n">
        <v>17.86375419354839</v>
      </c>
      <c r="L52" t="n">
        <v>4.598463870967742</v>
      </c>
      <c r="M52" t="n">
        <v>17.86375419354839</v>
      </c>
      <c r="N52" t="n">
        <v>28.42087368859537</v>
      </c>
      <c r="O52" t="n">
        <v>28.42087368859537</v>
      </c>
      <c r="P52" t="n">
        <v>10.55711949504698</v>
      </c>
      <c r="Q52" t="n">
        <v>10.55711949504698</v>
      </c>
    </row>
    <row r="53">
      <c r="A53" t="n">
        <v>51</v>
      </c>
      <c r="B53" s="3" t="n">
        <v>45748</v>
      </c>
      <c r="C53" t="inlineStr">
        <is>
          <t>Actual</t>
        </is>
      </c>
      <c r="D53" t="n">
        <v>4.2876</v>
      </c>
      <c r="E53" t="n">
        <v>5.537833333333333</v>
      </c>
      <c r="F53" t="n">
        <v>0.4167</v>
      </c>
      <c r="G53" t="n">
        <v>0.5441666666666666</v>
      </c>
      <c r="H53" t="n">
        <v>0.0062</v>
      </c>
      <c r="I53" t="n">
        <v>4.81889</v>
      </c>
      <c r="J53" t="n">
        <v>3.252</v>
      </c>
      <c r="K53" t="n">
        <v>18.86339</v>
      </c>
      <c r="L53" t="n">
        <v>4.81889</v>
      </c>
      <c r="M53" t="n">
        <v>18.86339</v>
      </c>
      <c r="N53" t="n">
        <v>28.66872758850139</v>
      </c>
      <c r="O53" t="n">
        <v>28.66872758850139</v>
      </c>
      <c r="P53" t="n">
        <v>9.805337588501391</v>
      </c>
      <c r="Q53" t="n">
        <v>9.805337588501391</v>
      </c>
    </row>
    <row r="54">
      <c r="A54" t="n">
        <v>52</v>
      </c>
      <c r="B54" s="3" t="n">
        <v>45778</v>
      </c>
      <c r="C54" t="inlineStr">
        <is>
          <t>Actual</t>
        </is>
      </c>
      <c r="D54" t="n">
        <v>5.777741935483871</v>
      </c>
      <c r="E54" t="n">
        <v>5.462096774193548</v>
      </c>
      <c r="F54" t="n">
        <v>0.2829032258064516</v>
      </c>
      <c r="G54" t="n">
        <v>0.4228387096774193</v>
      </c>
      <c r="H54" t="n">
        <v>0.006193548387096774</v>
      </c>
      <c r="I54" t="n">
        <v>4.495722580645161</v>
      </c>
      <c r="J54" t="n">
        <v>3.523838709677419</v>
      </c>
      <c r="K54" t="n">
        <v>19.97133548387097</v>
      </c>
      <c r="L54" t="n">
        <v>4.495722580645161</v>
      </c>
      <c r="M54" t="n">
        <v>19.97133548387097</v>
      </c>
      <c r="N54" t="n">
        <v>28.39991141756023</v>
      </c>
      <c r="O54" t="n">
        <v>28.39991141756023</v>
      </c>
      <c r="P54" t="n">
        <v>8.428575933689263</v>
      </c>
      <c r="Q54" t="n">
        <v>8.428575933689263</v>
      </c>
    </row>
    <row r="55">
      <c r="A55" t="n">
        <v>53</v>
      </c>
      <c r="B55" s="3" t="n">
        <v>45809</v>
      </c>
      <c r="C55" t="inlineStr">
        <is>
          <t>Actual</t>
        </is>
      </c>
      <c r="D55" t="n">
        <v>6.4434</v>
      </c>
      <c r="E55" t="n">
        <v>5.411233333333334</v>
      </c>
      <c r="F55" t="n">
        <v>0.2359</v>
      </c>
      <c r="G55" t="n">
        <v>0.419</v>
      </c>
      <c r="H55" t="n">
        <v>0.0062</v>
      </c>
      <c r="I55" t="n">
        <v>4.700261666666666</v>
      </c>
      <c r="J55" t="n">
        <v>3.446133333333333</v>
      </c>
      <c r="K55" t="n">
        <v>20.66212833333333</v>
      </c>
      <c r="L55" t="n">
        <v>4.700261666666666</v>
      </c>
      <c r="M55" t="n">
        <v>20.66212833333333</v>
      </c>
      <c r="N55" t="n">
        <v>28.79030246552894</v>
      </c>
      <c r="O55" t="n">
        <v>28.79030246552894</v>
      </c>
      <c r="P55" t="n">
        <v>8.128174132195607</v>
      </c>
      <c r="Q55" t="n">
        <v>8.128174132195607</v>
      </c>
    </row>
    <row r="56">
      <c r="A56" t="n">
        <v>54</v>
      </c>
      <c r="B56" s="3" t="n">
        <v>45839</v>
      </c>
      <c r="C56" t="inlineStr">
        <is>
          <t>Actual</t>
        </is>
      </c>
      <c r="D56" t="n">
        <v>7.139032258064516</v>
      </c>
      <c r="E56" t="n">
        <v>5.410709677419355</v>
      </c>
      <c r="F56" t="n">
        <v>0.2180645161290322</v>
      </c>
      <c r="G56" t="n">
        <v>0.4039032258064516</v>
      </c>
      <c r="H56" t="n">
        <v>0.006193548387096774</v>
      </c>
      <c r="I56" t="n">
        <v>4.497199354838711</v>
      </c>
      <c r="J56" t="n">
        <v>3.09458064516129</v>
      </c>
      <c r="K56" t="n">
        <v>20.76968322580645</v>
      </c>
      <c r="L56" t="n">
        <v>4.497199354838711</v>
      </c>
      <c r="M56" t="n">
        <v>20.76968322580645</v>
      </c>
      <c r="N56" t="n">
        <v>29.17521868269277</v>
      </c>
      <c r="O56" t="n">
        <v>29.17521868269277</v>
      </c>
      <c r="P56" t="n">
        <v>8.405535456886316</v>
      </c>
      <c r="Q56" t="n">
        <v>8.405535456886316</v>
      </c>
    </row>
    <row r="57">
      <c r="A57" t="n">
        <v>55</v>
      </c>
      <c r="B57" s="3" t="n">
        <v>45870</v>
      </c>
      <c r="C57" t="inlineStr">
        <is>
          <t>Actual</t>
        </is>
      </c>
      <c r="D57" t="n">
        <v>7.713354838709678</v>
      </c>
      <c r="E57" t="n">
        <v>5.538838709677419</v>
      </c>
      <c r="F57" t="n">
        <v>0.1949677419354839</v>
      </c>
      <c r="G57" t="n">
        <v>0.383</v>
      </c>
      <c r="H57" t="n">
        <v>0.006193548387096774</v>
      </c>
      <c r="I57" t="n">
        <v>4.468156129032257</v>
      </c>
      <c r="J57" t="n">
        <v>3.350290322580645</v>
      </c>
      <c r="K57" t="n">
        <v>21.65480129032258</v>
      </c>
      <c r="L57" t="n">
        <v>4.468156129032257</v>
      </c>
      <c r="M57" t="n">
        <v>21.65480129032258</v>
      </c>
      <c r="N57" t="n">
        <v>29.48895130800512</v>
      </c>
      <c r="O57" t="n">
        <v>29.48895130800512</v>
      </c>
      <c r="P57" t="n">
        <v>7.834150017682539</v>
      </c>
      <c r="Q57" t="n">
        <v>7.834150017682539</v>
      </c>
    </row>
    <row r="58">
      <c r="A58" t="n">
        <v>56</v>
      </c>
      <c r="B58" s="3" t="n">
        <v>45901</v>
      </c>
      <c r="C58" t="inlineStr">
        <is>
          <t>Actual</t>
        </is>
      </c>
      <c r="D58" t="n">
        <v>6.913966666666666</v>
      </c>
      <c r="E58" t="n">
        <v>5.562266666666666</v>
      </c>
      <c r="F58" t="n">
        <v>0.1994</v>
      </c>
      <c r="G58" t="n">
        <v>0.3982666666666667</v>
      </c>
      <c r="H58" t="n">
        <v>0.0062</v>
      </c>
      <c r="I58" t="n">
        <v>4.724750333333334</v>
      </c>
      <c r="J58" t="n">
        <v>2.949933333333334</v>
      </c>
      <c r="K58" t="n">
        <v>20.75478366666667</v>
      </c>
      <c r="L58" t="n">
        <v>4.724750333333334</v>
      </c>
      <c r="M58" t="n">
        <v>20.75478366666667</v>
      </c>
      <c r="N58" t="n">
        <v>29.45501958725445</v>
      </c>
      <c r="O58" t="n">
        <v>29.45501958725445</v>
      </c>
      <c r="P58" t="n">
        <v>8.700235920587783</v>
      </c>
      <c r="Q58" t="n">
        <v>8.700235920587783</v>
      </c>
    </row>
    <row r="59">
      <c r="A59" t="n">
        <v>57</v>
      </c>
      <c r="B59" s="3" t="n">
        <v>45931</v>
      </c>
      <c r="C59" t="inlineStr">
        <is>
          <t>Actual</t>
        </is>
      </c>
      <c r="D59" t="n">
        <v>5.629225806451613</v>
      </c>
      <c r="E59" t="n">
        <v>5.351806451612903</v>
      </c>
      <c r="F59" t="n">
        <v>0.2535806451612903</v>
      </c>
      <c r="G59" t="n">
        <v>0.410258064516129</v>
      </c>
      <c r="H59" t="n">
        <v>0.006193548387096774</v>
      </c>
      <c r="I59" t="n">
        <v>5.143850645161292</v>
      </c>
      <c r="J59" t="n">
        <v>2.833483870967742</v>
      </c>
      <c r="K59" t="n">
        <v>19.62839903225807</v>
      </c>
      <c r="L59" t="n">
        <v>5.143850645161292</v>
      </c>
      <c r="M59" t="n">
        <v>19.62839903225807</v>
      </c>
      <c r="N59" t="n">
        <v>29.14146861697209</v>
      </c>
      <c r="O59" t="n">
        <v>29.14146861697209</v>
      </c>
      <c r="P59" t="n">
        <v>9.513069584714021</v>
      </c>
      <c r="Q59" t="n">
        <v>9.513069584714021</v>
      </c>
    </row>
    <row r="60">
      <c r="A60" t="n">
        <v>58</v>
      </c>
      <c r="B60" s="3" t="n">
        <v>45962</v>
      </c>
      <c r="C60" t="inlineStr">
        <is>
          <t>Actual</t>
        </is>
      </c>
      <c r="D60" t="n">
        <v>4.648733333333333</v>
      </c>
      <c r="E60" t="n">
        <v>5.8022</v>
      </c>
      <c r="F60" t="n">
        <v>0.4432</v>
      </c>
      <c r="G60" t="n">
        <v>0.5220333333333333</v>
      </c>
      <c r="H60" t="n">
        <v>0.0062</v>
      </c>
      <c r="I60" t="n">
        <v>5.420533666666667</v>
      </c>
      <c r="J60" t="n">
        <v>2.9201</v>
      </c>
      <c r="K60" t="n">
        <v>19.76300033333333</v>
      </c>
      <c r="L60" t="n">
        <v>5.420533666666667</v>
      </c>
      <c r="M60" t="n">
        <v>19.76300033333333</v>
      </c>
      <c r="N60" t="n">
        <v>29.76337540353552</v>
      </c>
      <c r="O60" t="n">
        <v>29.76337540353552</v>
      </c>
      <c r="P60" t="n">
        <v>10.00037507020219</v>
      </c>
      <c r="Q60" t="n">
        <v>10.00037507020219</v>
      </c>
    </row>
    <row r="61">
      <c r="A61" t="n">
        <v>59</v>
      </c>
      <c r="B61" s="3" t="n">
        <v>45992</v>
      </c>
      <c r="C61" t="inlineStr">
        <is>
          <t>Actual</t>
        </is>
      </c>
      <c r="D61" t="n">
        <v>4.848451612903226</v>
      </c>
      <c r="E61" t="n">
        <v>5.93</v>
      </c>
      <c r="F61" t="n">
        <v>0.9796451612903225</v>
      </c>
      <c r="G61" t="n">
        <v>0.6952903225806452</v>
      </c>
      <c r="H61" t="n">
        <v>0.006193548387096774</v>
      </c>
      <c r="I61" t="n">
        <v>5.626580000000001</v>
      </c>
      <c r="J61" t="n">
        <v>2.764451612903226</v>
      </c>
      <c r="K61" t="n">
        <v>20.85061225806452</v>
      </c>
      <c r="L61" t="n">
        <v>5.626580000000001</v>
      </c>
      <c r="M61" t="n">
        <v>20.85061225806452</v>
      </c>
      <c r="N61" t="n">
        <v>30.07883555019745</v>
      </c>
      <c r="O61" t="n">
        <v>30.07883555019745</v>
      </c>
      <c r="P61" t="n">
        <v>9.228223292132931</v>
      </c>
      <c r="Q61" t="n">
        <v>9.228223292132931</v>
      </c>
    </row>
    <row r="62">
      <c r="A62" t="n">
        <v>60</v>
      </c>
      <c r="B62" s="3" t="n">
        <v>46023</v>
      </c>
      <c r="C62" t="inlineStr">
        <is>
          <t>Actual</t>
        </is>
      </c>
      <c r="D62" t="n">
        <v>5.437354838709677</v>
      </c>
      <c r="E62" t="n">
        <v>5.787548387096774</v>
      </c>
      <c r="F62" t="n">
        <v>1.498</v>
      </c>
      <c r="G62" t="n">
        <v>0.921258064516129</v>
      </c>
      <c r="H62" t="n">
        <v>0.006193548387096774</v>
      </c>
      <c r="I62" t="n">
        <v>5.1775</v>
      </c>
      <c r="J62" t="n">
        <v>2.873354838709677</v>
      </c>
      <c r="K62" t="n">
        <v>21.70120967741935</v>
      </c>
      <c r="L62" t="n">
        <v>5.1775</v>
      </c>
      <c r="M62" t="n">
        <v>21.70120967741936</v>
      </c>
      <c r="N62" t="n">
        <v>29.03649539097756</v>
      </c>
      <c r="O62" t="n">
        <v>29.03649539097756</v>
      </c>
      <c r="P62" t="n">
        <v>7.335285713558207</v>
      </c>
      <c r="Q62" t="n">
        <v>7.335285713558203</v>
      </c>
    </row>
    <row r="63">
      <c r="A63" t="n">
        <v>61</v>
      </c>
      <c r="B63" s="3" t="n">
        <v>46054</v>
      </c>
      <c r="C63" t="inlineStr">
        <is>
          <t>Actual</t>
        </is>
      </c>
      <c r="D63" t="n">
        <v>4.554392857142857</v>
      </c>
      <c r="E63" t="n">
        <v>5.705857142857143</v>
      </c>
      <c r="F63" t="n">
        <v>1.006357142857143</v>
      </c>
      <c r="G63" t="n">
        <v>0.6013214285714286</v>
      </c>
      <c r="H63" t="n">
        <v>0.006214285714285715</v>
      </c>
      <c r="I63" t="n">
        <v>5.757808214285715</v>
      </c>
      <c r="J63" t="n">
        <v>2.989107142857143</v>
      </c>
      <c r="K63" t="n">
        <v>20.62105821428572</v>
      </c>
      <c r="L63" t="n">
        <v>5.757808214285715</v>
      </c>
      <c r="M63" t="n">
        <v>20.62105821428572</v>
      </c>
      <c r="N63" t="n">
        <v>29.89721649149912</v>
      </c>
      <c r="O63" t="n">
        <v>29.89721649149912</v>
      </c>
      <c r="P63" t="n">
        <v>9.276158277213401</v>
      </c>
      <c r="Q63" t="n">
        <v>9.276158277213401</v>
      </c>
    </row>
    <row r="64">
      <c r="A64" t="n">
        <v>62</v>
      </c>
      <c r="B64" s="3" t="n">
        <v>46082</v>
      </c>
      <c r="C64" t="inlineStr">
        <is>
          <t>Actual</t>
        </is>
      </c>
      <c r="D64" t="n">
        <v>4.129</v>
      </c>
      <c r="E64" t="n">
        <v>5.653225806451613</v>
      </c>
      <c r="F64" t="n">
        <v>0.5390967741935484</v>
      </c>
      <c r="G64" t="n">
        <v>0.5518387096774194</v>
      </c>
      <c r="H64" t="n">
        <v>0.006193548387096774</v>
      </c>
      <c r="I64" t="n">
        <v>5.815642258064516</v>
      </c>
      <c r="J64" t="n">
        <v>2.768580645161291</v>
      </c>
      <c r="K64" t="n">
        <v>19.46357774193548</v>
      </c>
      <c r="L64" t="n">
        <v>5.815642258064516</v>
      </c>
      <c r="M64" t="n">
        <v>19.46357774193548</v>
      </c>
      <c r="N64" t="n">
        <v>30.04411425956394</v>
      </c>
      <c r="O64" t="n">
        <v>30.04411425956394</v>
      </c>
      <c r="P64" t="n">
        <v>10.58053651762846</v>
      </c>
      <c r="Q64" t="n">
        <v>10.58053651762846</v>
      </c>
    </row>
    <row r="65">
      <c r="A65" t="n">
        <v>63</v>
      </c>
      <c r="B65" s="3" t="n">
        <v>46113</v>
      </c>
      <c r="C65" t="inlineStr">
        <is>
          <t>Actual</t>
        </is>
      </c>
      <c r="D65" t="n">
        <v>4.808033333333333</v>
      </c>
      <c r="E65" t="n">
        <v>5.719533333333334</v>
      </c>
      <c r="F65" t="n">
        <v>0.3398</v>
      </c>
      <c r="G65" t="n">
        <v>0.4702333333333333</v>
      </c>
      <c r="H65" t="n">
        <v>0.0062</v>
      </c>
      <c r="I65" t="n">
        <v>5.796038666666668</v>
      </c>
      <c r="J65" t="n">
        <v>2.837666666666667</v>
      </c>
      <c r="K65" t="n">
        <v>19.97750533333334</v>
      </c>
      <c r="L65" t="n">
        <v>5.796038666666668</v>
      </c>
      <c r="M65" t="n">
        <v>19.97750533333334</v>
      </c>
      <c r="N65" t="n">
        <v>30.27805446331141</v>
      </c>
      <c r="O65" t="n">
        <v>30.27805446331141</v>
      </c>
      <c r="P65" t="n">
        <v>10.30054912997807</v>
      </c>
      <c r="Q65" t="n">
        <v>10.30054912997807</v>
      </c>
    </row>
    <row r="66">
      <c r="A66" t="n">
        <v>64</v>
      </c>
      <c r="B66" s="3" t="n">
        <v>46143</v>
      </c>
      <c r="C66" t="inlineStr">
        <is>
          <t>Actual</t>
        </is>
      </c>
      <c r="D66" t="n">
        <v>5.746419354838709</v>
      </c>
      <c r="E66" t="n">
        <v>5.633806451612903</v>
      </c>
      <c r="F66" t="n">
        <v>0.2309032258064516</v>
      </c>
      <c r="G66" t="n">
        <v>0.3834838709677419</v>
      </c>
      <c r="H66" t="n">
        <v>0.006193548387096774</v>
      </c>
      <c r="I66" t="n">
        <v>5.236957741935484</v>
      </c>
      <c r="J66" t="n">
        <v>3.316451612903226</v>
      </c>
      <c r="K66" t="n">
        <v>20.55421580645161</v>
      </c>
      <c r="L66" t="n">
        <v>5.236957741935484</v>
      </c>
      <c r="M66" t="n">
        <v>20.55421580645161</v>
      </c>
      <c r="N66" t="n">
        <v>30.03561604157672</v>
      </c>
      <c r="O66" t="n">
        <v>30.03561604157672</v>
      </c>
      <c r="P66" t="n">
        <v>9.481400235125108</v>
      </c>
      <c r="Q66" t="n">
        <v>9.481400235125108</v>
      </c>
    </row>
    <row r="67">
      <c r="A67" t="n">
        <v>65</v>
      </c>
      <c r="B67" s="3" t="n">
        <v>46174</v>
      </c>
      <c r="C67" t="inlineStr">
        <is>
          <t>Actual</t>
        </is>
      </c>
      <c r="D67" t="n">
        <v>6.806066666666666</v>
      </c>
      <c r="E67" t="n">
        <v>5.6723</v>
      </c>
      <c r="F67" t="n">
        <v>0.2417</v>
      </c>
      <c r="G67" t="n">
        <v>0.4054</v>
      </c>
      <c r="H67" t="n">
        <v>0.0062</v>
      </c>
      <c r="I67" t="n">
        <v>5.555875333333335</v>
      </c>
      <c r="J67" t="n">
        <v>3.3545</v>
      </c>
      <c r="K67" t="n">
        <v>22.042042</v>
      </c>
      <c r="L67" t="n">
        <v>5.555875333333335</v>
      </c>
      <c r="M67" t="n">
        <v>22.042042</v>
      </c>
      <c r="N67" t="n">
        <v>30.44816450679276</v>
      </c>
      <c r="O67" t="n">
        <v>30.44816450679276</v>
      </c>
      <c r="P67" t="n">
        <v>8.406122506792759</v>
      </c>
      <c r="Q67" t="n">
        <v>8.406122506792759</v>
      </c>
    </row>
    <row r="68">
      <c r="A68" t="n">
        <v>66</v>
      </c>
      <c r="B68" s="3" t="n">
        <v>46204</v>
      </c>
      <c r="C68" t="inlineStr">
        <is>
          <t>Actual</t>
        </is>
      </c>
      <c r="D68" t="n">
        <v>7.621806451612904</v>
      </c>
      <c r="E68" t="n">
        <v>5.519354838709677</v>
      </c>
      <c r="F68" t="n">
        <v>0.2176451612903226</v>
      </c>
      <c r="G68" t="n">
        <v>0.3741290322580645</v>
      </c>
      <c r="H68" t="n">
        <v>0.006193548387096774</v>
      </c>
      <c r="I68" t="n">
        <v>5.482489032258065</v>
      </c>
      <c r="J68" t="n">
        <v>3.236774193548387</v>
      </c>
      <c r="K68" t="n">
        <v>22.45839225806452</v>
      </c>
      <c r="L68" t="n">
        <v>5.482489032258065</v>
      </c>
      <c r="M68" t="n">
        <v>22.45839225806452</v>
      </c>
      <c r="N68" t="n">
        <v>31.2355644213723</v>
      </c>
      <c r="O68" t="n">
        <v>31.2355644213723</v>
      </c>
      <c r="P68" t="n">
        <v>8.777172163307782</v>
      </c>
      <c r="Q68" t="n">
        <v>8.777172163307782</v>
      </c>
    </row>
    <row r="69">
      <c r="A69" t="n">
        <v>67</v>
      </c>
      <c r="B69" s="3" t="n">
        <v>46235</v>
      </c>
      <c r="C69" t="inlineStr">
        <is>
          <t>Forecast</t>
        </is>
      </c>
      <c r="D69" t="n">
        <v>8.226357563120109</v>
      </c>
      <c r="E69" t="n">
        <v>5.621485403354847</v>
      </c>
      <c r="F69" t="n">
        <v>0.1779486860462226</v>
      </c>
      <c r="G69" t="n">
        <v>0.3609947179446857</v>
      </c>
      <c r="H69" t="n">
        <v>0.005248137433832125</v>
      </c>
      <c r="I69" t="n">
        <v>5.887831766063428</v>
      </c>
      <c r="J69" t="n">
        <v>3.173172980830325</v>
      </c>
      <c r="K69" t="n">
        <v>23.45303925479345</v>
      </c>
      <c r="L69" t="n">
        <v>5.887831766063428</v>
      </c>
      <c r="M69" t="n">
        <v>23.45303925479345</v>
      </c>
      <c r="N69" t="n">
        <v>30.90616645792407</v>
      </c>
      <c r="O69" t="n">
        <v>30.79507709888216</v>
      </c>
      <c r="P69" t="n">
        <v>7.453127203130617</v>
      </c>
      <c r="Q69" t="n">
        <v>7.342037844088708</v>
      </c>
    </row>
    <row r="70">
      <c r="A70" t="n">
        <v>68</v>
      </c>
      <c r="B70" s="3" t="n">
        <v>46266</v>
      </c>
      <c r="C70" t="inlineStr">
        <is>
          <t>Forecast</t>
        </is>
      </c>
      <c r="D70" t="n">
        <v>6.972881215060556</v>
      </c>
      <c r="E70" t="n">
        <v>5.596456138285548</v>
      </c>
      <c r="F70" t="n">
        <v>0.175046874031219</v>
      </c>
      <c r="G70" t="n">
        <v>0.3698039882017338</v>
      </c>
      <c r="H70" t="n">
        <v>0.005225411877332316</v>
      </c>
      <c r="I70" t="n">
        <v>6.196107924570369</v>
      </c>
      <c r="J70" t="n">
        <v>2.987072935842459</v>
      </c>
      <c r="K70" t="n">
        <v>22.30259448786921</v>
      </c>
      <c r="L70" t="n">
        <v>6.196107924570369</v>
      </c>
      <c r="M70" t="n">
        <v>22.30259448786921</v>
      </c>
      <c r="N70" t="n">
        <v>31.00568261474902</v>
      </c>
      <c r="O70" t="n">
        <v>30.86817547623383</v>
      </c>
      <c r="P70" t="n">
        <v>8.703088126879802</v>
      </c>
      <c r="Q70" t="n">
        <v>8.565580988364619</v>
      </c>
    </row>
    <row r="71">
      <c r="A71" t="n">
        <v>69</v>
      </c>
      <c r="B71" s="3" t="n">
        <v>46296</v>
      </c>
      <c r="C71" t="inlineStr">
        <is>
          <t>Forecast</t>
        </is>
      </c>
      <c r="D71" t="n">
        <v>5.479411440179787</v>
      </c>
      <c r="E71" t="n">
        <v>5.449022447701622</v>
      </c>
      <c r="F71" t="n">
        <v>0.2429498514645628</v>
      </c>
      <c r="G71" t="n">
        <v>0.4048979509691186</v>
      </c>
      <c r="H71" t="n">
        <v>0.005221562593783915</v>
      </c>
      <c r="I71" t="n">
        <v>6.396777187440787</v>
      </c>
      <c r="J71" t="n">
        <v>2.849358403364498</v>
      </c>
      <c r="K71" t="n">
        <v>20.82763884371415</v>
      </c>
      <c r="L71" t="n">
        <v>6.396777187440787</v>
      </c>
      <c r="M71" t="n">
        <v>20.82763884371415</v>
      </c>
      <c r="N71" t="n">
        <v>31.07529212877813</v>
      </c>
      <c r="O71" t="n">
        <v>30.93075743157835</v>
      </c>
      <c r="P71" t="n">
        <v>10.24765328506397</v>
      </c>
      <c r="Q71" t="n">
        <v>10.1031185878642</v>
      </c>
    </row>
    <row r="72">
      <c r="A72" t="n">
        <v>70</v>
      </c>
      <c r="B72" s="3" t="n">
        <v>46327</v>
      </c>
      <c r="C72" t="inlineStr">
        <is>
          <t>Forecast</t>
        </is>
      </c>
      <c r="D72" t="n">
        <v>4.681836989623317</v>
      </c>
      <c r="E72" t="n">
        <v>5.833597724237229</v>
      </c>
      <c r="F72" t="n">
        <v>0.4673572310198874</v>
      </c>
      <c r="G72" t="n">
        <v>0.5073680038436067</v>
      </c>
      <c r="H72" t="n">
        <v>0.005198952112019974</v>
      </c>
      <c r="I72" t="n">
        <v>6.56437371390203</v>
      </c>
      <c r="J72" t="n">
        <v>2.784950506332339</v>
      </c>
      <c r="K72" t="n">
        <v>20.84468312107043</v>
      </c>
      <c r="L72" t="n">
        <v>6.56437371390203</v>
      </c>
      <c r="M72" t="n">
        <v>20.84468312107043</v>
      </c>
      <c r="N72" t="n">
        <v>31.2024505090569</v>
      </c>
      <c r="O72" t="n">
        <v>30.99276957765683</v>
      </c>
      <c r="P72" t="n">
        <v>10.35776738798647</v>
      </c>
      <c r="Q72" t="n">
        <v>10.1480864565864</v>
      </c>
    </row>
    <row r="73">
      <c r="A73" t="n">
        <v>71</v>
      </c>
      <c r="B73" s="3" t="n">
        <v>46357</v>
      </c>
      <c r="C73" t="inlineStr">
        <is>
          <t>Forecast</t>
        </is>
      </c>
      <c r="D73" t="n">
        <v>4.625126022211296</v>
      </c>
      <c r="E73" t="n">
        <v>6.031840489538337</v>
      </c>
      <c r="F73" t="n">
        <v>0.8618928708285389</v>
      </c>
      <c r="G73" t="n">
        <v>0.6467795879765276</v>
      </c>
      <c r="H73" t="n">
        <v>0.00519512231997611</v>
      </c>
      <c r="I73" t="n">
        <v>6.644037038101145</v>
      </c>
      <c r="J73" t="n">
        <v>2.658115350636673</v>
      </c>
      <c r="K73" t="n">
        <v>21.4729864816125</v>
      </c>
      <c r="L73" t="n">
        <v>6.506765360995336</v>
      </c>
      <c r="M73" t="n">
        <v>21.33571480450669</v>
      </c>
      <c r="N73" t="n">
        <v>31.40523362413383</v>
      </c>
      <c r="O73" t="n">
        <v>31.05607909633359</v>
      </c>
      <c r="P73" t="n">
        <v>9.932247142521334</v>
      </c>
      <c r="Q73" t="n">
        <v>9.720364291826904</v>
      </c>
    </row>
    <row r="74">
      <c r="A74" t="n">
        <v>72</v>
      </c>
      <c r="B74" s="3" t="n">
        <v>46388</v>
      </c>
      <c r="C74" t="inlineStr">
        <is>
          <t>Forecast</t>
        </is>
      </c>
      <c r="D74" t="n">
        <v>5.60152132066198</v>
      </c>
      <c r="E74" t="n">
        <v>5.893686262858893</v>
      </c>
      <c r="F74" t="n">
        <v>1.534636697680467</v>
      </c>
      <c r="G74" t="n">
        <v>0.9017584031775656</v>
      </c>
      <c r="H74" t="n">
        <v>0.006632259070454595</v>
      </c>
      <c r="I74" t="n">
        <v>6.474365214734833</v>
      </c>
      <c r="J74" t="n">
        <v>2.928315042689603</v>
      </c>
      <c r="K74" t="n">
        <v>23.34091520087379</v>
      </c>
      <c r="L74" t="n">
        <v>6.287332068646612</v>
      </c>
      <c r="M74" t="n">
        <v>23.15388205478558</v>
      </c>
      <c r="N74" t="n">
        <v>31.22817651312284</v>
      </c>
      <c r="O74" t="n">
        <v>31.22817651312284</v>
      </c>
      <c r="P74" t="n">
        <v>7.887261312249048</v>
      </c>
      <c r="Q74" t="n">
        <v>8.074294458337267</v>
      </c>
    </row>
    <row r="75">
      <c r="A75" t="n">
        <v>73</v>
      </c>
      <c r="B75" s="3" t="n">
        <v>46419</v>
      </c>
      <c r="C75" t="inlineStr">
        <is>
          <t>Forecast</t>
        </is>
      </c>
      <c r="D75" t="n">
        <v>4.591665770626252</v>
      </c>
      <c r="E75" t="n">
        <v>5.771683468248021</v>
      </c>
      <c r="F75" t="n">
        <v>1.071753433222375</v>
      </c>
      <c r="G75" t="n">
        <v>0.7096739390246209</v>
      </c>
      <c r="H75" t="n">
        <v>0.006626279424245835</v>
      </c>
      <c r="I75" t="n">
        <v>6.457224532049643</v>
      </c>
      <c r="J75" t="n">
        <v>2.878761529187784</v>
      </c>
      <c r="K75" t="n">
        <v>21.48738895178294</v>
      </c>
      <c r="L75" t="n">
        <v>6.218926987892429</v>
      </c>
      <c r="M75" t="n">
        <v>21.24909140762573</v>
      </c>
      <c r="N75" t="n">
        <v>31.61590343599369</v>
      </c>
      <c r="O75" t="n">
        <v>31.50709626626994</v>
      </c>
      <c r="P75" t="n">
        <v>10.12851448421075</v>
      </c>
      <c r="Q75" t="n">
        <v>10.25800485864421</v>
      </c>
    </row>
    <row r="76">
      <c r="A76" t="n">
        <v>74</v>
      </c>
      <c r="B76" s="3" t="n">
        <v>46447</v>
      </c>
      <c r="C76" t="inlineStr">
        <is>
          <t>Forecast</t>
        </is>
      </c>
      <c r="D76" t="n">
        <v>4.084302667522916</v>
      </c>
      <c r="E76" t="n">
        <v>5.744850592631705</v>
      </c>
      <c r="F76" t="n">
        <v>0.4915507700236296</v>
      </c>
      <c r="G76" t="n">
        <v>0.4883272060505006</v>
      </c>
      <c r="H76" t="n">
        <v>0.006598675494152</v>
      </c>
      <c r="I76" t="n">
        <v>6.475045955188901</v>
      </c>
      <c r="J76" t="n">
        <v>2.774088603050508</v>
      </c>
      <c r="K76" t="n">
        <v>20.06476446996231</v>
      </c>
      <c r="L76" t="n">
        <v>6.055831364461786</v>
      </c>
      <c r="M76" t="n">
        <v>19.6455498792352</v>
      </c>
      <c r="N76" t="n">
        <v>32.04445139879052</v>
      </c>
      <c r="O76" t="n">
        <v>31.58537452538992</v>
      </c>
      <c r="P76" t="n">
        <v>11.97968692882821</v>
      </c>
      <c r="Q76" t="n">
        <v>11.93982464615473</v>
      </c>
    </row>
    <row r="77">
      <c r="A77" t="n">
        <v>75</v>
      </c>
      <c r="B77" s="3" t="n">
        <v>46478</v>
      </c>
      <c r="C77" t="inlineStr">
        <is>
          <t>Forecast</t>
        </is>
      </c>
      <c r="D77" t="n">
        <v>4.513549912598049</v>
      </c>
      <c r="E77" t="n">
        <v>5.680608138500108</v>
      </c>
      <c r="F77" t="n">
        <v>0.3190816123310472</v>
      </c>
      <c r="G77" t="n">
        <v>0.4440890247278849</v>
      </c>
      <c r="H77" t="n">
        <v>0.006578774034385803</v>
      </c>
      <c r="I77" t="n">
        <v>6.537792984935101</v>
      </c>
      <c r="J77" t="n">
        <v>2.986666029480982</v>
      </c>
      <c r="K77" t="n">
        <v>20.48836647660756</v>
      </c>
      <c r="L77" t="n">
        <v>5.876437039759936</v>
      </c>
      <c r="M77" t="n">
        <v>19.82701053143239</v>
      </c>
      <c r="N77" t="n">
        <v>32.28429227177552</v>
      </c>
      <c r="O77" t="n">
        <v>32.28429227177552</v>
      </c>
      <c r="P77" t="n">
        <v>11.79592579516796</v>
      </c>
      <c r="Q77" t="n">
        <v>12.45728174034313</v>
      </c>
    </row>
    <row r="78">
      <c r="A78" t="n">
        <v>76</v>
      </c>
      <c r="B78" s="3" t="n">
        <v>46508</v>
      </c>
      <c r="C78" t="inlineStr">
        <is>
          <t>Forecast</t>
        </is>
      </c>
      <c r="D78" t="n">
        <v>5.815887213640852</v>
      </c>
      <c r="E78" t="n">
        <v>5.552993543365289</v>
      </c>
      <c r="F78" t="n">
        <v>0.2209863247505367</v>
      </c>
      <c r="G78" t="n">
        <v>0.3730742742049455</v>
      </c>
      <c r="H78" t="n">
        <v>0.006565261974022615</v>
      </c>
      <c r="I78" t="n">
        <v>6.990937874296153</v>
      </c>
      <c r="J78" t="n">
        <v>3.246131765669215</v>
      </c>
      <c r="K78" t="n">
        <v>22.20657625790102</v>
      </c>
      <c r="L78" t="n">
        <v>6.085505681462548</v>
      </c>
      <c r="M78" t="n">
        <v>21.30114406506741</v>
      </c>
      <c r="N78" t="n">
        <v>32.52516302684243</v>
      </c>
      <c r="O78" t="n">
        <v>32.52516302684243</v>
      </c>
      <c r="P78" t="n">
        <v>10.31858676894141</v>
      </c>
      <c r="Q78" t="n">
        <v>11.22401896177502</v>
      </c>
    </row>
    <row r="79">
      <c r="A79" t="n">
        <v>77</v>
      </c>
      <c r="B79" s="3" t="n">
        <v>46539</v>
      </c>
      <c r="C79" t="inlineStr">
        <is>
          <t>Forecast</t>
        </is>
      </c>
      <c r="D79" t="n">
        <v>6.706918670559735</v>
      </c>
      <c r="E79" t="n">
        <v>5.614579908845148</v>
      </c>
      <c r="F79" t="n">
        <v>0.2102139365451465</v>
      </c>
      <c r="G79" t="n">
        <v>0.3758789561992053</v>
      </c>
      <c r="H79" t="n">
        <v>0.006545461288696243</v>
      </c>
      <c r="I79" t="n">
        <v>7.317293769208743</v>
      </c>
      <c r="J79" t="n">
        <v>3.183163621523247</v>
      </c>
      <c r="K79" t="n">
        <v>23.41459432416992</v>
      </c>
      <c r="L79" t="n">
        <v>6.30325612059886</v>
      </c>
      <c r="M79" t="n">
        <v>22.40055667556004</v>
      </c>
      <c r="N79" t="n">
        <v>32.7635082323601</v>
      </c>
      <c r="O79" t="n">
        <v>32.7635082323601</v>
      </c>
      <c r="P79" t="n">
        <v>9.348913908190177</v>
      </c>
      <c r="Q79" t="n">
        <v>10.36295155680006</v>
      </c>
    </row>
    <row r="80">
      <c r="A80" t="n">
        <v>78</v>
      </c>
      <c r="B80" s="3" t="n">
        <v>46569</v>
      </c>
      <c r="C80" t="inlineStr">
        <is>
          <t>Forecast</t>
        </is>
      </c>
      <c r="D80" t="n">
        <v>7.299471258702761</v>
      </c>
      <c r="E80" t="n">
        <v>5.600740992260573</v>
      </c>
      <c r="F80" t="n">
        <v>0.1964829098663687</v>
      </c>
      <c r="G80" t="n">
        <v>0.3592145606960728</v>
      </c>
      <c r="H80" t="n">
        <v>0.006532017648957973</v>
      </c>
      <c r="I80" t="n">
        <v>7.490755317494782</v>
      </c>
      <c r="J80" t="n">
        <v>3.037684824395354</v>
      </c>
      <c r="K80" t="n">
        <v>23.99088188106487</v>
      </c>
      <c r="L80" t="n">
        <v>6.212198295643518</v>
      </c>
      <c r="M80" t="n">
        <v>22.71232485921361</v>
      </c>
      <c r="N80" t="n">
        <v>32.99943300027782</v>
      </c>
      <c r="O80" t="n">
        <v>32.99943300027782</v>
      </c>
      <c r="P80" t="n">
        <v>9.008551119212949</v>
      </c>
      <c r="Q80" t="n">
        <v>10.28710814106421</v>
      </c>
    </row>
    <row r="81">
      <c r="A81" t="n">
        <v>79</v>
      </c>
      <c r="B81" s="3" t="n">
        <v>46600</v>
      </c>
      <c r="C81" t="inlineStr">
        <is>
          <t>Forecast</t>
        </is>
      </c>
      <c r="D81" t="n">
        <v>8.193937527388337</v>
      </c>
      <c r="E81" t="n">
        <v>5.666028153285912</v>
      </c>
      <c r="F81" t="n">
        <v>0.1726102254648359</v>
      </c>
      <c r="G81" t="n">
        <v>0.3501648764063452</v>
      </c>
      <c r="H81" t="n">
        <v>0.005090693310817161</v>
      </c>
      <c r="I81" t="n">
        <v>7.99559592769987</v>
      </c>
      <c r="J81" t="n">
        <v>3.108901705501789</v>
      </c>
      <c r="K81" t="n">
        <v>25.49232910905791</v>
      </c>
      <c r="L81" t="n">
        <v>6.457477979402537</v>
      </c>
      <c r="M81" t="n">
        <v>23.95421116076058</v>
      </c>
      <c r="N81" t="n">
        <v>33.2315726829877</v>
      </c>
      <c r="O81" t="n">
        <v>33.2315726829877</v>
      </c>
      <c r="P81" t="n">
        <v>7.739243573929794</v>
      </c>
      <c r="Q81" t="n">
        <v>9.277361522227128</v>
      </c>
    </row>
    <row r="82">
      <c r="A82" t="n">
        <v>80</v>
      </c>
      <c r="B82" s="3" t="n">
        <v>46631</v>
      </c>
      <c r="C82" t="inlineStr">
        <is>
          <t>Forecast</t>
        </is>
      </c>
      <c r="D82" t="n">
        <v>6.945401123609252</v>
      </c>
      <c r="E82" t="n">
        <v>5.640800564781621</v>
      </c>
      <c r="F82" t="n">
        <v>0.1697954678102824</v>
      </c>
      <c r="G82" t="n">
        <v>0.3587098685556818</v>
      </c>
      <c r="H82" t="n">
        <v>0.005068649521012347</v>
      </c>
      <c r="I82" t="n">
        <v>8.695339501376306</v>
      </c>
      <c r="J82" t="n">
        <v>2.926571038137622</v>
      </c>
      <c r="K82" t="n">
        <v>24.74168621379178</v>
      </c>
      <c r="L82" t="n">
        <v>6.990823893421982</v>
      </c>
      <c r="M82" t="n">
        <v>23.03717060583746</v>
      </c>
      <c r="N82" t="n">
        <v>33.46290477621132</v>
      </c>
      <c r="O82" t="n">
        <v>33.46290477621132</v>
      </c>
      <c r="P82" t="n">
        <v>8.721218562419537</v>
      </c>
      <c r="Q82" t="n">
        <v>10.42573417037386</v>
      </c>
    </row>
    <row r="83">
      <c r="A83" t="n">
        <v>81</v>
      </c>
      <c r="B83" s="3" t="n">
        <v>46661</v>
      </c>
      <c r="C83" t="inlineStr">
        <is>
          <t>Forecast</t>
        </is>
      </c>
      <c r="D83" t="n">
        <v>5.457817105953894</v>
      </c>
      <c r="E83" t="n">
        <v>5.492198659475094</v>
      </c>
      <c r="F83" t="n">
        <v>0.2356613559206259</v>
      </c>
      <c r="G83" t="n">
        <v>0.392751012440045</v>
      </c>
      <c r="H83" t="n">
        <v>0.005064915715970399</v>
      </c>
      <c r="I83" t="n">
        <v>9.396864497151917</v>
      </c>
      <c r="J83" t="n">
        <v>2.791645855212018</v>
      </c>
      <c r="K83" t="n">
        <v>23.77200340186956</v>
      </c>
      <c r="L83" t="n">
        <v>7.500412653304695</v>
      </c>
      <c r="M83" t="n">
        <v>21.87555155802234</v>
      </c>
      <c r="N83" t="n">
        <v>33.6948943669158</v>
      </c>
      <c r="O83" t="n">
        <v>33.6948943669158</v>
      </c>
      <c r="P83" t="n">
        <v>9.922890965046243</v>
      </c>
      <c r="Q83" t="n">
        <v>11.81934280889347</v>
      </c>
    </row>
    <row r="84">
      <c r="A84" t="n">
        <v>82</v>
      </c>
      <c r="B84" s="3" t="n">
        <v>46692</v>
      </c>
      <c r="C84" t="inlineStr">
        <is>
          <t>Forecast</t>
        </is>
      </c>
      <c r="D84" t="n">
        <v>4.663385892484723</v>
      </c>
      <c r="E84" t="n">
        <v>5.879821180492057</v>
      </c>
      <c r="F84" t="n">
        <v>0.4533365140892908</v>
      </c>
      <c r="G84" t="n">
        <v>0.4921469637282985</v>
      </c>
      <c r="H84" t="n">
        <v>0.005042983548659375</v>
      </c>
      <c r="I84" t="n">
        <v>10.02482796884667</v>
      </c>
      <c r="J84" t="n">
        <v>2.728542512866443</v>
      </c>
      <c r="K84" t="n">
        <v>24.24710401605615</v>
      </c>
      <c r="L84" t="n">
        <v>7.939695001545404</v>
      </c>
      <c r="M84" t="n">
        <v>22.16197104875488</v>
      </c>
      <c r="N84" t="n">
        <v>33.91867468193133</v>
      </c>
      <c r="O84" t="n">
        <v>33.91867468193133</v>
      </c>
      <c r="P84" t="n">
        <v>9.671570665875183</v>
      </c>
      <c r="Q84" t="n">
        <v>11.75670363317645</v>
      </c>
    </row>
    <row r="85">
      <c r="A85" t="n">
        <v>83</v>
      </c>
      <c r="B85" s="3" t="n">
        <v>46722</v>
      </c>
      <c r="C85" t="inlineStr">
        <is>
          <t>Forecast</t>
        </is>
      </c>
      <c r="D85" t="n">
        <v>4.606898422723488</v>
      </c>
      <c r="E85" t="n">
        <v>6.079634754447258</v>
      </c>
      <c r="F85" t="n">
        <v>0.8360360847036827</v>
      </c>
      <c r="G85" t="n">
        <v>0.6273762003372318</v>
      </c>
      <c r="H85" t="n">
        <v>0.005039268650376826</v>
      </c>
      <c r="I85" t="n">
        <v>10.18260905034924</v>
      </c>
      <c r="J85" t="n">
        <v>2.604276349552315</v>
      </c>
      <c r="K85" t="n">
        <v>24.94187013076359</v>
      </c>
      <c r="L85" t="n">
        <v>8.077895689745533</v>
      </c>
      <c r="M85" t="n">
        <v>22.83715677015988</v>
      </c>
      <c r="N85" t="n">
        <v>34.13424823694625</v>
      </c>
      <c r="O85" t="n">
        <v>34.13424823694625</v>
      </c>
      <c r="P85" t="n">
        <v>9.192378106182659</v>
      </c>
      <c r="Q85" t="n">
        <v>11.29709146678637</v>
      </c>
    </row>
    <row r="86">
      <c r="A86" t="n">
        <v>84</v>
      </c>
      <c r="B86" s="3" t="n">
        <v>46753</v>
      </c>
      <c r="C86" t="inlineStr">
        <is>
          <t>Forecast</t>
        </is>
      </c>
      <c r="D86" t="n">
        <v>5.579445751982315</v>
      </c>
      <c r="E86" t="n">
        <v>5.940385840380165</v>
      </c>
      <c r="F86" t="n">
        <v>1.488597596750053</v>
      </c>
      <c r="G86" t="n">
        <v>0.8747056510822386</v>
      </c>
      <c r="H86" t="n">
        <v>0.006433291298340957</v>
      </c>
      <c r="I86" t="n">
        <v>9.933882743400588</v>
      </c>
      <c r="J86" t="n">
        <v>2.869003261234766</v>
      </c>
      <c r="K86" t="n">
        <v>26.69245413612847</v>
      </c>
      <c r="L86" t="n">
        <v>8.136494845443632</v>
      </c>
      <c r="M86" t="n">
        <v>24.89506623817151</v>
      </c>
      <c r="N86" t="n">
        <v>33.56462089132972</v>
      </c>
      <c r="O86" t="n">
        <v>33.56462089132972</v>
      </c>
      <c r="P86" t="n">
        <v>6.872166755201249</v>
      </c>
      <c r="Q86" t="n">
        <v>8.669554653158205</v>
      </c>
    </row>
    <row r="87">
      <c r="A87" t="n">
        <v>85</v>
      </c>
      <c r="B87" s="3" t="n">
        <v>46784</v>
      </c>
      <c r="C87" t="inlineStr">
        <is>
          <t>Forecast</t>
        </is>
      </c>
      <c r="D87" t="n">
        <v>4.573570037829584</v>
      </c>
      <c r="E87" t="n">
        <v>5.817416336869187</v>
      </c>
      <c r="F87" t="n">
        <v>1.039600830225704</v>
      </c>
      <c r="G87" t="n">
        <v>0.6883837208538823</v>
      </c>
      <c r="H87" t="n">
        <v>0.006427491041518459</v>
      </c>
      <c r="I87" t="n">
        <v>10.05862295544212</v>
      </c>
      <c r="J87" t="n">
        <v>2.820453433169895</v>
      </c>
      <c r="K87" t="n">
        <v>25.00447480543189</v>
      </c>
      <c r="L87" t="n">
        <v>8.296523437905869</v>
      </c>
      <c r="M87" t="n">
        <v>23.24237528789564</v>
      </c>
      <c r="N87" t="n">
        <v>33.9806901425393</v>
      </c>
      <c r="O87" t="n">
        <v>33.9806901425393</v>
      </c>
      <c r="P87" t="n">
        <v>8.976215337107412</v>
      </c>
      <c r="Q87" t="n">
        <v>10.73831485464366</v>
      </c>
    </row>
    <row r="88">
      <c r="A88" t="n">
        <v>86</v>
      </c>
      <c r="B88" s="3" t="n">
        <v>46813</v>
      </c>
      <c r="C88" t="inlineStr">
        <is>
          <t>Forecast</t>
        </is>
      </c>
      <c r="D88" t="n">
        <v>4.068206450284062</v>
      </c>
      <c r="E88" t="n">
        <v>5.790370846617636</v>
      </c>
      <c r="F88" t="n">
        <v>0.4768042469229207</v>
      </c>
      <c r="G88" t="n">
        <v>0.4736773898689856</v>
      </c>
      <c r="H88" t="n">
        <v>0.00640071522932744</v>
      </c>
      <c r="I88" t="n">
        <v>9.974197376981069</v>
      </c>
      <c r="J88" t="n">
        <v>2.717900612837079</v>
      </c>
      <c r="K88" t="n">
        <v>23.50755763874108</v>
      </c>
      <c r="L88" t="n">
        <v>8.318737297851872</v>
      </c>
      <c r="M88" t="n">
        <v>21.85209755961188</v>
      </c>
      <c r="N88" t="n">
        <v>34.44140398986399</v>
      </c>
      <c r="O88" t="n">
        <v>34.44140398986399</v>
      </c>
      <c r="P88" t="n">
        <v>10.93384635112291</v>
      </c>
      <c r="Q88" t="n">
        <v>12.58930643025211</v>
      </c>
    </row>
    <row r="89">
      <c r="A89" t="n">
        <v>87</v>
      </c>
      <c r="B89" s="3" t="n">
        <v>46844</v>
      </c>
      <c r="C89" t="inlineStr">
        <is>
          <t>Forecast</t>
        </is>
      </c>
      <c r="D89" t="n">
        <v>4.495762034023503</v>
      </c>
      <c r="E89" t="n">
        <v>5.725619356997369</v>
      </c>
      <c r="F89" t="n">
        <v>0.3095091639611158</v>
      </c>
      <c r="G89" t="n">
        <v>0.4307663539860483</v>
      </c>
      <c r="H89" t="n">
        <v>0.00638141081335423</v>
      </c>
      <c r="I89" t="n">
        <v>9.851180955530085</v>
      </c>
      <c r="J89" t="n">
        <v>2.926172373492228</v>
      </c>
      <c r="K89" t="n">
        <v>23.7453916488037</v>
      </c>
      <c r="L89" t="n">
        <v>8.421173993027676</v>
      </c>
      <c r="M89" t="n">
        <v>22.31538468630129</v>
      </c>
      <c r="N89" t="n">
        <v>34.69878816984506</v>
      </c>
      <c r="O89" t="n">
        <v>34.69878816984506</v>
      </c>
      <c r="P89" t="n">
        <v>10.95339652104136</v>
      </c>
      <c r="Q89" t="n">
        <v>12.38340348354377</v>
      </c>
    </row>
    <row r="90">
      <c r="A90" t="n">
        <v>88</v>
      </c>
      <c r="B90" s="3" t="n">
        <v>46874</v>
      </c>
      <c r="C90" t="inlineStr">
        <is>
          <t>Forecast</t>
        </is>
      </c>
      <c r="D90" t="n">
        <v>5.792966830004295</v>
      </c>
      <c r="E90" t="n">
        <v>5.596993586952225</v>
      </c>
      <c r="F90" t="n">
        <v>0.2143567350080206</v>
      </c>
      <c r="G90" t="n">
        <v>0.3618820459787971</v>
      </c>
      <c r="H90" t="n">
        <v>0.006368304114801937</v>
      </c>
      <c r="I90" t="n">
        <v>10.37861337246806</v>
      </c>
      <c r="J90" t="n">
        <v>3.180382741041683</v>
      </c>
      <c r="K90" t="n">
        <v>25.53156361556788</v>
      </c>
      <c r="L90" t="n">
        <v>9.0380912875295</v>
      </c>
      <c r="M90" t="n">
        <v>24.19104153062932</v>
      </c>
      <c r="N90" t="n">
        <v>34.957280281696</v>
      </c>
      <c r="O90" t="n">
        <v>34.957280281696</v>
      </c>
      <c r="P90" t="n">
        <v>9.425716666128118</v>
      </c>
      <c r="Q90" t="n">
        <v>10.76623875106668</v>
      </c>
    </row>
    <row r="91">
      <c r="A91" t="n">
        <v>89</v>
      </c>
      <c r="B91" s="3" t="n">
        <v>46905</v>
      </c>
      <c r="C91" t="inlineStr">
        <is>
          <t>Forecast</t>
        </is>
      </c>
      <c r="D91" t="n">
        <v>6.680486736221694</v>
      </c>
      <c r="E91" t="n">
        <v>5.659067941972197</v>
      </c>
      <c r="F91" t="n">
        <v>0.2039075184487921</v>
      </c>
      <c r="G91" t="n">
        <v>0.3646025875132291</v>
      </c>
      <c r="H91" t="n">
        <v>0.006349097450035356</v>
      </c>
      <c r="I91" t="n">
        <v>10.77479381700417</v>
      </c>
      <c r="J91" t="n">
        <v>3.118689989997125</v>
      </c>
      <c r="K91" t="n">
        <v>26.80789768860724</v>
      </c>
      <c r="L91" t="n">
        <v>9.401343619032692</v>
      </c>
      <c r="M91" t="n">
        <v>25.43444749063577</v>
      </c>
      <c r="N91" t="n">
        <v>35.21305670812409</v>
      </c>
      <c r="O91" t="n">
        <v>35.21305670812409</v>
      </c>
      <c r="P91" t="n">
        <v>8.405159019516848</v>
      </c>
      <c r="Q91" t="n">
        <v>9.778609217488324</v>
      </c>
    </row>
    <row r="92">
      <c r="A92" t="n">
        <v>90</v>
      </c>
      <c r="B92" s="3" t="n">
        <v>46935</v>
      </c>
      <c r="C92" t="inlineStr">
        <is>
          <t>Forecast</t>
        </is>
      </c>
      <c r="D92" t="n">
        <v>7.270704077454631</v>
      </c>
      <c r="E92" t="n">
        <v>5.645119370491005</v>
      </c>
      <c r="F92" t="n">
        <v>0.1905884225703777</v>
      </c>
      <c r="G92" t="n">
        <v>0.3484381238751906</v>
      </c>
      <c r="H92" t="n">
        <v>0.006336057119489233</v>
      </c>
      <c r="I92" t="n">
        <v>10.78008861771616</v>
      </c>
      <c r="J92" t="n">
        <v>2.976157804314986</v>
      </c>
      <c r="K92" t="n">
        <v>27.21743247354184</v>
      </c>
      <c r="L92" t="n">
        <v>9.2793339875364</v>
      </c>
      <c r="M92" t="n">
        <v>25.71667784336208</v>
      </c>
      <c r="N92" t="n">
        <v>35.46624065271286</v>
      </c>
      <c r="O92" t="n">
        <v>35.46624065271286</v>
      </c>
      <c r="P92" t="n">
        <v>8.248808179171021</v>
      </c>
      <c r="Q92" t="n">
        <v>9.749562809350781</v>
      </c>
    </row>
    <row r="93">
      <c r="A93" t="n">
        <v>91</v>
      </c>
      <c r="B93" s="3" t="n">
        <v>46966</v>
      </c>
      <c r="C93" t="inlineStr">
        <is>
          <t>Forecast</t>
        </is>
      </c>
      <c r="D93" t="n">
        <v>8.161645258862009</v>
      </c>
      <c r="E93" t="n">
        <v>5.710923844909262</v>
      </c>
      <c r="F93" t="n">
        <v>0.1674319187008908</v>
      </c>
      <c r="G93" t="n">
        <v>0.3396599301141548</v>
      </c>
      <c r="H93" t="n">
        <v>0.004937972511492646</v>
      </c>
      <c r="I93" t="n">
        <v>11.27506783682496</v>
      </c>
      <c r="J93" t="n">
        <v>3.045932217645071</v>
      </c>
      <c r="K93" t="n">
        <v>28.70559897956784</v>
      </c>
      <c r="L93" t="n">
        <v>9.796097482933424</v>
      </c>
      <c r="M93" t="n">
        <v>27.22662862567631</v>
      </c>
      <c r="N93" t="n">
        <v>35.71537470139906</v>
      </c>
      <c r="O93" t="n">
        <v>35.71537470139906</v>
      </c>
      <c r="P93" t="n">
        <v>7.009775721831222</v>
      </c>
      <c r="Q93" t="n">
        <v>8.488746075722759</v>
      </c>
    </row>
    <row r="94">
      <c r="A94" t="n">
        <v>92</v>
      </c>
      <c r="B94" s="3" t="n">
        <v>46997</v>
      </c>
      <c r="C94" t="inlineStr">
        <is>
          <t>Forecast</t>
        </is>
      </c>
      <c r="D94" t="n">
        <v>6.918029331066658</v>
      </c>
      <c r="E94" t="n">
        <v>5.685496361522128</v>
      </c>
      <c r="F94" t="n">
        <v>0.1647016037759739</v>
      </c>
      <c r="G94" t="n">
        <v>0.3479485724990113</v>
      </c>
      <c r="H94" t="n">
        <v>0.004916590035381976</v>
      </c>
      <c r="I94" t="n">
        <v>12.09451430971443</v>
      </c>
      <c r="J94" t="n">
        <v>2.867294580756643</v>
      </c>
      <c r="K94" t="n">
        <v>28.08290134937022</v>
      </c>
      <c r="L94" t="n">
        <v>10.49639681199225</v>
      </c>
      <c r="M94" t="n">
        <v>26.48478385164805</v>
      </c>
      <c r="N94" t="n">
        <v>35.96359483495669</v>
      </c>
      <c r="O94" t="n">
        <v>35.96359483495669</v>
      </c>
      <c r="P94" t="n">
        <v>7.88069348558647</v>
      </c>
      <c r="Q94" t="n">
        <v>9.478810983308648</v>
      </c>
    </row>
    <row r="95">
      <c r="A95" t="n">
        <v>93</v>
      </c>
      <c r="B95" s="3" t="n">
        <v>47027</v>
      </c>
      <c r="C95" t="inlineStr">
        <is>
          <t>Forecast</t>
        </is>
      </c>
      <c r="D95" t="n">
        <v>5.436307874895696</v>
      </c>
      <c r="E95" t="n">
        <v>5.535716984954465</v>
      </c>
      <c r="F95" t="n">
        <v>0.2285915152430072</v>
      </c>
      <c r="G95" t="n">
        <v>0.3809684820668436</v>
      </c>
      <c r="H95" t="n">
        <v>0.004912968244491286</v>
      </c>
      <c r="I95" t="n">
        <v>12.69228003083021</v>
      </c>
      <c r="J95" t="n">
        <v>2.735102250289116</v>
      </c>
      <c r="K95" t="n">
        <v>27.01388010652383</v>
      </c>
      <c r="L95" t="n">
        <v>11.02796803524681</v>
      </c>
      <c r="M95" t="n">
        <v>25.34956811094043</v>
      </c>
      <c r="N95" t="n">
        <v>36.21248544376367</v>
      </c>
      <c r="O95" t="n">
        <v>36.21248544376367</v>
      </c>
      <c r="P95" t="n">
        <v>9.198605337239837</v>
      </c>
      <c r="Q95" t="n">
        <v>10.86291733282324</v>
      </c>
    </row>
    <row r="96">
      <c r="A96" t="n">
        <v>94</v>
      </c>
      <c r="B96" s="3" t="n">
        <v>47058</v>
      </c>
      <c r="C96" t="inlineStr">
        <is>
          <t>Forecast</t>
        </is>
      </c>
      <c r="D96" t="n">
        <v>4.645007511031529</v>
      </c>
      <c r="E96" t="n">
        <v>5.926410895787899</v>
      </c>
      <c r="F96" t="n">
        <v>0.4397364186666121</v>
      </c>
      <c r="G96" t="n">
        <v>0.4773825548164495</v>
      </c>
      <c r="H96" t="n">
        <v>0.004891694042199594</v>
      </c>
      <c r="I96" t="n">
        <v>13.09400310968609</v>
      </c>
      <c r="J96" t="n">
        <v>2.673277039427246</v>
      </c>
      <c r="K96" t="n">
        <v>27.26070922345803</v>
      </c>
      <c r="L96" t="n">
        <v>11.51170200700679</v>
      </c>
      <c r="M96" t="n">
        <v>25.67840812077873</v>
      </c>
      <c r="N96" t="n">
        <v>36.45259702761549</v>
      </c>
      <c r="O96" t="n">
        <v>36.45259702761549</v>
      </c>
      <c r="P96" t="n">
        <v>9.19188780415746</v>
      </c>
      <c r="Q96" t="n">
        <v>10.77418890683676</v>
      </c>
    </row>
    <row r="97">
      <c r="A97" t="n">
        <v>95</v>
      </c>
      <c r="B97" s="3" t="n">
        <v>47088</v>
      </c>
      <c r="C97" t="inlineStr">
        <is>
          <t>Forecast</t>
        </is>
      </c>
      <c r="D97" t="n">
        <v>4.588742658117908</v>
      </c>
      <c r="E97" t="n">
        <v>6.127807724953939</v>
      </c>
      <c r="F97" t="n">
        <v>0.8109550021625722</v>
      </c>
      <c r="G97" t="n">
        <v>0.6085549143271148</v>
      </c>
      <c r="H97" t="n">
        <v>0.004888090590865522</v>
      </c>
      <c r="I97" t="n">
        <v>13.04702460392215</v>
      </c>
      <c r="J97" t="n">
        <v>2.55152783464158</v>
      </c>
      <c r="K97" t="n">
        <v>27.73950082871613</v>
      </c>
      <c r="L97" t="n">
        <v>11.67019497240357</v>
      </c>
      <c r="M97" t="n">
        <v>26.36267119719755</v>
      </c>
      <c r="N97" t="n">
        <v>36.68392362218805</v>
      </c>
      <c r="O97" t="n">
        <v>36.68392362218805</v>
      </c>
      <c r="P97" t="n">
        <v>8.944422793471926</v>
      </c>
      <c r="Q97" t="n">
        <v>10.3212524249905</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6" customWidth="1" min="1" max="1"/>
    <col width="11" customWidth="1" min="2" max="2"/>
    <col width="11" customWidth="1" min="3" max="3"/>
    <col width="11" customWidth="1" min="4" max="4"/>
    <col width="12" customWidth="1" min="5" max="5"/>
    <col width="130" customWidth="1" min="6" max="6"/>
  </cols>
  <sheetData>
    <row r="1">
      <c r="A1" s="4" t="inlineStr">
        <is>
          <t>Texas data-centre assumptions (yellow cells are editable; 'Data centres' recalculates in Excel, 'Demand to 2033' and the charts follow on the next run)</t>
        </is>
      </c>
    </row>
    <row r="2" ht="45" customHeight="1">
      <c r="A2" s="5" t="inlineStr">
        <is>
          <t>Anchored to IEA, Energy and AI (Apr 2025): the report gives scenario endpoints at 2030 and 2035, so 2025-29 and 2031-34 are LINEAR INTERPOLATIONS. Every figure marked 'unverified (from memory)' was not fetched (one Actions probe, 5 Oct 2026: ERCOT's load-forecast and large-load pages answered 200 but yielded no readable queue figures, the IEA pages returned 403) - verify before relying on it.</t>
        </is>
      </c>
    </row>
    <row r="4">
      <c r="A4" s="6" t="inlineStr">
        <is>
          <t>Assumption</t>
        </is>
      </c>
      <c r="B4" s="6" t="inlineStr">
        <is>
          <t>LOW</t>
        </is>
      </c>
      <c r="C4" s="6" t="inlineStr">
        <is>
          <t>BASE</t>
        </is>
      </c>
      <c r="D4" s="6" t="inlineStr">
        <is>
          <t>HIGH</t>
        </is>
      </c>
      <c r="E4" s="6" t="inlineStr">
        <is>
          <t>Unit</t>
        </is>
      </c>
      <c r="F4" s="6" t="inlineStr">
        <is>
          <t>Source / status</t>
        </is>
      </c>
    </row>
    <row r="5">
      <c r="A5" t="inlineStr">
        <is>
          <t>US data-centre electricity, 2024</t>
        </is>
      </c>
      <c r="B5" s="7" t="n">
        <v>180</v>
      </c>
      <c r="C5" s="7" t="n">
        <v>180</v>
      </c>
      <c r="D5" s="7" t="n">
        <v>180</v>
      </c>
      <c r="E5" t="inlineStr">
        <is>
          <t>TWh</t>
        </is>
      </c>
      <c r="F5" t="inlineStr">
        <is>
          <t>IEA, Energy and AI (Apr 2025): ~180 TWh in 2024 - unverified (from memory)</t>
        </is>
      </c>
    </row>
    <row r="6">
      <c r="A6" t="inlineStr">
        <is>
          <t>US increase 2024 -&gt; 2030</t>
        </is>
      </c>
      <c r="B6" s="7" t="n">
        <v>120</v>
      </c>
      <c r="C6" s="7" t="n">
        <v>240</v>
      </c>
      <c r="D6" s="7" t="n">
        <v>360</v>
      </c>
      <c r="E6" t="inlineStr">
        <is>
          <t>TWh</t>
        </is>
      </c>
      <c r="F6" t="inlineStr">
        <is>
          <t>BASE = IEA's ~+240 TWh by 2030 (unverified (from memory)); LOW / HIGH = own sensitivities (about half / 1.5x)</t>
        </is>
      </c>
    </row>
    <row r="7">
      <c r="A7" t="inlineStr">
        <is>
          <t>US increase 2024 -&gt; 2035</t>
        </is>
      </c>
      <c r="B7" s="7" t="n">
        <v>220</v>
      </c>
      <c r="C7" s="7" t="n">
        <v>380</v>
      </c>
      <c r="D7" s="7" t="n">
        <v>620</v>
      </c>
      <c r="E7" t="inlineStr">
        <is>
          <t>TWh</t>
        </is>
      </c>
      <c r="F7" t="inlineStr">
        <is>
          <t>IEA scenario endpoint 2035 - values unverified (from memory); own cases around it. 2031-34 are interpolated between the 2030 and 2035 endpoints</t>
        </is>
      </c>
    </row>
    <row r="8">
      <c r="A8" t="inlineStr">
        <is>
          <t>Texas share of the US 2024 data-centre stock</t>
        </is>
      </c>
      <c r="B8" s="8" t="n">
        <v>0.1</v>
      </c>
      <c r="C8" s="8" t="n">
        <v>0.1</v>
      </c>
      <c r="D8" s="8" t="n">
        <v>0.1</v>
      </c>
      <c r="E8" t="inlineStr">
        <is>
          <t>share</t>
        </is>
      </c>
      <c r="F8" t="inlineStr">
        <is>
          <t>own assumption (unverified)</t>
        </is>
      </c>
    </row>
    <row r="9">
      <c r="A9" t="inlineStr">
        <is>
          <t>Texas share of US data-centre GROWTH</t>
        </is>
      </c>
      <c r="B9" s="8" t="n">
        <v>0.15</v>
      </c>
      <c r="C9" s="8" t="n">
        <v>0.25</v>
      </c>
      <c r="D9" s="8" t="n">
        <v>0.4</v>
      </c>
      <c r="E9" t="inlineStr">
        <is>
          <t>share</t>
        </is>
      </c>
      <c r="F9" t="inlineStr">
        <is>
          <t>own assumption; ERCOT's large-load queue is the cross-check (rows below), unverified</t>
        </is>
      </c>
    </row>
    <row r="10">
      <c r="A10" t="inlineStr">
        <is>
          <t>Load factor (average load / energised capacity)</t>
        </is>
      </c>
      <c r="B10" s="8" t="n">
        <v>0.85</v>
      </c>
      <c r="C10" s="8" t="n">
        <v>0.85</v>
      </c>
      <c r="D10" s="8" t="n">
        <v>0.85</v>
      </c>
      <c r="E10" t="inlineStr">
        <is>
          <t>ratio</t>
        </is>
      </c>
      <c r="F10" t="inlineStr">
        <is>
          <t>own assumption</t>
        </is>
      </c>
    </row>
    <row r="11">
      <c r="A11" t="inlineStr">
        <is>
          <t>Gas share of marginal supply (share of the extra load met by gas burn)</t>
        </is>
      </c>
      <c r="B11" s="8" t="n">
        <v>0.4</v>
      </c>
      <c r="C11" s="8" t="n">
        <v>0.5</v>
      </c>
      <c r="D11" s="8" t="n">
        <v>0.6</v>
      </c>
      <c r="E11" t="inlineStr">
        <is>
          <t>share</t>
        </is>
      </c>
      <c r="F11" t="inlineStr">
        <is>
          <t>own assumption</t>
        </is>
      </c>
    </row>
    <row r="12">
      <c r="A12" t="inlineStr">
        <is>
          <t>Effective heat rate</t>
        </is>
      </c>
      <c r="B12" s="7" t="n">
        <v>8.54345</v>
      </c>
      <c r="C12" s="7" t="n">
        <v>8.54345</v>
      </c>
      <c r="D12" s="7" t="n">
        <v>8.54345</v>
      </c>
      <c r="E12" t="inlineStr">
        <is>
          <t>MMBtu/MWh</t>
        </is>
      </c>
      <c r="F12" t="inlineStr">
        <is>
          <t>mean of the last 12 calibrated months of ercot_gas_burn_daily.xlsx (set by the script; overwrite to override); last 12 months Aug/25-Jul/26 (12 months)</t>
        </is>
      </c>
    </row>
    <row r="13">
      <c r="A13" t="inlineStr">
        <is>
          <t>MMBtu per Mcf</t>
        </is>
      </c>
      <c r="B13" s="9" t="n">
        <v>1.036</v>
      </c>
      <c r="C13" s="9" t="n">
        <v>1.036</v>
      </c>
      <c r="D13" s="9" t="n">
        <v>1.036</v>
      </c>
      <c r="E13" t="inlineStr">
        <is>
          <t>MMBtu/Mcf</t>
        </is>
      </c>
      <c r="F13" t="inlineStr">
        <is>
          <t>pipeline-quality gas, as specified (ercot_gas_burn_daily.xlsx uses ~1.015)</t>
        </is>
      </c>
    </row>
    <row r="14">
      <c r="A14" s="10" t="inlineStr">
        <is>
          <t>Gas burn per GW of energised load (formula)</t>
        </is>
      </c>
      <c r="B14" s="11">
        <f>1000*B10*B11*B12*24/B13/1000000</f>
        <v/>
      </c>
      <c r="C14" s="11">
        <f>1000*C10*C11*C12*24/C13/1000000</f>
        <v/>
      </c>
      <c r="D14" s="11">
        <f>1000*D10*D11*D12*24/D13/1000000</f>
        <v/>
      </c>
      <c r="E14" t="inlineStr">
        <is>
          <t>Bcf/d per GW</t>
        </is>
      </c>
      <c r="F14">
        <f> 1000 MW/GW x load factor x gas share x heat rate x 24 h / (MMBtu per Mcf) / 1e6</f>
        <v/>
      </c>
    </row>
    <row r="16">
      <c r="A16" s="10" t="inlineStr">
        <is>
          <t>Other inputs</t>
        </is>
      </c>
    </row>
    <row r="17">
      <c r="A17" t="inlineStr">
        <is>
          <t>Electric-power sector underlying growth after Dec 2028</t>
        </is>
      </c>
      <c r="B17" s="8" t="n">
        <v>0</v>
      </c>
      <c r="E17" t="inlineStr">
        <is>
          <t>per year</t>
        </is>
      </c>
      <c r="F17" t="inlineStr">
        <is>
          <t>0 = flat: data centres are the explicit power-demand growth layer, so EIA's trend growth is not extended (avoids double counting)</t>
        </is>
      </c>
    </row>
    <row r="18">
      <c r="A18" t="inlineStr">
        <is>
          <t>Production extension after 2028: growth multiplier per year</t>
        </is>
      </c>
      <c r="B18" s="8" t="n">
        <v>0.5</v>
      </c>
      <c r="E18" t="inlineStr">
        <is>
          <t>x</t>
        </is>
      </c>
      <c r="F18" t="inlineStr">
        <is>
          <t>STEO regional growth of 2027/2026 is damped by this factor each year after 2028 (0.5 = halves every year). 'Extension, not STEO'. Own assumption</t>
        </is>
      </c>
    </row>
    <row r="19">
      <c r="A19" t="inlineStr">
        <is>
          <t>ERCOT large-load interconnection queue (all large loads)</t>
        </is>
      </c>
      <c r="B19" s="12" t="n">
        <v>226</v>
      </c>
      <c r="E19" t="inlineStr">
        <is>
          <t>GW</t>
        </is>
      </c>
      <c r="F19" t="inlineStr">
        <is>
          <t>ERCOT large-load queue, late 2025 - unverified (from memory); not fetched (probe: discovery_archive/ERCOT_IEA_DATACENTRE_PROBE.py - ERCOT pages reachable but no figures extracted, IEA 403)</t>
        </is>
      </c>
    </row>
    <row r="20">
      <c r="A20" t="inlineStr">
        <is>
          <t>Data-centre share of the queue</t>
        </is>
      </c>
      <c r="B20" s="8" t="n">
        <v>0.7</v>
      </c>
      <c r="E20" t="inlineStr">
        <is>
          <t>share</t>
        </is>
      </c>
      <c r="F20" t="inlineStr">
        <is>
          <t>unverified (from memory)</t>
        </is>
      </c>
    </row>
    <row r="22">
      <c r="A22" s="10" t="inlineStr">
        <is>
          <t>ERCOT cross-check: BASE Texas energised GW in 2030 / (queue GW x data-centre share)</t>
        </is>
      </c>
      <c r="B22" s="13">
        <f>'Data centres'!J13/(B19*B20)</f>
        <v/>
      </c>
      <c r="F22" t="inlineStr">
        <is>
          <t>share of the queued data-centre load that is energised by 2030 in BASE; ERCOT queues are speculative, so a low double-digit share is plausible, &gt; 40% would look aggressive. Queue size unverified</t>
        </is>
      </c>
    </row>
  </sheetData>
  <mergeCells count="1">
    <mergeCell ref="A2:F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Q16"/>
  <sheetViews>
    <sheetView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14" customWidth="1" min="1" max="1"/>
    <col width="3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c r="A1" s="4" t="inlineStr">
        <is>
          <t>Texas data-centre load (year-end energised GW) and gas burn, LOW / BASE / HIGH - live formulas on 'Assump - Data centres'</t>
        </is>
      </c>
    </row>
    <row r="2" ht="32" customHeight="1">
      <c r="A2" s="5" t="inlineStr">
        <is>
          <t>Texas TWh = US 2024 TWh x Texas stock share + Texas share of growth x (US TWh - US 2024 TWh); energised GW = TWh / 8.76 / load factor; gas Bcf/d = GW x gas burn per GW (assumption tab). 2025-29 and 2031-33 are interpolated between IEA scenario endpoints.</t>
        </is>
      </c>
    </row>
    <row r="3" ht="32" customHeight="1">
      <c r="A3" s="5" t="inlineStr">
        <is>
          <t>EIA's electric-power history already contains the 2024-26 data-centre burn: the charts stack only the burn ADDED after the last EIA actual month (see 'Demand to 2033'); this tab shows the total.</t>
        </is>
      </c>
    </row>
    <row r="6" ht="48" customHeight="1">
      <c r="A6" s="6" t="inlineStr">
        <is>
          <t>Year (year-end)</t>
        </is>
      </c>
      <c r="B6" s="6" t="inlineStr">
        <is>
          <t>Basis</t>
        </is>
      </c>
      <c r="C6" s="6" t="inlineStr">
        <is>
          <t>LOW: US TWh</t>
        </is>
      </c>
      <c r="D6" s="6" t="inlineStr">
        <is>
          <t>LOW: Texas TWh</t>
        </is>
      </c>
      <c r="E6" s="6" t="inlineStr">
        <is>
          <t>LOW: Texas energised GW</t>
        </is>
      </c>
      <c r="F6" s="6" t="inlineStr">
        <is>
          <t>LOW: gas burn Bcf/d</t>
        </is>
      </c>
      <c r="G6" s="6" t="inlineStr">
        <is>
          <t>LOW: added since Dec 2025, Bcf/d</t>
        </is>
      </c>
      <c r="H6" s="6" t="inlineStr">
        <is>
          <t>BASE: US TWh</t>
        </is>
      </c>
      <c r="I6" s="6" t="inlineStr">
        <is>
          <t>BASE: Texas TWh</t>
        </is>
      </c>
      <c r="J6" s="6" t="inlineStr">
        <is>
          <t>BASE: Texas energised GW</t>
        </is>
      </c>
      <c r="K6" s="6" t="inlineStr">
        <is>
          <t>BASE: gas burn Bcf/d</t>
        </is>
      </c>
      <c r="L6" s="6" t="inlineStr">
        <is>
          <t>BASE: added since Dec 2025, Bcf/d</t>
        </is>
      </c>
      <c r="M6" s="6" t="inlineStr">
        <is>
          <t>HIGH: US TWh</t>
        </is>
      </c>
      <c r="N6" s="6" t="inlineStr">
        <is>
          <t>HIGH: Texas TWh</t>
        </is>
      </c>
      <c r="O6" s="6" t="inlineStr">
        <is>
          <t>HIGH: Texas energised GW</t>
        </is>
      </c>
      <c r="P6" s="6" t="inlineStr">
        <is>
          <t>HIGH: gas burn Bcf/d</t>
        </is>
      </c>
      <c r="Q6" s="6" t="inlineStr">
        <is>
          <t>HIGH: added since Dec 2025, Bcf/d</t>
        </is>
      </c>
    </row>
    <row r="7">
      <c r="A7" t="n">
        <v>2024</v>
      </c>
      <c r="B7" t="inlineStr">
        <is>
          <t>IEA anchor (2024, unverified)</t>
        </is>
      </c>
      <c r="C7" s="14">
        <f>IF($A7&lt;=2030,'Assump - Data centres'!$B$5+'Assump - Data centres'!$B$6*($A7-2024)/6,'Assump - Data centres'!$B$5+'Assump - Data centres'!$B$6+('Assump - Data centres'!$B$7-'Assump - Data centres'!$B$6)*($A7-2030)/5)</f>
        <v/>
      </c>
      <c r="D7" s="14">
        <f>'Assump - Data centres'!$B$5*'Assump - Data centres'!$B$8+'Assump - Data centres'!$B$9*(C7-'Assump - Data centres'!$B$5)</f>
        <v/>
      </c>
      <c r="E7" s="15">
        <f>D7/8.76/'Assump - Data centres'!$B$10</f>
        <v/>
      </c>
      <c r="F7" s="15">
        <f>E7*'Assump - Data centres'!$B$14</f>
        <v/>
      </c>
      <c r="G7" s="15">
        <f>F7-F$8</f>
        <v/>
      </c>
      <c r="H7" s="14">
        <f>IF($A7&lt;=2030,'Assump - Data centres'!$C$5+'Assump - Data centres'!$C$6*($A7-2024)/6,'Assump - Data centres'!$C$5+'Assump - Data centres'!$C$6+('Assump - Data centres'!$C$7-'Assump - Data centres'!$C$6)*($A7-2030)/5)</f>
        <v/>
      </c>
      <c r="I7" s="14">
        <f>'Assump - Data centres'!$C$5*'Assump - Data centres'!$C$8+'Assump - Data centres'!$C$9*(H7-'Assump - Data centres'!$C$5)</f>
        <v/>
      </c>
      <c r="J7" s="15">
        <f>I7/8.76/'Assump - Data centres'!$C$10</f>
        <v/>
      </c>
      <c r="K7" s="15">
        <f>J7*'Assump - Data centres'!$C$14</f>
        <v/>
      </c>
      <c r="L7" s="15">
        <f>K7-K$8</f>
        <v/>
      </c>
      <c r="M7" s="14">
        <f>IF($A7&lt;=2030,'Assump - Data centres'!$D$5+'Assump - Data centres'!$D$6*($A7-2024)/6,'Assump - Data centres'!$D$5+'Assump - Data centres'!$D$6+('Assump - Data centres'!$D$7-'Assump - Data centres'!$D$6)*($A7-2030)/5)</f>
        <v/>
      </c>
      <c r="N7" s="14">
        <f>'Assump - Data centres'!$D$5*'Assump - Data centres'!$D$8+'Assump - Data centres'!$D$9*(M7-'Assump - Data centres'!$D$5)</f>
        <v/>
      </c>
      <c r="O7" s="15">
        <f>N7/8.76/'Assump - Data centres'!$D$10</f>
        <v/>
      </c>
      <c r="P7" s="15">
        <f>O7*'Assump - Data centres'!$D$14</f>
        <v/>
      </c>
      <c r="Q7" s="15">
        <f>P7-P$8</f>
        <v/>
      </c>
    </row>
    <row r="8">
      <c r="A8" t="n">
        <v>2025</v>
      </c>
      <c r="B8" t="inlineStr">
        <is>
          <t>interpolated 2024-30</t>
        </is>
      </c>
      <c r="C8" s="14">
        <f>IF($A8&lt;=2030,'Assump - Data centres'!$B$5+'Assump - Data centres'!$B$6*($A8-2024)/6,'Assump - Data centres'!$B$5+'Assump - Data centres'!$B$6+('Assump - Data centres'!$B$7-'Assump - Data centres'!$B$6)*($A8-2030)/5)</f>
        <v/>
      </c>
      <c r="D8" s="14">
        <f>'Assump - Data centres'!$B$5*'Assump - Data centres'!$B$8+'Assump - Data centres'!$B$9*(C8-'Assump - Data centres'!$B$5)</f>
        <v/>
      </c>
      <c r="E8" s="15">
        <f>D8/8.76/'Assump - Data centres'!$B$10</f>
        <v/>
      </c>
      <c r="F8" s="15">
        <f>E8*'Assump - Data centres'!$B$14</f>
        <v/>
      </c>
      <c r="G8" s="15">
        <f>F8-F$8</f>
        <v/>
      </c>
      <c r="H8" s="14">
        <f>IF($A8&lt;=2030,'Assump - Data centres'!$C$5+'Assump - Data centres'!$C$6*($A8-2024)/6,'Assump - Data centres'!$C$5+'Assump - Data centres'!$C$6+('Assump - Data centres'!$C$7-'Assump - Data centres'!$C$6)*($A8-2030)/5)</f>
        <v/>
      </c>
      <c r="I8" s="14">
        <f>'Assump - Data centres'!$C$5*'Assump - Data centres'!$C$8+'Assump - Data centres'!$C$9*(H8-'Assump - Data centres'!$C$5)</f>
        <v/>
      </c>
      <c r="J8" s="15">
        <f>I8/8.76/'Assump - Data centres'!$C$10</f>
        <v/>
      </c>
      <c r="K8" s="15">
        <f>J8*'Assump - Data centres'!$C$14</f>
        <v/>
      </c>
      <c r="L8" s="15">
        <f>K8-K$8</f>
        <v/>
      </c>
      <c r="M8" s="14">
        <f>IF($A8&lt;=2030,'Assump - Data centres'!$D$5+'Assump - Data centres'!$D$6*($A8-2024)/6,'Assump - Data centres'!$D$5+'Assump - Data centres'!$D$6+('Assump - Data centres'!$D$7-'Assump - Data centres'!$D$6)*($A8-2030)/5)</f>
        <v/>
      </c>
      <c r="N8" s="14">
        <f>'Assump - Data centres'!$D$5*'Assump - Data centres'!$D$8+'Assump - Data centres'!$D$9*(M8-'Assump - Data centres'!$D$5)</f>
        <v/>
      </c>
      <c r="O8" s="15">
        <f>N8/8.76/'Assump - Data centres'!$D$10</f>
        <v/>
      </c>
      <c r="P8" s="15">
        <f>O8*'Assump - Data centres'!$D$14</f>
        <v/>
      </c>
      <c r="Q8" s="15">
        <f>P8-P$8</f>
        <v/>
      </c>
    </row>
    <row r="9">
      <c r="A9" t="n">
        <v>2026</v>
      </c>
      <c r="B9" t="inlineStr">
        <is>
          <t>interpolated 2024-30</t>
        </is>
      </c>
      <c r="C9" s="14">
        <f>IF($A9&lt;=2030,'Assump - Data centres'!$B$5+'Assump - Data centres'!$B$6*($A9-2024)/6,'Assump - Data centres'!$B$5+'Assump - Data centres'!$B$6+('Assump - Data centres'!$B$7-'Assump - Data centres'!$B$6)*($A9-2030)/5)</f>
        <v/>
      </c>
      <c r="D9" s="14">
        <f>'Assump - Data centres'!$B$5*'Assump - Data centres'!$B$8+'Assump - Data centres'!$B$9*(C9-'Assump - Data centres'!$B$5)</f>
        <v/>
      </c>
      <c r="E9" s="15">
        <f>D9/8.76/'Assump - Data centres'!$B$10</f>
        <v/>
      </c>
      <c r="F9" s="15">
        <f>E9*'Assump - Data centres'!$B$14</f>
        <v/>
      </c>
      <c r="G9" s="15">
        <f>F9-F$8</f>
        <v/>
      </c>
      <c r="H9" s="14">
        <f>IF($A9&lt;=2030,'Assump - Data centres'!$C$5+'Assump - Data centres'!$C$6*($A9-2024)/6,'Assump - Data centres'!$C$5+'Assump - Data centres'!$C$6+('Assump - Data centres'!$C$7-'Assump - Data centres'!$C$6)*($A9-2030)/5)</f>
        <v/>
      </c>
      <c r="I9" s="14">
        <f>'Assump - Data centres'!$C$5*'Assump - Data centres'!$C$8+'Assump - Data centres'!$C$9*(H9-'Assump - Data centres'!$C$5)</f>
        <v/>
      </c>
      <c r="J9" s="15">
        <f>I9/8.76/'Assump - Data centres'!$C$10</f>
        <v/>
      </c>
      <c r="K9" s="15">
        <f>J9*'Assump - Data centres'!$C$14</f>
        <v/>
      </c>
      <c r="L9" s="15">
        <f>K9-K$8</f>
        <v/>
      </c>
      <c r="M9" s="14">
        <f>IF($A9&lt;=2030,'Assump - Data centres'!$D$5+'Assump - Data centres'!$D$6*($A9-2024)/6,'Assump - Data centres'!$D$5+'Assump - Data centres'!$D$6+('Assump - Data centres'!$D$7-'Assump - Data centres'!$D$6)*($A9-2030)/5)</f>
        <v/>
      </c>
      <c r="N9" s="14">
        <f>'Assump - Data centres'!$D$5*'Assump - Data centres'!$D$8+'Assump - Data centres'!$D$9*(M9-'Assump - Data centres'!$D$5)</f>
        <v/>
      </c>
      <c r="O9" s="15">
        <f>N9/8.76/'Assump - Data centres'!$D$10</f>
        <v/>
      </c>
      <c r="P9" s="15">
        <f>O9*'Assump - Data centres'!$D$14</f>
        <v/>
      </c>
      <c r="Q9" s="15">
        <f>P9-P$8</f>
        <v/>
      </c>
    </row>
    <row r="10">
      <c r="A10" t="n">
        <v>2027</v>
      </c>
      <c r="B10" t="inlineStr">
        <is>
          <t>interpolated 2024-30</t>
        </is>
      </c>
      <c r="C10" s="14">
        <f>IF($A10&lt;=2030,'Assump - Data centres'!$B$5+'Assump - Data centres'!$B$6*($A10-2024)/6,'Assump - Data centres'!$B$5+'Assump - Data centres'!$B$6+('Assump - Data centres'!$B$7-'Assump - Data centres'!$B$6)*($A10-2030)/5)</f>
        <v/>
      </c>
      <c r="D10" s="14">
        <f>'Assump - Data centres'!$B$5*'Assump - Data centres'!$B$8+'Assump - Data centres'!$B$9*(C10-'Assump - Data centres'!$B$5)</f>
        <v/>
      </c>
      <c r="E10" s="15">
        <f>D10/8.76/'Assump - Data centres'!$B$10</f>
        <v/>
      </c>
      <c r="F10" s="15">
        <f>E10*'Assump - Data centres'!$B$14</f>
        <v/>
      </c>
      <c r="G10" s="15">
        <f>F10-F$8</f>
        <v/>
      </c>
      <c r="H10" s="14">
        <f>IF($A10&lt;=2030,'Assump - Data centres'!$C$5+'Assump - Data centres'!$C$6*($A10-2024)/6,'Assump - Data centres'!$C$5+'Assump - Data centres'!$C$6+('Assump - Data centres'!$C$7-'Assump - Data centres'!$C$6)*($A10-2030)/5)</f>
        <v/>
      </c>
      <c r="I10" s="14">
        <f>'Assump - Data centres'!$C$5*'Assump - Data centres'!$C$8+'Assump - Data centres'!$C$9*(H10-'Assump - Data centres'!$C$5)</f>
        <v/>
      </c>
      <c r="J10" s="15">
        <f>I10/8.76/'Assump - Data centres'!$C$10</f>
        <v/>
      </c>
      <c r="K10" s="15">
        <f>J10*'Assump - Data centres'!$C$14</f>
        <v/>
      </c>
      <c r="L10" s="15">
        <f>K10-K$8</f>
        <v/>
      </c>
      <c r="M10" s="14">
        <f>IF($A10&lt;=2030,'Assump - Data centres'!$D$5+'Assump - Data centres'!$D$6*($A10-2024)/6,'Assump - Data centres'!$D$5+'Assump - Data centres'!$D$6+('Assump - Data centres'!$D$7-'Assump - Data centres'!$D$6)*($A10-2030)/5)</f>
        <v/>
      </c>
      <c r="N10" s="14">
        <f>'Assump - Data centres'!$D$5*'Assump - Data centres'!$D$8+'Assump - Data centres'!$D$9*(M10-'Assump - Data centres'!$D$5)</f>
        <v/>
      </c>
      <c r="O10" s="15">
        <f>N10/8.76/'Assump - Data centres'!$D$10</f>
        <v/>
      </c>
      <c r="P10" s="15">
        <f>O10*'Assump - Data centres'!$D$14</f>
        <v/>
      </c>
      <c r="Q10" s="15">
        <f>P10-P$8</f>
        <v/>
      </c>
    </row>
    <row r="11">
      <c r="A11" t="n">
        <v>2028</v>
      </c>
      <c r="B11" t="inlineStr">
        <is>
          <t>interpolated 2024-30</t>
        </is>
      </c>
      <c r="C11" s="14">
        <f>IF($A11&lt;=2030,'Assump - Data centres'!$B$5+'Assump - Data centres'!$B$6*($A11-2024)/6,'Assump - Data centres'!$B$5+'Assump - Data centres'!$B$6+('Assump - Data centres'!$B$7-'Assump - Data centres'!$B$6)*($A11-2030)/5)</f>
        <v/>
      </c>
      <c r="D11" s="14">
        <f>'Assump - Data centres'!$B$5*'Assump - Data centres'!$B$8+'Assump - Data centres'!$B$9*(C11-'Assump - Data centres'!$B$5)</f>
        <v/>
      </c>
      <c r="E11" s="15">
        <f>D11/8.76/'Assump - Data centres'!$B$10</f>
        <v/>
      </c>
      <c r="F11" s="15">
        <f>E11*'Assump - Data centres'!$B$14</f>
        <v/>
      </c>
      <c r="G11" s="15">
        <f>F11-F$8</f>
        <v/>
      </c>
      <c r="H11" s="14">
        <f>IF($A11&lt;=2030,'Assump - Data centres'!$C$5+'Assump - Data centres'!$C$6*($A11-2024)/6,'Assump - Data centres'!$C$5+'Assump - Data centres'!$C$6+('Assump - Data centres'!$C$7-'Assump - Data centres'!$C$6)*($A11-2030)/5)</f>
        <v/>
      </c>
      <c r="I11" s="14">
        <f>'Assump - Data centres'!$C$5*'Assump - Data centres'!$C$8+'Assump - Data centres'!$C$9*(H11-'Assump - Data centres'!$C$5)</f>
        <v/>
      </c>
      <c r="J11" s="15">
        <f>I11/8.76/'Assump - Data centres'!$C$10</f>
        <v/>
      </c>
      <c r="K11" s="15">
        <f>J11*'Assump - Data centres'!$C$14</f>
        <v/>
      </c>
      <c r="L11" s="15">
        <f>K11-K$8</f>
        <v/>
      </c>
      <c r="M11" s="14">
        <f>IF($A11&lt;=2030,'Assump - Data centres'!$D$5+'Assump - Data centres'!$D$6*($A11-2024)/6,'Assump - Data centres'!$D$5+'Assump - Data centres'!$D$6+('Assump - Data centres'!$D$7-'Assump - Data centres'!$D$6)*($A11-2030)/5)</f>
        <v/>
      </c>
      <c r="N11" s="14">
        <f>'Assump - Data centres'!$D$5*'Assump - Data centres'!$D$8+'Assump - Data centres'!$D$9*(M11-'Assump - Data centres'!$D$5)</f>
        <v/>
      </c>
      <c r="O11" s="15">
        <f>N11/8.76/'Assump - Data centres'!$D$10</f>
        <v/>
      </c>
      <c r="P11" s="15">
        <f>O11*'Assump - Data centres'!$D$14</f>
        <v/>
      </c>
      <c r="Q11" s="15">
        <f>P11-P$8</f>
        <v/>
      </c>
    </row>
    <row r="12">
      <c r="A12" t="n">
        <v>2029</v>
      </c>
      <c r="B12" t="inlineStr">
        <is>
          <t>interpolated 2024-30</t>
        </is>
      </c>
      <c r="C12" s="14">
        <f>IF($A12&lt;=2030,'Assump - Data centres'!$B$5+'Assump - Data centres'!$B$6*($A12-2024)/6,'Assump - Data centres'!$B$5+'Assump - Data centres'!$B$6+('Assump - Data centres'!$B$7-'Assump - Data centres'!$B$6)*($A12-2030)/5)</f>
        <v/>
      </c>
      <c r="D12" s="14">
        <f>'Assump - Data centres'!$B$5*'Assump - Data centres'!$B$8+'Assump - Data centres'!$B$9*(C12-'Assump - Data centres'!$B$5)</f>
        <v/>
      </c>
      <c r="E12" s="15">
        <f>D12/8.76/'Assump - Data centres'!$B$10</f>
        <v/>
      </c>
      <c r="F12" s="15">
        <f>E12*'Assump - Data centres'!$B$14</f>
        <v/>
      </c>
      <c r="G12" s="15">
        <f>F12-F$8</f>
        <v/>
      </c>
      <c r="H12" s="14">
        <f>IF($A12&lt;=2030,'Assump - Data centres'!$C$5+'Assump - Data centres'!$C$6*($A12-2024)/6,'Assump - Data centres'!$C$5+'Assump - Data centres'!$C$6+('Assump - Data centres'!$C$7-'Assump - Data centres'!$C$6)*($A12-2030)/5)</f>
        <v/>
      </c>
      <c r="I12" s="14">
        <f>'Assump - Data centres'!$C$5*'Assump - Data centres'!$C$8+'Assump - Data centres'!$C$9*(H12-'Assump - Data centres'!$C$5)</f>
        <v/>
      </c>
      <c r="J12" s="15">
        <f>I12/8.76/'Assump - Data centres'!$C$10</f>
        <v/>
      </c>
      <c r="K12" s="15">
        <f>J12*'Assump - Data centres'!$C$14</f>
        <v/>
      </c>
      <c r="L12" s="15">
        <f>K12-K$8</f>
        <v/>
      </c>
      <c r="M12" s="14">
        <f>IF($A12&lt;=2030,'Assump - Data centres'!$D$5+'Assump - Data centres'!$D$6*($A12-2024)/6,'Assump - Data centres'!$D$5+'Assump - Data centres'!$D$6+('Assump - Data centres'!$D$7-'Assump - Data centres'!$D$6)*($A12-2030)/5)</f>
        <v/>
      </c>
      <c r="N12" s="14">
        <f>'Assump - Data centres'!$D$5*'Assump - Data centres'!$D$8+'Assump - Data centres'!$D$9*(M12-'Assump - Data centres'!$D$5)</f>
        <v/>
      </c>
      <c r="O12" s="15">
        <f>N12/8.76/'Assump - Data centres'!$D$10</f>
        <v/>
      </c>
      <c r="P12" s="15">
        <f>O12*'Assump - Data centres'!$D$14</f>
        <v/>
      </c>
      <c r="Q12" s="15">
        <f>P12-P$8</f>
        <v/>
      </c>
    </row>
    <row r="13">
      <c r="A13" t="n">
        <v>2030</v>
      </c>
      <c r="B13" t="inlineStr">
        <is>
          <t>IEA scenario endpoint (2030, unverified)</t>
        </is>
      </c>
      <c r="C13" s="14">
        <f>IF($A13&lt;=2030,'Assump - Data centres'!$B$5+'Assump - Data centres'!$B$6*($A13-2024)/6,'Assump - Data centres'!$B$5+'Assump - Data centres'!$B$6+('Assump - Data centres'!$B$7-'Assump - Data centres'!$B$6)*($A13-2030)/5)</f>
        <v/>
      </c>
      <c r="D13" s="14">
        <f>'Assump - Data centres'!$B$5*'Assump - Data centres'!$B$8+'Assump - Data centres'!$B$9*(C13-'Assump - Data centres'!$B$5)</f>
        <v/>
      </c>
      <c r="E13" s="15">
        <f>D13/8.76/'Assump - Data centres'!$B$10</f>
        <v/>
      </c>
      <c r="F13" s="15">
        <f>E13*'Assump - Data centres'!$B$14</f>
        <v/>
      </c>
      <c r="G13" s="15">
        <f>F13-F$8</f>
        <v/>
      </c>
      <c r="H13" s="14">
        <f>IF($A13&lt;=2030,'Assump - Data centres'!$C$5+'Assump - Data centres'!$C$6*($A13-2024)/6,'Assump - Data centres'!$C$5+'Assump - Data centres'!$C$6+('Assump - Data centres'!$C$7-'Assump - Data centres'!$C$6)*($A13-2030)/5)</f>
        <v/>
      </c>
      <c r="I13" s="14">
        <f>'Assump - Data centres'!$C$5*'Assump - Data centres'!$C$8+'Assump - Data centres'!$C$9*(H13-'Assump - Data centres'!$C$5)</f>
        <v/>
      </c>
      <c r="J13" s="15">
        <f>I13/8.76/'Assump - Data centres'!$C$10</f>
        <v/>
      </c>
      <c r="K13" s="15">
        <f>J13*'Assump - Data centres'!$C$14</f>
        <v/>
      </c>
      <c r="L13" s="15">
        <f>K13-K$8</f>
        <v/>
      </c>
      <c r="M13" s="14">
        <f>IF($A13&lt;=2030,'Assump - Data centres'!$D$5+'Assump - Data centres'!$D$6*($A13-2024)/6,'Assump - Data centres'!$D$5+'Assump - Data centres'!$D$6+('Assump - Data centres'!$D$7-'Assump - Data centres'!$D$6)*($A13-2030)/5)</f>
        <v/>
      </c>
      <c r="N13" s="14">
        <f>'Assump - Data centres'!$D$5*'Assump - Data centres'!$D$8+'Assump - Data centres'!$D$9*(M13-'Assump - Data centres'!$D$5)</f>
        <v/>
      </c>
      <c r="O13" s="15">
        <f>N13/8.76/'Assump - Data centres'!$D$10</f>
        <v/>
      </c>
      <c r="P13" s="15">
        <f>O13*'Assump - Data centres'!$D$14</f>
        <v/>
      </c>
      <c r="Q13" s="15">
        <f>P13-P$8</f>
        <v/>
      </c>
    </row>
    <row r="14">
      <c r="A14" s="16" t="n">
        <v>2031</v>
      </c>
      <c r="B14" s="16" t="inlineStr">
        <is>
          <t>interpolated 2030-35 (not an IEA data point)</t>
        </is>
      </c>
      <c r="C14" s="17">
        <f>IF($A14&lt;=2030,'Assump - Data centres'!$B$5+'Assump - Data centres'!$B$6*($A14-2024)/6,'Assump - Data centres'!$B$5+'Assump - Data centres'!$B$6+('Assump - Data centres'!$B$7-'Assump - Data centres'!$B$6)*($A14-2030)/5)</f>
        <v/>
      </c>
      <c r="D14" s="17">
        <f>'Assump - Data centres'!$B$5*'Assump - Data centres'!$B$8+'Assump - Data centres'!$B$9*(C14-'Assump - Data centres'!$B$5)</f>
        <v/>
      </c>
      <c r="E14" s="18">
        <f>D14/8.76/'Assump - Data centres'!$B$10</f>
        <v/>
      </c>
      <c r="F14" s="18">
        <f>E14*'Assump - Data centres'!$B$14</f>
        <v/>
      </c>
      <c r="G14" s="18">
        <f>F14-F$8</f>
        <v/>
      </c>
      <c r="H14" s="17">
        <f>IF($A14&lt;=2030,'Assump - Data centres'!$C$5+'Assump - Data centres'!$C$6*($A14-2024)/6,'Assump - Data centres'!$C$5+'Assump - Data centres'!$C$6+('Assump - Data centres'!$C$7-'Assump - Data centres'!$C$6)*($A14-2030)/5)</f>
        <v/>
      </c>
      <c r="I14" s="17">
        <f>'Assump - Data centres'!$C$5*'Assump - Data centres'!$C$8+'Assump - Data centres'!$C$9*(H14-'Assump - Data centres'!$C$5)</f>
        <v/>
      </c>
      <c r="J14" s="18">
        <f>I14/8.76/'Assump - Data centres'!$C$10</f>
        <v/>
      </c>
      <c r="K14" s="18">
        <f>J14*'Assump - Data centres'!$C$14</f>
        <v/>
      </c>
      <c r="L14" s="18">
        <f>K14-K$8</f>
        <v/>
      </c>
      <c r="M14" s="17">
        <f>IF($A14&lt;=2030,'Assump - Data centres'!$D$5+'Assump - Data centres'!$D$6*($A14-2024)/6,'Assump - Data centres'!$D$5+'Assump - Data centres'!$D$6+('Assump - Data centres'!$D$7-'Assump - Data centres'!$D$6)*($A14-2030)/5)</f>
        <v/>
      </c>
      <c r="N14" s="17">
        <f>'Assump - Data centres'!$D$5*'Assump - Data centres'!$D$8+'Assump - Data centres'!$D$9*(M14-'Assump - Data centres'!$D$5)</f>
        <v/>
      </c>
      <c r="O14" s="18">
        <f>N14/8.76/'Assump - Data centres'!$D$10</f>
        <v/>
      </c>
      <c r="P14" s="18">
        <f>O14*'Assump - Data centres'!$D$14</f>
        <v/>
      </c>
      <c r="Q14" s="18">
        <f>P14-P$8</f>
        <v/>
      </c>
    </row>
    <row r="15">
      <c r="A15" s="16" t="n">
        <v>2032</v>
      </c>
      <c r="B15" s="16" t="inlineStr">
        <is>
          <t>interpolated 2030-35 (not an IEA data point)</t>
        </is>
      </c>
      <c r="C15" s="17">
        <f>IF($A15&lt;=2030,'Assump - Data centres'!$B$5+'Assump - Data centres'!$B$6*($A15-2024)/6,'Assump - Data centres'!$B$5+'Assump - Data centres'!$B$6+('Assump - Data centres'!$B$7-'Assump - Data centres'!$B$6)*($A15-2030)/5)</f>
        <v/>
      </c>
      <c r="D15" s="17">
        <f>'Assump - Data centres'!$B$5*'Assump - Data centres'!$B$8+'Assump - Data centres'!$B$9*(C15-'Assump - Data centres'!$B$5)</f>
        <v/>
      </c>
      <c r="E15" s="18">
        <f>D15/8.76/'Assump - Data centres'!$B$10</f>
        <v/>
      </c>
      <c r="F15" s="18">
        <f>E15*'Assump - Data centres'!$B$14</f>
        <v/>
      </c>
      <c r="G15" s="18">
        <f>F15-F$8</f>
        <v/>
      </c>
      <c r="H15" s="17">
        <f>IF($A15&lt;=2030,'Assump - Data centres'!$C$5+'Assump - Data centres'!$C$6*($A15-2024)/6,'Assump - Data centres'!$C$5+'Assump - Data centres'!$C$6+('Assump - Data centres'!$C$7-'Assump - Data centres'!$C$6)*($A15-2030)/5)</f>
        <v/>
      </c>
      <c r="I15" s="17">
        <f>'Assump - Data centres'!$C$5*'Assump - Data centres'!$C$8+'Assump - Data centres'!$C$9*(H15-'Assump - Data centres'!$C$5)</f>
        <v/>
      </c>
      <c r="J15" s="18">
        <f>I15/8.76/'Assump - Data centres'!$C$10</f>
        <v/>
      </c>
      <c r="K15" s="18">
        <f>J15*'Assump - Data centres'!$C$14</f>
        <v/>
      </c>
      <c r="L15" s="18">
        <f>K15-K$8</f>
        <v/>
      </c>
      <c r="M15" s="17">
        <f>IF($A15&lt;=2030,'Assump - Data centres'!$D$5+'Assump - Data centres'!$D$6*($A15-2024)/6,'Assump - Data centres'!$D$5+'Assump - Data centres'!$D$6+('Assump - Data centres'!$D$7-'Assump - Data centres'!$D$6)*($A15-2030)/5)</f>
        <v/>
      </c>
      <c r="N15" s="17">
        <f>'Assump - Data centres'!$D$5*'Assump - Data centres'!$D$8+'Assump - Data centres'!$D$9*(M15-'Assump - Data centres'!$D$5)</f>
        <v/>
      </c>
      <c r="O15" s="18">
        <f>N15/8.76/'Assump - Data centres'!$D$10</f>
        <v/>
      </c>
      <c r="P15" s="18">
        <f>O15*'Assump - Data centres'!$D$14</f>
        <v/>
      </c>
      <c r="Q15" s="18">
        <f>P15-P$8</f>
        <v/>
      </c>
    </row>
    <row r="16">
      <c r="A16" s="16" t="n">
        <v>2033</v>
      </c>
      <c r="B16" s="16" t="inlineStr">
        <is>
          <t>interpolated 2030-35 (not an IEA data point)</t>
        </is>
      </c>
      <c r="C16" s="17">
        <f>IF($A16&lt;=2030,'Assump - Data centres'!$B$5+'Assump - Data centres'!$B$6*($A16-2024)/6,'Assump - Data centres'!$B$5+'Assump - Data centres'!$B$6+('Assump - Data centres'!$B$7-'Assump - Data centres'!$B$6)*($A16-2030)/5)</f>
        <v/>
      </c>
      <c r="D16" s="17">
        <f>'Assump - Data centres'!$B$5*'Assump - Data centres'!$B$8+'Assump - Data centres'!$B$9*(C16-'Assump - Data centres'!$B$5)</f>
        <v/>
      </c>
      <c r="E16" s="18">
        <f>D16/8.76/'Assump - Data centres'!$B$10</f>
        <v/>
      </c>
      <c r="F16" s="18">
        <f>E16*'Assump - Data centres'!$B$14</f>
        <v/>
      </c>
      <c r="G16" s="18">
        <f>F16-F$8</f>
        <v/>
      </c>
      <c r="H16" s="17">
        <f>IF($A16&lt;=2030,'Assump - Data centres'!$C$5+'Assump - Data centres'!$C$6*($A16-2024)/6,'Assump - Data centres'!$C$5+'Assump - Data centres'!$C$6+('Assump - Data centres'!$C$7-'Assump - Data centres'!$C$6)*($A16-2030)/5)</f>
        <v/>
      </c>
      <c r="I16" s="17">
        <f>'Assump - Data centres'!$C$5*'Assump - Data centres'!$C$8+'Assump - Data centres'!$C$9*(H16-'Assump - Data centres'!$C$5)</f>
        <v/>
      </c>
      <c r="J16" s="18">
        <f>I16/8.76/'Assump - Data centres'!$C$10</f>
        <v/>
      </c>
      <c r="K16" s="18">
        <f>J16*'Assump - Data centres'!$C$14</f>
        <v/>
      </c>
      <c r="L16" s="18">
        <f>K16-K$8</f>
        <v/>
      </c>
      <c r="M16" s="17">
        <f>IF($A16&lt;=2030,'Assump - Data centres'!$D$5+'Assump - Data centres'!$D$6*($A16-2024)/6,'Assump - Data centres'!$D$5+'Assump - Data centres'!$D$6+('Assump - Data centres'!$D$7-'Assump - Data centres'!$D$6)*($A16-2030)/5)</f>
        <v/>
      </c>
      <c r="N16" s="17">
        <f>'Assump - Data centres'!$D$5*'Assump - Data centres'!$D$8+'Assump - Data centres'!$D$9*(M16-'Assump - Data centres'!$D$5)</f>
        <v/>
      </c>
      <c r="O16" s="18">
        <f>N16/8.76/'Assump - Data centres'!$D$10</f>
        <v/>
      </c>
      <c r="P16" s="18">
        <f>O16*'Assump - Data centres'!$D$14</f>
        <v/>
      </c>
      <c r="Q16" s="18">
        <f>P16-P$8</f>
        <v/>
      </c>
    </row>
  </sheetData>
  <mergeCells count="2">
    <mergeCell ref="A3:Q3"/>
    <mergeCell ref="A2:Q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B12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s>
  <sheetData>
    <row r="1" ht="62" customHeight="1">
      <c r="A1" s="6" t="inlineStr">
        <is>
          <t>Month</t>
        </is>
      </c>
      <c r="B1" s="6" t="inlineStr">
        <is>
          <t>Type</t>
        </is>
      </c>
      <c r="C1" s="6" t="inlineStr">
        <is>
          <t>Electric power</t>
        </is>
      </c>
      <c r="D1" s="6" t="inlineStr">
        <is>
          <t>Industrial</t>
        </is>
      </c>
      <c r="E1" s="6" t="inlineStr">
        <is>
          <t>Residential</t>
        </is>
      </c>
      <c r="F1" s="6" t="inlineStr">
        <is>
          <t>Commercial</t>
        </is>
      </c>
      <c r="G1" s="6" t="inlineStr">
        <is>
          <t>Vehicle fuel</t>
        </is>
      </c>
      <c r="H1" s="6" t="inlineStr">
        <is>
          <t>LNG feedgas (base case)</t>
        </is>
      </c>
      <c r="I1" s="6" t="inlineStr">
        <is>
          <t>Pipeline exports to Mexico</t>
        </is>
      </c>
      <c r="J1" s="6" t="inlineStr">
        <is>
          <t>Data centres GW (year-end path), LOW</t>
        </is>
      </c>
      <c r="K1" s="6" t="inlineStr">
        <is>
          <t>Data centres gas burn, total, LOW</t>
        </is>
      </c>
      <c r="L1" s="6" t="inlineStr">
        <is>
          <t>Data centres added gas burn, LOW</t>
        </is>
      </c>
      <c r="M1" s="6" t="inlineStr">
        <is>
          <t>Data centres GW (year-end path), BASE</t>
        </is>
      </c>
      <c r="N1" s="6" t="inlineStr">
        <is>
          <t>Data centres gas burn, total, BASE</t>
        </is>
      </c>
      <c r="O1" s="6" t="inlineStr">
        <is>
          <t>Data centres added gas burn, BASE</t>
        </is>
      </c>
      <c r="P1" s="6" t="inlineStr">
        <is>
          <t>Data centres GW (year-end path), HIGH</t>
        </is>
      </c>
      <c r="Q1" s="6" t="inlineStr">
        <is>
          <t>Data centres gas burn, total, HIGH</t>
        </is>
      </c>
      <c r="R1" s="6" t="inlineStr">
        <is>
          <t>Data centres added gas burn, HIGH</t>
        </is>
      </c>
      <c r="S1" s="6" t="inlineStr">
        <is>
          <t>Total demand incl. data centres, LOW</t>
        </is>
      </c>
      <c r="T1" s="6" t="inlineStr">
        <is>
          <t>Total demand incl. data centres, BASE</t>
        </is>
      </c>
      <c r="U1" s="6" t="inlineStr">
        <is>
          <t>Total demand incl. data centres, HIGH</t>
        </is>
      </c>
      <c r="V1" s="6" t="inlineStr">
        <is>
          <t>Dry production, base</t>
        </is>
      </c>
      <c r="W1" s="6" t="inlineStr">
        <is>
          <t>Dry production, takeaway delayed</t>
        </is>
      </c>
      <c r="X1" s="6" t="inlineStr">
        <is>
          <t>Implied net outflow, LOW</t>
        </is>
      </c>
      <c r="Y1" s="6" t="inlineStr">
        <is>
          <t>Implied net outflow, BASE</t>
        </is>
      </c>
      <c r="Z1" s="6" t="inlineStr">
        <is>
          <t>Implied net outflow, HIGH</t>
        </is>
      </c>
      <c r="AA1" s="6" t="inlineStr">
        <is>
          <t>Permian takeaway + local demand, base (Bcf/d)</t>
        </is>
      </c>
      <c r="AB1" s="6" t="inlineStr">
        <is>
          <t>Permian STEO / extension marketed (Bcf/d)</t>
        </is>
      </c>
    </row>
    <row r="2">
      <c r="A2" s="20" t="n">
        <v>45292</v>
      </c>
      <c r="B2" t="inlineStr">
        <is>
          <t>Actual</t>
        </is>
      </c>
      <c r="C2" s="15" t="n">
        <v>5.561419354838709</v>
      </c>
      <c r="D2" s="15" t="n">
        <v>5.737903225806452</v>
      </c>
      <c r="E2" s="15" t="n">
        <v>1.718290322580645</v>
      </c>
      <c r="F2" s="15" t="n">
        <v>0.9129677419354839</v>
      </c>
      <c r="G2" s="15" t="n">
        <v>0.007419354838709677</v>
      </c>
      <c r="H2" s="15" t="n">
        <v>4.002901935483871</v>
      </c>
      <c r="I2" s="15" t="n">
        <v>3.045290322580645</v>
      </c>
      <c r="L2" s="15" t="n">
        <v>0</v>
      </c>
      <c r="O2" s="15" t="n">
        <v>0</v>
      </c>
      <c r="R2" s="15" t="n">
        <v>0</v>
      </c>
      <c r="S2" s="15" t="n">
        <v>20.98619225806452</v>
      </c>
      <c r="T2" s="15" t="n">
        <v>20.98619225806452</v>
      </c>
      <c r="U2" s="15" t="n">
        <v>20.98619225806452</v>
      </c>
      <c r="V2" s="15" t="n">
        <v>25.127</v>
      </c>
      <c r="W2" s="15" t="n">
        <v>25.127</v>
      </c>
      <c r="X2" s="15" t="n">
        <v>4.140807741935483</v>
      </c>
      <c r="Y2" s="15" t="n">
        <v>4.140807741935483</v>
      </c>
      <c r="Z2" s="15" t="n">
        <v>4.140807741935483</v>
      </c>
      <c r="AA2" s="15" t="n">
        <v>29.5</v>
      </c>
      <c r="AB2" s="15" t="n">
        <v>22.59695542</v>
      </c>
    </row>
    <row r="3">
      <c r="A3" s="20" t="n">
        <v>45323</v>
      </c>
      <c r="B3" t="inlineStr">
        <is>
          <t>Actual</t>
        </is>
      </c>
      <c r="C3" s="15" t="n">
        <v>4.008068965517241</v>
      </c>
      <c r="D3" s="15" t="n">
        <v>5.536586206896551</v>
      </c>
      <c r="E3" s="15" t="n">
        <v>1.097586206896552</v>
      </c>
      <c r="F3" s="15" t="n">
        <v>0.764551724137931</v>
      </c>
      <c r="G3" s="15" t="n">
        <v>0.007413793103448276</v>
      </c>
      <c r="H3" s="15" t="n">
        <v>3.654431724137932</v>
      </c>
      <c r="I3" s="15" t="n">
        <v>2.881137931034483</v>
      </c>
      <c r="L3" s="15" t="n">
        <v>0</v>
      </c>
      <c r="O3" s="15" t="n">
        <v>0</v>
      </c>
      <c r="R3" s="15" t="n">
        <v>0</v>
      </c>
      <c r="S3" s="15" t="n">
        <v>17.94977655172414</v>
      </c>
      <c r="T3" s="15" t="n">
        <v>17.94977655172414</v>
      </c>
      <c r="U3" s="15" t="n">
        <v>17.94977655172414</v>
      </c>
      <c r="V3" s="15" t="n">
        <v>26.47165517241379</v>
      </c>
      <c r="W3" s="15" t="n">
        <v>26.47165517241379</v>
      </c>
      <c r="X3" s="15" t="n">
        <v>8.521878620689652</v>
      </c>
      <c r="Y3" s="15" t="n">
        <v>8.521878620689652</v>
      </c>
      <c r="Z3" s="15" t="n">
        <v>8.521878620689652</v>
      </c>
      <c r="AA3" s="15" t="n">
        <v>29.5</v>
      </c>
      <c r="AB3" s="15" t="n">
        <v>23.68395313</v>
      </c>
    </row>
    <row r="4">
      <c r="A4" s="20" t="n">
        <v>45352</v>
      </c>
      <c r="B4" t="inlineStr">
        <is>
          <t>Actual</t>
        </is>
      </c>
      <c r="C4" s="15" t="n">
        <v>4.475806451612903</v>
      </c>
      <c r="D4" s="15" t="n">
        <v>5.56</v>
      </c>
      <c r="E4" s="15" t="n">
        <v>0.5969677419354839</v>
      </c>
      <c r="F4" s="15" t="n">
        <v>0.5730645161290323</v>
      </c>
      <c r="G4" s="15" t="n">
        <v>0.007419354838709677</v>
      </c>
      <c r="H4" s="15" t="n">
        <v>3.077456774193548</v>
      </c>
      <c r="I4" s="15" t="n">
        <v>2.966548387096774</v>
      </c>
      <c r="L4" s="15" t="n">
        <v>0</v>
      </c>
      <c r="O4" s="15" t="n">
        <v>0</v>
      </c>
      <c r="R4" s="15" t="n">
        <v>0</v>
      </c>
      <c r="S4" s="15" t="n">
        <v>17.25726322580645</v>
      </c>
      <c r="T4" s="15" t="n">
        <v>17.25726322580645</v>
      </c>
      <c r="U4" s="15" t="n">
        <v>17.25726322580645</v>
      </c>
      <c r="V4" s="15" t="n">
        <v>26.71183870967742</v>
      </c>
      <c r="W4" s="15" t="n">
        <v>26.71183870967742</v>
      </c>
      <c r="X4" s="15" t="n">
        <v>9.454575483870968</v>
      </c>
      <c r="Y4" s="15" t="n">
        <v>9.454575483870968</v>
      </c>
      <c r="Z4" s="15" t="n">
        <v>9.454575483870968</v>
      </c>
      <c r="AA4" s="15" t="n">
        <v>29.5</v>
      </c>
      <c r="AB4" s="15" t="n">
        <v>24.05521084</v>
      </c>
    </row>
    <row r="5">
      <c r="A5" s="20" t="n">
        <v>45383</v>
      </c>
      <c r="B5" t="inlineStr">
        <is>
          <t>Actual</t>
        </is>
      </c>
      <c r="C5" s="15" t="n">
        <v>4.507533333333334</v>
      </c>
      <c r="D5" s="15" t="n">
        <v>5.455</v>
      </c>
      <c r="E5" s="15" t="n">
        <v>0.3352</v>
      </c>
      <c r="F5" s="15" t="n">
        <v>0.4414666666666666</v>
      </c>
      <c r="G5" s="15" t="n">
        <v>0.0074</v>
      </c>
      <c r="H5" s="15" t="n">
        <v>2.211428333333334</v>
      </c>
      <c r="I5" s="15" t="n">
        <v>3.1878</v>
      </c>
      <c r="L5" s="15" t="n">
        <v>0</v>
      </c>
      <c r="O5" s="15" t="n">
        <v>0</v>
      </c>
      <c r="R5" s="15" t="n">
        <v>0</v>
      </c>
      <c r="S5" s="15" t="n">
        <v>16.14582833333333</v>
      </c>
      <c r="T5" s="15" t="n">
        <v>16.14582833333333</v>
      </c>
      <c r="U5" s="15" t="n">
        <v>16.14582833333333</v>
      </c>
      <c r="V5" s="15" t="n">
        <v>26.68763333333333</v>
      </c>
      <c r="W5" s="15" t="n">
        <v>26.68763333333333</v>
      </c>
      <c r="X5" s="15" t="n">
        <v>10.541805</v>
      </c>
      <c r="Y5" s="15" t="n">
        <v>10.541805</v>
      </c>
      <c r="Z5" s="15" t="n">
        <v>10.541805</v>
      </c>
      <c r="AA5" s="15" t="n">
        <v>29.5</v>
      </c>
      <c r="AB5" s="15" t="n">
        <v>24.10201897</v>
      </c>
    </row>
    <row r="6">
      <c r="A6" s="20" t="n">
        <v>45413</v>
      </c>
      <c r="B6" t="inlineStr">
        <is>
          <t>Actual</t>
        </is>
      </c>
      <c r="C6" s="15" t="n">
        <v>6.010064516129032</v>
      </c>
      <c r="D6" s="15" t="n">
        <v>5.232161290322581</v>
      </c>
      <c r="E6" s="15" t="n">
        <v>0.2444516129032258</v>
      </c>
      <c r="F6" s="15" t="n">
        <v>0.4193225806451613</v>
      </c>
      <c r="G6" s="15" t="n">
        <v>0.007419354838709677</v>
      </c>
      <c r="H6" s="15" t="n">
        <v>4.104940000000001</v>
      </c>
      <c r="I6" s="15" t="n">
        <v>3.257677419354839</v>
      </c>
      <c r="L6" s="15" t="n">
        <v>0</v>
      </c>
      <c r="O6" s="15" t="n">
        <v>0</v>
      </c>
      <c r="R6" s="15" t="n">
        <v>0</v>
      </c>
      <c r="S6" s="15" t="n">
        <v>19.27603677419355</v>
      </c>
      <c r="T6" s="15" t="n">
        <v>19.27603677419355</v>
      </c>
      <c r="U6" s="15" t="n">
        <v>19.27603677419355</v>
      </c>
      <c r="V6" s="15" t="n">
        <v>27.57170967741936</v>
      </c>
      <c r="W6" s="15" t="n">
        <v>27.57170967741936</v>
      </c>
      <c r="X6" s="15" t="n">
        <v>8.29567290322581</v>
      </c>
      <c r="Y6" s="15" t="n">
        <v>8.29567290322581</v>
      </c>
      <c r="Z6" s="15" t="n">
        <v>8.29567290322581</v>
      </c>
      <c r="AA6" s="15" t="n">
        <v>29.5</v>
      </c>
      <c r="AB6" s="15" t="n">
        <v>24.28678653</v>
      </c>
    </row>
    <row r="7">
      <c r="A7" s="20" t="n">
        <v>45444</v>
      </c>
      <c r="B7" t="inlineStr">
        <is>
          <t>Actual</t>
        </is>
      </c>
      <c r="C7" s="15" t="n">
        <v>6.976733333333334</v>
      </c>
      <c r="D7" s="15" t="n">
        <v>5.412633333333333</v>
      </c>
      <c r="E7" s="15" t="n">
        <v>0.2411666666666667</v>
      </c>
      <c r="F7" s="15" t="n">
        <v>0.4122</v>
      </c>
      <c r="G7" s="15" t="n">
        <v>0.0074</v>
      </c>
      <c r="H7" s="15" t="n">
        <v>4.706075</v>
      </c>
      <c r="I7" s="15" t="n">
        <v>3.117133333333333</v>
      </c>
      <c r="L7" s="15" t="n">
        <v>0</v>
      </c>
      <c r="O7" s="15" t="n">
        <v>0</v>
      </c>
      <c r="R7" s="15" t="n">
        <v>0</v>
      </c>
      <c r="S7" s="15" t="n">
        <v>20.87334166666666</v>
      </c>
      <c r="T7" s="15" t="n">
        <v>20.87334166666666</v>
      </c>
      <c r="U7" s="15" t="n">
        <v>20.87334166666666</v>
      </c>
      <c r="V7" s="15" t="n">
        <v>27.7913</v>
      </c>
      <c r="W7" s="15" t="n">
        <v>27.7913</v>
      </c>
      <c r="X7" s="15" t="n">
        <v>6.917958333333335</v>
      </c>
      <c r="Y7" s="15" t="n">
        <v>6.917958333333335</v>
      </c>
      <c r="Z7" s="15" t="n">
        <v>6.917958333333335</v>
      </c>
      <c r="AA7" s="15" t="n">
        <v>29.5</v>
      </c>
      <c r="AB7" s="15" t="n">
        <v>24.9598424</v>
      </c>
    </row>
    <row r="8">
      <c r="A8" s="20" t="n">
        <v>45474</v>
      </c>
      <c r="B8" t="inlineStr">
        <is>
          <t>Actual</t>
        </is>
      </c>
      <c r="C8" s="15" t="n">
        <v>7.261322580645161</v>
      </c>
      <c r="D8" s="15" t="n">
        <v>5.511741935483871</v>
      </c>
      <c r="E8" s="15" t="n">
        <v>0.2387096774193548</v>
      </c>
      <c r="F8" s="15" t="n">
        <v>0.4077096774193548</v>
      </c>
      <c r="G8" s="15" t="n">
        <v>0.007419354838709677</v>
      </c>
      <c r="H8" s="15" t="n">
        <v>2.888535161290323</v>
      </c>
      <c r="I8" s="15" t="n">
        <v>3.147096774193549</v>
      </c>
      <c r="L8" s="15" t="n">
        <v>0</v>
      </c>
      <c r="O8" s="15" t="n">
        <v>0</v>
      </c>
      <c r="R8" s="15" t="n">
        <v>0</v>
      </c>
      <c r="S8" s="15" t="n">
        <v>19.46253516129033</v>
      </c>
      <c r="T8" s="15" t="n">
        <v>19.46253516129033</v>
      </c>
      <c r="U8" s="15" t="n">
        <v>19.46253516129033</v>
      </c>
      <c r="V8" s="15" t="n">
        <v>27.72906451612904</v>
      </c>
      <c r="W8" s="15" t="n">
        <v>27.72906451612904</v>
      </c>
      <c r="X8" s="15" t="n">
        <v>8.266529354838713</v>
      </c>
      <c r="Y8" s="15" t="n">
        <v>8.266529354838713</v>
      </c>
      <c r="Z8" s="15" t="n">
        <v>8.266529354838713</v>
      </c>
      <c r="AA8" s="15" t="n">
        <v>29.5</v>
      </c>
      <c r="AB8" s="15" t="n">
        <v>25.3119424</v>
      </c>
    </row>
    <row r="9">
      <c r="A9" s="20" t="n">
        <v>45505</v>
      </c>
      <c r="B9" t="inlineStr">
        <is>
          <t>Actual</t>
        </is>
      </c>
      <c r="C9" s="15" t="n">
        <v>8.358483870967742</v>
      </c>
      <c r="D9" s="15" t="n">
        <v>5.637741935483871</v>
      </c>
      <c r="E9" s="15" t="n">
        <v>0.2118709677419355</v>
      </c>
      <c r="F9" s="15" t="n">
        <v>0.3919677419354838</v>
      </c>
      <c r="G9" s="15" t="n">
        <v>0.007419354838709677</v>
      </c>
      <c r="H9" s="15" t="n">
        <v>4.445793548387096</v>
      </c>
      <c r="I9" s="15" t="n">
        <v>3.193548387096774</v>
      </c>
      <c r="L9" s="15" t="n">
        <v>0</v>
      </c>
      <c r="O9" s="15" t="n">
        <v>0</v>
      </c>
      <c r="R9" s="15" t="n">
        <v>0</v>
      </c>
      <c r="S9" s="15" t="n">
        <v>22.24682580645161</v>
      </c>
      <c r="T9" s="15" t="n">
        <v>22.24682580645161</v>
      </c>
      <c r="U9" s="15" t="n">
        <v>22.24682580645161</v>
      </c>
      <c r="V9" s="15" t="n">
        <v>27.9198064516129</v>
      </c>
      <c r="W9" s="15" t="n">
        <v>27.9198064516129</v>
      </c>
      <c r="X9" s="15" t="n">
        <v>5.672980645161289</v>
      </c>
      <c r="Y9" s="15" t="n">
        <v>5.672980645161289</v>
      </c>
      <c r="Z9" s="15" t="n">
        <v>5.672980645161289</v>
      </c>
      <c r="AA9" s="15" t="n">
        <v>29.5</v>
      </c>
      <c r="AB9" s="15" t="n">
        <v>25.74684842</v>
      </c>
    </row>
    <row r="10">
      <c r="A10" s="20" t="n">
        <v>45536</v>
      </c>
      <c r="B10" t="inlineStr">
        <is>
          <t>Actual</t>
        </is>
      </c>
      <c r="C10" s="15" t="n">
        <v>6.897866666666666</v>
      </c>
      <c r="D10" s="15" t="n">
        <v>5.5316</v>
      </c>
      <c r="E10" s="15" t="n">
        <v>0.2098333333333333</v>
      </c>
      <c r="F10" s="15" t="n">
        <v>0.4142666666666667</v>
      </c>
      <c r="G10" s="15" t="n">
        <v>0.0074</v>
      </c>
      <c r="H10" s="15" t="n">
        <v>4.636932666666667</v>
      </c>
      <c r="I10" s="15" t="n">
        <v>3.0912</v>
      </c>
      <c r="L10" s="15" t="n">
        <v>0</v>
      </c>
      <c r="O10" s="15" t="n">
        <v>0</v>
      </c>
      <c r="R10" s="15" t="n">
        <v>0</v>
      </c>
      <c r="S10" s="15" t="n">
        <v>20.78909933333333</v>
      </c>
      <c r="T10" s="15" t="n">
        <v>20.78909933333333</v>
      </c>
      <c r="U10" s="15" t="n">
        <v>20.78909933333333</v>
      </c>
      <c r="V10" s="15" t="n">
        <v>28.2645</v>
      </c>
      <c r="W10" s="15" t="n">
        <v>28.2645</v>
      </c>
      <c r="X10" s="15" t="n">
        <v>7.475400666666669</v>
      </c>
      <c r="Y10" s="15" t="n">
        <v>7.475400666666669</v>
      </c>
      <c r="Z10" s="15" t="n">
        <v>7.475400666666669</v>
      </c>
      <c r="AA10" s="15" t="n">
        <v>29.5</v>
      </c>
      <c r="AB10" s="15" t="n">
        <v>25.69825872</v>
      </c>
    </row>
    <row r="11">
      <c r="A11" s="20" t="n">
        <v>45566</v>
      </c>
      <c r="B11" t="inlineStr">
        <is>
          <t>Actual</t>
        </is>
      </c>
      <c r="C11" s="15" t="n">
        <v>5.92516129032258</v>
      </c>
      <c r="D11" s="15" t="n">
        <v>5.303709677419355</v>
      </c>
      <c r="E11" s="15" t="n">
        <v>0.2420322580645161</v>
      </c>
      <c r="F11" s="15" t="n">
        <v>0.4293548387096774</v>
      </c>
      <c r="G11" s="15" t="n">
        <v>0.007419354838709677</v>
      </c>
      <c r="H11" s="15" t="n">
        <v>4.775289999999999</v>
      </c>
      <c r="I11" s="15" t="n">
        <v>2.869387096774194</v>
      </c>
      <c r="L11" s="15" t="n">
        <v>0</v>
      </c>
      <c r="O11" s="15" t="n">
        <v>0</v>
      </c>
      <c r="R11" s="15" t="n">
        <v>0</v>
      </c>
      <c r="S11" s="15" t="n">
        <v>19.55235451612903</v>
      </c>
      <c r="T11" s="15" t="n">
        <v>19.55235451612903</v>
      </c>
      <c r="U11" s="15" t="n">
        <v>19.55235451612903</v>
      </c>
      <c r="V11" s="15" t="n">
        <v>28.559</v>
      </c>
      <c r="W11" s="15" t="n">
        <v>28.559</v>
      </c>
      <c r="X11" s="15" t="n">
        <v>9.006645483870969</v>
      </c>
      <c r="Y11" s="15" t="n">
        <v>9.006645483870969</v>
      </c>
      <c r="Z11" s="15" t="n">
        <v>9.006645483870969</v>
      </c>
      <c r="AA11" s="15" t="n">
        <v>29.5</v>
      </c>
      <c r="AB11" s="15" t="n">
        <v>26.28777553</v>
      </c>
    </row>
    <row r="12">
      <c r="A12" s="20" t="n">
        <v>45597</v>
      </c>
      <c r="B12" t="inlineStr">
        <is>
          <t>Actual</t>
        </is>
      </c>
      <c r="C12" s="15" t="n">
        <v>4.806333333333333</v>
      </c>
      <c r="D12" s="15" t="n">
        <v>5.701866666666667</v>
      </c>
      <c r="E12" s="15" t="n">
        <v>0.4328666666666667</v>
      </c>
      <c r="F12" s="15" t="n">
        <v>0.5004</v>
      </c>
      <c r="G12" s="15" t="n">
        <v>0.0074</v>
      </c>
      <c r="H12" s="15" t="n">
        <v>4.40033</v>
      </c>
      <c r="I12" s="15" t="n">
        <v>2.7428</v>
      </c>
      <c r="L12" s="15" t="n">
        <v>0</v>
      </c>
      <c r="O12" s="15" t="n">
        <v>0</v>
      </c>
      <c r="R12" s="15" t="n">
        <v>0</v>
      </c>
      <c r="S12" s="15" t="n">
        <v>18.59199666666667</v>
      </c>
      <c r="T12" s="15" t="n">
        <v>18.59199666666667</v>
      </c>
      <c r="U12" s="15" t="n">
        <v>18.59199666666667</v>
      </c>
      <c r="V12" s="15" t="n">
        <v>28.28536666666666</v>
      </c>
      <c r="W12" s="15" t="n">
        <v>28.28536666666666</v>
      </c>
      <c r="X12" s="15" t="n">
        <v>9.693369999999994</v>
      </c>
      <c r="Y12" s="15" t="n">
        <v>9.693369999999994</v>
      </c>
      <c r="Z12" s="15" t="n">
        <v>9.693369999999994</v>
      </c>
      <c r="AA12" s="15" t="n">
        <v>29.5</v>
      </c>
      <c r="AB12" s="15" t="n">
        <v>26.12159507</v>
      </c>
    </row>
    <row r="13">
      <c r="A13" s="20" t="n">
        <v>45627</v>
      </c>
      <c r="B13" t="inlineStr">
        <is>
          <t>Actual</t>
        </is>
      </c>
      <c r="C13" s="15" t="n">
        <v>4.653419354838709</v>
      </c>
      <c r="D13" s="15" t="n">
        <v>6.043483870967742</v>
      </c>
      <c r="E13" s="15" t="n">
        <v>0.8987419354838709</v>
      </c>
      <c r="F13" s="15" t="n">
        <v>0.681483870967742</v>
      </c>
      <c r="G13" s="15" t="n">
        <v>0.007419354838709677</v>
      </c>
      <c r="H13" s="15" t="n">
        <v>4.759608064516129</v>
      </c>
      <c r="I13" s="15" t="n">
        <v>2.697645161290323</v>
      </c>
      <c r="L13" s="15" t="n">
        <v>0</v>
      </c>
      <c r="O13" s="15" t="n">
        <v>0</v>
      </c>
      <c r="R13" s="15" t="n">
        <v>0</v>
      </c>
      <c r="S13" s="15" t="n">
        <v>19.74180161290323</v>
      </c>
      <c r="T13" s="15" t="n">
        <v>19.74180161290323</v>
      </c>
      <c r="U13" s="15" t="n">
        <v>19.74180161290323</v>
      </c>
      <c r="V13" s="15" t="n">
        <v>28.49945161290323</v>
      </c>
      <c r="W13" s="15" t="n">
        <v>28.49945161290323</v>
      </c>
      <c r="X13" s="15" t="n">
        <v>8.757649999999998</v>
      </c>
      <c r="Y13" s="15" t="n">
        <v>8.757649999999998</v>
      </c>
      <c r="Z13" s="15" t="n">
        <v>8.757649999999998</v>
      </c>
      <c r="AA13" s="15" t="n">
        <v>29.5</v>
      </c>
      <c r="AB13" s="15" t="n">
        <v>26.53084596</v>
      </c>
    </row>
    <row r="14">
      <c r="A14" s="20" t="n">
        <v>45658</v>
      </c>
      <c r="B14" t="inlineStr">
        <is>
          <t>Actual</t>
        </is>
      </c>
      <c r="C14" s="15" t="n">
        <v>5.869</v>
      </c>
      <c r="D14" s="15" t="n">
        <v>5.845741935483871</v>
      </c>
      <c r="E14" s="15" t="n">
        <v>2.010354838709677</v>
      </c>
      <c r="F14" s="15" t="n">
        <v>1.101387096774194</v>
      </c>
      <c r="G14" s="15" t="n">
        <v>0.006193548387096774</v>
      </c>
      <c r="H14" s="15" t="n">
        <v>4.154271290322582</v>
      </c>
      <c r="I14" s="15" t="n">
        <v>3.12958064516129</v>
      </c>
      <c r="J14" s="15" t="n">
        <v>2.450980392156863</v>
      </c>
      <c r="K14" s="15" t="n">
        <v>0.1649314671814672</v>
      </c>
      <c r="L14" s="15" t="n">
        <v>0</v>
      </c>
      <c r="M14" s="15" t="n">
        <v>2.529322231175576</v>
      </c>
      <c r="N14" s="15" t="n">
        <v>0.2127540615468698</v>
      </c>
      <c r="O14" s="15" t="n">
        <v>0</v>
      </c>
      <c r="P14" s="15" t="n">
        <v>2.686005909213001</v>
      </c>
      <c r="Q14" s="15" t="n">
        <v>0.2711202200243296</v>
      </c>
      <c r="R14" s="15" t="n">
        <v>0</v>
      </c>
      <c r="S14" s="15" t="n">
        <v>22.11652935483871</v>
      </c>
      <c r="T14" s="15" t="n">
        <v>22.11652935483871</v>
      </c>
      <c r="U14" s="15" t="n">
        <v>22.11652935483871</v>
      </c>
      <c r="V14" s="15" t="n">
        <v>28.24405679752158</v>
      </c>
      <c r="W14" s="15" t="n">
        <v>28.24405679752158</v>
      </c>
      <c r="X14" s="15" t="n">
        <v>6.127527442682869</v>
      </c>
      <c r="Y14" s="15" t="n">
        <v>6.127527442682869</v>
      </c>
      <c r="Z14" s="15" t="n">
        <v>6.127527442682869</v>
      </c>
      <c r="AA14" s="15" t="n">
        <v>29.5</v>
      </c>
      <c r="AB14" s="15" t="n">
        <v>25.8656134</v>
      </c>
    </row>
    <row r="15">
      <c r="A15" s="20" t="n">
        <v>45689</v>
      </c>
      <c r="B15" t="inlineStr">
        <is>
          <t>Actual</t>
        </is>
      </c>
      <c r="C15" s="15" t="n">
        <v>5.272785714285715</v>
      </c>
      <c r="D15" s="15" t="n">
        <v>5.759535714285715</v>
      </c>
      <c r="E15" s="15" t="n">
        <v>1.569142857142857</v>
      </c>
      <c r="F15" s="15" t="n">
        <v>0.9613214285714285</v>
      </c>
      <c r="G15" s="15" t="n">
        <v>0.006214285714285715</v>
      </c>
      <c r="H15" s="15" t="n">
        <v>4.985854642857143</v>
      </c>
      <c r="I15" s="15" t="n">
        <v>3.037857142857143</v>
      </c>
      <c r="J15" s="15" t="n">
        <v>2.484555466022026</v>
      </c>
      <c r="K15" s="15" t="n">
        <v>0.1671908023483366</v>
      </c>
      <c r="L15" s="15" t="n">
        <v>0</v>
      </c>
      <c r="M15" s="15" t="n">
        <v>2.641239144059451</v>
      </c>
      <c r="N15" s="15" t="n">
        <v>0.2221679580754924</v>
      </c>
      <c r="O15" s="15" t="n">
        <v>0</v>
      </c>
      <c r="P15" s="15" t="n">
        <v>2.954606500134301</v>
      </c>
      <c r="Q15" s="15" t="n">
        <v>0.2982322420267626</v>
      </c>
      <c r="R15" s="15" t="n">
        <v>0</v>
      </c>
      <c r="S15" s="15" t="n">
        <v>21.59271178571429</v>
      </c>
      <c r="T15" s="15" t="n">
        <v>21.59271178571429</v>
      </c>
      <c r="U15" s="15" t="n">
        <v>21.59271178571429</v>
      </c>
      <c r="V15" s="15" t="n">
        <v>28.33351354931359</v>
      </c>
      <c r="W15" s="15" t="n">
        <v>28.33351354931359</v>
      </c>
      <c r="X15" s="15" t="n">
        <v>6.740801763599304</v>
      </c>
      <c r="Y15" s="15" t="n">
        <v>6.740801763599304</v>
      </c>
      <c r="Z15" s="15" t="n">
        <v>6.740801763599304</v>
      </c>
      <c r="AA15" s="15" t="n">
        <v>29.5</v>
      </c>
      <c r="AB15" s="15" t="n">
        <v>26.25359514</v>
      </c>
    </row>
    <row r="16">
      <c r="A16" s="20" t="n">
        <v>45717</v>
      </c>
      <c r="B16" t="inlineStr">
        <is>
          <t>Actual</t>
        </is>
      </c>
      <c r="C16" s="15" t="n">
        <v>3.69841935483871</v>
      </c>
      <c r="D16" s="15" t="n">
        <v>5.697580645161291</v>
      </c>
      <c r="E16" s="15" t="n">
        <v>0.5337741935483871</v>
      </c>
      <c r="F16" s="15" t="n">
        <v>0.4649354838709677</v>
      </c>
      <c r="G16" s="15" t="n">
        <v>0.006193548387096774</v>
      </c>
      <c r="H16" s="15" t="n">
        <v>4.598463870967743</v>
      </c>
      <c r="I16" s="15" t="n">
        <v>2.864387096774194</v>
      </c>
      <c r="J16" s="15" t="n">
        <v>2.518130539887188</v>
      </c>
      <c r="K16" s="15" t="n">
        <v>0.169450137515206</v>
      </c>
      <c r="L16" s="15" t="n">
        <v>0</v>
      </c>
      <c r="M16" s="15" t="n">
        <v>2.753156056943325</v>
      </c>
      <c r="N16" s="15" t="n">
        <v>0.2315818546041149</v>
      </c>
      <c r="O16" s="15" t="n">
        <v>0</v>
      </c>
      <c r="P16" s="15" t="n">
        <v>3.223207091055601</v>
      </c>
      <c r="Q16" s="15" t="n">
        <v>0.3253442640291955</v>
      </c>
      <c r="R16" s="15" t="n">
        <v>0</v>
      </c>
      <c r="S16" s="15" t="n">
        <v>17.86375419354839</v>
      </c>
      <c r="T16" s="15" t="n">
        <v>17.86375419354839</v>
      </c>
      <c r="U16" s="15" t="n">
        <v>17.86375419354839</v>
      </c>
      <c r="V16" s="15" t="n">
        <v>28.42087368859537</v>
      </c>
      <c r="W16" s="15" t="n">
        <v>28.42087368859537</v>
      </c>
      <c r="X16" s="15" t="n">
        <v>10.55711949504698</v>
      </c>
      <c r="Y16" s="15" t="n">
        <v>10.55711949504698</v>
      </c>
      <c r="Z16" s="15" t="n">
        <v>10.55711949504698</v>
      </c>
      <c r="AA16" s="15" t="n">
        <v>29.5</v>
      </c>
      <c r="AB16" s="15" t="n">
        <v>26.90295259</v>
      </c>
    </row>
    <row r="17">
      <c r="A17" s="20" t="n">
        <v>45748</v>
      </c>
      <c r="B17" t="inlineStr">
        <is>
          <t>Actual</t>
        </is>
      </c>
      <c r="C17" s="15" t="n">
        <v>4.2876</v>
      </c>
      <c r="D17" s="15" t="n">
        <v>5.537833333333333</v>
      </c>
      <c r="E17" s="15" t="n">
        <v>0.4167</v>
      </c>
      <c r="F17" s="15" t="n">
        <v>0.5441666666666666</v>
      </c>
      <c r="G17" s="15" t="n">
        <v>0.0062</v>
      </c>
      <c r="H17" s="15" t="n">
        <v>4.818890000000001</v>
      </c>
      <c r="I17" s="15" t="n">
        <v>3.252</v>
      </c>
      <c r="J17" s="15" t="n">
        <v>2.55170561375235</v>
      </c>
      <c r="K17" s="15" t="n">
        <v>0.1717094726820755</v>
      </c>
      <c r="L17" s="15" t="n">
        <v>0</v>
      </c>
      <c r="M17" s="15" t="n">
        <v>2.8650729698272</v>
      </c>
      <c r="N17" s="15" t="n">
        <v>0.2409957511327375</v>
      </c>
      <c r="O17" s="15" t="n">
        <v>0</v>
      </c>
      <c r="P17" s="15" t="n">
        <v>3.4918076819769</v>
      </c>
      <c r="Q17" s="15" t="n">
        <v>0.3524562860316285</v>
      </c>
      <c r="R17" s="15" t="n">
        <v>0</v>
      </c>
      <c r="S17" s="15" t="n">
        <v>18.86339</v>
      </c>
      <c r="T17" s="15" t="n">
        <v>18.86339</v>
      </c>
      <c r="U17" s="15" t="n">
        <v>18.86339</v>
      </c>
      <c r="V17" s="15" t="n">
        <v>28.66872758850139</v>
      </c>
      <c r="W17" s="15" t="n">
        <v>28.66872758850139</v>
      </c>
      <c r="X17" s="15" t="n">
        <v>9.805337588501391</v>
      </c>
      <c r="Y17" s="15" t="n">
        <v>9.805337588501391</v>
      </c>
      <c r="Z17" s="15" t="n">
        <v>9.805337588501391</v>
      </c>
      <c r="AA17" s="15" t="n">
        <v>29.5</v>
      </c>
      <c r="AB17" s="15" t="n">
        <v>26.86164757</v>
      </c>
    </row>
    <row r="18">
      <c r="A18" s="20" t="n">
        <v>45778</v>
      </c>
      <c r="B18" t="inlineStr">
        <is>
          <t>Actual</t>
        </is>
      </c>
      <c r="C18" s="15" t="n">
        <v>5.777741935483871</v>
      </c>
      <c r="D18" s="15" t="n">
        <v>5.462096774193548</v>
      </c>
      <c r="E18" s="15" t="n">
        <v>0.2829032258064516</v>
      </c>
      <c r="F18" s="15" t="n">
        <v>0.4228387096774193</v>
      </c>
      <c r="G18" s="15" t="n">
        <v>0.006193548387096774</v>
      </c>
      <c r="H18" s="15" t="n">
        <v>4.495722580645161</v>
      </c>
      <c r="I18" s="15" t="n">
        <v>3.523838709677419</v>
      </c>
      <c r="J18" s="15" t="n">
        <v>2.585280687617513</v>
      </c>
      <c r="K18" s="15" t="n">
        <v>0.1739688078489449</v>
      </c>
      <c r="L18" s="15" t="n">
        <v>0</v>
      </c>
      <c r="M18" s="15" t="n">
        <v>2.976989882711075</v>
      </c>
      <c r="N18" s="15" t="n">
        <v>0.25040964766136</v>
      </c>
      <c r="O18" s="15" t="n">
        <v>0</v>
      </c>
      <c r="P18" s="15" t="n">
        <v>3.760408272898201</v>
      </c>
      <c r="Q18" s="15" t="n">
        <v>0.3795683080340614</v>
      </c>
      <c r="R18" s="15" t="n">
        <v>0</v>
      </c>
      <c r="S18" s="15" t="n">
        <v>19.97133548387097</v>
      </c>
      <c r="T18" s="15" t="n">
        <v>19.97133548387097</v>
      </c>
      <c r="U18" s="15" t="n">
        <v>19.97133548387097</v>
      </c>
      <c r="V18" s="15" t="n">
        <v>28.39991141756023</v>
      </c>
      <c r="W18" s="15" t="n">
        <v>28.39991141756023</v>
      </c>
      <c r="X18" s="15" t="n">
        <v>8.428575933689263</v>
      </c>
      <c r="Y18" s="15" t="n">
        <v>8.428575933689263</v>
      </c>
      <c r="Z18" s="15" t="n">
        <v>8.428575933689263</v>
      </c>
      <c r="AA18" s="15" t="n">
        <v>29.5</v>
      </c>
      <c r="AB18" s="15" t="n">
        <v>26.87649226</v>
      </c>
    </row>
    <row r="19">
      <c r="A19" s="20" t="n">
        <v>45809</v>
      </c>
      <c r="B19" t="inlineStr">
        <is>
          <t>Actual</t>
        </is>
      </c>
      <c r="C19" s="15" t="n">
        <v>6.4434</v>
      </c>
      <c r="D19" s="15" t="n">
        <v>5.411233333333334</v>
      </c>
      <c r="E19" s="15" t="n">
        <v>0.2359</v>
      </c>
      <c r="F19" s="15" t="n">
        <v>0.419</v>
      </c>
      <c r="G19" s="15" t="n">
        <v>0.0062</v>
      </c>
      <c r="H19" s="15" t="n">
        <v>4.700261666666668</v>
      </c>
      <c r="I19" s="15" t="n">
        <v>3.446133333333333</v>
      </c>
      <c r="J19" s="15" t="n">
        <v>2.618855761482676</v>
      </c>
      <c r="K19" s="15" t="n">
        <v>0.1762281430158143</v>
      </c>
      <c r="L19" s="15" t="n">
        <v>0</v>
      </c>
      <c r="M19" s="15" t="n">
        <v>3.088906795594951</v>
      </c>
      <c r="N19" s="15" t="n">
        <v>0.2598235441899826</v>
      </c>
      <c r="O19" s="15" t="n">
        <v>0</v>
      </c>
      <c r="P19" s="15" t="n">
        <v>4.029008863819501</v>
      </c>
      <c r="Q19" s="15" t="n">
        <v>0.4066803300364944</v>
      </c>
      <c r="R19" s="15" t="n">
        <v>0</v>
      </c>
      <c r="S19" s="15" t="n">
        <v>20.66212833333333</v>
      </c>
      <c r="T19" s="15" t="n">
        <v>20.66212833333333</v>
      </c>
      <c r="U19" s="15" t="n">
        <v>20.66212833333333</v>
      </c>
      <c r="V19" s="15" t="n">
        <v>28.79030246552894</v>
      </c>
      <c r="W19" s="15" t="n">
        <v>28.79030246552894</v>
      </c>
      <c r="X19" s="15" t="n">
        <v>8.128174132195607</v>
      </c>
      <c r="Y19" s="15" t="n">
        <v>8.128174132195607</v>
      </c>
      <c r="Z19" s="15" t="n">
        <v>8.128174132195607</v>
      </c>
      <c r="AA19" s="15" t="n">
        <v>29.5</v>
      </c>
      <c r="AB19" s="15" t="n">
        <v>27.44590982</v>
      </c>
    </row>
    <row r="20">
      <c r="A20" s="20" t="n">
        <v>45839</v>
      </c>
      <c r="B20" t="inlineStr">
        <is>
          <t>Actual</t>
        </is>
      </c>
      <c r="C20" s="15" t="n">
        <v>7.139032258064516</v>
      </c>
      <c r="D20" s="15" t="n">
        <v>5.410709677419355</v>
      </c>
      <c r="E20" s="15" t="n">
        <v>0.2180645161290322</v>
      </c>
      <c r="F20" s="15" t="n">
        <v>0.4039032258064516</v>
      </c>
      <c r="G20" s="15" t="n">
        <v>0.006193548387096774</v>
      </c>
      <c r="H20" s="15" t="n">
        <v>4.49719935483871</v>
      </c>
      <c r="I20" s="15" t="n">
        <v>3.09458064516129</v>
      </c>
      <c r="J20" s="15" t="n">
        <v>2.652430835347838</v>
      </c>
      <c r="K20" s="15" t="n">
        <v>0.1784874781826837</v>
      </c>
      <c r="L20" s="15" t="n">
        <v>0</v>
      </c>
      <c r="M20" s="15" t="n">
        <v>3.200823708478826</v>
      </c>
      <c r="N20" s="15" t="n">
        <v>0.2692374407186052</v>
      </c>
      <c r="O20" s="15" t="n">
        <v>0</v>
      </c>
      <c r="P20" s="15" t="n">
        <v>4.297609454740801</v>
      </c>
      <c r="Q20" s="15" t="n">
        <v>0.4337923520389274</v>
      </c>
      <c r="R20" s="15" t="n">
        <v>0</v>
      </c>
      <c r="S20" s="15" t="n">
        <v>20.76968322580645</v>
      </c>
      <c r="T20" s="15" t="n">
        <v>20.76968322580645</v>
      </c>
      <c r="U20" s="15" t="n">
        <v>20.76968322580645</v>
      </c>
      <c r="V20" s="15" t="n">
        <v>29.17521868269277</v>
      </c>
      <c r="W20" s="15" t="n">
        <v>29.17521868269277</v>
      </c>
      <c r="X20" s="15" t="n">
        <v>8.405535456886316</v>
      </c>
      <c r="Y20" s="15" t="n">
        <v>8.405535456886316</v>
      </c>
      <c r="Z20" s="15" t="n">
        <v>8.405535456886316</v>
      </c>
      <c r="AA20" s="15" t="n">
        <v>29.5</v>
      </c>
      <c r="AB20" s="15" t="n">
        <v>28.09928137</v>
      </c>
    </row>
    <row r="21">
      <c r="A21" s="20" t="n">
        <v>45870</v>
      </c>
      <c r="B21" t="inlineStr">
        <is>
          <t>Actual</t>
        </is>
      </c>
      <c r="C21" s="15" t="n">
        <v>7.713354838709678</v>
      </c>
      <c r="D21" s="15" t="n">
        <v>5.538838709677419</v>
      </c>
      <c r="E21" s="15" t="n">
        <v>0.1949677419354839</v>
      </c>
      <c r="F21" s="15" t="n">
        <v>0.383</v>
      </c>
      <c r="G21" s="15" t="n">
        <v>0.006193548387096774</v>
      </c>
      <c r="H21" s="15" t="n">
        <v>4.468156129032257</v>
      </c>
      <c r="I21" s="15" t="n">
        <v>3.350290322580645</v>
      </c>
      <c r="J21" s="15" t="n">
        <v>2.686005909213001</v>
      </c>
      <c r="K21" s="15" t="n">
        <v>0.1807468133495531</v>
      </c>
      <c r="L21" s="15" t="n">
        <v>0</v>
      </c>
      <c r="M21" s="15" t="n">
        <v>3.312740621362701</v>
      </c>
      <c r="N21" s="15" t="n">
        <v>0.2786513372472277</v>
      </c>
      <c r="O21" s="15" t="n">
        <v>0</v>
      </c>
      <c r="P21" s="15" t="n">
        <v>4.566210045662101</v>
      </c>
      <c r="Q21" s="15" t="n">
        <v>0.4609043740413603</v>
      </c>
      <c r="R21" s="15" t="n">
        <v>0</v>
      </c>
      <c r="S21" s="15" t="n">
        <v>21.65480129032258</v>
      </c>
      <c r="T21" s="15" t="n">
        <v>21.65480129032258</v>
      </c>
      <c r="U21" s="15" t="n">
        <v>21.65480129032258</v>
      </c>
      <c r="V21" s="15" t="n">
        <v>29.48895130800512</v>
      </c>
      <c r="W21" s="15" t="n">
        <v>29.48895130800512</v>
      </c>
      <c r="X21" s="15" t="n">
        <v>7.834150017682539</v>
      </c>
      <c r="Y21" s="15" t="n">
        <v>7.834150017682539</v>
      </c>
      <c r="Z21" s="15" t="n">
        <v>7.834150017682539</v>
      </c>
      <c r="AA21" s="15" t="n">
        <v>29.5</v>
      </c>
      <c r="AB21" s="15" t="n">
        <v>28.34933697</v>
      </c>
    </row>
    <row r="22">
      <c r="A22" s="20" t="n">
        <v>45901</v>
      </c>
      <c r="B22" t="inlineStr">
        <is>
          <t>Actual</t>
        </is>
      </c>
      <c r="C22" s="15" t="n">
        <v>6.913966666666666</v>
      </c>
      <c r="D22" s="15" t="n">
        <v>5.562266666666666</v>
      </c>
      <c r="E22" s="15" t="n">
        <v>0.1994</v>
      </c>
      <c r="F22" s="15" t="n">
        <v>0.3982666666666667</v>
      </c>
      <c r="G22" s="15" t="n">
        <v>0.0062</v>
      </c>
      <c r="H22" s="15" t="n">
        <v>4.724750333333333</v>
      </c>
      <c r="I22" s="15" t="n">
        <v>2.949933333333334</v>
      </c>
      <c r="J22" s="15" t="n">
        <v>2.719580983078163</v>
      </c>
      <c r="K22" s="15" t="n">
        <v>0.1830061485164225</v>
      </c>
      <c r="L22" s="15" t="n">
        <v>0</v>
      </c>
      <c r="M22" s="15" t="n">
        <v>3.424657534246576</v>
      </c>
      <c r="N22" s="15" t="n">
        <v>0.2880652337758503</v>
      </c>
      <c r="O22" s="15" t="n">
        <v>0</v>
      </c>
      <c r="P22" s="15" t="n">
        <v>4.8348106365834</v>
      </c>
      <c r="Q22" s="15" t="n">
        <v>0.4880163960437932</v>
      </c>
      <c r="R22" s="15" t="n">
        <v>0</v>
      </c>
      <c r="S22" s="15" t="n">
        <v>20.75478366666667</v>
      </c>
      <c r="T22" s="15" t="n">
        <v>20.75478366666667</v>
      </c>
      <c r="U22" s="15" t="n">
        <v>20.75478366666667</v>
      </c>
      <c r="V22" s="15" t="n">
        <v>29.45501958725445</v>
      </c>
      <c r="W22" s="15" t="n">
        <v>29.45501958725445</v>
      </c>
      <c r="X22" s="15" t="n">
        <v>8.700235920587783</v>
      </c>
      <c r="Y22" s="15" t="n">
        <v>8.700235920587783</v>
      </c>
      <c r="Z22" s="15" t="n">
        <v>8.700235920587783</v>
      </c>
      <c r="AA22" s="15" t="n">
        <v>29.5</v>
      </c>
      <c r="AB22" s="15" t="n">
        <v>28.48629962</v>
      </c>
    </row>
    <row r="23">
      <c r="A23" s="20" t="n">
        <v>45931</v>
      </c>
      <c r="B23" t="inlineStr">
        <is>
          <t>Actual</t>
        </is>
      </c>
      <c r="C23" s="15" t="n">
        <v>5.629225806451613</v>
      </c>
      <c r="D23" s="15" t="n">
        <v>5.351806451612903</v>
      </c>
      <c r="E23" s="15" t="n">
        <v>0.2535806451612903</v>
      </c>
      <c r="F23" s="15" t="n">
        <v>0.410258064516129</v>
      </c>
      <c r="G23" s="15" t="n">
        <v>0.006193548387096774</v>
      </c>
      <c r="H23" s="15" t="n">
        <v>5.143850645161292</v>
      </c>
      <c r="I23" s="15" t="n">
        <v>2.833483870967742</v>
      </c>
      <c r="J23" s="15" t="n">
        <v>2.753156056943325</v>
      </c>
      <c r="K23" s="15" t="n">
        <v>0.1852654836832919</v>
      </c>
      <c r="L23" s="15" t="n">
        <v>0</v>
      </c>
      <c r="M23" s="15" t="n">
        <v>3.536574447130451</v>
      </c>
      <c r="N23" s="15" t="n">
        <v>0.2974791303044728</v>
      </c>
      <c r="O23" s="15" t="n">
        <v>0</v>
      </c>
      <c r="P23" s="15" t="n">
        <v>5.103411227504701</v>
      </c>
      <c r="Q23" s="15" t="n">
        <v>0.5151284180462262</v>
      </c>
      <c r="R23" s="15" t="n">
        <v>0</v>
      </c>
      <c r="S23" s="15" t="n">
        <v>19.62839903225807</v>
      </c>
      <c r="T23" s="15" t="n">
        <v>19.62839903225807</v>
      </c>
      <c r="U23" s="15" t="n">
        <v>19.62839903225807</v>
      </c>
      <c r="V23" s="15" t="n">
        <v>29.14146861697209</v>
      </c>
      <c r="W23" s="15" t="n">
        <v>29.14146861697209</v>
      </c>
      <c r="X23" s="15" t="n">
        <v>9.513069584714021</v>
      </c>
      <c r="Y23" s="15" t="n">
        <v>9.513069584714021</v>
      </c>
      <c r="Z23" s="15" t="n">
        <v>9.513069584714021</v>
      </c>
      <c r="AA23" s="15" t="n">
        <v>29.5</v>
      </c>
      <c r="AB23" s="15" t="n">
        <v>27.75974445</v>
      </c>
    </row>
    <row r="24">
      <c r="A24" s="20" t="n">
        <v>45962</v>
      </c>
      <c r="B24" t="inlineStr">
        <is>
          <t>Actual</t>
        </is>
      </c>
      <c r="C24" s="15" t="n">
        <v>4.648733333333333</v>
      </c>
      <c r="D24" s="15" t="n">
        <v>5.8022</v>
      </c>
      <c r="E24" s="15" t="n">
        <v>0.4432</v>
      </c>
      <c r="F24" s="15" t="n">
        <v>0.5220333333333333</v>
      </c>
      <c r="G24" s="15" t="n">
        <v>0.0062</v>
      </c>
      <c r="H24" s="15" t="n">
        <v>5.420533666666667</v>
      </c>
      <c r="I24" s="15" t="n">
        <v>2.9201</v>
      </c>
      <c r="J24" s="15" t="n">
        <v>2.786731130808488</v>
      </c>
      <c r="K24" s="15" t="n">
        <v>0.1875248188501613</v>
      </c>
      <c r="L24" s="15" t="n">
        <v>0</v>
      </c>
      <c r="M24" s="15" t="n">
        <v>3.648491360014325</v>
      </c>
      <c r="N24" s="15" t="n">
        <v>0.3068930268330954</v>
      </c>
      <c r="O24" s="15" t="n">
        <v>0</v>
      </c>
      <c r="P24" s="15" t="n">
        <v>5.372011818426001</v>
      </c>
      <c r="Q24" s="15" t="n">
        <v>0.5422404400486591</v>
      </c>
      <c r="R24" s="15" t="n">
        <v>0</v>
      </c>
      <c r="S24" s="15" t="n">
        <v>19.76300033333333</v>
      </c>
      <c r="T24" s="15" t="n">
        <v>19.76300033333333</v>
      </c>
      <c r="U24" s="15" t="n">
        <v>19.76300033333333</v>
      </c>
      <c r="V24" s="15" t="n">
        <v>29.76337540353552</v>
      </c>
      <c r="W24" s="15" t="n">
        <v>29.76337540353552</v>
      </c>
      <c r="X24" s="15" t="n">
        <v>10.00037507020219</v>
      </c>
      <c r="Y24" s="15" t="n">
        <v>10.00037507020219</v>
      </c>
      <c r="Z24" s="15" t="n">
        <v>10.00037507020219</v>
      </c>
      <c r="AA24" s="15" t="n">
        <v>29.5</v>
      </c>
      <c r="AB24" s="15" t="n">
        <v>28.68153881</v>
      </c>
    </row>
    <row r="25">
      <c r="A25" s="20" t="n">
        <v>45992</v>
      </c>
      <c r="B25" t="inlineStr">
        <is>
          <t>Actual</t>
        </is>
      </c>
      <c r="C25" s="15" t="n">
        <v>4.848451612903226</v>
      </c>
      <c r="D25" s="15" t="n">
        <v>5.93</v>
      </c>
      <c r="E25" s="15" t="n">
        <v>0.9796451612903225</v>
      </c>
      <c r="F25" s="15" t="n">
        <v>0.6952903225806452</v>
      </c>
      <c r="G25" s="15" t="n">
        <v>0.006193548387096774</v>
      </c>
      <c r="H25" s="15" t="n">
        <v>5.626580000000001</v>
      </c>
      <c r="I25" s="15" t="n">
        <v>2.764451612903226</v>
      </c>
      <c r="J25" s="15" t="n">
        <v>2.82030620467365</v>
      </c>
      <c r="K25" s="15" t="n">
        <v>0.1897841540170307</v>
      </c>
      <c r="L25" s="15" t="n">
        <v>0</v>
      </c>
      <c r="M25" s="15" t="n">
        <v>3.7604082728982</v>
      </c>
      <c r="N25" s="15" t="n">
        <v>0.316306923361718</v>
      </c>
      <c r="O25" s="15" t="n">
        <v>0</v>
      </c>
      <c r="P25" s="15" t="n">
        <v>5.640612409347301</v>
      </c>
      <c r="Q25" s="15" t="n">
        <v>0.5693524620510921</v>
      </c>
      <c r="R25" s="15" t="n">
        <v>0</v>
      </c>
      <c r="S25" s="15" t="n">
        <v>20.85061225806452</v>
      </c>
      <c r="T25" s="15" t="n">
        <v>20.85061225806452</v>
      </c>
      <c r="U25" s="15" t="n">
        <v>20.85061225806452</v>
      </c>
      <c r="V25" s="15" t="n">
        <v>30.07883555019745</v>
      </c>
      <c r="W25" s="15" t="n">
        <v>30.07883555019745</v>
      </c>
      <c r="X25" s="15" t="n">
        <v>9.228223292132931</v>
      </c>
      <c r="Y25" s="15" t="n">
        <v>9.228223292132931</v>
      </c>
      <c r="Z25" s="15" t="n">
        <v>9.228223292132931</v>
      </c>
      <c r="AA25" s="15" t="n">
        <v>29.5</v>
      </c>
      <c r="AB25" s="15" t="n">
        <v>28.91912698</v>
      </c>
    </row>
    <row r="26">
      <c r="A26" s="20" t="n">
        <v>46023</v>
      </c>
      <c r="B26" t="inlineStr">
        <is>
          <t>Actual</t>
        </is>
      </c>
      <c r="C26" s="15" t="n">
        <v>5.437354838709677</v>
      </c>
      <c r="D26" s="15" t="n">
        <v>5.787548387096774</v>
      </c>
      <c r="E26" s="15" t="n">
        <v>1.498</v>
      </c>
      <c r="F26" s="15" t="n">
        <v>0.921258064516129</v>
      </c>
      <c r="G26" s="15" t="n">
        <v>0.006193548387096774</v>
      </c>
      <c r="H26" s="15" t="n">
        <v>5.1775</v>
      </c>
      <c r="I26" s="15" t="n">
        <v>2.873354838709677</v>
      </c>
      <c r="J26" s="15" t="n">
        <v>2.853881278538813</v>
      </c>
      <c r="K26" s="15" t="n">
        <v>0.1920434891839002</v>
      </c>
      <c r="L26" s="15" t="n">
        <v>0</v>
      </c>
      <c r="M26" s="15" t="n">
        <v>3.872325185782076</v>
      </c>
      <c r="N26" s="15" t="n">
        <v>0.3257208198903405</v>
      </c>
      <c r="O26" s="15" t="n">
        <v>0</v>
      </c>
      <c r="P26" s="15" t="n">
        <v>5.909213000268601</v>
      </c>
      <c r="Q26" s="15" t="n">
        <v>0.5964644840535251</v>
      </c>
      <c r="R26" s="15" t="n">
        <v>0</v>
      </c>
      <c r="S26" s="15" t="n">
        <v>21.70120967741935</v>
      </c>
      <c r="T26" s="15" t="n">
        <v>21.70120967741935</v>
      </c>
      <c r="U26" s="15" t="n">
        <v>21.70120967741935</v>
      </c>
      <c r="V26" s="15" t="n">
        <v>29.03649539097756</v>
      </c>
      <c r="W26" s="15" t="n">
        <v>29.03649539097756</v>
      </c>
      <c r="X26" s="15" t="n">
        <v>7.335285713558207</v>
      </c>
      <c r="Y26" s="15" t="n">
        <v>7.335285713558207</v>
      </c>
      <c r="Z26" s="15" t="n">
        <v>7.335285713558207</v>
      </c>
      <c r="AA26" s="15" t="n">
        <v>29.5</v>
      </c>
      <c r="AB26" s="15" t="n">
        <v>27.92296452</v>
      </c>
    </row>
    <row r="27">
      <c r="A27" s="20" t="n">
        <v>46054</v>
      </c>
      <c r="B27" t="inlineStr">
        <is>
          <t>Actual</t>
        </is>
      </c>
      <c r="C27" s="15" t="n">
        <v>4.554392857142857</v>
      </c>
      <c r="D27" s="15" t="n">
        <v>5.705857142857143</v>
      </c>
      <c r="E27" s="15" t="n">
        <v>1.006357142857143</v>
      </c>
      <c r="F27" s="15" t="n">
        <v>0.6013214285714286</v>
      </c>
      <c r="G27" s="15" t="n">
        <v>0.006214285714285715</v>
      </c>
      <c r="H27" s="15" t="n">
        <v>5.757808214285714</v>
      </c>
      <c r="I27" s="15" t="n">
        <v>2.989107142857143</v>
      </c>
      <c r="J27" s="15" t="n">
        <v>2.887456352403976</v>
      </c>
      <c r="K27" s="15" t="n">
        <v>0.1943028243507696</v>
      </c>
      <c r="L27" s="15" t="n">
        <v>0</v>
      </c>
      <c r="M27" s="15" t="n">
        <v>3.984242098665951</v>
      </c>
      <c r="N27" s="15" t="n">
        <v>0.3351347164189631</v>
      </c>
      <c r="O27" s="15" t="n">
        <v>0</v>
      </c>
      <c r="P27" s="15" t="n">
        <v>6.177813591189901</v>
      </c>
      <c r="Q27" s="15" t="n">
        <v>0.623576506055958</v>
      </c>
      <c r="R27" s="15" t="n">
        <v>0</v>
      </c>
      <c r="S27" s="15" t="n">
        <v>20.62105821428571</v>
      </c>
      <c r="T27" s="15" t="n">
        <v>20.62105821428571</v>
      </c>
      <c r="U27" s="15" t="n">
        <v>20.62105821428571</v>
      </c>
      <c r="V27" s="15" t="n">
        <v>29.89721649149912</v>
      </c>
      <c r="W27" s="15" t="n">
        <v>29.89721649149912</v>
      </c>
      <c r="X27" s="15" t="n">
        <v>9.276158277213405</v>
      </c>
      <c r="Y27" s="15" t="n">
        <v>9.276158277213405</v>
      </c>
      <c r="Z27" s="15" t="n">
        <v>9.276158277213405</v>
      </c>
      <c r="AA27" s="15" t="n">
        <v>29.5</v>
      </c>
      <c r="AB27" s="15" t="n">
        <v>28.93248373</v>
      </c>
    </row>
    <row r="28">
      <c r="A28" s="20" t="n">
        <v>46082</v>
      </c>
      <c r="B28" t="inlineStr">
        <is>
          <t>Actual</t>
        </is>
      </c>
      <c r="C28" s="15" t="n">
        <v>4.129</v>
      </c>
      <c r="D28" s="15" t="n">
        <v>5.653225806451613</v>
      </c>
      <c r="E28" s="15" t="n">
        <v>0.5390967741935484</v>
      </c>
      <c r="F28" s="15" t="n">
        <v>0.5518387096774194</v>
      </c>
      <c r="G28" s="15" t="n">
        <v>0.006193548387096774</v>
      </c>
      <c r="H28" s="15" t="n">
        <v>5.815642258064516</v>
      </c>
      <c r="I28" s="15" t="n">
        <v>2.768580645161291</v>
      </c>
      <c r="J28" s="15" t="n">
        <v>2.921031426269138</v>
      </c>
      <c r="K28" s="15" t="n">
        <v>0.196562159517639</v>
      </c>
      <c r="L28" s="15" t="n">
        <v>0</v>
      </c>
      <c r="M28" s="15" t="n">
        <v>4.096159011549825</v>
      </c>
      <c r="N28" s="15" t="n">
        <v>0.3445486129475857</v>
      </c>
      <c r="O28" s="15" t="n">
        <v>0</v>
      </c>
      <c r="P28" s="15" t="n">
        <v>6.446414182111201</v>
      </c>
      <c r="Q28" s="15" t="n">
        <v>0.6506885280583909</v>
      </c>
      <c r="R28" s="15" t="n">
        <v>0</v>
      </c>
      <c r="S28" s="15" t="n">
        <v>19.46357774193548</v>
      </c>
      <c r="T28" s="15" t="n">
        <v>19.46357774193548</v>
      </c>
      <c r="U28" s="15" t="n">
        <v>19.46357774193548</v>
      </c>
      <c r="V28" s="15" t="n">
        <v>30.04411425956394</v>
      </c>
      <c r="W28" s="15" t="n">
        <v>30.04411425956394</v>
      </c>
      <c r="X28" s="15" t="n">
        <v>10.58053651762846</v>
      </c>
      <c r="Y28" s="15" t="n">
        <v>10.58053651762846</v>
      </c>
      <c r="Z28" s="15" t="n">
        <v>10.58053651762846</v>
      </c>
      <c r="AA28" s="15" t="n">
        <v>29.5</v>
      </c>
      <c r="AB28" s="15" t="n">
        <v>28.84765075</v>
      </c>
    </row>
    <row r="29">
      <c r="A29" s="20" t="n">
        <v>46113</v>
      </c>
      <c r="B29" t="inlineStr">
        <is>
          <t>Actual</t>
        </is>
      </c>
      <c r="C29" s="15" t="n">
        <v>4.808033333333333</v>
      </c>
      <c r="D29" s="15" t="n">
        <v>5.719533333333334</v>
      </c>
      <c r="E29" s="15" t="n">
        <v>0.3398</v>
      </c>
      <c r="F29" s="15" t="n">
        <v>0.4702333333333333</v>
      </c>
      <c r="G29" s="15" t="n">
        <v>0.0062</v>
      </c>
      <c r="H29" s="15" t="n">
        <v>5.796038666666668</v>
      </c>
      <c r="I29" s="15" t="n">
        <v>2.837666666666667</v>
      </c>
      <c r="J29" s="15" t="n">
        <v>2.9546065001343</v>
      </c>
      <c r="K29" s="15" t="n">
        <v>0.1988214946845084</v>
      </c>
      <c r="L29" s="15" t="n">
        <v>0</v>
      </c>
      <c r="M29" s="15" t="n">
        <v>4.2080759244337</v>
      </c>
      <c r="N29" s="15" t="n">
        <v>0.3539625094762082</v>
      </c>
      <c r="O29" s="15" t="n">
        <v>0</v>
      </c>
      <c r="P29" s="15" t="n">
        <v>6.715014773032501</v>
      </c>
      <c r="Q29" s="15" t="n">
        <v>0.677800550060824</v>
      </c>
      <c r="R29" s="15" t="n">
        <v>0</v>
      </c>
      <c r="S29" s="15" t="n">
        <v>19.97750533333334</v>
      </c>
      <c r="T29" s="15" t="n">
        <v>19.97750533333334</v>
      </c>
      <c r="U29" s="15" t="n">
        <v>19.97750533333334</v>
      </c>
      <c r="V29" s="15" t="n">
        <v>30.27805446331141</v>
      </c>
      <c r="W29" s="15" t="n">
        <v>30.27805446331141</v>
      </c>
      <c r="X29" s="15" t="n">
        <v>10.30054912997807</v>
      </c>
      <c r="Y29" s="15" t="n">
        <v>10.30054912997807</v>
      </c>
      <c r="Z29" s="15" t="n">
        <v>10.30054912997807</v>
      </c>
      <c r="AA29" s="15" t="n">
        <v>29.5</v>
      </c>
      <c r="AB29" s="15" t="n">
        <v>28.96837335</v>
      </c>
    </row>
    <row r="30">
      <c r="A30" s="20" t="n">
        <v>46143</v>
      </c>
      <c r="B30" t="inlineStr">
        <is>
          <t>Actual</t>
        </is>
      </c>
      <c r="C30" s="15" t="n">
        <v>5.746419354838709</v>
      </c>
      <c r="D30" s="15" t="n">
        <v>5.633806451612903</v>
      </c>
      <c r="E30" s="15" t="n">
        <v>0.2309032258064516</v>
      </c>
      <c r="F30" s="15" t="n">
        <v>0.3834838709677419</v>
      </c>
      <c r="G30" s="15" t="n">
        <v>0.006193548387096774</v>
      </c>
      <c r="H30" s="15" t="n">
        <v>5.236957741935484</v>
      </c>
      <c r="I30" s="15" t="n">
        <v>3.316451612903226</v>
      </c>
      <c r="J30" s="15" t="n">
        <v>2.988181573999463</v>
      </c>
      <c r="K30" s="15" t="n">
        <v>0.2010808298513778</v>
      </c>
      <c r="L30" s="15" t="n">
        <v>0</v>
      </c>
      <c r="M30" s="15" t="n">
        <v>4.319992837317575</v>
      </c>
      <c r="N30" s="15" t="n">
        <v>0.3633764060048307</v>
      </c>
      <c r="O30" s="15" t="n">
        <v>0</v>
      </c>
      <c r="P30" s="15" t="n">
        <v>6.983615363953801</v>
      </c>
      <c r="Q30" s="15" t="n">
        <v>0.704912572063257</v>
      </c>
      <c r="R30" s="15" t="n">
        <v>0</v>
      </c>
      <c r="S30" s="15" t="n">
        <v>20.55421580645161</v>
      </c>
      <c r="T30" s="15" t="n">
        <v>20.55421580645161</v>
      </c>
      <c r="U30" s="15" t="n">
        <v>20.55421580645161</v>
      </c>
      <c r="V30" s="15" t="n">
        <v>30.03561604157672</v>
      </c>
      <c r="W30" s="15" t="n">
        <v>30.03561604157672</v>
      </c>
      <c r="X30" s="15" t="n">
        <v>9.481400235125108</v>
      </c>
      <c r="Y30" s="15" t="n">
        <v>9.481400235125108</v>
      </c>
      <c r="Z30" s="15" t="n">
        <v>9.481400235125108</v>
      </c>
      <c r="AA30" s="15" t="n">
        <v>29.5</v>
      </c>
      <c r="AB30" s="15" t="n">
        <v>28.96428488</v>
      </c>
    </row>
    <row r="31">
      <c r="A31" s="20" t="n">
        <v>46174</v>
      </c>
      <c r="B31" t="inlineStr">
        <is>
          <t>Actual</t>
        </is>
      </c>
      <c r="C31" s="15" t="n">
        <v>6.806066666666666</v>
      </c>
      <c r="D31" s="15" t="n">
        <v>5.6723</v>
      </c>
      <c r="E31" s="15" t="n">
        <v>0.2417</v>
      </c>
      <c r="F31" s="15" t="n">
        <v>0.4054</v>
      </c>
      <c r="G31" s="15" t="n">
        <v>0.0062</v>
      </c>
      <c r="H31" s="15" t="n">
        <v>5.555875333333335</v>
      </c>
      <c r="I31" s="15" t="n">
        <v>3.3545</v>
      </c>
      <c r="J31" s="15" t="n">
        <v>3.021756647864625</v>
      </c>
      <c r="K31" s="15" t="n">
        <v>0.2033401650182472</v>
      </c>
      <c r="L31" s="15" t="n">
        <v>0</v>
      </c>
      <c r="M31" s="15" t="n">
        <v>4.43190975020145</v>
      </c>
      <c r="N31" s="15" t="n">
        <v>0.3727903025334533</v>
      </c>
      <c r="O31" s="15" t="n">
        <v>0</v>
      </c>
      <c r="P31" s="15" t="n">
        <v>7.252215954875101</v>
      </c>
      <c r="Q31" s="15" t="n">
        <v>0.7320245940656899</v>
      </c>
      <c r="R31" s="15" t="n">
        <v>0</v>
      </c>
      <c r="S31" s="15" t="n">
        <v>22.042042</v>
      </c>
      <c r="T31" s="15" t="n">
        <v>22.042042</v>
      </c>
      <c r="U31" s="15" t="n">
        <v>22.042042</v>
      </c>
      <c r="V31" s="15" t="n">
        <v>30.44816450679276</v>
      </c>
      <c r="W31" s="15" t="n">
        <v>30.44816450679276</v>
      </c>
      <c r="X31" s="15" t="n">
        <v>8.406122506792759</v>
      </c>
      <c r="Y31" s="15" t="n">
        <v>8.406122506792759</v>
      </c>
      <c r="Z31" s="15" t="n">
        <v>8.406122506792759</v>
      </c>
      <c r="AA31" s="15" t="n">
        <v>29.5</v>
      </c>
      <c r="AB31" s="15" t="n">
        <v>29.45638012</v>
      </c>
    </row>
    <row r="32">
      <c r="A32" s="20" t="n">
        <v>46204</v>
      </c>
      <c r="B32" t="inlineStr">
        <is>
          <t>Actual</t>
        </is>
      </c>
      <c r="C32" s="15" t="n">
        <v>7.621806451612904</v>
      </c>
      <c r="D32" s="15" t="n">
        <v>5.519354838709677</v>
      </c>
      <c r="E32" s="15" t="n">
        <v>0.2176451612903226</v>
      </c>
      <c r="F32" s="15" t="n">
        <v>0.3741290322580645</v>
      </c>
      <c r="G32" s="15" t="n">
        <v>0.006193548387096774</v>
      </c>
      <c r="H32" s="15" t="n">
        <v>5.482489032258066</v>
      </c>
      <c r="I32" s="15" t="n">
        <v>3.236774193548387</v>
      </c>
      <c r="J32" s="15" t="n">
        <v>3.055331721729788</v>
      </c>
      <c r="K32" s="15" t="n">
        <v>0.2055995001851166</v>
      </c>
      <c r="L32" s="15" t="n">
        <v>0</v>
      </c>
      <c r="M32" s="15" t="n">
        <v>4.543826663085325</v>
      </c>
      <c r="N32" s="15" t="n">
        <v>0.3822041990620759</v>
      </c>
      <c r="O32" s="15" t="n">
        <v>0</v>
      </c>
      <c r="P32" s="15" t="n">
        <v>7.520816545796401</v>
      </c>
      <c r="Q32" s="15" t="n">
        <v>0.7591366160681229</v>
      </c>
      <c r="R32" s="15" t="n">
        <v>0</v>
      </c>
      <c r="S32" s="15" t="n">
        <v>22.45839225806452</v>
      </c>
      <c r="T32" s="15" t="n">
        <v>22.45839225806452</v>
      </c>
      <c r="U32" s="15" t="n">
        <v>22.45839225806452</v>
      </c>
      <c r="V32" s="15" t="n">
        <v>31.2355644213723</v>
      </c>
      <c r="W32" s="15" t="n">
        <v>31.2355644213723</v>
      </c>
      <c r="X32" s="15" t="n">
        <v>8.777172163307782</v>
      </c>
      <c r="Y32" s="15" t="n">
        <v>8.777172163307782</v>
      </c>
      <c r="Z32" s="15" t="n">
        <v>8.777172163307782</v>
      </c>
      <c r="AA32" s="15" t="n">
        <v>30.07</v>
      </c>
      <c r="AB32" s="15" t="n">
        <v>29.56494646</v>
      </c>
    </row>
    <row r="33">
      <c r="A33" s="20" t="n">
        <v>46235</v>
      </c>
      <c r="B33" t="inlineStr">
        <is>
          <t>Forecast</t>
        </is>
      </c>
      <c r="C33" s="15" t="n">
        <v>8.226357563120109</v>
      </c>
      <c r="D33" s="15" t="n">
        <v>5.621485403354847</v>
      </c>
      <c r="E33" s="15" t="n">
        <v>0.1779486860462227</v>
      </c>
      <c r="F33" s="15" t="n">
        <v>0.3609947179446857</v>
      </c>
      <c r="G33" s="15" t="n">
        <v>0.005248137433832125</v>
      </c>
      <c r="H33" s="15" t="n">
        <v>5.887831766063428</v>
      </c>
      <c r="I33" s="15" t="n">
        <v>3.173172980830327</v>
      </c>
      <c r="J33" s="15" t="n">
        <v>3.088906795594951</v>
      </c>
      <c r="K33" s="15" t="n">
        <v>0.207858835351986</v>
      </c>
      <c r="L33" s="15" t="n">
        <v>0.002259335166869408</v>
      </c>
      <c r="M33" s="15" t="n">
        <v>4.655743575969201</v>
      </c>
      <c r="N33" s="15" t="n">
        <v>0.3916180955906984</v>
      </c>
      <c r="O33" s="15" t="n">
        <v>0.009413896528622567</v>
      </c>
      <c r="P33" s="15" t="n">
        <v>7.789417136717701</v>
      </c>
      <c r="Q33" s="15" t="n">
        <v>0.7862486380705558</v>
      </c>
      <c r="R33" s="15" t="n">
        <v>0.0271120220024329</v>
      </c>
      <c r="S33" s="15" t="n">
        <v>23.45529858996032</v>
      </c>
      <c r="T33" s="15" t="n">
        <v>23.46245315132208</v>
      </c>
      <c r="U33" s="15" t="n">
        <v>23.48015127679589</v>
      </c>
      <c r="V33" s="15" t="n">
        <v>30.90616645792407</v>
      </c>
      <c r="W33" s="15" t="n">
        <v>30.79507709888216</v>
      </c>
      <c r="X33" s="15" t="n">
        <v>7.450867867963744</v>
      </c>
      <c r="Y33" s="15" t="n">
        <v>7.443713306601989</v>
      </c>
      <c r="Z33" s="15" t="n">
        <v>7.426015181128179</v>
      </c>
      <c r="AA33" s="15" t="n">
        <v>30.07</v>
      </c>
      <c r="AB33" s="15" t="n">
        <v>29.65626961</v>
      </c>
    </row>
    <row r="34">
      <c r="A34" s="20" t="n">
        <v>46266</v>
      </c>
      <c r="B34" t="inlineStr">
        <is>
          <t>Forecast</t>
        </is>
      </c>
      <c r="C34" s="15" t="n">
        <v>6.972881215060556</v>
      </c>
      <c r="D34" s="15" t="n">
        <v>5.596456138285548</v>
      </c>
      <c r="E34" s="15" t="n">
        <v>0.175046874031219</v>
      </c>
      <c r="F34" s="15" t="n">
        <v>0.3698039882017338</v>
      </c>
      <c r="G34" s="15" t="n">
        <v>0.005225411877332316</v>
      </c>
      <c r="H34" s="15" t="n">
        <v>6.196107924570369</v>
      </c>
      <c r="I34" s="15" t="n">
        <v>2.987072935842461</v>
      </c>
      <c r="J34" s="15" t="n">
        <v>3.122481869460113</v>
      </c>
      <c r="K34" s="15" t="n">
        <v>0.2101181705188555</v>
      </c>
      <c r="L34" s="15" t="n">
        <v>0.004518670333738817</v>
      </c>
      <c r="M34" s="15" t="n">
        <v>4.767660488853076</v>
      </c>
      <c r="N34" s="15" t="n">
        <v>0.401031992119321</v>
      </c>
      <c r="O34" s="15" t="n">
        <v>0.01882779305724513</v>
      </c>
      <c r="P34" s="15" t="n">
        <v>8.058017727639001</v>
      </c>
      <c r="Q34" s="15" t="n">
        <v>0.8133606600729887</v>
      </c>
      <c r="R34" s="15" t="n">
        <v>0.0542240440048658</v>
      </c>
      <c r="S34" s="15" t="n">
        <v>22.30711315820295</v>
      </c>
      <c r="T34" s="15" t="n">
        <v>22.32142228092646</v>
      </c>
      <c r="U34" s="15" t="n">
        <v>22.35681853187408</v>
      </c>
      <c r="V34" s="15" t="n">
        <v>31.00568261474902</v>
      </c>
      <c r="W34" s="15" t="n">
        <v>30.86817547623383</v>
      </c>
      <c r="X34" s="15" t="n">
        <v>8.698569456546064</v>
      </c>
      <c r="Y34" s="15" t="n">
        <v>8.684260333822557</v>
      </c>
      <c r="Z34" s="15" t="n">
        <v>8.648864082874937</v>
      </c>
      <c r="AA34" s="15" t="n">
        <v>30.07</v>
      </c>
      <c r="AB34" s="15" t="n">
        <v>29.69343155</v>
      </c>
    </row>
    <row r="35">
      <c r="A35" s="20" t="n">
        <v>46296</v>
      </c>
      <c r="B35" t="inlineStr">
        <is>
          <t>Forecast</t>
        </is>
      </c>
      <c r="C35" s="15" t="n">
        <v>5.479411440179787</v>
      </c>
      <c r="D35" s="15" t="n">
        <v>5.449022447701622</v>
      </c>
      <c r="E35" s="15" t="n">
        <v>0.2429498514645628</v>
      </c>
      <c r="F35" s="15" t="n">
        <v>0.4048979509691186</v>
      </c>
      <c r="G35" s="15" t="n">
        <v>0.005221562593783915</v>
      </c>
      <c r="H35" s="15" t="n">
        <v>6.396777187440785</v>
      </c>
      <c r="I35" s="15" t="n">
        <v>2.849358403364501</v>
      </c>
      <c r="J35" s="15" t="n">
        <v>3.156056943325275</v>
      </c>
      <c r="K35" s="15" t="n">
        <v>0.2123775056857249</v>
      </c>
      <c r="L35" s="15" t="n">
        <v>0.006778005500608253</v>
      </c>
      <c r="M35" s="15" t="n">
        <v>4.879577401736951</v>
      </c>
      <c r="N35" s="15" t="n">
        <v>0.4104458886479435</v>
      </c>
      <c r="O35" s="15" t="n">
        <v>0.02824168958586765</v>
      </c>
      <c r="P35" s="15" t="n">
        <v>8.3266183185603</v>
      </c>
      <c r="Q35" s="15" t="n">
        <v>0.8404726820754217</v>
      </c>
      <c r="R35" s="15" t="n">
        <v>0.08133606600729881</v>
      </c>
      <c r="S35" s="15" t="n">
        <v>20.83441684921477</v>
      </c>
      <c r="T35" s="15" t="n">
        <v>20.85588053330003</v>
      </c>
      <c r="U35" s="15" t="n">
        <v>20.90897490972146</v>
      </c>
      <c r="V35" s="15" t="n">
        <v>31.07529212877813</v>
      </c>
      <c r="W35" s="15" t="n">
        <v>30.93075743157835</v>
      </c>
      <c r="X35" s="15" t="n">
        <v>10.24087527956336</v>
      </c>
      <c r="Y35" s="15" t="n">
        <v>10.2194115954781</v>
      </c>
      <c r="Z35" s="15" t="n">
        <v>10.16631721905667</v>
      </c>
      <c r="AA35" s="15" t="n">
        <v>32.57</v>
      </c>
      <c r="AB35" s="15" t="n">
        <v>29.70331723</v>
      </c>
    </row>
    <row r="36">
      <c r="A36" s="20" t="n">
        <v>46327</v>
      </c>
      <c r="B36" t="inlineStr">
        <is>
          <t>Forecast</t>
        </is>
      </c>
      <c r="C36" s="15" t="n">
        <v>4.681836989623317</v>
      </c>
      <c r="D36" s="15" t="n">
        <v>5.833597724237229</v>
      </c>
      <c r="E36" s="15" t="n">
        <v>0.4673572310198874</v>
      </c>
      <c r="F36" s="15" t="n">
        <v>0.5073680038436067</v>
      </c>
      <c r="G36" s="15" t="n">
        <v>0.005198952112019974</v>
      </c>
      <c r="H36" s="15" t="n">
        <v>6.56437371390203</v>
      </c>
      <c r="I36" s="15" t="n">
        <v>2.784950506332339</v>
      </c>
      <c r="J36" s="15" t="n">
        <v>3.189632017190438</v>
      </c>
      <c r="K36" s="15" t="n">
        <v>0.2146368408525943</v>
      </c>
      <c r="L36" s="15" t="n">
        <v>0.009037340667477661</v>
      </c>
      <c r="M36" s="15" t="n">
        <v>4.991494314620826</v>
      </c>
      <c r="N36" s="15" t="n">
        <v>0.4198597851765661</v>
      </c>
      <c r="O36" s="15" t="n">
        <v>0.03765558611449021</v>
      </c>
      <c r="P36" s="15" t="n">
        <v>8.5952189094816</v>
      </c>
      <c r="Q36" s="15" t="n">
        <v>0.8675847040778546</v>
      </c>
      <c r="R36" s="15" t="n">
        <v>0.1084480880097317</v>
      </c>
      <c r="S36" s="15" t="n">
        <v>20.85372046173791</v>
      </c>
      <c r="T36" s="15" t="n">
        <v>20.88233870718492</v>
      </c>
      <c r="U36" s="15" t="n">
        <v>20.95313120908016</v>
      </c>
      <c r="V36" s="15" t="n">
        <v>31.2024505090569</v>
      </c>
      <c r="W36" s="15" t="n">
        <v>30.99276957765683</v>
      </c>
      <c r="X36" s="15" t="n">
        <v>10.34873004731899</v>
      </c>
      <c r="Y36" s="15" t="n">
        <v>10.32011180187198</v>
      </c>
      <c r="Z36" s="15" t="n">
        <v>10.24931929997674</v>
      </c>
      <c r="AA36" s="15" t="n">
        <v>32.57</v>
      </c>
      <c r="AB36" s="15" t="n">
        <v>29.79495856</v>
      </c>
    </row>
    <row r="37">
      <c r="A37" s="20" t="n">
        <v>46357</v>
      </c>
      <c r="B37" t="inlineStr">
        <is>
          <t>Forecast</t>
        </is>
      </c>
      <c r="C37" s="15" t="n">
        <v>4.625126022211296</v>
      </c>
      <c r="D37" s="15" t="n">
        <v>6.031840489538337</v>
      </c>
      <c r="E37" s="15" t="n">
        <v>0.8618928708285389</v>
      </c>
      <c r="F37" s="15" t="n">
        <v>0.6467795879765276</v>
      </c>
      <c r="G37" s="15" t="n">
        <v>0.00519512231997611</v>
      </c>
      <c r="H37" s="15" t="n">
        <v>6.644037038101144</v>
      </c>
      <c r="I37" s="15" t="n">
        <v>2.658115350636674</v>
      </c>
      <c r="J37" s="15" t="n">
        <v>3.2232070910556</v>
      </c>
      <c r="K37" s="15" t="n">
        <v>0.2168961760194637</v>
      </c>
      <c r="L37" s="15" t="n">
        <v>0.01129667583434707</v>
      </c>
      <c r="M37" s="15" t="n">
        <v>5.103411227504701</v>
      </c>
      <c r="N37" s="15" t="n">
        <v>0.4292736817051886</v>
      </c>
      <c r="O37" s="15" t="n">
        <v>0.04706948264311278</v>
      </c>
      <c r="P37" s="15" t="n">
        <v>8.863819500402901</v>
      </c>
      <c r="Q37" s="15" t="n">
        <v>0.8946967260802876</v>
      </c>
      <c r="R37" s="15" t="n">
        <v>0.1355601100121647</v>
      </c>
      <c r="S37" s="15" t="n">
        <v>21.48428315744685</v>
      </c>
      <c r="T37" s="15" t="n">
        <v>21.52005596425561</v>
      </c>
      <c r="U37" s="15" t="n">
        <v>21.60854659162466</v>
      </c>
      <c r="V37" s="15" t="n">
        <v>31.40523362413383</v>
      </c>
      <c r="W37" s="15" t="n">
        <v>31.05607909633359</v>
      </c>
      <c r="X37" s="15" t="n">
        <v>9.920950466686985</v>
      </c>
      <c r="Y37" s="15" t="n">
        <v>9.88517765987822</v>
      </c>
      <c r="Z37" s="15" t="n">
        <v>9.796687032509169</v>
      </c>
      <c r="AA37" s="15" t="n">
        <v>34.07</v>
      </c>
      <c r="AB37" s="15" t="n">
        <v>29.99115633</v>
      </c>
    </row>
    <row r="38">
      <c r="A38" s="20" t="n">
        <v>46388</v>
      </c>
      <c r="B38" t="inlineStr">
        <is>
          <t>Forecast</t>
        </is>
      </c>
      <c r="C38" s="15" t="n">
        <v>5.60152132066198</v>
      </c>
      <c r="D38" s="15" t="n">
        <v>5.893686262858893</v>
      </c>
      <c r="E38" s="15" t="n">
        <v>1.534636697680467</v>
      </c>
      <c r="F38" s="15" t="n">
        <v>0.9017584031775657</v>
      </c>
      <c r="G38" s="15" t="n">
        <v>0.006632259070454595</v>
      </c>
      <c r="H38" s="15" t="n">
        <v>6.474365214734835</v>
      </c>
      <c r="I38" s="15" t="n">
        <v>2.928315042689603</v>
      </c>
      <c r="J38" s="15" t="n">
        <v>3.256782164920763</v>
      </c>
      <c r="K38" s="15" t="n">
        <v>0.2191555111863331</v>
      </c>
      <c r="L38" s="15" t="n">
        <v>0.01355601100121648</v>
      </c>
      <c r="M38" s="15" t="n">
        <v>5.215328140388576</v>
      </c>
      <c r="N38" s="15" t="n">
        <v>0.4386875782338112</v>
      </c>
      <c r="O38" s="15" t="n">
        <v>0.05648337917173535</v>
      </c>
      <c r="P38" s="15" t="n">
        <v>9.132420091324201</v>
      </c>
      <c r="Q38" s="15" t="n">
        <v>0.9218087480827206</v>
      </c>
      <c r="R38" s="15" t="n">
        <v>0.1626721320145977</v>
      </c>
      <c r="S38" s="15" t="n">
        <v>23.35447121187502</v>
      </c>
      <c r="T38" s="15" t="n">
        <v>23.39739858004553</v>
      </c>
      <c r="U38" s="15" t="n">
        <v>23.5035873328884</v>
      </c>
      <c r="V38" s="15" t="n">
        <v>31.22817651312284</v>
      </c>
      <c r="W38" s="15" t="n">
        <v>31.22817651312284</v>
      </c>
      <c r="X38" s="15" t="n">
        <v>7.873705301247828</v>
      </c>
      <c r="Y38" s="15" t="n">
        <v>7.830777933077311</v>
      </c>
      <c r="Z38" s="15" t="n">
        <v>7.724589180234446</v>
      </c>
      <c r="AA38" s="15" t="n">
        <v>34.07</v>
      </c>
      <c r="AB38" s="15" t="n">
        <v>29.80984683</v>
      </c>
    </row>
    <row r="39">
      <c r="A39" s="20" t="n">
        <v>46419</v>
      </c>
      <c r="B39" t="inlineStr">
        <is>
          <t>Forecast</t>
        </is>
      </c>
      <c r="C39" s="15" t="n">
        <v>4.591665770626252</v>
      </c>
      <c r="D39" s="15" t="n">
        <v>5.771683468248021</v>
      </c>
      <c r="E39" s="15" t="n">
        <v>1.071753433222376</v>
      </c>
      <c r="F39" s="15" t="n">
        <v>0.7096739390246209</v>
      </c>
      <c r="G39" s="15" t="n">
        <v>0.006626279424245835</v>
      </c>
      <c r="H39" s="15" t="n">
        <v>6.457224532049643</v>
      </c>
      <c r="I39" s="15" t="n">
        <v>2.878761529187785</v>
      </c>
      <c r="J39" s="15" t="n">
        <v>3.290357238785925</v>
      </c>
      <c r="K39" s="15" t="n">
        <v>0.2214148463532025</v>
      </c>
      <c r="L39" s="15" t="n">
        <v>0.01581534616808589</v>
      </c>
      <c r="M39" s="15" t="n">
        <v>5.327245053272451</v>
      </c>
      <c r="N39" s="15" t="n">
        <v>0.4481014747624338</v>
      </c>
      <c r="O39" s="15" t="n">
        <v>0.06589727570035792</v>
      </c>
      <c r="P39" s="15" t="n">
        <v>9.401020682245502</v>
      </c>
      <c r="Q39" s="15" t="n">
        <v>0.9489207700851535</v>
      </c>
      <c r="R39" s="15" t="n">
        <v>0.1897841540170306</v>
      </c>
      <c r="S39" s="15" t="n">
        <v>21.50320429795103</v>
      </c>
      <c r="T39" s="15" t="n">
        <v>21.5532862274833</v>
      </c>
      <c r="U39" s="15" t="n">
        <v>21.67717310579997</v>
      </c>
      <c r="V39" s="15" t="n">
        <v>31.61590343599369</v>
      </c>
      <c r="W39" s="15" t="n">
        <v>31.50709626626994</v>
      </c>
      <c r="X39" s="15" t="n">
        <v>10.11269913804266</v>
      </c>
      <c r="Y39" s="15" t="n">
        <v>10.06261720851039</v>
      </c>
      <c r="Z39" s="15" t="n">
        <v>9.938730330193721</v>
      </c>
      <c r="AA39" s="15" t="n">
        <v>34.07</v>
      </c>
      <c r="AB39" s="15" t="n">
        <v>30.22305925</v>
      </c>
    </row>
    <row r="40">
      <c r="A40" s="20" t="n">
        <v>46447</v>
      </c>
      <c r="B40" t="inlineStr">
        <is>
          <t>Forecast</t>
        </is>
      </c>
      <c r="C40" s="15" t="n">
        <v>4.084302667522916</v>
      </c>
      <c r="D40" s="15" t="n">
        <v>5.744850592631705</v>
      </c>
      <c r="E40" s="15" t="n">
        <v>0.4915507700236296</v>
      </c>
      <c r="F40" s="15" t="n">
        <v>0.4883272060505006</v>
      </c>
      <c r="G40" s="15" t="n">
        <v>0.006598675494152</v>
      </c>
      <c r="H40" s="15" t="n">
        <v>6.475045955188901</v>
      </c>
      <c r="I40" s="15" t="n">
        <v>2.774088603050509</v>
      </c>
      <c r="J40" s="15" t="n">
        <v>3.323932312651088</v>
      </c>
      <c r="K40" s="15" t="n">
        <v>0.223674181520072</v>
      </c>
      <c r="L40" s="15" t="n">
        <v>0.01807468133495532</v>
      </c>
      <c r="M40" s="15" t="n">
        <v>5.439161966156326</v>
      </c>
      <c r="N40" s="15" t="n">
        <v>0.4575153712910563</v>
      </c>
      <c r="O40" s="15" t="n">
        <v>0.07531117222898048</v>
      </c>
      <c r="P40" s="15" t="n">
        <v>9.669621273166801</v>
      </c>
      <c r="Q40" s="15" t="n">
        <v>0.9760327920875865</v>
      </c>
      <c r="R40" s="15" t="n">
        <v>0.2168961760194636</v>
      </c>
      <c r="S40" s="15" t="n">
        <v>20.08283915129727</v>
      </c>
      <c r="T40" s="15" t="n">
        <v>20.14007564219129</v>
      </c>
      <c r="U40" s="15" t="n">
        <v>20.28166064598178</v>
      </c>
      <c r="V40" s="15" t="n">
        <v>32.04445139879052</v>
      </c>
      <c r="W40" s="15" t="n">
        <v>31.58537452538992</v>
      </c>
      <c r="X40" s="15" t="n">
        <v>11.96161224749325</v>
      </c>
      <c r="Y40" s="15" t="n">
        <v>11.90437575659923</v>
      </c>
      <c r="Z40" s="15" t="n">
        <v>11.76279075280874</v>
      </c>
      <c r="AA40" s="15" t="n">
        <v>34.07</v>
      </c>
      <c r="AB40" s="15" t="n">
        <v>30.7157843</v>
      </c>
    </row>
    <row r="41">
      <c r="A41" s="20" t="n">
        <v>46478</v>
      </c>
      <c r="B41" t="inlineStr">
        <is>
          <t>Forecast</t>
        </is>
      </c>
      <c r="C41" s="15" t="n">
        <v>4.513549912598049</v>
      </c>
      <c r="D41" s="15" t="n">
        <v>5.680608138500108</v>
      </c>
      <c r="E41" s="15" t="n">
        <v>0.3190816123310472</v>
      </c>
      <c r="F41" s="15" t="n">
        <v>0.4440890247278849</v>
      </c>
      <c r="G41" s="15" t="n">
        <v>0.006578774034385803</v>
      </c>
      <c r="H41" s="15" t="n">
        <v>6.537792984935101</v>
      </c>
      <c r="I41" s="15" t="n">
        <v>2.986666029480983</v>
      </c>
      <c r="J41" s="15" t="n">
        <v>3.35750738651625</v>
      </c>
      <c r="K41" s="15" t="n">
        <v>0.2259335166869414</v>
      </c>
      <c r="L41" s="15" t="n">
        <v>0.02033401650182473</v>
      </c>
      <c r="M41" s="15" t="n">
        <v>5.551078879040201</v>
      </c>
      <c r="N41" s="15" t="n">
        <v>0.4669292678196789</v>
      </c>
      <c r="O41" s="15" t="n">
        <v>0.08472506875760299</v>
      </c>
      <c r="P41" s="15" t="n">
        <v>9.938221864088101</v>
      </c>
      <c r="Q41" s="15" t="n">
        <v>1.003144814090019</v>
      </c>
      <c r="R41" s="15" t="n">
        <v>0.2440081980218965</v>
      </c>
      <c r="S41" s="15" t="n">
        <v>20.50870049310938</v>
      </c>
      <c r="T41" s="15" t="n">
        <v>20.57309154536516</v>
      </c>
      <c r="U41" s="15" t="n">
        <v>20.73237467462945</v>
      </c>
      <c r="V41" s="15" t="n">
        <v>32.28429227177552</v>
      </c>
      <c r="W41" s="15" t="n">
        <v>32.28429227177552</v>
      </c>
      <c r="X41" s="15" t="n">
        <v>11.77559177866614</v>
      </c>
      <c r="Y41" s="15" t="n">
        <v>11.71120072641036</v>
      </c>
      <c r="Z41" s="15" t="n">
        <v>11.55191759714607</v>
      </c>
      <c r="AA41" s="15" t="n">
        <v>34.07</v>
      </c>
      <c r="AB41" s="15" t="n">
        <v>30.96319057</v>
      </c>
    </row>
    <row r="42">
      <c r="A42" s="20" t="n">
        <v>46508</v>
      </c>
      <c r="B42" t="inlineStr">
        <is>
          <t>Forecast</t>
        </is>
      </c>
      <c r="C42" s="15" t="n">
        <v>5.815887213640851</v>
      </c>
      <c r="D42" s="15" t="n">
        <v>5.552993543365289</v>
      </c>
      <c r="E42" s="15" t="n">
        <v>0.2209863247505367</v>
      </c>
      <c r="F42" s="15" t="n">
        <v>0.3730742742049455</v>
      </c>
      <c r="G42" s="15" t="n">
        <v>0.006565261974022615</v>
      </c>
      <c r="H42" s="15" t="n">
        <v>6.990937874296153</v>
      </c>
      <c r="I42" s="15" t="n">
        <v>3.246131765669218</v>
      </c>
      <c r="J42" s="15" t="n">
        <v>3.391082460381413</v>
      </c>
      <c r="K42" s="15" t="n">
        <v>0.2281928518538108</v>
      </c>
      <c r="L42" s="15" t="n">
        <v>0.02259335166869414</v>
      </c>
      <c r="M42" s="15" t="n">
        <v>5.662995791924076</v>
      </c>
      <c r="N42" s="15" t="n">
        <v>0.4763431643483014</v>
      </c>
      <c r="O42" s="15" t="n">
        <v>0.09413896528622556</v>
      </c>
      <c r="P42" s="15" t="n">
        <v>10.2068224550094</v>
      </c>
      <c r="Q42" s="15" t="n">
        <v>1.030256836092452</v>
      </c>
      <c r="R42" s="15" t="n">
        <v>0.2711202200243296</v>
      </c>
      <c r="S42" s="15" t="n">
        <v>22.22916960956971</v>
      </c>
      <c r="T42" s="15" t="n">
        <v>22.30071522318725</v>
      </c>
      <c r="U42" s="15" t="n">
        <v>22.47769647792535</v>
      </c>
      <c r="V42" s="15" t="n">
        <v>32.52516302684243</v>
      </c>
      <c r="W42" s="15" t="n">
        <v>32.52516302684243</v>
      </c>
      <c r="X42" s="15" t="n">
        <v>10.29599341727272</v>
      </c>
      <c r="Y42" s="15" t="n">
        <v>10.22444780365518</v>
      </c>
      <c r="Z42" s="15" t="n">
        <v>10.04746654891708</v>
      </c>
      <c r="AA42" s="15" t="n">
        <v>34.07</v>
      </c>
      <c r="AB42" s="15" t="n">
        <v>31.21276197</v>
      </c>
    </row>
    <row r="43">
      <c r="A43" s="20" t="n">
        <v>46539</v>
      </c>
      <c r="B43" t="inlineStr">
        <is>
          <t>Forecast</t>
        </is>
      </c>
      <c r="C43" s="15" t="n">
        <v>6.706918670559735</v>
      </c>
      <c r="D43" s="15" t="n">
        <v>5.614579908845148</v>
      </c>
      <c r="E43" s="15" t="n">
        <v>0.2102139365451466</v>
      </c>
      <c r="F43" s="15" t="n">
        <v>0.3758789561992053</v>
      </c>
      <c r="G43" s="15" t="n">
        <v>0.006545461288696243</v>
      </c>
      <c r="H43" s="15" t="n">
        <v>7.317293769208743</v>
      </c>
      <c r="I43" s="15" t="n">
        <v>3.183163621523248</v>
      </c>
      <c r="J43" s="15" t="n">
        <v>3.424657534246575</v>
      </c>
      <c r="K43" s="15" t="n">
        <v>0.2304521870206802</v>
      </c>
      <c r="L43" s="15" t="n">
        <v>0.02485268683556355</v>
      </c>
      <c r="M43" s="15" t="n">
        <v>5.774912704807951</v>
      </c>
      <c r="N43" s="15" t="n">
        <v>0.485757060876924</v>
      </c>
      <c r="O43" s="15" t="n">
        <v>0.1035528618148481</v>
      </c>
      <c r="P43" s="15" t="n">
        <v>10.4754230459307</v>
      </c>
      <c r="Q43" s="15" t="n">
        <v>1.057368858094885</v>
      </c>
      <c r="R43" s="15" t="n">
        <v>0.2982322420267626</v>
      </c>
      <c r="S43" s="15" t="n">
        <v>23.43944701100549</v>
      </c>
      <c r="T43" s="15" t="n">
        <v>23.51814718598477</v>
      </c>
      <c r="U43" s="15" t="n">
        <v>23.71282656619669</v>
      </c>
      <c r="V43" s="15" t="n">
        <v>32.7635082323601</v>
      </c>
      <c r="W43" s="15" t="n">
        <v>32.7635082323601</v>
      </c>
      <c r="X43" s="15" t="n">
        <v>9.324061221354608</v>
      </c>
      <c r="Y43" s="15" t="n">
        <v>9.245361046375322</v>
      </c>
      <c r="Z43" s="15" t="n">
        <v>9.050681666163406</v>
      </c>
      <c r="AA43" s="15" t="n">
        <v>34.07</v>
      </c>
      <c r="AB43" s="15" t="n">
        <v>31.45953397</v>
      </c>
    </row>
    <row r="44">
      <c r="A44" s="20" t="n">
        <v>46569</v>
      </c>
      <c r="B44" t="inlineStr">
        <is>
          <t>Forecast</t>
        </is>
      </c>
      <c r="C44" s="15" t="n">
        <v>7.299471258702761</v>
      </c>
      <c r="D44" s="15" t="n">
        <v>5.600740992260573</v>
      </c>
      <c r="E44" s="15" t="n">
        <v>0.1964829098663687</v>
      </c>
      <c r="F44" s="15" t="n">
        <v>0.3592145606960728</v>
      </c>
      <c r="G44" s="15" t="n">
        <v>0.006532017648957973</v>
      </c>
      <c r="H44" s="15" t="n">
        <v>7.490755317494781</v>
      </c>
      <c r="I44" s="15" t="n">
        <v>3.037684824395356</v>
      </c>
      <c r="J44" s="15" t="n">
        <v>3.458232608111738</v>
      </c>
      <c r="K44" s="15" t="n">
        <v>0.2327115221875496</v>
      </c>
      <c r="L44" s="15" t="n">
        <v>0.02711202200243296</v>
      </c>
      <c r="M44" s="15" t="n">
        <v>5.886829617691825</v>
      </c>
      <c r="N44" s="15" t="n">
        <v>0.4951709574055466</v>
      </c>
      <c r="O44" s="15" t="n">
        <v>0.1129667583434707</v>
      </c>
      <c r="P44" s="15" t="n">
        <v>10.744023636852</v>
      </c>
      <c r="Q44" s="15" t="n">
        <v>1.084480880097318</v>
      </c>
      <c r="R44" s="15" t="n">
        <v>0.3253442640291956</v>
      </c>
      <c r="S44" s="15" t="n">
        <v>24.01799390306731</v>
      </c>
      <c r="T44" s="15" t="n">
        <v>24.10384863940834</v>
      </c>
      <c r="U44" s="15" t="n">
        <v>24.31622614509407</v>
      </c>
      <c r="V44" s="15" t="n">
        <v>32.99943300027782</v>
      </c>
      <c r="W44" s="15" t="n">
        <v>32.99943300027782</v>
      </c>
      <c r="X44" s="15" t="n">
        <v>8.981439097210512</v>
      </c>
      <c r="Y44" s="15" t="n">
        <v>8.895584360869474</v>
      </c>
      <c r="Z44" s="15" t="n">
        <v>8.683206855183752</v>
      </c>
      <c r="AA44" s="15" t="n">
        <v>34.77</v>
      </c>
      <c r="AB44" s="15" t="n">
        <v>31.70434641</v>
      </c>
    </row>
    <row r="45">
      <c r="A45" s="20" t="n">
        <v>46600</v>
      </c>
      <c r="B45" t="inlineStr">
        <is>
          <t>Forecast</t>
        </is>
      </c>
      <c r="C45" s="15" t="n">
        <v>8.193937527388337</v>
      </c>
      <c r="D45" s="15" t="n">
        <v>5.666028153285912</v>
      </c>
      <c r="E45" s="15" t="n">
        <v>0.172610225464836</v>
      </c>
      <c r="F45" s="15" t="n">
        <v>0.3501648764063452</v>
      </c>
      <c r="G45" s="15" t="n">
        <v>0.005090693310817161</v>
      </c>
      <c r="H45" s="15" t="n">
        <v>7.99559592769987</v>
      </c>
      <c r="I45" s="15" t="n">
        <v>3.108901705501792</v>
      </c>
      <c r="J45" s="15" t="n">
        <v>3.4918076819769</v>
      </c>
      <c r="K45" s="15" t="n">
        <v>0.234970857354419</v>
      </c>
      <c r="L45" s="15" t="n">
        <v>0.02937135716930236</v>
      </c>
      <c r="M45" s="15" t="n">
        <v>5.9987465305757</v>
      </c>
      <c r="N45" s="15" t="n">
        <v>0.5045848539341691</v>
      </c>
      <c r="O45" s="15" t="n">
        <v>0.1223806548720932</v>
      </c>
      <c r="P45" s="15" t="n">
        <v>11.0126242277733</v>
      </c>
      <c r="Q45" s="15" t="n">
        <v>1.111592902099751</v>
      </c>
      <c r="R45" s="15" t="n">
        <v>0.3524562860316286</v>
      </c>
      <c r="S45" s="15" t="n">
        <v>25.52170046622722</v>
      </c>
      <c r="T45" s="15" t="n">
        <v>25.61470976393</v>
      </c>
      <c r="U45" s="15" t="n">
        <v>25.84478539508954</v>
      </c>
      <c r="V45" s="15" t="n">
        <v>33.2315726829877</v>
      </c>
      <c r="W45" s="15" t="n">
        <v>33.2315726829877</v>
      </c>
      <c r="X45" s="15" t="n">
        <v>7.709872216760488</v>
      </c>
      <c r="Y45" s="15" t="n">
        <v>7.616862919057699</v>
      </c>
      <c r="Z45" s="15" t="n">
        <v>7.386787287898162</v>
      </c>
      <c r="AA45" s="15" t="n">
        <v>34.77</v>
      </c>
      <c r="AB45" s="15" t="n">
        <v>31.9460196</v>
      </c>
    </row>
    <row r="46">
      <c r="A46" s="20" t="n">
        <v>46631</v>
      </c>
      <c r="B46" t="inlineStr">
        <is>
          <t>Forecast</t>
        </is>
      </c>
      <c r="C46" s="15" t="n">
        <v>6.945401123609252</v>
      </c>
      <c r="D46" s="15" t="n">
        <v>5.640800564781621</v>
      </c>
      <c r="E46" s="15" t="n">
        <v>0.1697954678102824</v>
      </c>
      <c r="F46" s="15" t="n">
        <v>0.3587098685556818</v>
      </c>
      <c r="G46" s="15" t="n">
        <v>0.005068649521012347</v>
      </c>
      <c r="H46" s="15" t="n">
        <v>8.695339501376306</v>
      </c>
      <c r="I46" s="15" t="n">
        <v>2.926571038137624</v>
      </c>
      <c r="J46" s="15" t="n">
        <v>3.525382755842063</v>
      </c>
      <c r="K46" s="15" t="n">
        <v>0.2372301925212884</v>
      </c>
      <c r="L46" s="15" t="n">
        <v>0.03163069233617177</v>
      </c>
      <c r="M46" s="15" t="n">
        <v>6.110663443459575</v>
      </c>
      <c r="N46" s="15" t="n">
        <v>0.5139987504627916</v>
      </c>
      <c r="O46" s="15" t="n">
        <v>0.1317945514007158</v>
      </c>
      <c r="P46" s="15" t="n">
        <v>11.2812248186946</v>
      </c>
      <c r="Q46" s="15" t="n">
        <v>1.138704924102184</v>
      </c>
      <c r="R46" s="15" t="n">
        <v>0.3795683080340614</v>
      </c>
      <c r="S46" s="15" t="n">
        <v>24.77331690612795</v>
      </c>
      <c r="T46" s="15" t="n">
        <v>24.8734807651925</v>
      </c>
      <c r="U46" s="15" t="n">
        <v>25.12125452182584</v>
      </c>
      <c r="V46" s="15" t="n">
        <v>33.46290477621132</v>
      </c>
      <c r="W46" s="15" t="n">
        <v>33.46290477621132</v>
      </c>
      <c r="X46" s="15" t="n">
        <v>8.689587870083365</v>
      </c>
      <c r="Y46" s="15" t="n">
        <v>8.589424011018821</v>
      </c>
      <c r="Z46" s="15" t="n">
        <v>8.341650254385474</v>
      </c>
      <c r="AA46" s="15" t="n">
        <v>34.77</v>
      </c>
      <c r="AB46" s="15" t="n">
        <v>32.18394035</v>
      </c>
    </row>
    <row r="47">
      <c r="A47" s="20" t="n">
        <v>46661</v>
      </c>
      <c r="B47" t="inlineStr">
        <is>
          <t>Forecast</t>
        </is>
      </c>
      <c r="C47" s="15" t="n">
        <v>5.457817105953894</v>
      </c>
      <c r="D47" s="15" t="n">
        <v>5.492198659475094</v>
      </c>
      <c r="E47" s="15" t="n">
        <v>0.235661355920626</v>
      </c>
      <c r="F47" s="15" t="n">
        <v>0.392751012440045</v>
      </c>
      <c r="G47" s="15" t="n">
        <v>0.005064915715970399</v>
      </c>
      <c r="H47" s="15" t="n">
        <v>9.396864497151915</v>
      </c>
      <c r="I47" s="15" t="n">
        <v>2.791645855212021</v>
      </c>
      <c r="J47" s="15" t="n">
        <v>3.558957829707225</v>
      </c>
      <c r="K47" s="15" t="n">
        <v>0.2394895276881578</v>
      </c>
      <c r="L47" s="15" t="n">
        <v>0.03389002750304121</v>
      </c>
      <c r="M47" s="15" t="n">
        <v>6.222580356343451</v>
      </c>
      <c r="N47" s="15" t="n">
        <v>0.5234126469914142</v>
      </c>
      <c r="O47" s="15" t="n">
        <v>0.1412084479293383</v>
      </c>
      <c r="P47" s="15" t="n">
        <v>11.5498254096159</v>
      </c>
      <c r="Q47" s="15" t="n">
        <v>1.165816946104617</v>
      </c>
      <c r="R47" s="15" t="n">
        <v>0.4066803300364944</v>
      </c>
      <c r="S47" s="15" t="n">
        <v>23.80589342937261</v>
      </c>
      <c r="T47" s="15" t="n">
        <v>23.9132118497989</v>
      </c>
      <c r="U47" s="15" t="n">
        <v>24.17868373190606</v>
      </c>
      <c r="V47" s="15" t="n">
        <v>33.6948943669158</v>
      </c>
      <c r="W47" s="15" t="n">
        <v>33.6948943669158</v>
      </c>
      <c r="X47" s="15" t="n">
        <v>9.889000937543198</v>
      </c>
      <c r="Y47" s="15" t="n">
        <v>9.781682517116902</v>
      </c>
      <c r="Z47" s="15" t="n">
        <v>9.516210635009745</v>
      </c>
      <c r="AA47" s="15" t="n">
        <v>36.52</v>
      </c>
      <c r="AB47" s="15" t="n">
        <v>32.41735831</v>
      </c>
    </row>
    <row r="48">
      <c r="A48" s="20" t="n">
        <v>46692</v>
      </c>
      <c r="B48" t="inlineStr">
        <is>
          <t>Forecast</t>
        </is>
      </c>
      <c r="C48" s="15" t="n">
        <v>4.663385892484723</v>
      </c>
      <c r="D48" s="15" t="n">
        <v>5.879821180492057</v>
      </c>
      <c r="E48" s="15" t="n">
        <v>0.4533365140892908</v>
      </c>
      <c r="F48" s="15" t="n">
        <v>0.4921469637282985</v>
      </c>
      <c r="G48" s="15" t="n">
        <v>0.005042983548659375</v>
      </c>
      <c r="H48" s="15" t="n">
        <v>10.02482796884667</v>
      </c>
      <c r="I48" s="15" t="n">
        <v>2.728542512866445</v>
      </c>
      <c r="J48" s="15" t="n">
        <v>3.592532903572388</v>
      </c>
      <c r="K48" s="15" t="n">
        <v>0.2417488628550273</v>
      </c>
      <c r="L48" s="15" t="n">
        <v>0.03614936266991062</v>
      </c>
      <c r="M48" s="15" t="n">
        <v>6.334497269227326</v>
      </c>
      <c r="N48" s="15" t="n">
        <v>0.5328265435200368</v>
      </c>
      <c r="O48" s="15" t="n">
        <v>0.1506223444579609</v>
      </c>
      <c r="P48" s="15" t="n">
        <v>11.8184260005372</v>
      </c>
      <c r="Q48" s="15" t="n">
        <v>1.19292896810705</v>
      </c>
      <c r="R48" s="15" t="n">
        <v>0.4337923520389274</v>
      </c>
      <c r="S48" s="15" t="n">
        <v>24.28325337872606</v>
      </c>
      <c r="T48" s="15" t="n">
        <v>24.39772636051411</v>
      </c>
      <c r="U48" s="15" t="n">
        <v>24.68089636809508</v>
      </c>
      <c r="V48" s="15" t="n">
        <v>33.91867468193133</v>
      </c>
      <c r="W48" s="15" t="n">
        <v>33.91867468193133</v>
      </c>
      <c r="X48" s="15" t="n">
        <v>9.63542130320527</v>
      </c>
      <c r="Y48" s="15" t="n">
        <v>9.520948321417219</v>
      </c>
      <c r="Z48" s="15" t="n">
        <v>9.237778313836252</v>
      </c>
      <c r="AA48" s="15" t="n">
        <v>36.52</v>
      </c>
      <c r="AB48" s="15" t="n">
        <v>32.64015681</v>
      </c>
    </row>
    <row r="49">
      <c r="A49" s="20" t="n">
        <v>46722</v>
      </c>
      <c r="B49" t="inlineStr">
        <is>
          <t>Forecast</t>
        </is>
      </c>
      <c r="C49" s="15" t="n">
        <v>4.606898422723488</v>
      </c>
      <c r="D49" s="15" t="n">
        <v>6.079634754447258</v>
      </c>
      <c r="E49" s="15" t="n">
        <v>0.8360360847036827</v>
      </c>
      <c r="F49" s="15" t="n">
        <v>0.6273762003372318</v>
      </c>
      <c r="G49" s="15" t="n">
        <v>0.005039268650376826</v>
      </c>
      <c r="H49" s="15" t="n">
        <v>10.18260905034924</v>
      </c>
      <c r="I49" s="15" t="n">
        <v>2.604276349552317</v>
      </c>
      <c r="J49" s="15" t="n">
        <v>3.62610797743755</v>
      </c>
      <c r="K49" s="15" t="n">
        <v>0.2440081980218967</v>
      </c>
      <c r="L49" s="15" t="n">
        <v>0.03840869783678003</v>
      </c>
      <c r="M49" s="15" t="n">
        <v>6.446414182111201</v>
      </c>
      <c r="N49" s="15" t="n">
        <v>0.5422404400486593</v>
      </c>
      <c r="O49" s="15" t="n">
        <v>0.1600362409865835</v>
      </c>
      <c r="P49" s="15" t="n">
        <v>12.0870265914585</v>
      </c>
      <c r="Q49" s="15" t="n">
        <v>1.220040990109483</v>
      </c>
      <c r="R49" s="15" t="n">
        <v>0.4609043740413604</v>
      </c>
      <c r="S49" s="15" t="n">
        <v>24.98027882860038</v>
      </c>
      <c r="T49" s="15" t="n">
        <v>25.10190637175018</v>
      </c>
      <c r="U49" s="15" t="n">
        <v>25.40277450480496</v>
      </c>
      <c r="V49" s="15" t="n">
        <v>34.13424823694625</v>
      </c>
      <c r="W49" s="15" t="n">
        <v>34.13424823694625</v>
      </c>
      <c r="X49" s="15" t="n">
        <v>9.153969408345873</v>
      </c>
      <c r="Y49" s="15" t="n">
        <v>9.032341865196067</v>
      </c>
      <c r="Z49" s="15" t="n">
        <v>8.731473732141293</v>
      </c>
      <c r="AA49" s="15" t="n">
        <v>36.52</v>
      </c>
      <c r="AB49" s="15" t="n">
        <v>32.85574427</v>
      </c>
    </row>
    <row r="50">
      <c r="A50" s="20" t="n">
        <v>46753</v>
      </c>
      <c r="B50" t="inlineStr">
        <is>
          <t>Forecast</t>
        </is>
      </c>
      <c r="C50" s="15" t="n">
        <v>5.579445751982315</v>
      </c>
      <c r="D50" s="15" t="n">
        <v>5.940385840380165</v>
      </c>
      <c r="E50" s="15" t="n">
        <v>1.488597596750053</v>
      </c>
      <c r="F50" s="15" t="n">
        <v>0.8747056510822386</v>
      </c>
      <c r="G50" s="15" t="n">
        <v>0.006433291298340957</v>
      </c>
      <c r="H50" s="15" t="n">
        <v>9.933882743400591</v>
      </c>
      <c r="I50" s="15" t="n">
        <v>2.869003261234769</v>
      </c>
      <c r="J50" s="15" t="n">
        <v>3.659683051302713</v>
      </c>
      <c r="K50" s="15" t="n">
        <v>0.2462675331887661</v>
      </c>
      <c r="L50" s="15" t="n">
        <v>0.04066803300364943</v>
      </c>
      <c r="M50" s="15" t="n">
        <v>6.558331094995076</v>
      </c>
      <c r="N50" s="15" t="n">
        <v>0.5516543365772819</v>
      </c>
      <c r="O50" s="15" t="n">
        <v>0.169450137515206</v>
      </c>
      <c r="P50" s="15" t="n">
        <v>12.3556271823798</v>
      </c>
      <c r="Q50" s="15" t="n">
        <v>1.247153012111916</v>
      </c>
      <c r="R50" s="15" t="n">
        <v>0.4880163960437934</v>
      </c>
      <c r="S50" s="15" t="n">
        <v>26.73312216913212</v>
      </c>
      <c r="T50" s="15" t="n">
        <v>26.86190427364368</v>
      </c>
      <c r="U50" s="15" t="n">
        <v>27.18047053217227</v>
      </c>
      <c r="V50" s="15" t="n">
        <v>33.56462089132972</v>
      </c>
      <c r="W50" s="15" t="n">
        <v>33.56462089132972</v>
      </c>
      <c r="X50" s="15" t="n">
        <v>6.831498722197594</v>
      </c>
      <c r="Y50" s="15" t="n">
        <v>6.702716617686036</v>
      </c>
      <c r="Z50" s="15" t="n">
        <v>6.384150359157449</v>
      </c>
      <c r="AA50" s="15" t="n">
        <v>36.52</v>
      </c>
      <c r="AB50" s="15" t="n">
        <v>32.06876427569971</v>
      </c>
    </row>
    <row r="51">
      <c r="A51" s="20" t="n">
        <v>46784</v>
      </c>
      <c r="B51" t="inlineStr">
        <is>
          <t>Forecast</t>
        </is>
      </c>
      <c r="C51" s="15" t="n">
        <v>4.573570037829584</v>
      </c>
      <c r="D51" s="15" t="n">
        <v>5.817416336869187</v>
      </c>
      <c r="E51" s="15" t="n">
        <v>1.039600830225704</v>
      </c>
      <c r="F51" s="15" t="n">
        <v>0.6883837208538823</v>
      </c>
      <c r="G51" s="15" t="n">
        <v>0.006427491041518459</v>
      </c>
      <c r="H51" s="15" t="n">
        <v>10.05862295544212</v>
      </c>
      <c r="I51" s="15" t="n">
        <v>2.820453433169897</v>
      </c>
      <c r="J51" s="15" t="n">
        <v>3.693258125167875</v>
      </c>
      <c r="K51" s="15" t="n">
        <v>0.2485268683556355</v>
      </c>
      <c r="L51" s="15" t="n">
        <v>0.04292736817051884</v>
      </c>
      <c r="M51" s="15" t="n">
        <v>6.670248007878951</v>
      </c>
      <c r="N51" s="15" t="n">
        <v>0.5610682331059045</v>
      </c>
      <c r="O51" s="15" t="n">
        <v>0.1788640340438286</v>
      </c>
      <c r="P51" s="15" t="n">
        <v>12.6242277733011</v>
      </c>
      <c r="Q51" s="15" t="n">
        <v>1.274265034114349</v>
      </c>
      <c r="R51" s="15" t="n">
        <v>0.5151284180462264</v>
      </c>
      <c r="S51" s="15" t="n">
        <v>25.04740217360241</v>
      </c>
      <c r="T51" s="15" t="n">
        <v>25.18333883947572</v>
      </c>
      <c r="U51" s="15" t="n">
        <v>25.51960322347812</v>
      </c>
      <c r="V51" s="15" t="n">
        <v>33.9806901425393</v>
      </c>
      <c r="W51" s="15" t="n">
        <v>33.9806901425393</v>
      </c>
      <c r="X51" s="15" t="n">
        <v>8.933287968936892</v>
      </c>
      <c r="Y51" s="15" t="n">
        <v>8.797351303063582</v>
      </c>
      <c r="Z51" s="15" t="n">
        <v>8.461086919061184</v>
      </c>
      <c r="AA51" s="15" t="n">
        <v>36.52</v>
      </c>
      <c r="AB51" s="15" t="n">
        <v>32.51328892449581</v>
      </c>
    </row>
    <row r="52">
      <c r="A52" s="20" t="n">
        <v>46813</v>
      </c>
      <c r="B52" t="inlineStr">
        <is>
          <t>Forecast</t>
        </is>
      </c>
      <c r="C52" s="15" t="n">
        <v>4.068206450284062</v>
      </c>
      <c r="D52" s="15" t="n">
        <v>5.790370846617636</v>
      </c>
      <c r="E52" s="15" t="n">
        <v>0.4768042469229207</v>
      </c>
      <c r="F52" s="15" t="n">
        <v>0.4736773898689856</v>
      </c>
      <c r="G52" s="15" t="n">
        <v>0.00640071522932744</v>
      </c>
      <c r="H52" s="15" t="n">
        <v>9.974197376981069</v>
      </c>
      <c r="I52" s="15" t="n">
        <v>2.717900612837081</v>
      </c>
      <c r="J52" s="15" t="n">
        <v>3.726833199033038</v>
      </c>
      <c r="K52" s="15" t="n">
        <v>0.2507862035225049</v>
      </c>
      <c r="L52" s="15" t="n">
        <v>0.04518670333738828</v>
      </c>
      <c r="M52" s="15" t="n">
        <v>6.782164920762826</v>
      </c>
      <c r="N52" s="15" t="n">
        <v>0.570482129634527</v>
      </c>
      <c r="O52" s="15" t="n">
        <v>0.1882779305724512</v>
      </c>
      <c r="P52" s="15" t="n">
        <v>12.8928283642224</v>
      </c>
      <c r="Q52" s="15" t="n">
        <v>1.301377056116782</v>
      </c>
      <c r="R52" s="15" t="n">
        <v>0.5422404400486592</v>
      </c>
      <c r="S52" s="15" t="n">
        <v>23.55274434207847</v>
      </c>
      <c r="T52" s="15" t="n">
        <v>23.69583556931353</v>
      </c>
      <c r="U52" s="15" t="n">
        <v>24.04979807878974</v>
      </c>
      <c r="V52" s="15" t="n">
        <v>34.44140398986399</v>
      </c>
      <c r="W52" s="15" t="n">
        <v>34.44140398986399</v>
      </c>
      <c r="X52" s="15" t="n">
        <v>10.88865964778552</v>
      </c>
      <c r="Y52" s="15" t="n">
        <v>10.74556842055046</v>
      </c>
      <c r="Z52" s="15" t="n">
        <v>10.39160591107425</v>
      </c>
      <c r="AA52" s="15" t="n">
        <v>36.52</v>
      </c>
      <c r="AB52" s="15" t="n">
        <v>33.04335147635302</v>
      </c>
    </row>
    <row r="53">
      <c r="A53" s="20" t="n">
        <v>46844</v>
      </c>
      <c r="B53" t="inlineStr">
        <is>
          <t>Forecast</t>
        </is>
      </c>
      <c r="C53" s="15" t="n">
        <v>4.495762034023503</v>
      </c>
      <c r="D53" s="15" t="n">
        <v>5.725619356997369</v>
      </c>
      <c r="E53" s="15" t="n">
        <v>0.3095091639611158</v>
      </c>
      <c r="F53" s="15" t="n">
        <v>0.4307663539860483</v>
      </c>
      <c r="G53" s="15" t="n">
        <v>0.00638141081335423</v>
      </c>
      <c r="H53" s="15" t="n">
        <v>9.851180955530085</v>
      </c>
      <c r="I53" s="15" t="n">
        <v>2.926172373492231</v>
      </c>
      <c r="J53" s="15" t="n">
        <v>3.7604082728982</v>
      </c>
      <c r="K53" s="15" t="n">
        <v>0.2530455386893743</v>
      </c>
      <c r="L53" s="15" t="n">
        <v>0.04744603850425766</v>
      </c>
      <c r="M53" s="15" t="n">
        <v>6.894081833646701</v>
      </c>
      <c r="N53" s="15" t="n">
        <v>0.5798960261631496</v>
      </c>
      <c r="O53" s="15" t="n">
        <v>0.1976918271010737</v>
      </c>
      <c r="P53" s="15" t="n">
        <v>13.1614289551437</v>
      </c>
      <c r="Q53" s="15" t="n">
        <v>1.328489078119215</v>
      </c>
      <c r="R53" s="15" t="n">
        <v>0.5693524620510922</v>
      </c>
      <c r="S53" s="15" t="n">
        <v>23.79283768730797</v>
      </c>
      <c r="T53" s="15" t="n">
        <v>23.94308347590478</v>
      </c>
      <c r="U53" s="15" t="n">
        <v>24.3147441108548</v>
      </c>
      <c r="V53" s="15" t="n">
        <v>34.69878816984506</v>
      </c>
      <c r="W53" s="15" t="n">
        <v>34.69878816984506</v>
      </c>
      <c r="X53" s="15" t="n">
        <v>10.90595048253709</v>
      </c>
      <c r="Y53" s="15" t="n">
        <v>10.75570469394028</v>
      </c>
      <c r="Z53" s="15" t="n">
        <v>10.38404405899026</v>
      </c>
      <c r="AA53" s="15" t="n">
        <v>36.52</v>
      </c>
      <c r="AB53" s="15" t="n">
        <v>33.3095055897306</v>
      </c>
    </row>
    <row r="54">
      <c r="A54" s="20" t="n">
        <v>46874</v>
      </c>
      <c r="B54" t="inlineStr">
        <is>
          <t>Forecast</t>
        </is>
      </c>
      <c r="C54" s="15" t="n">
        <v>5.792966830004294</v>
      </c>
      <c r="D54" s="15" t="n">
        <v>5.596993586952225</v>
      </c>
      <c r="E54" s="15" t="n">
        <v>0.2143567350080206</v>
      </c>
      <c r="F54" s="15" t="n">
        <v>0.3618820459787971</v>
      </c>
      <c r="G54" s="15" t="n">
        <v>0.006368304114801937</v>
      </c>
      <c r="H54" s="15" t="n">
        <v>10.37861337246806</v>
      </c>
      <c r="I54" s="15" t="n">
        <v>3.180382741041686</v>
      </c>
      <c r="J54" s="15" t="n">
        <v>3.793983346763363</v>
      </c>
      <c r="K54" s="15" t="n">
        <v>0.2553048738562437</v>
      </c>
      <c r="L54" s="15" t="n">
        <v>0.0497053736711271</v>
      </c>
      <c r="M54" s="15" t="n">
        <v>7.005998746530576</v>
      </c>
      <c r="N54" s="15" t="n">
        <v>0.5893099226917722</v>
      </c>
      <c r="O54" s="15" t="n">
        <v>0.2071057236296963</v>
      </c>
      <c r="P54" s="15" t="n">
        <v>13.430029546065</v>
      </c>
      <c r="Q54" s="15" t="n">
        <v>1.355601100121648</v>
      </c>
      <c r="R54" s="15" t="n">
        <v>0.5964644840535253</v>
      </c>
      <c r="S54" s="15" t="n">
        <v>25.58126898923901</v>
      </c>
      <c r="T54" s="15" t="n">
        <v>25.73866933919758</v>
      </c>
      <c r="U54" s="15" t="n">
        <v>26.12802809962141</v>
      </c>
      <c r="V54" s="15" t="n">
        <v>34.957280281696</v>
      </c>
      <c r="W54" s="15" t="n">
        <v>34.957280281696</v>
      </c>
      <c r="X54" s="15" t="n">
        <v>9.376011292456987</v>
      </c>
      <c r="Y54" s="15" t="n">
        <v>9.218610942498419</v>
      </c>
      <c r="Z54" s="15" t="n">
        <v>8.82925218207459</v>
      </c>
      <c r="AA54" s="15" t="n">
        <v>36.52</v>
      </c>
      <c r="AB54" s="15" t="n">
        <v>33.57798890137586</v>
      </c>
    </row>
    <row r="55">
      <c r="A55" s="20" t="n">
        <v>46905</v>
      </c>
      <c r="B55" t="inlineStr">
        <is>
          <t>Forecast</t>
        </is>
      </c>
      <c r="C55" s="15" t="n">
        <v>6.680486736221694</v>
      </c>
      <c r="D55" s="15" t="n">
        <v>5.659067941972197</v>
      </c>
      <c r="E55" s="15" t="n">
        <v>0.2039075184487922</v>
      </c>
      <c r="F55" s="15" t="n">
        <v>0.3646025875132291</v>
      </c>
      <c r="G55" s="15" t="n">
        <v>0.006349097450035356</v>
      </c>
      <c r="H55" s="15" t="n">
        <v>10.77479381700417</v>
      </c>
      <c r="I55" s="15" t="n">
        <v>3.118689989997127</v>
      </c>
      <c r="J55" s="15" t="n">
        <v>3.827558420628526</v>
      </c>
      <c r="K55" s="15" t="n">
        <v>0.2575642090231132</v>
      </c>
      <c r="L55" s="15" t="n">
        <v>0.05196470883799653</v>
      </c>
      <c r="M55" s="15" t="n">
        <v>7.117915659414451</v>
      </c>
      <c r="N55" s="15" t="n">
        <v>0.5987238192203947</v>
      </c>
      <c r="O55" s="15" t="n">
        <v>0.2165196201583189</v>
      </c>
      <c r="P55" s="15" t="n">
        <v>13.6986301369863</v>
      </c>
      <c r="Q55" s="15" t="n">
        <v>1.382713122124081</v>
      </c>
      <c r="R55" s="15" t="n">
        <v>0.623576506055958</v>
      </c>
      <c r="S55" s="15" t="n">
        <v>26.85986239744524</v>
      </c>
      <c r="T55" s="15" t="n">
        <v>27.02441730876556</v>
      </c>
      <c r="U55" s="15" t="n">
        <v>27.4314741946632</v>
      </c>
      <c r="V55" s="15" t="n">
        <v>35.21305670812409</v>
      </c>
      <c r="W55" s="15" t="n">
        <v>35.21305670812409</v>
      </c>
      <c r="X55" s="15" t="n">
        <v>8.353194310678852</v>
      </c>
      <c r="Y55" s="15" t="n">
        <v>8.188639399358529</v>
      </c>
      <c r="Z55" s="15" t="n">
        <v>7.78158251346089</v>
      </c>
      <c r="AA55" s="15" t="n">
        <v>36.52</v>
      </c>
      <c r="AB55" s="15" t="n">
        <v>33.84346068132069</v>
      </c>
    </row>
    <row r="56">
      <c r="A56" s="20" t="n">
        <v>46935</v>
      </c>
      <c r="B56" t="inlineStr">
        <is>
          <t>Forecast</t>
        </is>
      </c>
      <c r="C56" s="15" t="n">
        <v>7.270704077454631</v>
      </c>
      <c r="D56" s="15" t="n">
        <v>5.645119370491004</v>
      </c>
      <c r="E56" s="15" t="n">
        <v>0.1905884225703777</v>
      </c>
      <c r="F56" s="15" t="n">
        <v>0.3484381238751906</v>
      </c>
      <c r="G56" s="15" t="n">
        <v>0.006336057119489233</v>
      </c>
      <c r="H56" s="15" t="n">
        <v>10.78008861771616</v>
      </c>
      <c r="I56" s="15" t="n">
        <v>2.976157804314989</v>
      </c>
      <c r="J56" s="15" t="n">
        <v>3.861133494493688</v>
      </c>
      <c r="K56" s="15" t="n">
        <v>0.2598235441899825</v>
      </c>
      <c r="L56" s="15" t="n">
        <v>0.05422404400486591</v>
      </c>
      <c r="M56" s="15" t="n">
        <v>7.229832572298326</v>
      </c>
      <c r="N56" s="15" t="n">
        <v>0.6081377157490172</v>
      </c>
      <c r="O56" s="15" t="n">
        <v>0.2259335166869413</v>
      </c>
      <c r="P56" s="15" t="n">
        <v>13.9672307279076</v>
      </c>
      <c r="Q56" s="15" t="n">
        <v>1.409825144126514</v>
      </c>
      <c r="R56" s="15" t="n">
        <v>0.6506885280583911</v>
      </c>
      <c r="S56" s="15" t="n">
        <v>27.2716565175467</v>
      </c>
      <c r="T56" s="15" t="n">
        <v>27.44336599022877</v>
      </c>
      <c r="U56" s="15" t="n">
        <v>27.86812100160023</v>
      </c>
      <c r="V56" s="15" t="n">
        <v>35.46624065271286</v>
      </c>
      <c r="W56" s="15" t="n">
        <v>35.46624065271286</v>
      </c>
      <c r="X56" s="15" t="n">
        <v>8.194584135166163</v>
      </c>
      <c r="Y56" s="15" t="n">
        <v>8.022874662484089</v>
      </c>
      <c r="Z56" s="15" t="n">
        <v>7.598119651112636</v>
      </c>
      <c r="AA56" s="15" t="n">
        <v>39.02</v>
      </c>
      <c r="AB56" s="15" t="n">
        <v>34.10682441059078</v>
      </c>
    </row>
    <row r="57">
      <c r="A57" s="20" t="n">
        <v>46966</v>
      </c>
      <c r="B57" t="inlineStr">
        <is>
          <t>Forecast</t>
        </is>
      </c>
      <c r="C57" s="15" t="n">
        <v>8.161645258862009</v>
      </c>
      <c r="D57" s="15" t="n">
        <v>5.710923844909262</v>
      </c>
      <c r="E57" s="15" t="n">
        <v>0.1674319187008909</v>
      </c>
      <c r="F57" s="15" t="n">
        <v>0.3396599301141548</v>
      </c>
      <c r="G57" s="15" t="n">
        <v>0.004937972511492646</v>
      </c>
      <c r="H57" s="15" t="n">
        <v>11.27506783682496</v>
      </c>
      <c r="I57" s="15" t="n">
        <v>3.045932217645074</v>
      </c>
      <c r="J57" s="15" t="n">
        <v>3.89470856835885</v>
      </c>
      <c r="K57" s="15" t="n">
        <v>0.262082879356852</v>
      </c>
      <c r="L57" s="15" t="n">
        <v>0.05648337917173535</v>
      </c>
      <c r="M57" s="15" t="n">
        <v>7.341749485182201</v>
      </c>
      <c r="N57" s="15" t="n">
        <v>0.6175516122776398</v>
      </c>
      <c r="O57" s="15" t="n">
        <v>0.2353474132155639</v>
      </c>
      <c r="P57" s="15" t="n">
        <v>14.2358313188289</v>
      </c>
      <c r="Q57" s="15" t="n">
        <v>1.436937166128947</v>
      </c>
      <c r="R57" s="15" t="n">
        <v>0.6778005500608241</v>
      </c>
      <c r="S57" s="15" t="n">
        <v>28.76208235873958</v>
      </c>
      <c r="T57" s="15" t="n">
        <v>28.94094639278341</v>
      </c>
      <c r="U57" s="15" t="n">
        <v>29.38339952962867</v>
      </c>
      <c r="V57" s="15" t="n">
        <v>35.71537470139906</v>
      </c>
      <c r="W57" s="15" t="n">
        <v>35.71537470139906</v>
      </c>
      <c r="X57" s="15" t="n">
        <v>6.953292342659484</v>
      </c>
      <c r="Y57" s="15" t="n">
        <v>6.774428308615654</v>
      </c>
      <c r="Z57" s="15" t="n">
        <v>6.331975171770395</v>
      </c>
      <c r="AA57" s="15" t="n">
        <v>39.02</v>
      </c>
      <c r="AB57" s="15" t="n">
        <v>34.3668110051568</v>
      </c>
    </row>
    <row r="58">
      <c r="A58" s="20" t="n">
        <v>46997</v>
      </c>
      <c r="B58" t="inlineStr">
        <is>
          <t>Forecast</t>
        </is>
      </c>
      <c r="C58" s="15" t="n">
        <v>6.918029331066658</v>
      </c>
      <c r="D58" s="15" t="n">
        <v>5.685496361522128</v>
      </c>
      <c r="E58" s="15" t="n">
        <v>0.1647016037759739</v>
      </c>
      <c r="F58" s="15" t="n">
        <v>0.3479485724990113</v>
      </c>
      <c r="G58" s="15" t="n">
        <v>0.004916590035381976</v>
      </c>
      <c r="H58" s="15" t="n">
        <v>12.09451430971443</v>
      </c>
      <c r="I58" s="15" t="n">
        <v>2.867294580756646</v>
      </c>
      <c r="J58" s="15" t="n">
        <v>3.928283642224013</v>
      </c>
      <c r="K58" s="15" t="n">
        <v>0.2643422145237214</v>
      </c>
      <c r="L58" s="15" t="n">
        <v>0.05874271433860473</v>
      </c>
      <c r="M58" s="15" t="n">
        <v>7.453666398066076</v>
      </c>
      <c r="N58" s="15" t="n">
        <v>0.6269655088062623</v>
      </c>
      <c r="O58" s="15" t="n">
        <v>0.2447613097441865</v>
      </c>
      <c r="P58" s="15" t="n">
        <v>14.5044319097502</v>
      </c>
      <c r="Q58" s="15" t="n">
        <v>1.46404918813138</v>
      </c>
      <c r="R58" s="15" t="n">
        <v>0.7049125720632571</v>
      </c>
      <c r="S58" s="15" t="n">
        <v>28.14164406370883</v>
      </c>
      <c r="T58" s="15" t="n">
        <v>28.32766265911442</v>
      </c>
      <c r="U58" s="15" t="n">
        <v>28.78781392143349</v>
      </c>
      <c r="V58" s="15" t="n">
        <v>35.96359483495669</v>
      </c>
      <c r="W58" s="15" t="n">
        <v>35.96359483495669</v>
      </c>
      <c r="X58" s="15" t="n">
        <v>7.821950771247863</v>
      </c>
      <c r="Y58" s="15" t="n">
        <v>7.635932175842278</v>
      </c>
      <c r="Z58" s="15" t="n">
        <v>7.175780913523209</v>
      </c>
      <c r="AA58" s="15" t="n">
        <v>39.02</v>
      </c>
      <c r="AB58" s="15" t="n">
        <v>34.62276080897696</v>
      </c>
    </row>
    <row r="59">
      <c r="A59" s="20" t="n">
        <v>47027</v>
      </c>
      <c r="B59" t="inlineStr">
        <is>
          <t>Forecast</t>
        </is>
      </c>
      <c r="C59" s="15" t="n">
        <v>5.436307874895696</v>
      </c>
      <c r="D59" s="15" t="n">
        <v>5.535716984954465</v>
      </c>
      <c r="E59" s="15" t="n">
        <v>0.2285915152430072</v>
      </c>
      <c r="F59" s="15" t="n">
        <v>0.3809684820668436</v>
      </c>
      <c r="G59" s="15" t="n">
        <v>0.004912968244491286</v>
      </c>
      <c r="H59" s="15" t="n">
        <v>12.69228003083021</v>
      </c>
      <c r="I59" s="15" t="n">
        <v>2.73510225028912</v>
      </c>
      <c r="J59" s="15" t="n">
        <v>3.961858716089175</v>
      </c>
      <c r="K59" s="15" t="n">
        <v>0.2666015496905908</v>
      </c>
      <c r="L59" s="15" t="n">
        <v>0.06100204950547417</v>
      </c>
      <c r="M59" s="15" t="n">
        <v>7.565583310949951</v>
      </c>
      <c r="N59" s="15" t="n">
        <v>0.6363794053348849</v>
      </c>
      <c r="O59" s="15" t="n">
        <v>0.254175206272809</v>
      </c>
      <c r="P59" s="15" t="n">
        <v>14.7730325006715</v>
      </c>
      <c r="Q59" s="15" t="n">
        <v>1.491161210133813</v>
      </c>
      <c r="R59" s="15" t="n">
        <v>0.7320245940656901</v>
      </c>
      <c r="S59" s="15" t="n">
        <v>27.07488215602931</v>
      </c>
      <c r="T59" s="15" t="n">
        <v>27.26805531279665</v>
      </c>
      <c r="U59" s="15" t="n">
        <v>27.74590470058953</v>
      </c>
      <c r="V59" s="15" t="n">
        <v>36.21248544376367</v>
      </c>
      <c r="W59" s="15" t="n">
        <v>36.21248544376367</v>
      </c>
      <c r="X59" s="15" t="n">
        <v>9.137603287734354</v>
      </c>
      <c r="Y59" s="15" t="n">
        <v>8.944430130967021</v>
      </c>
      <c r="Z59" s="15" t="n">
        <v>8.466580743174138</v>
      </c>
      <c r="AA59" s="15" t="n">
        <v>39.02</v>
      </c>
      <c r="AB59" s="15" t="n">
        <v>34.87386661235941</v>
      </c>
    </row>
    <row r="60">
      <c r="A60" s="20" t="n">
        <v>47058</v>
      </c>
      <c r="B60" t="inlineStr">
        <is>
          <t>Forecast</t>
        </is>
      </c>
      <c r="C60" s="15" t="n">
        <v>4.645007511031529</v>
      </c>
      <c r="D60" s="15" t="n">
        <v>5.926410895787899</v>
      </c>
      <c r="E60" s="15" t="n">
        <v>0.4397364186666121</v>
      </c>
      <c r="F60" s="15" t="n">
        <v>0.4773825548164495</v>
      </c>
      <c r="G60" s="15" t="n">
        <v>0.004891694042199594</v>
      </c>
      <c r="H60" s="15" t="n">
        <v>13.09400310968609</v>
      </c>
      <c r="I60" s="15" t="n">
        <v>2.67327703942725</v>
      </c>
      <c r="J60" s="15" t="n">
        <v>3.995433789954338</v>
      </c>
      <c r="K60" s="15" t="n">
        <v>0.2688608848574602</v>
      </c>
      <c r="L60" s="15" t="n">
        <v>0.06326138467234355</v>
      </c>
      <c r="M60" s="15" t="n">
        <v>7.677500223833826</v>
      </c>
      <c r="N60" s="15" t="n">
        <v>0.6457933018635075</v>
      </c>
      <c r="O60" s="15" t="n">
        <v>0.2635891028014316</v>
      </c>
      <c r="P60" s="15" t="n">
        <v>15.0416330915928</v>
      </c>
      <c r="Q60" s="15" t="n">
        <v>1.518273232136246</v>
      </c>
      <c r="R60" s="15" t="n">
        <v>0.7591366160681229</v>
      </c>
      <c r="S60" s="15" t="n">
        <v>27.32397060813037</v>
      </c>
      <c r="T60" s="15" t="n">
        <v>27.52429832625946</v>
      </c>
      <c r="U60" s="15" t="n">
        <v>28.01984583952615</v>
      </c>
      <c r="V60" s="15" t="n">
        <v>36.45259702761549</v>
      </c>
      <c r="W60" s="15" t="n">
        <v>36.45259702761549</v>
      </c>
      <c r="X60" s="15" t="n">
        <v>9.128626419485116</v>
      </c>
      <c r="Y60" s="15" t="n">
        <v>8.928298701356027</v>
      </c>
      <c r="Z60" s="15" t="n">
        <v>8.432751188089338</v>
      </c>
      <c r="AA60" s="15" t="n">
        <v>39.02</v>
      </c>
      <c r="AB60" s="15" t="n">
        <v>35.11354823897847</v>
      </c>
    </row>
    <row r="61">
      <c r="A61" s="20" t="n">
        <v>47088</v>
      </c>
      <c r="B61" t="inlineStr">
        <is>
          <t>Forecast</t>
        </is>
      </c>
      <c r="C61" s="15" t="n">
        <v>4.588742658117908</v>
      </c>
      <c r="D61" s="15" t="n">
        <v>6.127807724953939</v>
      </c>
      <c r="E61" s="15" t="n">
        <v>0.8109550021625722</v>
      </c>
      <c r="F61" s="15" t="n">
        <v>0.6085549143271148</v>
      </c>
      <c r="G61" s="15" t="n">
        <v>0.004888090590865522</v>
      </c>
      <c r="H61" s="15" t="n">
        <v>13.04702460392214</v>
      </c>
      <c r="I61" s="15" t="n">
        <v>2.551527834641582</v>
      </c>
      <c r="J61" s="15" t="n">
        <v>4.029008863819501</v>
      </c>
      <c r="K61" s="15" t="n">
        <v>0.2711202200243296</v>
      </c>
      <c r="L61" s="15" t="n">
        <v>0.06552071983921298</v>
      </c>
      <c r="M61" s="15" t="n">
        <v>7.789417136717701</v>
      </c>
      <c r="N61" s="15" t="n">
        <v>0.65520719839213</v>
      </c>
      <c r="O61" s="15" t="n">
        <v>0.2730029993300542</v>
      </c>
      <c r="P61" s="15" t="n">
        <v>15.3102336825141</v>
      </c>
      <c r="Q61" s="15" t="n">
        <v>1.545385254138679</v>
      </c>
      <c r="R61" s="15" t="n">
        <v>0.7862486380705559</v>
      </c>
      <c r="S61" s="15" t="n">
        <v>27.80502154855534</v>
      </c>
      <c r="T61" s="15" t="n">
        <v>28.01250382804618</v>
      </c>
      <c r="U61" s="15" t="n">
        <v>28.52574946678669</v>
      </c>
      <c r="V61" s="15" t="n">
        <v>36.68392362218805</v>
      </c>
      <c r="W61" s="15" t="n">
        <v>36.68392362218805</v>
      </c>
      <c r="X61" s="15" t="n">
        <v>8.878902073632712</v>
      </c>
      <c r="Y61" s="15" t="n">
        <v>8.671419794141872</v>
      </c>
      <c r="Z61" s="15" t="n">
        <v>8.158174155401369</v>
      </c>
      <c r="AA61" s="15" t="n">
        <v>39.02</v>
      </c>
      <c r="AB61" s="15" t="n">
        <v>35.34547239058394</v>
      </c>
    </row>
    <row r="62">
      <c r="A62" s="20" t="n">
        <v>47119</v>
      </c>
      <c r="B62" s="16" t="inlineStr">
        <is>
          <t>Scenario</t>
        </is>
      </c>
      <c r="C62" s="18" t="n">
        <v>5.579445751982315</v>
      </c>
      <c r="D62" s="18" t="n">
        <v>5.987455449566409</v>
      </c>
      <c r="E62" s="18" t="n">
        <v>1.443939668847552</v>
      </c>
      <c r="F62" s="18" t="n">
        <v>0.8484644815497716</v>
      </c>
      <c r="G62" s="18" t="n">
        <v>0.006240292559390729</v>
      </c>
      <c r="H62" s="18" t="n">
        <v>12.67205817734582</v>
      </c>
      <c r="I62" s="18" t="n">
        <v>2.810892814802997</v>
      </c>
      <c r="J62" s="18" t="n">
        <v>4.062583937684663</v>
      </c>
      <c r="K62" s="18" t="n">
        <v>0.2733795551911991</v>
      </c>
      <c r="L62" s="18" t="n">
        <v>0.06778005500608242</v>
      </c>
      <c r="M62" s="18" t="n">
        <v>7.901334049601576</v>
      </c>
      <c r="N62" s="18" t="n">
        <v>0.6646210949207526</v>
      </c>
      <c r="O62" s="18" t="n">
        <v>0.2824168958586767</v>
      </c>
      <c r="P62" s="18" t="n">
        <v>15.5788342734354</v>
      </c>
      <c r="Q62" s="18" t="n">
        <v>1.572497276141112</v>
      </c>
      <c r="R62" s="18" t="n">
        <v>0.8133606600729889</v>
      </c>
      <c r="S62" s="18" t="n">
        <v>29.41627669166034</v>
      </c>
      <c r="T62" s="18" t="n">
        <v>29.63091353251293</v>
      </c>
      <c r="U62" s="18" t="n">
        <v>30.16185729672724</v>
      </c>
      <c r="V62" s="18" t="n">
        <v>36.79609657473016</v>
      </c>
      <c r="W62" s="18" t="n">
        <v>36.79609657473016</v>
      </c>
      <c r="X62" s="18" t="n">
        <v>7.379819883069828</v>
      </c>
      <c r="Y62" s="18" t="n">
        <v>7.165183042217233</v>
      </c>
      <c r="Z62" s="18" t="n">
        <v>6.634239278002923</v>
      </c>
      <c r="AA62" s="18" t="n">
        <v>39.02</v>
      </c>
      <c r="AB62" s="18" t="n">
        <v>35.45517977318833</v>
      </c>
    </row>
    <row r="63">
      <c r="A63" s="20" t="n">
        <v>47150</v>
      </c>
      <c r="B63" s="16" t="inlineStr">
        <is>
          <t>Scenario</t>
        </is>
      </c>
      <c r="C63" s="18" t="n">
        <v>4.573570037829584</v>
      </c>
      <c r="D63" s="18" t="n">
        <v>5.863511577280807</v>
      </c>
      <c r="E63" s="18" t="n">
        <v>1.008412805318933</v>
      </c>
      <c r="F63" s="18" t="n">
        <v>0.6677322092282659</v>
      </c>
      <c r="G63" s="18" t="n">
        <v>0.006234666310272906</v>
      </c>
      <c r="H63" s="18" t="n">
        <v>12.56022123652036</v>
      </c>
      <c r="I63" s="18" t="n">
        <v>2.763326342951468</v>
      </c>
      <c r="J63" s="18" t="n">
        <v>4.096159011549825</v>
      </c>
      <c r="K63" s="18" t="n">
        <v>0.2756388903580684</v>
      </c>
      <c r="L63" s="18" t="n">
        <v>0.0700393901729518</v>
      </c>
      <c r="M63" s="18" t="n">
        <v>8.013250962485451</v>
      </c>
      <c r="N63" s="18" t="n">
        <v>0.6740349914493752</v>
      </c>
      <c r="O63" s="18" t="n">
        <v>0.2918307923872993</v>
      </c>
      <c r="P63" s="18" t="n">
        <v>15.8474348643567</v>
      </c>
      <c r="Q63" s="18" t="n">
        <v>1.599609298143545</v>
      </c>
      <c r="R63" s="18" t="n">
        <v>0.8404726820754217</v>
      </c>
      <c r="S63" s="18" t="n">
        <v>27.51304826561265</v>
      </c>
      <c r="T63" s="18" t="n">
        <v>27.73483966782699</v>
      </c>
      <c r="U63" s="18" t="n">
        <v>28.28348155751512</v>
      </c>
      <c r="V63" s="18" t="n">
        <v>36.90860788703323</v>
      </c>
      <c r="W63" s="18" t="n">
        <v>36.90860788703323</v>
      </c>
      <c r="X63" s="18" t="n">
        <v>9.395559621420581</v>
      </c>
      <c r="Y63" s="18" t="n">
        <v>9.173768219206234</v>
      </c>
      <c r="Z63" s="18" t="n">
        <v>8.62512632951811</v>
      </c>
      <c r="AA63" s="18" t="n">
        <v>39.02</v>
      </c>
      <c r="AB63" s="18" t="n">
        <v>35.5652276721017</v>
      </c>
    </row>
    <row r="64">
      <c r="A64" s="20" t="n">
        <v>47178</v>
      </c>
      <c r="B64" s="16" t="inlineStr">
        <is>
          <t>Scenario</t>
        </is>
      </c>
      <c r="C64" s="18" t="n">
        <v>4.068206450284062</v>
      </c>
      <c r="D64" s="18" t="n">
        <v>5.836251787707528</v>
      </c>
      <c r="E64" s="18" t="n">
        <v>0.4625001195152331</v>
      </c>
      <c r="F64" s="18" t="n">
        <v>0.459467068172916</v>
      </c>
      <c r="G64" s="18" t="n">
        <v>0.006208693772447616</v>
      </c>
      <c r="H64" s="18" t="n">
        <v>12.25593655124702</v>
      </c>
      <c r="I64" s="18" t="n">
        <v>2.662850686577613</v>
      </c>
      <c r="J64" s="18" t="n">
        <v>4.129734085414988</v>
      </c>
      <c r="K64" s="18" t="n">
        <v>0.2778982255249379</v>
      </c>
      <c r="L64" s="18" t="n">
        <v>0.07229872533982123</v>
      </c>
      <c r="M64" s="18" t="n">
        <v>8.125167875369327</v>
      </c>
      <c r="N64" s="18" t="n">
        <v>0.6834488879779977</v>
      </c>
      <c r="O64" s="18" t="n">
        <v>0.3012446889159219</v>
      </c>
      <c r="P64" s="18" t="n">
        <v>16.116035455278</v>
      </c>
      <c r="Q64" s="18" t="n">
        <v>1.626721320145978</v>
      </c>
      <c r="R64" s="18" t="n">
        <v>0.8675847040778547</v>
      </c>
      <c r="S64" s="18" t="n">
        <v>25.82372008261664</v>
      </c>
      <c r="T64" s="18" t="n">
        <v>26.05266604619274</v>
      </c>
      <c r="U64" s="18" t="n">
        <v>26.61900606135468</v>
      </c>
      <c r="V64" s="18" t="n">
        <v>37.02145859104518</v>
      </c>
      <c r="W64" s="18" t="n">
        <v>37.02145859104518</v>
      </c>
      <c r="X64" s="18" t="n">
        <v>11.19773850842854</v>
      </c>
      <c r="Y64" s="18" t="n">
        <v>10.96879254485244</v>
      </c>
      <c r="Z64" s="18" t="n">
        <v>10.4024525296905</v>
      </c>
      <c r="AA64" s="18" t="n">
        <v>39.02</v>
      </c>
      <c r="AB64" s="18" t="n">
        <v>35.67561714423886</v>
      </c>
    </row>
    <row r="65">
      <c r="A65" s="20" t="n">
        <v>47209</v>
      </c>
      <c r="B65" s="16" t="inlineStr">
        <is>
          <t>Scenario</t>
        </is>
      </c>
      <c r="C65" s="18" t="n">
        <v>4.495762034023503</v>
      </c>
      <c r="D65" s="18" t="n">
        <v>5.770987229173467</v>
      </c>
      <c r="E65" s="18" t="n">
        <v>0.3002238890422823</v>
      </c>
      <c r="F65" s="18" t="n">
        <v>0.4178433633664669</v>
      </c>
      <c r="G65" s="18" t="n">
        <v>0.006189968488953602</v>
      </c>
      <c r="H65" s="18" t="n">
        <v>11.8381445387415</v>
      </c>
      <c r="I65" s="18" t="n">
        <v>2.866903990894866</v>
      </c>
      <c r="J65" s="18" t="n">
        <v>4.163309159280151</v>
      </c>
      <c r="K65" s="18" t="n">
        <v>0.2801575606918073</v>
      </c>
      <c r="L65" s="18" t="n">
        <v>0.07455806050669062</v>
      </c>
      <c r="M65" s="18" t="n">
        <v>8.237084788253201</v>
      </c>
      <c r="N65" s="18" t="n">
        <v>0.6928627845066203</v>
      </c>
      <c r="O65" s="18" t="n">
        <v>0.3106585854445444</v>
      </c>
      <c r="P65" s="18" t="n">
        <v>16.3846360461993</v>
      </c>
      <c r="Q65" s="18" t="n">
        <v>1.653833342148411</v>
      </c>
      <c r="R65" s="18" t="n">
        <v>0.8946967260802877</v>
      </c>
      <c r="S65" s="18" t="n">
        <v>25.77061307423773</v>
      </c>
      <c r="T65" s="18" t="n">
        <v>26.00671359917559</v>
      </c>
      <c r="U65" s="18" t="n">
        <v>26.59075173981133</v>
      </c>
      <c r="V65" s="18" t="n">
        <v>37.13464972188937</v>
      </c>
      <c r="W65" s="18" t="n">
        <v>37.13464972188937</v>
      </c>
      <c r="X65" s="18" t="n">
        <v>11.36403664765164</v>
      </c>
      <c r="Y65" s="18" t="n">
        <v>11.12793612271379</v>
      </c>
      <c r="Z65" s="18" t="n">
        <v>10.54389798207804</v>
      </c>
      <c r="AA65" s="18" t="n">
        <v>39.02</v>
      </c>
      <c r="AB65" s="18" t="n">
        <v>35.78634924979514</v>
      </c>
    </row>
    <row r="66">
      <c r="A66" s="20" t="n">
        <v>47239</v>
      </c>
      <c r="B66" s="16" t="inlineStr">
        <is>
          <t>Scenario</t>
        </is>
      </c>
      <c r="C66" s="18" t="n">
        <v>5.792966830004294</v>
      </c>
      <c r="D66" s="18" t="n">
        <v>5.641342272009844</v>
      </c>
      <c r="E66" s="18" t="n">
        <v>0.20792603295778</v>
      </c>
      <c r="F66" s="18" t="n">
        <v>0.3510255845994332</v>
      </c>
      <c r="G66" s="18" t="n">
        <v>0.006177254991357879</v>
      </c>
      <c r="H66" s="18" t="n">
        <v>12.20315815805368</v>
      </c>
      <c r="I66" s="18" t="n">
        <v>3.115965435072403</v>
      </c>
      <c r="J66" s="18" t="n">
        <v>4.196884233145313</v>
      </c>
      <c r="K66" s="18" t="n">
        <v>0.2824168958586767</v>
      </c>
      <c r="L66" s="18" t="n">
        <v>0.07681739567356005</v>
      </c>
      <c r="M66" s="18" t="n">
        <v>8.349001701137077</v>
      </c>
      <c r="N66" s="18" t="n">
        <v>0.7022766810352429</v>
      </c>
      <c r="O66" s="18" t="n">
        <v>0.320072481973167</v>
      </c>
      <c r="P66" s="18" t="n">
        <v>16.6532366371206</v>
      </c>
      <c r="Q66" s="18" t="n">
        <v>1.680945364150843</v>
      </c>
      <c r="R66" s="18" t="n">
        <v>0.9218087480827205</v>
      </c>
      <c r="S66" s="18" t="n">
        <v>27.39537896336236</v>
      </c>
      <c r="T66" s="18" t="n">
        <v>27.63863404966196</v>
      </c>
      <c r="U66" s="18" t="n">
        <v>28.24037031577152</v>
      </c>
      <c r="V66" s="18" t="n">
        <v>37.24818231787456</v>
      </c>
      <c r="W66" s="18" t="n">
        <v>37.24818231787456</v>
      </c>
      <c r="X66" s="18" t="n">
        <v>9.852803354512201</v>
      </c>
      <c r="Y66" s="18" t="n">
        <v>9.609548268212595</v>
      </c>
      <c r="Z66" s="18" t="n">
        <v>9.007812002103041</v>
      </c>
      <c r="AA66" s="18" t="n">
        <v>39.02</v>
      </c>
      <c r="AB66" s="18" t="n">
        <v>35.89742505225654</v>
      </c>
    </row>
    <row r="67">
      <c r="A67" s="20" t="n">
        <v>47270</v>
      </c>
      <c r="B67" s="16" t="inlineStr">
        <is>
          <t>Scenario</t>
        </is>
      </c>
      <c r="C67" s="18" t="n">
        <v>6.680486736221694</v>
      </c>
      <c r="D67" s="18" t="n">
        <v>5.703908483234074</v>
      </c>
      <c r="E67" s="18" t="n">
        <v>0.1977902928953284</v>
      </c>
      <c r="F67" s="18" t="n">
        <v>0.3536645098878322</v>
      </c>
      <c r="G67" s="18" t="n">
        <v>0.006158624526534295</v>
      </c>
      <c r="H67" s="18" t="n">
        <v>12.32918349618877</v>
      </c>
      <c r="I67" s="18" t="n">
        <v>3.055522244581936</v>
      </c>
      <c r="J67" s="18" t="n">
        <v>4.230459307010475</v>
      </c>
      <c r="K67" s="18" t="n">
        <v>0.2846762310255461</v>
      </c>
      <c r="L67" s="18" t="n">
        <v>0.07907673084042943</v>
      </c>
      <c r="M67" s="18" t="n">
        <v>8.460918614020951</v>
      </c>
      <c r="N67" s="18" t="n">
        <v>0.7116905775638653</v>
      </c>
      <c r="O67" s="18" t="n">
        <v>0.3294863785017895</v>
      </c>
      <c r="P67" s="18" t="n">
        <v>16.9218372280419</v>
      </c>
      <c r="Q67" s="18" t="n">
        <v>1.708057386153276</v>
      </c>
      <c r="R67" s="18" t="n">
        <v>0.9489207700851535</v>
      </c>
      <c r="S67" s="18" t="n">
        <v>28.40579111837661</v>
      </c>
      <c r="T67" s="18" t="n">
        <v>28.65620076603797</v>
      </c>
      <c r="U67" s="18" t="n">
        <v>29.27563515762133</v>
      </c>
      <c r="V67" s="18" t="n">
        <v>37.36205742050463</v>
      </c>
      <c r="W67" s="18" t="n">
        <v>37.36205742050463</v>
      </c>
      <c r="X67" s="18" t="n">
        <v>8.956266302128022</v>
      </c>
      <c r="Y67" s="18" t="n">
        <v>8.705856654466661</v>
      </c>
      <c r="Z67" s="18" t="n">
        <v>8.0864222628833</v>
      </c>
      <c r="AA67" s="18" t="n">
        <v>39.02</v>
      </c>
      <c r="AB67" s="18" t="n">
        <v>36.00884561840999</v>
      </c>
    </row>
    <row r="68">
      <c r="A68" s="20" t="n">
        <v>47300</v>
      </c>
      <c r="B68" s="16" t="inlineStr">
        <is>
          <t>Scenario</t>
        </is>
      </c>
      <c r="C68" s="18" t="n">
        <v>7.270704077454631</v>
      </c>
      <c r="D68" s="18" t="n">
        <v>5.689849387987933</v>
      </c>
      <c r="E68" s="18" t="n">
        <v>0.1848707698932664</v>
      </c>
      <c r="F68" s="18" t="n">
        <v>0.3379849801589349</v>
      </c>
      <c r="G68" s="18" t="n">
        <v>0.006145975405904556</v>
      </c>
      <c r="H68" s="18" t="n">
        <v>11.99695972456145</v>
      </c>
      <c r="I68" s="18" t="n">
        <v>2.915876987978199</v>
      </c>
      <c r="J68" s="18" t="n">
        <v>4.264034380875638</v>
      </c>
      <c r="K68" s="18" t="n">
        <v>0.2869355661924155</v>
      </c>
      <c r="L68" s="18" t="n">
        <v>0.08133606600729887</v>
      </c>
      <c r="M68" s="18" t="n">
        <v>8.572835526904827</v>
      </c>
      <c r="N68" s="18" t="n">
        <v>0.7211044740924879</v>
      </c>
      <c r="O68" s="18" t="n">
        <v>0.338900275030412</v>
      </c>
      <c r="P68" s="18" t="n">
        <v>17.1904378189632</v>
      </c>
      <c r="Q68" s="18" t="n">
        <v>1.735169408155709</v>
      </c>
      <c r="R68" s="18" t="n">
        <v>0.9760327920875865</v>
      </c>
      <c r="S68" s="18" t="n">
        <v>28.48372796944762</v>
      </c>
      <c r="T68" s="18" t="n">
        <v>28.74129217847073</v>
      </c>
      <c r="U68" s="18" t="n">
        <v>29.37842469552791</v>
      </c>
      <c r="V68" s="18" t="n">
        <v>37.47627607448864</v>
      </c>
      <c r="W68" s="18" t="n">
        <v>37.47627607448864</v>
      </c>
      <c r="X68" s="18" t="n">
        <v>8.992548105041017</v>
      </c>
      <c r="Y68" s="18" t="n">
        <v>8.734983896017905</v>
      </c>
      <c r="Z68" s="18" t="n">
        <v>8.09785137896073</v>
      </c>
      <c r="AA68" s="18" t="n">
        <v>39.02</v>
      </c>
      <c r="AB68" s="18" t="n">
        <v>36.12061201835357</v>
      </c>
    </row>
    <row r="69">
      <c r="A69" s="20" t="n">
        <v>47331</v>
      </c>
      <c r="B69" s="16" t="inlineStr">
        <is>
          <t>Scenario</t>
        </is>
      </c>
      <c r="C69" s="18" t="n">
        <v>8.161645258862009</v>
      </c>
      <c r="D69" s="18" t="n">
        <v>5.756175274815552</v>
      </c>
      <c r="E69" s="18" t="n">
        <v>0.1624089611398642</v>
      </c>
      <c r="F69" s="18" t="n">
        <v>0.3294701322107302</v>
      </c>
      <c r="G69" s="18" t="n">
        <v>0.004789833336147866</v>
      </c>
      <c r="H69" s="18" t="n">
        <v>12.31445570816869</v>
      </c>
      <c r="I69" s="18" t="n">
        <v>2.98423815010606</v>
      </c>
      <c r="J69" s="18" t="n">
        <v>4.2976094547408</v>
      </c>
      <c r="K69" s="18" t="n">
        <v>0.2891949013592849</v>
      </c>
      <c r="L69" s="18" t="n">
        <v>0.0835954011741683</v>
      </c>
      <c r="M69" s="18" t="n">
        <v>8.684752439788701</v>
      </c>
      <c r="N69" s="18" t="n">
        <v>0.7305183706211105</v>
      </c>
      <c r="O69" s="18" t="n">
        <v>0.3483141715590346</v>
      </c>
      <c r="P69" s="18" t="n">
        <v>17.4590384098845</v>
      </c>
      <c r="Q69" s="18" t="n">
        <v>1.762281430158142</v>
      </c>
      <c r="R69" s="18" t="n">
        <v>1.003144814090019</v>
      </c>
      <c r="S69" s="18" t="n">
        <v>29.79677871981322</v>
      </c>
      <c r="T69" s="18" t="n">
        <v>30.06149749019809</v>
      </c>
      <c r="U69" s="18" t="n">
        <v>30.71632813272907</v>
      </c>
      <c r="V69" s="18" t="n">
        <v>37.59083932775065</v>
      </c>
      <c r="W69" s="18" t="n">
        <v>37.59083932775065</v>
      </c>
      <c r="X69" s="18" t="n">
        <v>7.794060607937428</v>
      </c>
      <c r="Y69" s="18" t="n">
        <v>7.529341837552561</v>
      </c>
      <c r="Z69" s="18" t="n">
        <v>6.874511195021576</v>
      </c>
      <c r="AA69" s="18" t="n">
        <v>39.02</v>
      </c>
      <c r="AB69" s="18" t="n">
        <v>36.23272532550681</v>
      </c>
    </row>
    <row r="70">
      <c r="A70" s="20" t="n">
        <v>47362</v>
      </c>
      <c r="B70" s="16" t="inlineStr">
        <is>
          <t>Scenario</t>
        </is>
      </c>
      <c r="C70" s="18" t="n">
        <v>6.918029331066658</v>
      </c>
      <c r="D70" s="18" t="n">
        <v>5.7305463126461</v>
      </c>
      <c r="E70" s="18" t="n">
        <v>0.1597605556626947</v>
      </c>
      <c r="F70" s="18" t="n">
        <v>0.3375101153240409</v>
      </c>
      <c r="G70" s="18" t="n">
        <v>0.004769092334320517</v>
      </c>
      <c r="H70" s="18" t="n">
        <v>12.89759651652548</v>
      </c>
      <c r="I70" s="18" t="n">
        <v>2.80921874292457</v>
      </c>
      <c r="J70" s="18" t="n">
        <v>4.331184528605963</v>
      </c>
      <c r="K70" s="18" t="n">
        <v>0.2914542365261543</v>
      </c>
      <c r="L70" s="18" t="n">
        <v>0.08585473634103769</v>
      </c>
      <c r="M70" s="18" t="n">
        <v>8.796669352672577</v>
      </c>
      <c r="N70" s="18" t="n">
        <v>0.739932267149733</v>
      </c>
      <c r="O70" s="18" t="n">
        <v>0.3577280680876572</v>
      </c>
      <c r="P70" s="18" t="n">
        <v>17.7276390008058</v>
      </c>
      <c r="Q70" s="18" t="n">
        <v>1.789393452160575</v>
      </c>
      <c r="R70" s="18" t="n">
        <v>1.030256836092452</v>
      </c>
      <c r="S70" s="18" t="n">
        <v>28.9432854028249</v>
      </c>
      <c r="T70" s="18" t="n">
        <v>29.21515873457152</v>
      </c>
      <c r="U70" s="18" t="n">
        <v>29.88768750257631</v>
      </c>
      <c r="V70" s="18" t="n">
        <v>37.70574823143975</v>
      </c>
      <c r="W70" s="18" t="n">
        <v>37.70574823143975</v>
      </c>
      <c r="X70" s="18" t="n">
        <v>8.762462828614851</v>
      </c>
      <c r="Y70" s="18" t="n">
        <v>8.490589496868232</v>
      </c>
      <c r="Z70" s="18" t="n">
        <v>7.818060728863436</v>
      </c>
      <c r="AA70" s="18" t="n">
        <v>39.02</v>
      </c>
      <c r="AB70" s="18" t="n">
        <v>36.34518661662096</v>
      </c>
    </row>
    <row r="71">
      <c r="A71" s="20" t="n">
        <v>47392</v>
      </c>
      <c r="B71" s="16" t="inlineStr">
        <is>
          <t>Scenario</t>
        </is>
      </c>
      <c r="C71" s="18" t="n">
        <v>5.436307874895696</v>
      </c>
      <c r="D71" s="18" t="n">
        <v>5.579580134933084</v>
      </c>
      <c r="E71" s="18" t="n">
        <v>0.2217337697857169</v>
      </c>
      <c r="F71" s="18" t="n">
        <v>0.3695394276048383</v>
      </c>
      <c r="G71" s="18" t="n">
        <v>0.004765579197156548</v>
      </c>
      <c r="H71" s="18" t="n">
        <v>13.25228722923687</v>
      </c>
      <c r="I71" s="18" t="n">
        <v>2.679703912145565</v>
      </c>
      <c r="J71" s="18" t="n">
        <v>4.364759602471126</v>
      </c>
      <c r="K71" s="18" t="n">
        <v>0.2937135716930238</v>
      </c>
      <c r="L71" s="18" t="n">
        <v>0.08811407150790712</v>
      </c>
      <c r="M71" s="18" t="n">
        <v>8.908586265556451</v>
      </c>
      <c r="N71" s="18" t="n">
        <v>0.7493461636783556</v>
      </c>
      <c r="O71" s="18" t="n">
        <v>0.3671419646162797</v>
      </c>
      <c r="P71" s="18" t="n">
        <v>17.9962395917271</v>
      </c>
      <c r="Q71" s="18" t="n">
        <v>1.816505474163008</v>
      </c>
      <c r="R71" s="18" t="n">
        <v>1.057368858094885</v>
      </c>
      <c r="S71" s="18" t="n">
        <v>27.63203199930684</v>
      </c>
      <c r="T71" s="18" t="n">
        <v>27.91105989241521</v>
      </c>
      <c r="U71" s="18" t="n">
        <v>28.60128678589382</v>
      </c>
      <c r="V71" s="18" t="n">
        <v>37.82100383994</v>
      </c>
      <c r="W71" s="18" t="n">
        <v>37.82100383994</v>
      </c>
      <c r="X71" s="18" t="n">
        <v>10.18897184063317</v>
      </c>
      <c r="Y71" s="18" t="n">
        <v>9.909943947524795</v>
      </c>
      <c r="Z71" s="18" t="n">
        <v>9.219717054046189</v>
      </c>
      <c r="AA71" s="18" t="n">
        <v>39.02</v>
      </c>
      <c r="AB71" s="18" t="n">
        <v>36.45799697178938</v>
      </c>
    </row>
    <row r="72">
      <c r="A72" s="20" t="n">
        <v>47423</v>
      </c>
      <c r="B72" s="16" t="inlineStr">
        <is>
          <t>Scenario</t>
        </is>
      </c>
      <c r="C72" s="18" t="n">
        <v>4.645007511031529</v>
      </c>
      <c r="D72" s="18" t="n">
        <v>5.973369772237578</v>
      </c>
      <c r="E72" s="18" t="n">
        <v>0.4265443261066137</v>
      </c>
      <c r="F72" s="18" t="n">
        <v>0.463061078171956</v>
      </c>
      <c r="G72" s="18" t="n">
        <v>0.004744943220933605</v>
      </c>
      <c r="H72" s="18" t="n">
        <v>13.53544208829908</v>
      </c>
      <c r="I72" s="18" t="n">
        <v>2.61913094475531</v>
      </c>
      <c r="J72" s="18" t="n">
        <v>4.398334676336288</v>
      </c>
      <c r="K72" s="18" t="n">
        <v>0.2959729068598931</v>
      </c>
      <c r="L72" s="18" t="n">
        <v>0.0903734066747765</v>
      </c>
      <c r="M72" s="18" t="n">
        <v>9.020503178440325</v>
      </c>
      <c r="N72" s="18" t="n">
        <v>0.7587600602069782</v>
      </c>
      <c r="O72" s="18" t="n">
        <v>0.3765558611449023</v>
      </c>
      <c r="P72" s="18" t="n">
        <v>18.2648401826484</v>
      </c>
      <c r="Q72" s="18" t="n">
        <v>1.843617496165441</v>
      </c>
      <c r="R72" s="18" t="n">
        <v>1.084480880097318</v>
      </c>
      <c r="S72" s="18" t="n">
        <v>27.75767407049777</v>
      </c>
      <c r="T72" s="18" t="n">
        <v>28.0438565249679</v>
      </c>
      <c r="U72" s="18" t="n">
        <v>28.75178154392032</v>
      </c>
      <c r="V72" s="18" t="n">
        <v>37.93660721088055</v>
      </c>
      <c r="W72" s="18" t="n">
        <v>37.93660721088055</v>
      </c>
      <c r="X72" s="18" t="n">
        <v>10.17893314038278</v>
      </c>
      <c r="Y72" s="18" t="n">
        <v>9.892750685912652</v>
      </c>
      <c r="Z72" s="18" t="n">
        <v>9.184825666960236</v>
      </c>
      <c r="AA72" s="18" t="n">
        <v>39.02</v>
      </c>
      <c r="AB72" s="18" t="n">
        <v>36.57115747445786</v>
      </c>
    </row>
    <row r="73">
      <c r="A73" s="20" t="n">
        <v>47453</v>
      </c>
      <c r="B73" s="16" t="inlineStr">
        <is>
          <t>Scenario</t>
        </is>
      </c>
      <c r="C73" s="18" t="n">
        <v>4.588742658117908</v>
      </c>
      <c r="D73" s="18" t="n">
        <v>6.176362401793511</v>
      </c>
      <c r="E73" s="18" t="n">
        <v>0.786626352097695</v>
      </c>
      <c r="F73" s="18" t="n">
        <v>0.5902982668973015</v>
      </c>
      <c r="G73" s="18" t="n">
        <v>0.004741447873139556</v>
      </c>
      <c r="H73" s="18" t="n">
        <v>13.35375671170559</v>
      </c>
      <c r="I73" s="18" t="n">
        <v>2.499847718568692</v>
      </c>
      <c r="J73" s="18" t="n">
        <v>4.43190975020145</v>
      </c>
      <c r="K73" s="18" t="n">
        <v>0.2982322420267626</v>
      </c>
      <c r="L73" s="18" t="n">
        <v>0.09263274184164594</v>
      </c>
      <c r="M73" s="18" t="n">
        <v>9.132420091324201</v>
      </c>
      <c r="N73" s="18" t="n">
        <v>0.7681739567356007</v>
      </c>
      <c r="O73" s="18" t="n">
        <v>0.3859697576735249</v>
      </c>
      <c r="P73" s="18" t="n">
        <v>18.5334407735697</v>
      </c>
      <c r="Q73" s="18" t="n">
        <v>1.870729518167874</v>
      </c>
      <c r="R73" s="18" t="n">
        <v>1.111592902099751</v>
      </c>
      <c r="S73" s="18" t="n">
        <v>28.09300829889548</v>
      </c>
      <c r="T73" s="18" t="n">
        <v>28.38634531472736</v>
      </c>
      <c r="U73" s="18" t="n">
        <v>29.11196845915358</v>
      </c>
      <c r="V73" s="18" t="n">
        <v>38.05255940514559</v>
      </c>
      <c r="W73" s="18" t="n">
        <v>38.05255940514559</v>
      </c>
      <c r="X73" s="18" t="n">
        <v>9.959551106250117</v>
      </c>
      <c r="Y73" s="18" t="n">
        <v>9.666214090418237</v>
      </c>
      <c r="Z73" s="18" t="n">
        <v>8.94059094599201</v>
      </c>
      <c r="AA73" s="18" t="n">
        <v>39.02</v>
      </c>
      <c r="AB73" s="18" t="n">
        <v>36.68466921143508</v>
      </c>
    </row>
    <row r="74">
      <c r="A74" s="20" t="n">
        <v>47484</v>
      </c>
      <c r="B74" s="16" t="inlineStr">
        <is>
          <t>Scenario</t>
        </is>
      </c>
      <c r="C74" s="18" t="n">
        <v>5.579445751982315</v>
      </c>
      <c r="D74" s="18" t="n">
        <v>6.034898022423445</v>
      </c>
      <c r="E74" s="18" t="n">
        <v>1.400621478782125</v>
      </c>
      <c r="F74" s="18" t="n">
        <v>0.8230105471032784</v>
      </c>
      <c r="G74" s="18" t="n">
        <v>0.006053083782609006</v>
      </c>
      <c r="H74" s="18" t="n">
        <v>12.84320527110733</v>
      </c>
      <c r="I74" s="18" t="n">
        <v>2.753959370861995</v>
      </c>
      <c r="J74" s="18" t="n">
        <v>4.465484824066613</v>
      </c>
      <c r="K74" s="18" t="n">
        <v>0.300491577193632</v>
      </c>
      <c r="L74" s="18" t="n">
        <v>0.09489207700851537</v>
      </c>
      <c r="M74" s="18" t="n">
        <v>9.244337004208077</v>
      </c>
      <c r="N74" s="18" t="n">
        <v>0.7775878532642233</v>
      </c>
      <c r="O74" s="18" t="n">
        <v>0.3953836542021474</v>
      </c>
      <c r="P74" s="18" t="n">
        <v>18.802041364491</v>
      </c>
      <c r="Q74" s="18" t="n">
        <v>1.897841540170307</v>
      </c>
      <c r="R74" s="18" t="n">
        <v>1.138704924102184</v>
      </c>
      <c r="S74" s="18" t="n">
        <v>29.53608560305162</v>
      </c>
      <c r="T74" s="18" t="n">
        <v>29.83657718024525</v>
      </c>
      <c r="U74" s="18" t="n">
        <v>30.57989845014529</v>
      </c>
      <c r="V74" s="18" t="n">
        <v>38.11119224836725</v>
      </c>
      <c r="W74" s="18" t="n">
        <v>38.11119224836725</v>
      </c>
      <c r="X74" s="18" t="n">
        <v>8.575106645315635</v>
      </c>
      <c r="Y74" s="18" t="n">
        <v>8.274615068122003</v>
      </c>
      <c r="Z74" s="18" t="n">
        <v>7.531293798221967</v>
      </c>
      <c r="AA74" s="18" t="n">
        <v>39.02</v>
      </c>
      <c r="AB74" s="18" t="n">
        <v>36.74208641250447</v>
      </c>
    </row>
    <row r="75">
      <c r="A75" s="20" t="n">
        <v>47515</v>
      </c>
      <c r="B75" s="16" t="inlineStr">
        <is>
          <t>Scenario</t>
        </is>
      </c>
      <c r="C75" s="18" t="n">
        <v>4.573570037829584</v>
      </c>
      <c r="D75" s="18" t="n">
        <v>5.909972060794444</v>
      </c>
      <c r="E75" s="18" t="n">
        <v>0.9781604211593652</v>
      </c>
      <c r="F75" s="18" t="n">
        <v>0.6477002429514178</v>
      </c>
      <c r="G75" s="18" t="n">
        <v>0.006047626320964719</v>
      </c>
      <c r="H75" s="18" t="n">
        <v>12.64447062575261</v>
      </c>
      <c r="I75" s="18" t="n">
        <v>2.707356337760023</v>
      </c>
      <c r="J75" s="18" t="n">
        <v>4.499059897931776</v>
      </c>
      <c r="K75" s="18" t="n">
        <v>0.3027509123605014</v>
      </c>
      <c r="L75" s="18" t="n">
        <v>0.09715141217538475</v>
      </c>
      <c r="M75" s="18" t="n">
        <v>9.356253917091951</v>
      </c>
      <c r="N75" s="18" t="n">
        <v>0.7870017497928459</v>
      </c>
      <c r="O75" s="18" t="n">
        <v>0.40479755073077</v>
      </c>
      <c r="P75" s="18" t="n">
        <v>19.0706419554123</v>
      </c>
      <c r="Q75" s="18" t="n">
        <v>1.92495356217274</v>
      </c>
      <c r="R75" s="18" t="n">
        <v>1.165816946104617</v>
      </c>
      <c r="S75" s="18" t="n">
        <v>27.5644287647438</v>
      </c>
      <c r="T75" s="18" t="n">
        <v>27.87207490329918</v>
      </c>
      <c r="U75" s="18" t="n">
        <v>28.63309429867303</v>
      </c>
      <c r="V75" s="18" t="n">
        <v>38.1699143064091</v>
      </c>
      <c r="W75" s="18" t="n">
        <v>38.1699143064091</v>
      </c>
      <c r="X75" s="18" t="n">
        <v>10.60548554166531</v>
      </c>
      <c r="Y75" s="18" t="n">
        <v>10.29783940310992</v>
      </c>
      <c r="Z75" s="18" t="n">
        <v>9.536820007736075</v>
      </c>
      <c r="AA75" s="18" t="n">
        <v>39.02</v>
      </c>
      <c r="AB75" s="18" t="n">
        <v>36.79959348040514</v>
      </c>
    </row>
    <row r="76">
      <c r="A76" s="20" t="n">
        <v>47543</v>
      </c>
      <c r="B76" s="16" t="inlineStr">
        <is>
          <t>Scenario</t>
        </is>
      </c>
      <c r="C76" s="18" t="n">
        <v>4.068206450284062</v>
      </c>
      <c r="D76" s="18" t="n">
        <v>5.882496273864059</v>
      </c>
      <c r="E76" s="18" t="n">
        <v>0.4486251159297761</v>
      </c>
      <c r="F76" s="18" t="n">
        <v>0.4456830561277285</v>
      </c>
      <c r="G76" s="18" t="n">
        <v>0.006022432959274187</v>
      </c>
      <c r="H76" s="18" t="n">
        <v>12.25593655124702</v>
      </c>
      <c r="I76" s="18" t="n">
        <v>2.60891577326853</v>
      </c>
      <c r="J76" s="18" t="n">
        <v>4.532634971796938</v>
      </c>
      <c r="K76" s="18" t="n">
        <v>0.3050102475273708</v>
      </c>
      <c r="L76" s="18" t="n">
        <v>0.09941074734225419</v>
      </c>
      <c r="M76" s="18" t="n">
        <v>9.468170829975826</v>
      </c>
      <c r="N76" s="18" t="n">
        <v>0.7964156463214684</v>
      </c>
      <c r="O76" s="18" t="n">
        <v>0.4142114472593926</v>
      </c>
      <c r="P76" s="18" t="n">
        <v>19.3392425463336</v>
      </c>
      <c r="Q76" s="18" t="n">
        <v>1.952065584175173</v>
      </c>
      <c r="R76" s="18" t="n">
        <v>1.19292896810705</v>
      </c>
      <c r="S76" s="18" t="n">
        <v>25.81529640102271</v>
      </c>
      <c r="T76" s="18" t="n">
        <v>26.13009710093985</v>
      </c>
      <c r="U76" s="18" t="n">
        <v>26.9088146217875</v>
      </c>
      <c r="V76" s="18" t="n">
        <v>38.22872571653205</v>
      </c>
      <c r="W76" s="18" t="n">
        <v>38.22872571653205</v>
      </c>
      <c r="X76" s="18" t="n">
        <v>12.41342931550935</v>
      </c>
      <c r="Y76" s="18" t="n">
        <v>12.09862861559221</v>
      </c>
      <c r="Z76" s="18" t="n">
        <v>11.31991109474455</v>
      </c>
      <c r="AA76" s="18" t="n">
        <v>39.02</v>
      </c>
      <c r="AB76" s="18" t="n">
        <v>36.85719055579264</v>
      </c>
    </row>
    <row r="77">
      <c r="A77" s="20" t="n">
        <v>47574</v>
      </c>
      <c r="B77" s="16" t="inlineStr">
        <is>
          <t>Scenario</t>
        </is>
      </c>
      <c r="C77" s="18" t="n">
        <v>4.495762034023503</v>
      </c>
      <c r="D77" s="18" t="n">
        <v>5.816714581031577</v>
      </c>
      <c r="E77" s="18" t="n">
        <v>0.2912171723710138</v>
      </c>
      <c r="F77" s="18" t="n">
        <v>0.4053080624654729</v>
      </c>
      <c r="G77" s="18" t="n">
        <v>0.006004269434284994</v>
      </c>
      <c r="H77" s="18" t="n">
        <v>11.8381445387415</v>
      </c>
      <c r="I77" s="18" t="n">
        <v>2.80883606429508</v>
      </c>
      <c r="J77" s="18" t="n">
        <v>4.566210045662101</v>
      </c>
      <c r="K77" s="18" t="n">
        <v>0.3072695826942403</v>
      </c>
      <c r="L77" s="18" t="n">
        <v>0.1016700825091236</v>
      </c>
      <c r="M77" s="18" t="n">
        <v>9.580087742859702</v>
      </c>
      <c r="N77" s="18" t="n">
        <v>0.805829542850091</v>
      </c>
      <c r="O77" s="18" t="n">
        <v>0.4236253437880151</v>
      </c>
      <c r="P77" s="18" t="n">
        <v>19.6078431372549</v>
      </c>
      <c r="Q77" s="18" t="n">
        <v>1.979177606177606</v>
      </c>
      <c r="R77" s="18" t="n">
        <v>1.220040990109483</v>
      </c>
      <c r="S77" s="18" t="n">
        <v>25.76365680487156</v>
      </c>
      <c r="T77" s="18" t="n">
        <v>26.08561206615045</v>
      </c>
      <c r="U77" s="18" t="n">
        <v>26.88202771247192</v>
      </c>
      <c r="V77" s="18" t="n">
        <v>38.28762661621006</v>
      </c>
      <c r="W77" s="18" t="n">
        <v>38.28762661621006</v>
      </c>
      <c r="X77" s="18" t="n">
        <v>12.5239698113385</v>
      </c>
      <c r="Y77" s="18" t="n">
        <v>12.20201455005961</v>
      </c>
      <c r="Z77" s="18" t="n">
        <v>11.40559890373815</v>
      </c>
      <c r="AA77" s="18" t="n">
        <v>39.02</v>
      </c>
      <c r="AB77" s="18" t="n">
        <v>36.91487777954264</v>
      </c>
    </row>
    <row r="78">
      <c r="A78" s="20" t="n">
        <v>47604</v>
      </c>
      <c r="B78" s="16" t="inlineStr">
        <is>
          <t>Scenario</t>
        </is>
      </c>
      <c r="C78" s="18" t="n">
        <v>5.792966830004294</v>
      </c>
      <c r="D78" s="18" t="n">
        <v>5.686042361055296</v>
      </c>
      <c r="E78" s="18" t="n">
        <v>0.2016882519690466</v>
      </c>
      <c r="F78" s="18" t="n">
        <v>0.3404948170614502</v>
      </c>
      <c r="G78" s="18" t="n">
        <v>0.005991937341617142</v>
      </c>
      <c r="H78" s="18" t="n">
        <v>12.20315815805368</v>
      </c>
      <c r="I78" s="18" t="n">
        <v>3.052852874363742</v>
      </c>
      <c r="J78" s="18" t="n">
        <v>4.599785119527263</v>
      </c>
      <c r="K78" s="18" t="n">
        <v>0.3095289178611096</v>
      </c>
      <c r="L78" s="18" t="n">
        <v>0.103929417675993</v>
      </c>
      <c r="M78" s="18" t="n">
        <v>9.692004655743578</v>
      </c>
      <c r="N78" s="18" t="n">
        <v>0.8152434393787136</v>
      </c>
      <c r="O78" s="18" t="n">
        <v>0.4330392403166377</v>
      </c>
      <c r="P78" s="18" t="n">
        <v>19.8764437281762</v>
      </c>
      <c r="Q78" s="18" t="n">
        <v>2.006289628180039</v>
      </c>
      <c r="R78" s="18" t="n">
        <v>1.247153012111916</v>
      </c>
      <c r="S78" s="18" t="n">
        <v>27.38712464752512</v>
      </c>
      <c r="T78" s="18" t="n">
        <v>27.71623447016577</v>
      </c>
      <c r="U78" s="18" t="n">
        <v>28.53034824196105</v>
      </c>
      <c r="V78" s="18" t="n">
        <v>38.34661714313057</v>
      </c>
      <c r="W78" s="18" t="n">
        <v>38.34661714313057</v>
      </c>
      <c r="X78" s="18" t="n">
        <v>10.95949249560544</v>
      </c>
      <c r="Y78" s="18" t="n">
        <v>10.6303826729648</v>
      </c>
      <c r="Z78" s="18" t="n">
        <v>9.816268901169519</v>
      </c>
      <c r="AA78" s="18" t="n">
        <v>39.02</v>
      </c>
      <c r="AB78" s="18" t="n">
        <v>36.97265529275133</v>
      </c>
    </row>
    <row r="79">
      <c r="A79" s="20" t="n">
        <v>47635</v>
      </c>
      <c r="B79" s="16" t="inlineStr">
        <is>
          <t>Scenario</t>
        </is>
      </c>
      <c r="C79" s="18" t="n">
        <v>6.680486736221694</v>
      </c>
      <c r="D79" s="18" t="n">
        <v>5.74910432578607</v>
      </c>
      <c r="E79" s="18" t="n">
        <v>0.1918565841084685</v>
      </c>
      <c r="F79" s="18" t="n">
        <v>0.3430545745911973</v>
      </c>
      <c r="G79" s="18" t="n">
        <v>0.005973865790738266</v>
      </c>
      <c r="H79" s="18" t="n">
        <v>12.32918349618877</v>
      </c>
      <c r="I79" s="18" t="n">
        <v>2.99363393510736</v>
      </c>
      <c r="J79" s="18" t="n">
        <v>4.633360193392425</v>
      </c>
      <c r="K79" s="18" t="n">
        <v>0.3117882530279791</v>
      </c>
      <c r="L79" s="18" t="n">
        <v>0.1061887528428624</v>
      </c>
      <c r="M79" s="18" t="n">
        <v>9.803921568627452</v>
      </c>
      <c r="N79" s="18" t="n">
        <v>0.8246573359073361</v>
      </c>
      <c r="O79" s="18" t="n">
        <v>0.4424531368452603</v>
      </c>
      <c r="P79" s="18" t="n">
        <v>20.1450443190975</v>
      </c>
      <c r="Q79" s="18" t="n">
        <v>2.033401650182472</v>
      </c>
      <c r="R79" s="18" t="n">
        <v>1.274265034114349</v>
      </c>
      <c r="S79" s="18" t="n">
        <v>28.39948227063716</v>
      </c>
      <c r="T79" s="18" t="n">
        <v>28.73574665463956</v>
      </c>
      <c r="U79" s="18" t="n">
        <v>29.56755855190865</v>
      </c>
      <c r="V79" s="18" t="n">
        <v>38.4056974351947</v>
      </c>
      <c r="W79" s="18" t="n">
        <v>38.4056974351947</v>
      </c>
      <c r="X79" s="18" t="n">
        <v>10.00621516455753</v>
      </c>
      <c r="Y79" s="18" t="n">
        <v>9.669950780555137</v>
      </c>
      <c r="Z79" s="18" t="n">
        <v>8.838138883286046</v>
      </c>
      <c r="AA79" s="18" t="n">
        <v>39.02</v>
      </c>
      <c r="AB79" s="18" t="n">
        <v>37.03052323673572</v>
      </c>
    </row>
    <row r="80">
      <c r="A80" s="20" t="n">
        <v>47665</v>
      </c>
      <c r="B80" s="16" t="inlineStr">
        <is>
          <t>Scenario</t>
        </is>
      </c>
      <c r="C80" s="18" t="n">
        <v>7.270704077454631</v>
      </c>
      <c r="D80" s="18" t="n">
        <v>5.734933831022031</v>
      </c>
      <c r="E80" s="18" t="n">
        <v>0.1793246467964683</v>
      </c>
      <c r="F80" s="18" t="n">
        <v>0.3278454307541668</v>
      </c>
      <c r="G80" s="18" t="n">
        <v>0.005961596143727418</v>
      </c>
      <c r="H80" s="18" t="n">
        <v>12.11686231590201</v>
      </c>
      <c r="I80" s="18" t="n">
        <v>2.856817134055754</v>
      </c>
      <c r="J80" s="18" t="n">
        <v>4.666935267257588</v>
      </c>
      <c r="K80" s="18" t="n">
        <v>0.3140475881948485</v>
      </c>
      <c r="L80" s="18" t="n">
        <v>0.1084480880097319</v>
      </c>
      <c r="M80" s="18" t="n">
        <v>9.915838481511326</v>
      </c>
      <c r="N80" s="18" t="n">
        <v>0.8340712324359586</v>
      </c>
      <c r="O80" s="18" t="n">
        <v>0.4518670333738827</v>
      </c>
      <c r="P80" s="18" t="n">
        <v>20.4136449100188</v>
      </c>
      <c r="Q80" s="18" t="n">
        <v>2.060513672184905</v>
      </c>
      <c r="R80" s="18" t="n">
        <v>1.301377056116782</v>
      </c>
      <c r="S80" s="18" t="n">
        <v>28.60089712013852</v>
      </c>
      <c r="T80" s="18" t="n">
        <v>28.94431606550267</v>
      </c>
      <c r="U80" s="18" t="n">
        <v>29.79382608824557</v>
      </c>
      <c r="V80" s="18" t="n">
        <v>38.46486763051768</v>
      </c>
      <c r="W80" s="18" t="n">
        <v>38.46486763051768</v>
      </c>
      <c r="X80" s="18" t="n">
        <v>9.863970510379161</v>
      </c>
      <c r="Y80" s="18" t="n">
        <v>9.520551565015008</v>
      </c>
      <c r="Z80" s="18" t="n">
        <v>8.671041542272111</v>
      </c>
      <c r="AA80" s="18" t="n">
        <v>39.02</v>
      </c>
      <c r="AB80" s="18" t="n">
        <v>37.08848175303402</v>
      </c>
    </row>
    <row r="81">
      <c r="A81" s="20" t="n">
        <v>47696</v>
      </c>
      <c r="B81" s="16" t="inlineStr">
        <is>
          <t>Scenario</t>
        </is>
      </c>
      <c r="C81" s="18" t="n">
        <v>8.161645258862009</v>
      </c>
      <c r="D81" s="18" t="n">
        <v>5.801785261754675</v>
      </c>
      <c r="E81" s="18" t="n">
        <v>0.1575366923056682</v>
      </c>
      <c r="F81" s="18" t="n">
        <v>0.3195860282444082</v>
      </c>
      <c r="G81" s="18" t="n">
        <v>0.00464613833606343</v>
      </c>
      <c r="H81" s="18" t="n">
        <v>12.51958200464404</v>
      </c>
      <c r="I81" s="18" t="n">
        <v>2.923793669786177</v>
      </c>
      <c r="J81" s="18" t="n">
        <v>4.700510341122751</v>
      </c>
      <c r="K81" s="18" t="n">
        <v>0.3163069233617179</v>
      </c>
      <c r="L81" s="18" t="n">
        <v>0.1107074231766013</v>
      </c>
      <c r="M81" s="18" t="n">
        <v>10.0277553943952</v>
      </c>
      <c r="N81" s="18" t="n">
        <v>0.8434851289645812</v>
      </c>
      <c r="O81" s="18" t="n">
        <v>0.4612809299025053</v>
      </c>
      <c r="P81" s="18" t="n">
        <v>20.6822455009401</v>
      </c>
      <c r="Q81" s="18" t="n">
        <v>2.087625694187338</v>
      </c>
      <c r="R81" s="18" t="n">
        <v>1.328489078119215</v>
      </c>
      <c r="S81" s="18" t="n">
        <v>29.99928247710965</v>
      </c>
      <c r="T81" s="18" t="n">
        <v>30.34985598383555</v>
      </c>
      <c r="U81" s="18" t="n">
        <v>31.21706413205226</v>
      </c>
      <c r="V81" s="18" t="n">
        <v>38.52412786742919</v>
      </c>
      <c r="W81" s="18" t="n">
        <v>38.52412786742919</v>
      </c>
      <c r="X81" s="18" t="n">
        <v>8.524845390319545</v>
      </c>
      <c r="Y81" s="18" t="n">
        <v>8.174271883593644</v>
      </c>
      <c r="Z81" s="18" t="n">
        <v>7.307063735376932</v>
      </c>
      <c r="AA81" s="18" t="n">
        <v>39.02</v>
      </c>
      <c r="AB81" s="18" t="n">
        <v>37.14653098340595</v>
      </c>
    </row>
    <row r="82">
      <c r="A82" s="20" t="n">
        <v>47727</v>
      </c>
      <c r="B82" s="16" t="inlineStr">
        <is>
          <t>Scenario</t>
        </is>
      </c>
      <c r="C82" s="18" t="n">
        <v>6.918029331066658</v>
      </c>
      <c r="D82" s="18" t="n">
        <v>5.775953224353145</v>
      </c>
      <c r="E82" s="18" t="n">
        <v>0.1549677389928139</v>
      </c>
      <c r="F82" s="18" t="n">
        <v>0.3273848118643197</v>
      </c>
      <c r="G82" s="18" t="n">
        <v>0.004626019564290902</v>
      </c>
      <c r="H82" s="18" t="n">
        <v>13.34674215256428</v>
      </c>
      <c r="I82" s="18" t="n">
        <v>2.752319206600729</v>
      </c>
      <c r="J82" s="18" t="n">
        <v>4.734085414987914</v>
      </c>
      <c r="K82" s="18" t="n">
        <v>0.3185662585285873</v>
      </c>
      <c r="L82" s="18" t="n">
        <v>0.1129667583434707</v>
      </c>
      <c r="M82" s="18" t="n">
        <v>10.13967230727908</v>
      </c>
      <c r="N82" s="18" t="n">
        <v>0.8528990254932037</v>
      </c>
      <c r="O82" s="18" t="n">
        <v>0.4706948264311279</v>
      </c>
      <c r="P82" s="18" t="n">
        <v>20.9508460918614</v>
      </c>
      <c r="Q82" s="18" t="n">
        <v>2.114737716189771</v>
      </c>
      <c r="R82" s="18" t="n">
        <v>1.355601100121648</v>
      </c>
      <c r="S82" s="18" t="n">
        <v>29.39298924334971</v>
      </c>
      <c r="T82" s="18" t="n">
        <v>29.75071731143736</v>
      </c>
      <c r="U82" s="18" t="n">
        <v>30.63562358512788</v>
      </c>
      <c r="V82" s="18" t="n">
        <v>38.58347828447361</v>
      </c>
      <c r="W82" s="18" t="n">
        <v>38.58347828447361</v>
      </c>
      <c r="X82" s="18" t="n">
        <v>9.190489041123907</v>
      </c>
      <c r="Y82" s="18" t="n">
        <v>8.832760973036251</v>
      </c>
      <c r="Z82" s="18" t="n">
        <v>7.947854699345733</v>
      </c>
      <c r="AA82" s="18" t="n">
        <v>39.02</v>
      </c>
      <c r="AB82" s="18" t="n">
        <v>37.2046710698331</v>
      </c>
    </row>
    <row r="83">
      <c r="A83" s="20" t="n">
        <v>47757</v>
      </c>
      <c r="B83" s="16" t="inlineStr">
        <is>
          <t>Scenario</t>
        </is>
      </c>
      <c r="C83" s="18" t="n">
        <v>5.436307874895696</v>
      </c>
      <c r="D83" s="18" t="n">
        <v>5.623790841683713</v>
      </c>
      <c r="E83" s="18" t="n">
        <v>0.2150817566921454</v>
      </c>
      <c r="F83" s="18" t="n">
        <v>0.3584532447766932</v>
      </c>
      <c r="G83" s="18" t="n">
        <v>0.004622611821241851</v>
      </c>
      <c r="H83" s="18" t="n">
        <v>13.90371721049099</v>
      </c>
      <c r="I83" s="18" t="n">
        <v>2.625427643887605</v>
      </c>
      <c r="J83" s="18" t="n">
        <v>4.767660488853076</v>
      </c>
      <c r="K83" s="18" t="n">
        <v>0.3208255936954568</v>
      </c>
      <c r="L83" s="18" t="n">
        <v>0.1152260935103401</v>
      </c>
      <c r="M83" s="18" t="n">
        <v>10.25158922016295</v>
      </c>
      <c r="N83" s="18" t="n">
        <v>0.8623129220218263</v>
      </c>
      <c r="O83" s="18" t="n">
        <v>0.4801087229597504</v>
      </c>
      <c r="P83" s="18" t="n">
        <v>21.2194466827827</v>
      </c>
      <c r="Q83" s="18" t="n">
        <v>2.141849738192204</v>
      </c>
      <c r="R83" s="18" t="n">
        <v>1.382713122124081</v>
      </c>
      <c r="S83" s="18" t="n">
        <v>28.28262727775842</v>
      </c>
      <c r="T83" s="18" t="n">
        <v>28.64750990720783</v>
      </c>
      <c r="U83" s="18" t="n">
        <v>29.55011430637216</v>
      </c>
      <c r="V83" s="18" t="n">
        <v>38.64291902041044</v>
      </c>
      <c r="W83" s="18" t="n">
        <v>38.64291902041044</v>
      </c>
      <c r="X83" s="18" t="n">
        <v>10.36029174265202</v>
      </c>
      <c r="Y83" s="18" t="n">
        <v>9.995409113202609</v>
      </c>
      <c r="Z83" s="18" t="n">
        <v>9.09280471403828</v>
      </c>
      <c r="AA83" s="18" t="n">
        <v>39.02</v>
      </c>
      <c r="AB83" s="18" t="n">
        <v>37.26290215451933</v>
      </c>
    </row>
    <row r="84">
      <c r="A84" s="20" t="n">
        <v>47788</v>
      </c>
      <c r="B84" s="16" t="inlineStr">
        <is>
          <t>Scenario</t>
        </is>
      </c>
      <c r="C84" s="18" t="n">
        <v>4.645007511031529</v>
      </c>
      <c r="D84" s="18" t="n">
        <v>6.020700734949278</v>
      </c>
      <c r="E84" s="18" t="n">
        <v>0.4137479963234152</v>
      </c>
      <c r="F84" s="18" t="n">
        <v>0.4491692458267973</v>
      </c>
      <c r="G84" s="18" t="n">
        <v>0.004602594924305597</v>
      </c>
      <c r="H84" s="18" t="n">
        <v>14.39478163770154</v>
      </c>
      <c r="I84" s="18" t="n">
        <v>2.566081556307597</v>
      </c>
      <c r="J84" s="18" t="n">
        <v>4.801235562718238</v>
      </c>
      <c r="K84" s="18" t="n">
        <v>0.3230849288623261</v>
      </c>
      <c r="L84" s="18" t="n">
        <v>0.1174854286772095</v>
      </c>
      <c r="M84" s="18" t="n">
        <v>10.36350613304683</v>
      </c>
      <c r="N84" s="18" t="n">
        <v>0.8717268185504489</v>
      </c>
      <c r="O84" s="18" t="n">
        <v>0.489522619488373</v>
      </c>
      <c r="P84" s="18" t="n">
        <v>21.48804727370401</v>
      </c>
      <c r="Q84" s="18" t="n">
        <v>2.168961760194637</v>
      </c>
      <c r="R84" s="18" t="n">
        <v>1.409825144126514</v>
      </c>
      <c r="S84" s="18" t="n">
        <v>28.61157670574167</v>
      </c>
      <c r="T84" s="18" t="n">
        <v>28.98361389655283</v>
      </c>
      <c r="U84" s="18" t="n">
        <v>29.90391642119097</v>
      </c>
      <c r="V84" s="18" t="n">
        <v>38.70245021421458</v>
      </c>
      <c r="W84" s="18" t="n">
        <v>38.70245021421458</v>
      </c>
      <c r="X84" s="18" t="n">
        <v>10.09087350847291</v>
      </c>
      <c r="Y84" s="18" t="n">
        <v>9.718836317661747</v>
      </c>
      <c r="Z84" s="18" t="n">
        <v>8.798533793023605</v>
      </c>
      <c r="AA84" s="18" t="n">
        <v>39.02</v>
      </c>
      <c r="AB84" s="18" t="n">
        <v>37.32122437989102</v>
      </c>
    </row>
    <row r="85">
      <c r="A85" s="20" t="n">
        <v>47818</v>
      </c>
      <c r="B85" s="16" t="inlineStr">
        <is>
          <t>Scenario</t>
        </is>
      </c>
      <c r="C85" s="18" t="n">
        <v>4.588742658117908</v>
      </c>
      <c r="D85" s="18" t="n">
        <v>6.225301809477917</v>
      </c>
      <c r="E85" s="18" t="n">
        <v>0.7630275615347641</v>
      </c>
      <c r="F85" s="18" t="n">
        <v>0.5725893188903823</v>
      </c>
      <c r="G85" s="18" t="n">
        <v>0.004599204436945369</v>
      </c>
      <c r="H85" s="18" t="n">
        <v>14.39294827114436</v>
      </c>
      <c r="I85" s="18" t="n">
        <v>2.449214361367505</v>
      </c>
      <c r="J85" s="18" t="n">
        <v>4.834810636583401</v>
      </c>
      <c r="K85" s="18" t="n">
        <v>0.3253442640291956</v>
      </c>
      <c r="L85" s="18" t="n">
        <v>0.1197447638440789</v>
      </c>
      <c r="M85" s="18" t="n">
        <v>10.4754230459307</v>
      </c>
      <c r="N85" s="18" t="n">
        <v>0.8811407150790714</v>
      </c>
      <c r="O85" s="18" t="n">
        <v>0.4989365160169956</v>
      </c>
      <c r="P85" s="18" t="n">
        <v>21.7566478646253</v>
      </c>
      <c r="Q85" s="18" t="n">
        <v>2.19607378219707</v>
      </c>
      <c r="R85" s="18" t="n">
        <v>1.436937166128947</v>
      </c>
      <c r="S85" s="18" t="n">
        <v>29.11616794881386</v>
      </c>
      <c r="T85" s="18" t="n">
        <v>29.49535970098677</v>
      </c>
      <c r="U85" s="18" t="n">
        <v>30.43336035109872</v>
      </c>
      <c r="V85" s="18" t="n">
        <v>38.76207200507671</v>
      </c>
      <c r="W85" s="18" t="n">
        <v>38.76207200507671</v>
      </c>
      <c r="X85" s="18" t="n">
        <v>9.645904056262854</v>
      </c>
      <c r="Y85" s="18" t="n">
        <v>9.266712304089936</v>
      </c>
      <c r="Z85" s="18" t="n">
        <v>8.328711653977987</v>
      </c>
      <c r="AA85" s="18" t="n">
        <v>39.02</v>
      </c>
      <c r="AB85" s="18" t="n">
        <v>37.37963788859749</v>
      </c>
    </row>
    <row r="86">
      <c r="A86" s="20" t="n">
        <v>47849</v>
      </c>
      <c r="B86" s="16" t="inlineStr">
        <is>
          <t>Scenario</t>
        </is>
      </c>
      <c r="C86" s="18" t="n">
        <v>5.579445751982315</v>
      </c>
      <c r="D86" s="18" t="n">
        <v>6.082716514189316</v>
      </c>
      <c r="E86" s="18" t="n">
        <v>1.358602834418661</v>
      </c>
      <c r="F86" s="18" t="n">
        <v>0.79832023069018</v>
      </c>
      <c r="G86" s="18" t="n">
        <v>0.005871491269130735</v>
      </c>
      <c r="H86" s="18" t="n">
        <v>14.15509556829357</v>
      </c>
      <c r="I86" s="18" t="n">
        <v>2.69817908972461</v>
      </c>
      <c r="J86" s="18" t="n">
        <v>4.868385710448564</v>
      </c>
      <c r="K86" s="18" t="n">
        <v>0.327603599196065</v>
      </c>
      <c r="L86" s="18" t="n">
        <v>0.1220040990109484</v>
      </c>
      <c r="M86" s="18" t="n">
        <v>10.55376488494941</v>
      </c>
      <c r="N86" s="18" t="n">
        <v>0.8877304426491073</v>
      </c>
      <c r="O86" s="18" t="n">
        <v>0.5055262435870314</v>
      </c>
      <c r="P86" s="18" t="n">
        <v>21.98943504342376</v>
      </c>
      <c r="Q86" s="18" t="n">
        <v>2.219570867932512</v>
      </c>
      <c r="R86" s="18" t="n">
        <v>1.460434251864389</v>
      </c>
      <c r="S86" s="18" t="n">
        <v>30.80023557957873</v>
      </c>
      <c r="T86" s="18" t="n">
        <v>31.18375772415481</v>
      </c>
      <c r="U86" s="18" t="n">
        <v>32.13866573243217</v>
      </c>
      <c r="V86" s="18" t="n">
        <v>38.7920531256018</v>
      </c>
      <c r="W86" s="18" t="n">
        <v>38.7920531256018</v>
      </c>
      <c r="X86" s="18" t="n">
        <v>7.991817546023075</v>
      </c>
      <c r="Y86" s="18" t="n">
        <v>7.608295401446991</v>
      </c>
      <c r="Z86" s="18" t="n">
        <v>6.653387393169631</v>
      </c>
      <c r="AA86" s="18" t="n">
        <v>39.02</v>
      </c>
      <c r="AB86" s="18" t="n">
        <v>37.40901616364117</v>
      </c>
    </row>
    <row r="87">
      <c r="A87" s="20" t="n">
        <v>47880</v>
      </c>
      <c r="B87" s="16" t="inlineStr">
        <is>
          <t>Scenario</t>
        </is>
      </c>
      <c r="C87" s="18" t="n">
        <v>4.573570037829584</v>
      </c>
      <c r="D87" s="18" t="n">
        <v>5.956800681472964</v>
      </c>
      <c r="E87" s="18" t="n">
        <v>0.9488156085245842</v>
      </c>
      <c r="F87" s="18" t="n">
        <v>0.6282692356628753</v>
      </c>
      <c r="G87" s="18" t="n">
        <v>0.005866197531335777</v>
      </c>
      <c r="H87" s="18" t="n">
        <v>14.20153157323998</v>
      </c>
      <c r="I87" s="18" t="n">
        <v>2.652519981328204</v>
      </c>
      <c r="J87" s="18" t="n">
        <v>4.901960784313726</v>
      </c>
      <c r="K87" s="18" t="n">
        <v>0.3298629343629344</v>
      </c>
      <c r="L87" s="18" t="n">
        <v>0.1242634341778178</v>
      </c>
      <c r="M87" s="18" t="n">
        <v>10.63210672396813</v>
      </c>
      <c r="N87" s="18" t="n">
        <v>0.894320170219143</v>
      </c>
      <c r="O87" s="18" t="n">
        <v>0.5121159711570671</v>
      </c>
      <c r="P87" s="18" t="n">
        <v>22.22222222222222</v>
      </c>
      <c r="Q87" s="18" t="n">
        <v>2.243067953667954</v>
      </c>
      <c r="R87" s="18" t="n">
        <v>1.483931337599831</v>
      </c>
      <c r="S87" s="18" t="n">
        <v>29.09163674976734</v>
      </c>
      <c r="T87" s="18" t="n">
        <v>29.47948928674659</v>
      </c>
      <c r="U87" s="18" t="n">
        <v>30.45130465318936</v>
      </c>
      <c r="V87" s="18" t="n">
        <v>38.82205715768689</v>
      </c>
      <c r="W87" s="18" t="n">
        <v>38.82205715768689</v>
      </c>
      <c r="X87" s="18" t="n">
        <v>9.730420407919549</v>
      </c>
      <c r="Y87" s="18" t="n">
        <v>9.3425678709403</v>
      </c>
      <c r="Z87" s="18" t="n">
        <v>8.370752504497535</v>
      </c>
      <c r="AA87" s="18" t="n">
        <v>39.02</v>
      </c>
      <c r="AB87" s="18" t="n">
        <v>37.43841752834256</v>
      </c>
    </row>
    <row r="88">
      <c r="A88" s="20" t="n">
        <v>47908</v>
      </c>
      <c r="B88" s="16" t="inlineStr">
        <is>
          <t>Scenario</t>
        </is>
      </c>
      <c r="C88" s="18" t="n">
        <v>4.068206450284062</v>
      </c>
      <c r="D88" s="18" t="n">
        <v>5.929107185695436</v>
      </c>
      <c r="E88" s="18" t="n">
        <v>0.4351663624518828</v>
      </c>
      <c r="F88" s="18" t="n">
        <v>0.4323125644438967</v>
      </c>
      <c r="G88" s="18" t="n">
        <v>0.005841759970495962</v>
      </c>
      <c r="H88" s="18" t="n">
        <v>14.02246622474038</v>
      </c>
      <c r="I88" s="18" t="n">
        <v>2.556073288794575</v>
      </c>
      <c r="J88" s="18" t="n">
        <v>4.935535858178889</v>
      </c>
      <c r="K88" s="18" t="n">
        <v>0.3321222695298038</v>
      </c>
      <c r="L88" s="18" t="n">
        <v>0.1265227693446872</v>
      </c>
      <c r="M88" s="18" t="n">
        <v>10.71044856298684</v>
      </c>
      <c r="N88" s="18" t="n">
        <v>0.9009098977891788</v>
      </c>
      <c r="O88" s="18" t="n">
        <v>0.518705698727103</v>
      </c>
      <c r="P88" s="18" t="n">
        <v>22.45500940102068</v>
      </c>
      <c r="Q88" s="18" t="n">
        <v>2.266565039403396</v>
      </c>
      <c r="R88" s="18" t="n">
        <v>1.507428423335273</v>
      </c>
      <c r="S88" s="18" t="n">
        <v>27.57569660572542</v>
      </c>
      <c r="T88" s="18" t="n">
        <v>27.96787953510783</v>
      </c>
      <c r="U88" s="18" t="n">
        <v>28.956602259716</v>
      </c>
      <c r="V88" s="18" t="n">
        <v>38.85208411903665</v>
      </c>
      <c r="W88" s="18" t="n">
        <v>38.85208411903665</v>
      </c>
      <c r="X88" s="18" t="n">
        <v>11.27638751331123</v>
      </c>
      <c r="Y88" s="18" t="n">
        <v>10.88420458392881</v>
      </c>
      <c r="Z88" s="18" t="n">
        <v>9.895481859320643</v>
      </c>
      <c r="AA88" s="18" t="n">
        <v>39.02</v>
      </c>
      <c r="AB88" s="18" t="n">
        <v>37.46784200084884</v>
      </c>
    </row>
    <row r="89">
      <c r="A89" s="20" t="n">
        <v>47939</v>
      </c>
      <c r="B89" s="16" t="inlineStr">
        <is>
          <t>Scenario</t>
        </is>
      </c>
      <c r="C89" s="18" t="n">
        <v>4.495762034023503</v>
      </c>
      <c r="D89" s="18" t="n">
        <v>5.862804260967176</v>
      </c>
      <c r="E89" s="18" t="n">
        <v>0.2824806571998834</v>
      </c>
      <c r="F89" s="18" t="n">
        <v>0.3931488205915087</v>
      </c>
      <c r="G89" s="18" t="n">
        <v>0.005824141351256444</v>
      </c>
      <c r="H89" s="18" t="n">
        <v>13.71412009222568</v>
      </c>
      <c r="I89" s="18" t="n">
        <v>2.751944278964868</v>
      </c>
      <c r="J89" s="18" t="n">
        <v>4.969110932044051</v>
      </c>
      <c r="K89" s="18" t="n">
        <v>0.3343816046966732</v>
      </c>
      <c r="L89" s="18" t="n">
        <v>0.1287821045115566</v>
      </c>
      <c r="M89" s="18" t="n">
        <v>10.78879040200555</v>
      </c>
      <c r="N89" s="18" t="n">
        <v>0.9074996253592146</v>
      </c>
      <c r="O89" s="18" t="n">
        <v>0.5252954262971388</v>
      </c>
      <c r="P89" s="18" t="n">
        <v>22.68779657981914</v>
      </c>
      <c r="Q89" s="18" t="n">
        <v>2.290062125138837</v>
      </c>
      <c r="R89" s="18" t="n">
        <v>1.530925509070714</v>
      </c>
      <c r="S89" s="18" t="n">
        <v>27.63486638983543</v>
      </c>
      <c r="T89" s="18" t="n">
        <v>28.03137971162101</v>
      </c>
      <c r="U89" s="18" t="n">
        <v>29.03700979439459</v>
      </c>
      <c r="V89" s="18" t="n">
        <v>38.88213402736956</v>
      </c>
      <c r="W89" s="18" t="n">
        <v>38.88213402736956</v>
      </c>
      <c r="X89" s="18" t="n">
        <v>11.24726763753413</v>
      </c>
      <c r="Y89" s="18" t="n">
        <v>10.85075431574855</v>
      </c>
      <c r="Z89" s="18" t="n">
        <v>9.845124232974968</v>
      </c>
      <c r="AA89" s="18" t="n">
        <v>39.02</v>
      </c>
      <c r="AB89" s="18" t="n">
        <v>37.49728959932142</v>
      </c>
    </row>
    <row r="90">
      <c r="A90" s="20" t="n">
        <v>47969</v>
      </c>
      <c r="B90" s="16" t="inlineStr">
        <is>
          <t>Scenario</t>
        </is>
      </c>
      <c r="C90" s="18" t="n">
        <v>5.792966830004294</v>
      </c>
      <c r="D90" s="18" t="n">
        <v>5.731096638494989</v>
      </c>
      <c r="E90" s="18" t="n">
        <v>0.1956376044099752</v>
      </c>
      <c r="F90" s="18" t="n">
        <v>0.3302799725496066</v>
      </c>
      <c r="G90" s="18" t="n">
        <v>0.005812179221368627</v>
      </c>
      <c r="H90" s="18" t="n">
        <v>14.3118733709199</v>
      </c>
      <c r="I90" s="18" t="n">
        <v>2.991018631852827</v>
      </c>
      <c r="J90" s="18" t="n">
        <v>5.002686005909213</v>
      </c>
      <c r="K90" s="18" t="n">
        <v>0.3366409398635427</v>
      </c>
      <c r="L90" s="18" t="n">
        <v>0.131041439678426</v>
      </c>
      <c r="M90" s="18" t="n">
        <v>10.86713224102427</v>
      </c>
      <c r="N90" s="18" t="n">
        <v>0.9140893529292504</v>
      </c>
      <c r="O90" s="18" t="n">
        <v>0.5318851538671745</v>
      </c>
      <c r="P90" s="18" t="n">
        <v>22.9205837586176</v>
      </c>
      <c r="Q90" s="18" t="n">
        <v>2.31355921087428</v>
      </c>
      <c r="R90" s="18" t="n">
        <v>1.554422594806157</v>
      </c>
      <c r="S90" s="18" t="n">
        <v>29.48972666713139</v>
      </c>
      <c r="T90" s="18" t="n">
        <v>29.89057038132014</v>
      </c>
      <c r="U90" s="18" t="n">
        <v>30.91310782225912</v>
      </c>
      <c r="V90" s="18" t="n">
        <v>38.91220690041793</v>
      </c>
      <c r="W90" s="18" t="n">
        <v>38.91220690041793</v>
      </c>
      <c r="X90" s="18" t="n">
        <v>9.422480233286535</v>
      </c>
      <c r="Y90" s="18" t="n">
        <v>9.021636519097786</v>
      </c>
      <c r="Z90" s="18" t="n">
        <v>7.999099078158807</v>
      </c>
      <c r="AA90" s="18" t="n">
        <v>39.02</v>
      </c>
      <c r="AB90" s="18" t="n">
        <v>37.526760341936</v>
      </c>
    </row>
    <row r="91">
      <c r="A91" s="20" t="n">
        <v>48000</v>
      </c>
      <c r="B91" s="16" t="inlineStr">
        <is>
          <t>Scenario</t>
        </is>
      </c>
      <c r="C91" s="18" t="n">
        <v>6.680486736221694</v>
      </c>
      <c r="D91" s="18" t="n">
        <v>5.794658284915496</v>
      </c>
      <c r="E91" s="18" t="n">
        <v>0.1861008865852145</v>
      </c>
      <c r="F91" s="18" t="n">
        <v>0.3327629373534614</v>
      </c>
      <c r="G91" s="18" t="n">
        <v>0.005794649817016119</v>
      </c>
      <c r="H91" s="18" t="n">
        <v>14.54182463442464</v>
      </c>
      <c r="I91" s="18" t="n">
        <v>2.932999147140086</v>
      </c>
      <c r="J91" s="18" t="n">
        <v>5.036261079774376</v>
      </c>
      <c r="K91" s="18" t="n">
        <v>0.3389002750304121</v>
      </c>
      <c r="L91" s="18" t="n">
        <v>0.1333007748452955</v>
      </c>
      <c r="M91" s="18" t="n">
        <v>10.94547408004298</v>
      </c>
      <c r="N91" s="18" t="n">
        <v>0.9206790804992862</v>
      </c>
      <c r="O91" s="18" t="n">
        <v>0.5384748814372102</v>
      </c>
      <c r="P91" s="18" t="n">
        <v>23.15337093741606</v>
      </c>
      <c r="Q91" s="18" t="n">
        <v>2.337056296609721</v>
      </c>
      <c r="R91" s="18" t="n">
        <v>1.577919680541598</v>
      </c>
      <c r="S91" s="18" t="n">
        <v>30.6079280513029</v>
      </c>
      <c r="T91" s="18" t="n">
        <v>31.01310215789481</v>
      </c>
      <c r="U91" s="18" t="n">
        <v>32.0525469569992</v>
      </c>
      <c r="V91" s="18" t="n">
        <v>38.94230275592788</v>
      </c>
      <c r="W91" s="18" t="n">
        <v>38.94230275592788</v>
      </c>
      <c r="X91" s="18" t="n">
        <v>8.334374704624977</v>
      </c>
      <c r="Y91" s="18" t="n">
        <v>7.929200598033063</v>
      </c>
      <c r="Z91" s="18" t="n">
        <v>6.889755798928675</v>
      </c>
      <c r="AA91" s="18" t="n">
        <v>39.02</v>
      </c>
      <c r="AB91" s="18" t="n">
        <v>37.55625424688257</v>
      </c>
    </row>
    <row r="92">
      <c r="A92" s="20" t="n">
        <v>48030</v>
      </c>
      <c r="B92" s="16" t="inlineStr">
        <is>
          <t>Scenario</t>
        </is>
      </c>
      <c r="C92" s="18" t="n">
        <v>7.270704077454631</v>
      </c>
      <c r="D92" s="18" t="n">
        <v>5.780375507941438</v>
      </c>
      <c r="E92" s="18" t="n">
        <v>0.1739449073925743</v>
      </c>
      <c r="F92" s="18" t="n">
        <v>0.3180100678315418</v>
      </c>
      <c r="G92" s="18" t="n">
        <v>0.005782748259415597</v>
      </c>
      <c r="H92" s="18" t="n">
        <v>14.22991380966947</v>
      </c>
      <c r="I92" s="18" t="n">
        <v>2.798953512470861</v>
      </c>
      <c r="J92" s="18" t="n">
        <v>5.069836153639539</v>
      </c>
      <c r="K92" s="18" t="n">
        <v>0.3411596101972815</v>
      </c>
      <c r="L92" s="18" t="n">
        <v>0.1355601100121648</v>
      </c>
      <c r="M92" s="18" t="n">
        <v>11.02381591906169</v>
      </c>
      <c r="N92" s="18" t="n">
        <v>0.927268808069322</v>
      </c>
      <c r="O92" s="18" t="n">
        <v>0.5450646090072462</v>
      </c>
      <c r="P92" s="18" t="n">
        <v>23.38615811621452</v>
      </c>
      <c r="Q92" s="18" t="n">
        <v>2.360553382345163</v>
      </c>
      <c r="R92" s="18" t="n">
        <v>1.60141676627704</v>
      </c>
      <c r="S92" s="18" t="n">
        <v>30.71324474103209</v>
      </c>
      <c r="T92" s="18" t="n">
        <v>31.12274924002717</v>
      </c>
      <c r="U92" s="18" t="n">
        <v>32.17910139729697</v>
      </c>
      <c r="V92" s="18" t="n">
        <v>38.97242161165937</v>
      </c>
      <c r="W92" s="18" t="n">
        <v>38.97242161165937</v>
      </c>
      <c r="X92" s="18" t="n">
        <v>8.259176870627279</v>
      </c>
      <c r="Y92" s="18" t="n">
        <v>7.849672371632199</v>
      </c>
      <c r="Z92" s="18" t="n">
        <v>6.793320214362403</v>
      </c>
      <c r="AA92" s="18" t="n">
        <v>39.02</v>
      </c>
      <c r="AB92" s="18" t="n">
        <v>37.5857713323654</v>
      </c>
    </row>
    <row r="93">
      <c r="A93" s="20" t="n">
        <v>48061</v>
      </c>
      <c r="B93" s="16" t="inlineStr">
        <is>
          <t>Scenario</t>
        </is>
      </c>
      <c r="C93" s="18" t="n">
        <v>8.161645258862009</v>
      </c>
      <c r="D93" s="18" t="n">
        <v>5.847756646811344</v>
      </c>
      <c r="E93" s="18" t="n">
        <v>0.1528105915364982</v>
      </c>
      <c r="F93" s="18" t="n">
        <v>0.309998447397076</v>
      </c>
      <c r="G93" s="18" t="n">
        <v>0.004506754185981527</v>
      </c>
      <c r="H93" s="18" t="n">
        <v>14.68855477995527</v>
      </c>
      <c r="I93" s="18" t="n">
        <v>2.864573466825327</v>
      </c>
      <c r="J93" s="18" t="n">
        <v>5.103411227504701</v>
      </c>
      <c r="K93" s="18" t="n">
        <v>0.3434189453641509</v>
      </c>
      <c r="L93" s="18" t="n">
        <v>0.1378194451790343</v>
      </c>
      <c r="M93" s="18" t="n">
        <v>11.1021577580804</v>
      </c>
      <c r="N93" s="18" t="n">
        <v>0.9338585356393578</v>
      </c>
      <c r="O93" s="18" t="n">
        <v>0.5516543365772819</v>
      </c>
      <c r="P93" s="18" t="n">
        <v>23.61894529501298</v>
      </c>
      <c r="Q93" s="18" t="n">
        <v>2.384050468080605</v>
      </c>
      <c r="R93" s="18" t="n">
        <v>1.624913852012482</v>
      </c>
      <c r="S93" s="18" t="n">
        <v>32.16766539075254</v>
      </c>
      <c r="T93" s="18" t="n">
        <v>32.58150028215078</v>
      </c>
      <c r="U93" s="18" t="n">
        <v>33.65475979758599</v>
      </c>
      <c r="V93" s="18" t="n">
        <v>39.00256348538621</v>
      </c>
      <c r="W93" s="18" t="n">
        <v>39.00256348538621</v>
      </c>
      <c r="X93" s="18" t="n">
        <v>6.834898094633672</v>
      </c>
      <c r="Y93" s="18" t="n">
        <v>6.421063203235427</v>
      </c>
      <c r="Z93" s="18" t="n">
        <v>5.347803687800223</v>
      </c>
      <c r="AA93" s="18" t="n">
        <v>39.02</v>
      </c>
      <c r="AB93" s="18" t="n">
        <v>37.61531161660309</v>
      </c>
    </row>
    <row r="94">
      <c r="A94" s="20" t="n">
        <v>48092</v>
      </c>
      <c r="B94" s="16" t="inlineStr">
        <is>
          <t>Scenario</t>
        </is>
      </c>
      <c r="C94" s="18" t="n">
        <v>6.918029331066658</v>
      </c>
      <c r="D94" s="18" t="n">
        <v>5.82171992507825</v>
      </c>
      <c r="E94" s="18" t="n">
        <v>0.1503187068230294</v>
      </c>
      <c r="F94" s="18" t="n">
        <v>0.3175632675083901</v>
      </c>
      <c r="G94" s="18" t="n">
        <v>0.004487238977362174</v>
      </c>
      <c r="H94" s="18" t="n">
        <v>15.4700550280206</v>
      </c>
      <c r="I94" s="18" t="n">
        <v>2.696572146296074</v>
      </c>
      <c r="J94" s="18" t="n">
        <v>5.136986301369864</v>
      </c>
      <c r="K94" s="18" t="n">
        <v>0.3456782805310203</v>
      </c>
      <c r="L94" s="18" t="n">
        <v>0.1400787803459037</v>
      </c>
      <c r="M94" s="18" t="n">
        <v>11.18049959709911</v>
      </c>
      <c r="N94" s="18" t="n">
        <v>0.9404482632093936</v>
      </c>
      <c r="O94" s="18" t="n">
        <v>0.5582440641473176</v>
      </c>
      <c r="P94" s="18" t="n">
        <v>23.85173247381145</v>
      </c>
      <c r="Q94" s="18" t="n">
        <v>2.407547553816047</v>
      </c>
      <c r="R94" s="18" t="n">
        <v>1.648410937747924</v>
      </c>
      <c r="S94" s="18" t="n">
        <v>31.51882442411626</v>
      </c>
      <c r="T94" s="18" t="n">
        <v>31.93698970791768</v>
      </c>
      <c r="U94" s="18" t="n">
        <v>33.02715658151828</v>
      </c>
      <c r="V94" s="18" t="n">
        <v>39.03272839489607</v>
      </c>
      <c r="W94" s="18" t="n">
        <v>39.03272839489607</v>
      </c>
      <c r="X94" s="18" t="n">
        <v>7.513903970779808</v>
      </c>
      <c r="Y94" s="18" t="n">
        <v>7.095738686978393</v>
      </c>
      <c r="Z94" s="18" t="n">
        <v>6.005571813377784</v>
      </c>
      <c r="AA94" s="18" t="n">
        <v>39.02</v>
      </c>
      <c r="AB94" s="18" t="n">
        <v>37.64487511782853</v>
      </c>
    </row>
    <row r="95">
      <c r="A95" s="20" t="n">
        <v>48122</v>
      </c>
      <c r="B95" s="16" t="inlineStr">
        <is>
          <t>Scenario</t>
        </is>
      </c>
      <c r="C95" s="18" t="n">
        <v>5.436307874895696</v>
      </c>
      <c r="D95" s="18" t="n">
        <v>5.668351859128716</v>
      </c>
      <c r="E95" s="18" t="n">
        <v>0.208629303991381</v>
      </c>
      <c r="F95" s="18" t="n">
        <v>0.3476996474333924</v>
      </c>
      <c r="G95" s="18" t="n">
        <v>0.004483933466604595</v>
      </c>
      <c r="H95" s="18" t="n">
        <v>15.89548970777218</v>
      </c>
      <c r="I95" s="18" t="n">
        <v>2.572250718464745</v>
      </c>
      <c r="J95" s="18" t="n">
        <v>5.170561375235026</v>
      </c>
      <c r="K95" s="18" t="n">
        <v>0.3479376156978897</v>
      </c>
      <c r="L95" s="18" t="n">
        <v>0.1423381155127731</v>
      </c>
      <c r="M95" s="18" t="n">
        <v>11.25884143611783</v>
      </c>
      <c r="N95" s="18" t="n">
        <v>0.9470379907794294</v>
      </c>
      <c r="O95" s="18" t="n">
        <v>0.5648337917173536</v>
      </c>
      <c r="P95" s="18" t="n">
        <v>24.0845196526099</v>
      </c>
      <c r="Q95" s="18" t="n">
        <v>2.431044639551489</v>
      </c>
      <c r="R95" s="18" t="n">
        <v>1.671908023483366</v>
      </c>
      <c r="S95" s="18" t="n">
        <v>30.27555116066549</v>
      </c>
      <c r="T95" s="18" t="n">
        <v>30.69804683687007</v>
      </c>
      <c r="U95" s="18" t="n">
        <v>31.80512106863608</v>
      </c>
      <c r="V95" s="18" t="n">
        <v>39.0629163579905</v>
      </c>
      <c r="W95" s="18" t="n">
        <v>39.0629163579905</v>
      </c>
      <c r="X95" s="18" t="n">
        <v>8.787365197325009</v>
      </c>
      <c r="Y95" s="18" t="n">
        <v>8.364869521120426</v>
      </c>
      <c r="Z95" s="18" t="n">
        <v>7.257795289354416</v>
      </c>
      <c r="AA95" s="18" t="n">
        <v>39.02</v>
      </c>
      <c r="AB95" s="18" t="n">
        <v>37.67446185428896</v>
      </c>
    </row>
    <row r="96">
      <c r="A96" s="20" t="n">
        <v>48153</v>
      </c>
      <c r="B96" s="16" t="inlineStr">
        <is>
          <t>Scenario</t>
        </is>
      </c>
      <c r="C96" s="18" t="n">
        <v>4.645007511031529</v>
      </c>
      <c r="D96" s="18" t="n">
        <v>6.068406732208753</v>
      </c>
      <c r="E96" s="18" t="n">
        <v>0.4013355564337128</v>
      </c>
      <c r="F96" s="18" t="n">
        <v>0.4356941684519934</v>
      </c>
      <c r="G96" s="18" t="n">
        <v>0.00446451707657643</v>
      </c>
      <c r="H96" s="18" t="n">
        <v>16.23512052546222</v>
      </c>
      <c r="I96" s="18" t="n">
        <v>2.514106660763842</v>
      </c>
      <c r="J96" s="18" t="n">
        <v>5.204136449100188</v>
      </c>
      <c r="K96" s="18" t="n">
        <v>0.3501969508647591</v>
      </c>
      <c r="L96" s="18" t="n">
        <v>0.1445974506796425</v>
      </c>
      <c r="M96" s="18" t="n">
        <v>11.33718327513654</v>
      </c>
      <c r="N96" s="18" t="n">
        <v>0.9536277183494651</v>
      </c>
      <c r="O96" s="18" t="n">
        <v>0.5714235192873893</v>
      </c>
      <c r="P96" s="18" t="n">
        <v>24.31730683140836</v>
      </c>
      <c r="Q96" s="18" t="n">
        <v>2.454541725286931</v>
      </c>
      <c r="R96" s="18" t="n">
        <v>1.695405109218808</v>
      </c>
      <c r="S96" s="18" t="n">
        <v>30.44873312210827</v>
      </c>
      <c r="T96" s="18" t="n">
        <v>30.87555919071601</v>
      </c>
      <c r="U96" s="18" t="n">
        <v>31.99954078064743</v>
      </c>
      <c r="V96" s="18" t="n">
        <v>39.0931273924849</v>
      </c>
      <c r="W96" s="18" t="n">
        <v>39.0931273924849</v>
      </c>
      <c r="X96" s="18" t="n">
        <v>8.644394270376626</v>
      </c>
      <c r="Y96" s="18" t="n">
        <v>8.217568201768881</v>
      </c>
      <c r="Z96" s="18" t="n">
        <v>7.093586611837463</v>
      </c>
      <c r="AA96" s="18" t="n">
        <v>39.02</v>
      </c>
      <c r="AB96" s="18" t="n">
        <v>37.70407184424596</v>
      </c>
    </row>
    <row r="97">
      <c r="A97" s="20" t="n">
        <v>48183</v>
      </c>
      <c r="B97" s="16" t="inlineStr">
        <is>
          <t>Scenario</t>
        </is>
      </c>
      <c r="C97" s="18" t="n">
        <v>4.588742658117908</v>
      </c>
      <c r="D97" s="18" t="n">
        <v>6.274628996484306</v>
      </c>
      <c r="E97" s="18" t="n">
        <v>0.7401367346887212</v>
      </c>
      <c r="F97" s="18" t="n">
        <v>0.5554116393236709</v>
      </c>
      <c r="G97" s="18" t="n">
        <v>0.004461228303837008</v>
      </c>
      <c r="H97" s="18" t="n">
        <v>16.01719753724603</v>
      </c>
      <c r="I97" s="18" t="n">
        <v>2.399606561380231</v>
      </c>
      <c r="J97" s="18" t="n">
        <v>5.237711522965351</v>
      </c>
      <c r="K97" s="18" t="n">
        <v>0.3524562860316285</v>
      </c>
      <c r="L97" s="18" t="n">
        <v>0.1468567858465119</v>
      </c>
      <c r="M97" s="18" t="n">
        <v>11.41552511415525</v>
      </c>
      <c r="N97" s="18" t="n">
        <v>0.960217445919501</v>
      </c>
      <c r="O97" s="18" t="n">
        <v>0.5780132468574251</v>
      </c>
      <c r="P97" s="18" t="n">
        <v>24.55009401020682</v>
      </c>
      <c r="Q97" s="18" t="n">
        <v>2.478038811022373</v>
      </c>
      <c r="R97" s="18" t="n">
        <v>1.71890219495425</v>
      </c>
      <c r="S97" s="18" t="n">
        <v>30.72704214139122</v>
      </c>
      <c r="T97" s="18" t="n">
        <v>31.15819860240213</v>
      </c>
      <c r="U97" s="18" t="n">
        <v>32.29908755049895</v>
      </c>
      <c r="V97" s="18" t="n">
        <v>39.12336151620859</v>
      </c>
      <c r="W97" s="18" t="n">
        <v>39.12336151620859</v>
      </c>
      <c r="X97" s="18" t="n">
        <v>8.39631937481737</v>
      </c>
      <c r="Y97" s="18" t="n">
        <v>7.965162913806459</v>
      </c>
      <c r="Z97" s="18" t="n">
        <v>6.824273965709637</v>
      </c>
      <c r="AA97" s="18" t="n">
        <v>39.02</v>
      </c>
      <c r="AB97" s="18" t="n">
        <v>37.73370510597546</v>
      </c>
    </row>
    <row r="98">
      <c r="A98" s="20" t="n">
        <v>48214</v>
      </c>
      <c r="B98" s="16" t="inlineStr">
        <is>
          <t>Scenario</t>
        </is>
      </c>
      <c r="C98" s="18" t="n">
        <v>5.579445751982315</v>
      </c>
      <c r="D98" s="18" t="n">
        <v>6.13091390351837</v>
      </c>
      <c r="E98" s="18" t="n">
        <v>1.317844749386101</v>
      </c>
      <c r="F98" s="18" t="n">
        <v>0.7743706237694745</v>
      </c>
      <c r="G98" s="18" t="n">
        <v>0.005695346531056814</v>
      </c>
      <c r="H98" s="18" t="n">
        <v>15.40481531001708</v>
      </c>
      <c r="I98" s="18" t="n">
        <v>2.643528614566458</v>
      </c>
      <c r="J98" s="18" t="n">
        <v>5.271286596830514</v>
      </c>
      <c r="K98" s="18" t="n">
        <v>0.354715621198498</v>
      </c>
      <c r="L98" s="18" t="n">
        <v>0.1491161210133813</v>
      </c>
      <c r="M98" s="18" t="n">
        <v>11.49386695317397</v>
      </c>
      <c r="N98" s="18" t="n">
        <v>0.9668071734895367</v>
      </c>
      <c r="O98" s="18" t="n">
        <v>0.5846029744274608</v>
      </c>
      <c r="P98" s="18" t="n">
        <v>24.78288118900528</v>
      </c>
      <c r="Q98" s="18" t="n">
        <v>2.501535896757814</v>
      </c>
      <c r="R98" s="18" t="n">
        <v>1.742399280689691</v>
      </c>
      <c r="S98" s="18" t="n">
        <v>32.00573042078423</v>
      </c>
      <c r="T98" s="18" t="n">
        <v>32.44121727419832</v>
      </c>
      <c r="U98" s="18" t="n">
        <v>33.59901358046054</v>
      </c>
      <c r="V98" s="18" t="n">
        <v>39.13852191599451</v>
      </c>
      <c r="W98" s="18" t="n">
        <v>39.13852191599451</v>
      </c>
      <c r="X98" s="18" t="n">
        <v>7.132791495210277</v>
      </c>
      <c r="Y98" s="18" t="n">
        <v>6.697304641796194</v>
      </c>
      <c r="Z98" s="18" t="n">
        <v>5.539508335533966</v>
      </c>
      <c r="AA98" s="18" t="n">
        <v>39.02</v>
      </c>
      <c r="AB98" s="18" t="n">
        <v>37.748565418175</v>
      </c>
    </row>
    <row r="99">
      <c r="A99" s="20" t="n">
        <v>48245</v>
      </c>
      <c r="B99" s="16" t="inlineStr">
        <is>
          <t>Scenario</t>
        </is>
      </c>
      <c r="C99" s="18" t="n">
        <v>4.573570037829584</v>
      </c>
      <c r="D99" s="18" t="n">
        <v>6.00400035631081</v>
      </c>
      <c r="E99" s="18" t="n">
        <v>0.9203511402688467</v>
      </c>
      <c r="F99" s="18" t="n">
        <v>0.609421158592989</v>
      </c>
      <c r="G99" s="18" t="n">
        <v>0.005690211605395703</v>
      </c>
      <c r="H99" s="18" t="n">
        <v>15.16644253291303</v>
      </c>
      <c r="I99" s="18" t="n">
        <v>2.598794312080328</v>
      </c>
      <c r="J99" s="18" t="n">
        <v>5.304861670695676</v>
      </c>
      <c r="K99" s="18" t="n">
        <v>0.3569749563653674</v>
      </c>
      <c r="L99" s="18" t="n">
        <v>0.1513754561802507</v>
      </c>
      <c r="M99" s="18" t="n">
        <v>11.57220879219268</v>
      </c>
      <c r="N99" s="18" t="n">
        <v>0.9733969010595726</v>
      </c>
      <c r="O99" s="18" t="n">
        <v>0.5911927019974967</v>
      </c>
      <c r="P99" s="18" t="n">
        <v>25.01566836780374</v>
      </c>
      <c r="Q99" s="18" t="n">
        <v>2.525032982493256</v>
      </c>
      <c r="R99" s="18" t="n">
        <v>1.765896366425133</v>
      </c>
      <c r="S99" s="18" t="n">
        <v>30.02964520578124</v>
      </c>
      <c r="T99" s="18" t="n">
        <v>30.46946245159848</v>
      </c>
      <c r="U99" s="18" t="n">
        <v>31.64416611602612</v>
      </c>
      <c r="V99" s="18" t="n">
        <v>39.15368812160219</v>
      </c>
      <c r="W99" s="18" t="n">
        <v>39.15368812160219</v>
      </c>
      <c r="X99" s="18" t="n">
        <v>9.124042915820947</v>
      </c>
      <c r="Y99" s="18" t="n">
        <v>8.684225670003702</v>
      </c>
      <c r="Z99" s="18" t="n">
        <v>7.509522005576066</v>
      </c>
      <c r="AA99" s="18" t="n">
        <v>39.02</v>
      </c>
      <c r="AB99" s="18" t="n">
        <v>37.76343158267232</v>
      </c>
    </row>
    <row r="100">
      <c r="A100" s="20" t="n">
        <v>48274</v>
      </c>
      <c r="B100" s="16" t="inlineStr">
        <is>
          <t>Scenario</t>
        </is>
      </c>
      <c r="C100" s="18" t="n">
        <v>4.068206450284062</v>
      </c>
      <c r="D100" s="18" t="n">
        <v>5.976087426634833</v>
      </c>
      <c r="E100" s="18" t="n">
        <v>0.4221113715783263</v>
      </c>
      <c r="F100" s="18" t="n">
        <v>0.4193431875105798</v>
      </c>
      <c r="G100" s="18" t="n">
        <v>0.005666507171381083</v>
      </c>
      <c r="H100" s="18" t="n">
        <v>14.70041434656364</v>
      </c>
      <c r="I100" s="18" t="n">
        <v>2.504301106472185</v>
      </c>
      <c r="J100" s="18" t="n">
        <v>5.338436744560838</v>
      </c>
      <c r="K100" s="18" t="n">
        <v>0.3592342915322368</v>
      </c>
      <c r="L100" s="18" t="n">
        <v>0.1536347913471202</v>
      </c>
      <c r="M100" s="18" t="n">
        <v>11.65055063121139</v>
      </c>
      <c r="N100" s="18" t="n">
        <v>0.9799866286296084</v>
      </c>
      <c r="O100" s="18" t="n">
        <v>0.5977824295675325</v>
      </c>
      <c r="P100" s="18" t="n">
        <v>25.24845554660221</v>
      </c>
      <c r="Q100" s="18" t="n">
        <v>2.548530068228698</v>
      </c>
      <c r="R100" s="18" t="n">
        <v>1.789393452160575</v>
      </c>
      <c r="S100" s="18" t="n">
        <v>28.24976518756213</v>
      </c>
      <c r="T100" s="18" t="n">
        <v>28.69391282578254</v>
      </c>
      <c r="U100" s="18" t="n">
        <v>29.88552384837558</v>
      </c>
      <c r="V100" s="18" t="n">
        <v>39.16886013527991</v>
      </c>
      <c r="W100" s="18" t="n">
        <v>39.16886013527991</v>
      </c>
      <c r="X100" s="18" t="n">
        <v>10.91909494771778</v>
      </c>
      <c r="Y100" s="18" t="n">
        <v>10.47494730949737</v>
      </c>
      <c r="Z100" s="18" t="n">
        <v>9.28333628690433</v>
      </c>
      <c r="AA100" s="18" t="n">
        <v>39.02</v>
      </c>
      <c r="AB100" s="18" t="n">
        <v>37.77830360177217</v>
      </c>
    </row>
    <row r="101">
      <c r="A101" s="20" t="n">
        <v>48305</v>
      </c>
      <c r="B101" s="16" t="inlineStr">
        <is>
          <t>Scenario</t>
        </is>
      </c>
      <c r="C101" s="18" t="n">
        <v>4.495762034023503</v>
      </c>
      <c r="D101" s="18" t="n">
        <v>5.909259139945459</v>
      </c>
      <c r="E101" s="18" t="n">
        <v>0.2740062374838869</v>
      </c>
      <c r="F101" s="18" t="n">
        <v>0.3813543559737634</v>
      </c>
      <c r="G101" s="18" t="n">
        <v>0.00564941711071875</v>
      </c>
      <c r="H101" s="18" t="n">
        <v>14.1992926518784</v>
      </c>
      <c r="I101" s="18" t="n">
        <v>2.696204812660747</v>
      </c>
      <c r="J101" s="18" t="n">
        <v>5.372011818426001</v>
      </c>
      <c r="K101" s="18" t="n">
        <v>0.3614936266991062</v>
      </c>
      <c r="L101" s="18" t="n">
        <v>0.1558941265139895</v>
      </c>
      <c r="M101" s="18" t="n">
        <v>11.7288924702301</v>
      </c>
      <c r="N101" s="18" t="n">
        <v>0.9865763561996441</v>
      </c>
      <c r="O101" s="18" t="n">
        <v>0.6043721571375682</v>
      </c>
      <c r="P101" s="18" t="n">
        <v>25.48124272540067</v>
      </c>
      <c r="Q101" s="18" t="n">
        <v>2.57202715396414</v>
      </c>
      <c r="R101" s="18" t="n">
        <v>1.812890537896017</v>
      </c>
      <c r="S101" s="18" t="n">
        <v>28.11742277559047</v>
      </c>
      <c r="T101" s="18" t="n">
        <v>28.56590080621405</v>
      </c>
      <c r="U101" s="18" t="n">
        <v>29.77441918697249</v>
      </c>
      <c r="V101" s="18" t="n">
        <v>39.18403795927684</v>
      </c>
      <c r="W101" s="18" t="n">
        <v>39.18403795927684</v>
      </c>
      <c r="X101" s="18" t="n">
        <v>11.06661518368637</v>
      </c>
      <c r="Y101" s="18" t="n">
        <v>10.61813715306279</v>
      </c>
      <c r="Z101" s="18" t="n">
        <v>9.409618772304341</v>
      </c>
      <c r="AA101" s="18" t="n">
        <v>39.02</v>
      </c>
      <c r="AB101" s="18" t="n">
        <v>37.79318147778023</v>
      </c>
    </row>
    <row r="102">
      <c r="A102" s="20" t="n">
        <v>48335</v>
      </c>
      <c r="B102" s="16" t="inlineStr">
        <is>
          <t>Scenario</t>
        </is>
      </c>
      <c r="C102" s="18" t="n">
        <v>5.792966830004294</v>
      </c>
      <c r="D102" s="18" t="n">
        <v>5.776507910798016</v>
      </c>
      <c r="E102" s="18" t="n">
        <v>0.1897684762776759</v>
      </c>
      <c r="F102" s="18" t="n">
        <v>0.3203715733731184</v>
      </c>
      <c r="G102" s="18" t="n">
        <v>0.005637813844727569</v>
      </c>
      <c r="H102" s="18" t="n">
        <v>14.63710916827362</v>
      </c>
      <c r="I102" s="18" t="n">
        <v>2.930436815745756</v>
      </c>
      <c r="J102" s="18" t="n">
        <v>5.405586892291163</v>
      </c>
      <c r="K102" s="18" t="n">
        <v>0.3637529618659756</v>
      </c>
      <c r="L102" s="18" t="n">
        <v>0.158153461680859</v>
      </c>
      <c r="M102" s="18" t="n">
        <v>11.80723430924881</v>
      </c>
      <c r="N102" s="18" t="n">
        <v>0.9931660837696799</v>
      </c>
      <c r="O102" s="18" t="n">
        <v>0.6109618847076039</v>
      </c>
      <c r="P102" s="18" t="n">
        <v>25.71402990419913</v>
      </c>
      <c r="Q102" s="18" t="n">
        <v>2.595524239699582</v>
      </c>
      <c r="R102" s="18" t="n">
        <v>1.836387623631459</v>
      </c>
      <c r="S102" s="18" t="n">
        <v>29.81095204999807</v>
      </c>
      <c r="T102" s="18" t="n">
        <v>30.26376047302481</v>
      </c>
      <c r="U102" s="18" t="n">
        <v>31.48918621194867</v>
      </c>
      <c r="V102" s="18" t="n">
        <v>39.19922159584298</v>
      </c>
      <c r="W102" s="18" t="n">
        <v>39.19922159584298</v>
      </c>
      <c r="X102" s="18" t="n">
        <v>9.38826954584491</v>
      </c>
      <c r="Y102" s="18" t="n">
        <v>8.935461122818165</v>
      </c>
      <c r="Z102" s="18" t="n">
        <v>7.710035383894308</v>
      </c>
      <c r="AA102" s="18" t="n">
        <v>39.02</v>
      </c>
      <c r="AB102" s="18" t="n">
        <v>37.80806521300306</v>
      </c>
    </row>
    <row r="103">
      <c r="A103" s="20" t="n">
        <v>48366</v>
      </c>
      <c r="B103" s="16" t="inlineStr">
        <is>
          <t>Scenario</t>
        </is>
      </c>
      <c r="C103" s="18" t="n">
        <v>6.680486736221694</v>
      </c>
      <c r="D103" s="18" t="n">
        <v>5.840573198217045</v>
      </c>
      <c r="E103" s="18" t="n">
        <v>0.180517859987658</v>
      </c>
      <c r="F103" s="18" t="n">
        <v>0.3227800492328575</v>
      </c>
      <c r="G103" s="18" t="n">
        <v>0.005620810322505635</v>
      </c>
      <c r="H103" s="18" t="n">
        <v>14.78827058143899</v>
      </c>
      <c r="I103" s="18" t="n">
        <v>2.873592491132675</v>
      </c>
      <c r="J103" s="18" t="n">
        <v>5.439161966156326</v>
      </c>
      <c r="K103" s="18" t="n">
        <v>0.366012297032845</v>
      </c>
      <c r="L103" s="18" t="n">
        <v>0.1604127968477284</v>
      </c>
      <c r="M103" s="18" t="n">
        <v>11.88557614826753</v>
      </c>
      <c r="N103" s="18" t="n">
        <v>0.9997558113397157</v>
      </c>
      <c r="O103" s="18" t="n">
        <v>0.6175516122776399</v>
      </c>
      <c r="P103" s="18" t="n">
        <v>25.94681708299758</v>
      </c>
      <c r="Q103" s="18" t="n">
        <v>2.619021325435024</v>
      </c>
      <c r="R103" s="18" t="n">
        <v>1.859884709366901</v>
      </c>
      <c r="S103" s="18" t="n">
        <v>30.85225452340116</v>
      </c>
      <c r="T103" s="18" t="n">
        <v>31.30939333883107</v>
      </c>
      <c r="U103" s="18" t="n">
        <v>32.55172643592033</v>
      </c>
      <c r="V103" s="18" t="n">
        <v>39.21441104722926</v>
      </c>
      <c r="W103" s="18" t="n">
        <v>39.21441104722926</v>
      </c>
      <c r="X103" s="18" t="n">
        <v>8.362156523828105</v>
      </c>
      <c r="Y103" s="18" t="n">
        <v>7.905017708398194</v>
      </c>
      <c r="Z103" s="18" t="n">
        <v>6.662684611308933</v>
      </c>
      <c r="AA103" s="18" t="n">
        <v>39.02</v>
      </c>
      <c r="AB103" s="18" t="n">
        <v>37.82295480974814</v>
      </c>
    </row>
    <row r="104">
      <c r="A104" s="20" t="n">
        <v>48396</v>
      </c>
      <c r="B104" s="16" t="inlineStr">
        <is>
          <t>Scenario</t>
        </is>
      </c>
      <c r="C104" s="18" t="n">
        <v>7.270704077454631</v>
      </c>
      <c r="D104" s="18" t="n">
        <v>5.826177249346695</v>
      </c>
      <c r="E104" s="18" t="n">
        <v>0.168726560170797</v>
      </c>
      <c r="F104" s="18" t="n">
        <v>0.3084697657965955</v>
      </c>
      <c r="G104" s="18" t="n">
        <v>0.005609265811633128</v>
      </c>
      <c r="H104" s="18" t="n">
        <v>14.38978393145688</v>
      </c>
      <c r="I104" s="18" t="n">
        <v>2.742261894043959</v>
      </c>
      <c r="J104" s="18" t="n">
        <v>5.472737040021489</v>
      </c>
      <c r="K104" s="18" t="n">
        <v>0.3682716321997144</v>
      </c>
      <c r="L104" s="18" t="n">
        <v>0.1626721320145978</v>
      </c>
      <c r="M104" s="18" t="n">
        <v>11.96391798728624</v>
      </c>
      <c r="N104" s="18" t="n">
        <v>1.006345538909752</v>
      </c>
      <c r="O104" s="18" t="n">
        <v>0.6241413398476756</v>
      </c>
      <c r="P104" s="18" t="n">
        <v>26.17960426179604</v>
      </c>
      <c r="Q104" s="18" t="n">
        <v>2.642518411170466</v>
      </c>
      <c r="R104" s="18" t="n">
        <v>1.883381795102343</v>
      </c>
      <c r="S104" s="18" t="n">
        <v>30.87440487609579</v>
      </c>
      <c r="T104" s="18" t="n">
        <v>31.33587408392887</v>
      </c>
      <c r="U104" s="18" t="n">
        <v>32.59511453918353</v>
      </c>
      <c r="V104" s="18" t="n">
        <v>39.22960631568749</v>
      </c>
      <c r="W104" s="18" t="n">
        <v>39.22960631568749</v>
      </c>
      <c r="X104" s="18" t="n">
        <v>8.355201439591699</v>
      </c>
      <c r="Y104" s="18" t="n">
        <v>7.893732231758623</v>
      </c>
      <c r="Z104" s="18" t="n">
        <v>6.634491776503957</v>
      </c>
      <c r="AA104" s="18" t="n">
        <v>39.02</v>
      </c>
      <c r="AB104" s="18" t="n">
        <v>37.83785027032386</v>
      </c>
    </row>
    <row r="105">
      <c r="A105" s="20" t="n">
        <v>48427</v>
      </c>
      <c r="B105" s="16" t="inlineStr">
        <is>
          <t>Scenario</t>
        </is>
      </c>
      <c r="C105" s="18" t="n">
        <v>8.161645258862009</v>
      </c>
      <c r="D105" s="18" t="n">
        <v>5.894092293582069</v>
      </c>
      <c r="E105" s="18" t="n">
        <v>0.1482262737904032</v>
      </c>
      <c r="F105" s="18" t="n">
        <v>0.3006984939751637</v>
      </c>
      <c r="G105" s="18" t="n">
        <v>0.004371551560402081</v>
      </c>
      <c r="H105" s="18" t="n">
        <v>14.77060529854541</v>
      </c>
      <c r="I105" s="18" t="n">
        <v>2.806552744003916</v>
      </c>
      <c r="J105" s="18" t="n">
        <v>5.506312113886651</v>
      </c>
      <c r="K105" s="18" t="n">
        <v>0.3705309673665839</v>
      </c>
      <c r="L105" s="18" t="n">
        <v>0.1649314671814672</v>
      </c>
      <c r="M105" s="18" t="n">
        <v>12.04225982630495</v>
      </c>
      <c r="N105" s="18" t="n">
        <v>1.012935266479787</v>
      </c>
      <c r="O105" s="18" t="n">
        <v>0.6307310674177113</v>
      </c>
      <c r="P105" s="18" t="n">
        <v>26.4123914405945</v>
      </c>
      <c r="Q105" s="18" t="n">
        <v>2.666015496905908</v>
      </c>
      <c r="R105" s="18" t="n">
        <v>1.906878880837785</v>
      </c>
      <c r="S105" s="18" t="n">
        <v>32.25112338150084</v>
      </c>
      <c r="T105" s="18" t="n">
        <v>32.71692298173708</v>
      </c>
      <c r="U105" s="18" t="n">
        <v>33.99307079515716</v>
      </c>
      <c r="V105" s="18" t="n">
        <v>39.24480740347032</v>
      </c>
      <c r="W105" s="18" t="n">
        <v>39.24480740347032</v>
      </c>
      <c r="X105" s="18" t="n">
        <v>6.993684021969479</v>
      </c>
      <c r="Y105" s="18" t="n">
        <v>6.527884421733233</v>
      </c>
      <c r="Z105" s="18" t="n">
        <v>5.251736608313159</v>
      </c>
      <c r="AA105" s="18" t="n">
        <v>39.02</v>
      </c>
      <c r="AB105" s="18" t="n">
        <v>37.85275159703952</v>
      </c>
    </row>
    <row r="106">
      <c r="A106" s="20" t="n">
        <v>48458</v>
      </c>
      <c r="B106" s="16" t="inlineStr">
        <is>
          <t>Scenario</t>
        </is>
      </c>
      <c r="C106" s="18" t="n">
        <v>6.918029331066658</v>
      </c>
      <c r="D106" s="18" t="n">
        <v>5.867849265667964</v>
      </c>
      <c r="E106" s="18" t="n">
        <v>0.1458091456183385</v>
      </c>
      <c r="F106" s="18" t="n">
        <v>0.3080363694831384</v>
      </c>
      <c r="G106" s="18" t="n">
        <v>0.004352621808041308</v>
      </c>
      <c r="H106" s="18" t="n">
        <v>15.4700550280206</v>
      </c>
      <c r="I106" s="18" t="n">
        <v>2.641954219096749</v>
      </c>
      <c r="J106" s="18" t="n">
        <v>5.539887187751813</v>
      </c>
      <c r="K106" s="18" t="n">
        <v>0.3727903025334532</v>
      </c>
      <c r="L106" s="18" t="n">
        <v>0.1671908023483366</v>
      </c>
      <c r="M106" s="18" t="n">
        <v>12.12060166532367</v>
      </c>
      <c r="N106" s="18" t="n">
        <v>1.019524994049823</v>
      </c>
      <c r="O106" s="18" t="n">
        <v>0.6373207949877471</v>
      </c>
      <c r="P106" s="18" t="n">
        <v>26.64517861939296</v>
      </c>
      <c r="Q106" s="18" t="n">
        <v>2.68951258264135</v>
      </c>
      <c r="R106" s="18" t="n">
        <v>1.930375966573227</v>
      </c>
      <c r="S106" s="18" t="n">
        <v>31.52327678310983</v>
      </c>
      <c r="T106" s="18" t="n">
        <v>31.99340677574924</v>
      </c>
      <c r="U106" s="18" t="n">
        <v>33.28646194733471</v>
      </c>
      <c r="V106" s="18" t="n">
        <v>39.2600143128313</v>
      </c>
      <c r="W106" s="18" t="n">
        <v>39.2600143128313</v>
      </c>
      <c r="X106" s="18" t="n">
        <v>7.736737529721477</v>
      </c>
      <c r="Y106" s="18" t="n">
        <v>7.266607537082066</v>
      </c>
      <c r="Z106" s="18" t="n">
        <v>5.973552365496587</v>
      </c>
      <c r="AA106" s="18" t="n">
        <v>39.02</v>
      </c>
      <c r="AB106" s="18" t="n">
        <v>37.86765879220533</v>
      </c>
    </row>
    <row r="107">
      <c r="A107" s="20" t="n">
        <v>48488</v>
      </c>
      <c r="B107" s="16" t="inlineStr">
        <is>
          <t>Scenario</t>
        </is>
      </c>
      <c r="C107" s="18" t="n">
        <v>5.436307874895696</v>
      </c>
      <c r="D107" s="18" t="n">
        <v>5.713265963011611</v>
      </c>
      <c r="E107" s="18" t="n">
        <v>0.2023704248716396</v>
      </c>
      <c r="F107" s="18" t="n">
        <v>0.3372686580103906</v>
      </c>
      <c r="G107" s="18" t="n">
        <v>0.004349415462606457</v>
      </c>
      <c r="H107" s="18" t="n">
        <v>15.89548970777218</v>
      </c>
      <c r="I107" s="18" t="n">
        <v>2.520150869153281</v>
      </c>
      <c r="J107" s="18" t="n">
        <v>5.573462261616976</v>
      </c>
      <c r="K107" s="18" t="n">
        <v>0.3750496377003227</v>
      </c>
      <c r="L107" s="18" t="n">
        <v>0.169450137515206</v>
      </c>
      <c r="M107" s="18" t="n">
        <v>12.19894350434238</v>
      </c>
      <c r="N107" s="18" t="n">
        <v>1.026114721619859</v>
      </c>
      <c r="O107" s="18" t="n">
        <v>0.6439105225577828</v>
      </c>
      <c r="P107" s="18" t="n">
        <v>26.87796579819143</v>
      </c>
      <c r="Q107" s="18" t="n">
        <v>2.713009668376792</v>
      </c>
      <c r="R107" s="18" t="n">
        <v>1.953873052308669</v>
      </c>
      <c r="S107" s="18" t="n">
        <v>30.27865305069261</v>
      </c>
      <c r="T107" s="18" t="n">
        <v>30.75311343573519</v>
      </c>
      <c r="U107" s="18" t="n">
        <v>32.06307596548607</v>
      </c>
      <c r="V107" s="18" t="n">
        <v>39.27522704602488</v>
      </c>
      <c r="W107" s="18" t="n">
        <v>39.27522704602488</v>
      </c>
      <c r="X107" s="18" t="n">
        <v>8.99657399533227</v>
      </c>
      <c r="Y107" s="18" t="n">
        <v>8.522113610289693</v>
      </c>
      <c r="Z107" s="18" t="n">
        <v>7.21215108053881</v>
      </c>
      <c r="AA107" s="18" t="n">
        <v>39.02</v>
      </c>
      <c r="AB107" s="18" t="n">
        <v>37.88257185813239</v>
      </c>
    </row>
    <row r="108">
      <c r="A108" s="20" t="n">
        <v>48519</v>
      </c>
      <c r="B108" s="16" t="inlineStr">
        <is>
          <t>Scenario</t>
        </is>
      </c>
      <c r="C108" s="18" t="n">
        <v>4.645007511031529</v>
      </c>
      <c r="D108" s="18" t="n">
        <v>6.116490735662972</v>
      </c>
      <c r="E108" s="18" t="n">
        <v>0.3892954897407014</v>
      </c>
      <c r="F108" s="18" t="n">
        <v>0.4226233433984335</v>
      </c>
      <c r="G108" s="18" t="n">
        <v>0.004330581564279136</v>
      </c>
      <c r="H108" s="18" t="n">
        <v>16.23512052546222</v>
      </c>
      <c r="I108" s="18" t="n">
        <v>2.463184494725174</v>
      </c>
      <c r="J108" s="18" t="n">
        <v>5.607037335482138</v>
      </c>
      <c r="K108" s="18" t="n">
        <v>0.3773089728671921</v>
      </c>
      <c r="L108" s="18" t="n">
        <v>0.1717094726820754</v>
      </c>
      <c r="M108" s="18" t="n">
        <v>12.27728534336109</v>
      </c>
      <c r="N108" s="18" t="n">
        <v>1.032704449189895</v>
      </c>
      <c r="O108" s="18" t="n">
        <v>0.6505002501278188</v>
      </c>
      <c r="P108" s="18" t="n">
        <v>27.11075297698989</v>
      </c>
      <c r="Q108" s="18" t="n">
        <v>2.736506754112234</v>
      </c>
      <c r="R108" s="18" t="n">
        <v>1.977370138044111</v>
      </c>
      <c r="S108" s="18" t="n">
        <v>30.44776215426738</v>
      </c>
      <c r="T108" s="18" t="n">
        <v>30.92655293171313</v>
      </c>
      <c r="U108" s="18" t="n">
        <v>32.25342281962942</v>
      </c>
      <c r="V108" s="18" t="n">
        <v>39.29044560530637</v>
      </c>
      <c r="W108" s="18" t="n">
        <v>39.29044560530637</v>
      </c>
      <c r="X108" s="18" t="n">
        <v>8.84268345103899</v>
      </c>
      <c r="Y108" s="18" t="n">
        <v>8.363892673593245</v>
      </c>
      <c r="Z108" s="18" t="n">
        <v>7.037022785676953</v>
      </c>
      <c r="AA108" s="18" t="n">
        <v>39.02</v>
      </c>
      <c r="AB108" s="18" t="n">
        <v>37.89749079713274</v>
      </c>
    </row>
    <row r="109">
      <c r="A109" s="20" t="n">
        <v>48549</v>
      </c>
      <c r="B109" s="16" t="inlineStr">
        <is>
          <t>Scenario</t>
        </is>
      </c>
      <c r="C109" s="18" t="n">
        <v>4.588742658117908</v>
      </c>
      <c r="D109" s="18" t="n">
        <v>6.324347035444935</v>
      </c>
      <c r="E109" s="18" t="n">
        <v>0.7179326326480595</v>
      </c>
      <c r="F109" s="18" t="n">
        <v>0.5387492901439608</v>
      </c>
      <c r="G109" s="18" t="n">
        <v>0.004327391454721897</v>
      </c>
      <c r="H109" s="18" t="n">
        <v>16.01719753724603</v>
      </c>
      <c r="I109" s="18" t="n">
        <v>2.351003546379683</v>
      </c>
      <c r="J109" s="18" t="n">
        <v>5.640612409347301</v>
      </c>
      <c r="K109" s="18" t="n">
        <v>0.3795683080340615</v>
      </c>
      <c r="L109" s="18" t="n">
        <v>0.1739688078489449</v>
      </c>
      <c r="M109" s="18" t="n">
        <v>12.3556271823798</v>
      </c>
      <c r="N109" s="18" t="n">
        <v>1.03929417675993</v>
      </c>
      <c r="O109" s="18" t="n">
        <v>0.6570899776978545</v>
      </c>
      <c r="P109" s="18" t="n">
        <v>27.34354015578835</v>
      </c>
      <c r="Q109" s="18" t="n">
        <v>2.760003839847676</v>
      </c>
      <c r="R109" s="18" t="n">
        <v>2.000867223779553</v>
      </c>
      <c r="S109" s="18" t="n">
        <v>30.71626889928424</v>
      </c>
      <c r="T109" s="18" t="n">
        <v>31.19939006913315</v>
      </c>
      <c r="U109" s="18" t="n">
        <v>32.54316731521485</v>
      </c>
      <c r="V109" s="18" t="n">
        <v>39.30566999293197</v>
      </c>
      <c r="W109" s="18" t="n">
        <v>39.30566999293197</v>
      </c>
      <c r="X109" s="18" t="n">
        <v>8.589401093647727</v>
      </c>
      <c r="Y109" s="18" t="n">
        <v>8.106279923798816</v>
      </c>
      <c r="Z109" s="18" t="n">
        <v>6.762502677717116</v>
      </c>
      <c r="AA109" s="18" t="n">
        <v>39.02</v>
      </c>
      <c r="AB109" s="18" t="n">
        <v>37.91241561151931</v>
      </c>
    </row>
    <row r="110">
      <c r="A110" s="20" t="n">
        <v>48580</v>
      </c>
      <c r="B110" s="16" t="inlineStr">
        <is>
          <t>Scenario</t>
        </is>
      </c>
      <c r="C110" s="18" t="n">
        <v>5.579445751982315</v>
      </c>
      <c r="D110" s="18" t="n">
        <v>6.179493192666809</v>
      </c>
      <c r="E110" s="18" t="n">
        <v>1.278309406904518</v>
      </c>
      <c r="F110" s="18" t="n">
        <v>0.7511395050563904</v>
      </c>
      <c r="G110" s="18" t="n">
        <v>0.00552448613512511</v>
      </c>
      <c r="H110" s="18" t="n">
        <v>15.40481531001708</v>
      </c>
      <c r="I110" s="18" t="n">
        <v>2.589985061645746</v>
      </c>
      <c r="J110" s="18" t="n">
        <v>5.674187483212464</v>
      </c>
      <c r="K110" s="18" t="n">
        <v>0.3818276432009309</v>
      </c>
      <c r="L110" s="18" t="n">
        <v>0.1762281430158143</v>
      </c>
      <c r="M110" s="18" t="n">
        <v>12.43396902139851</v>
      </c>
      <c r="N110" s="18" t="n">
        <v>1.045883904329966</v>
      </c>
      <c r="O110" s="18" t="n">
        <v>0.6636797052678902</v>
      </c>
      <c r="P110" s="18" t="n">
        <v>27.57632733458681</v>
      </c>
      <c r="Q110" s="18" t="n">
        <v>2.783500925583117</v>
      </c>
      <c r="R110" s="18" t="n">
        <v>2.024364309514994</v>
      </c>
      <c r="S110" s="18" t="n">
        <v>31.96494085742379</v>
      </c>
      <c r="T110" s="18" t="n">
        <v>32.45239241967587</v>
      </c>
      <c r="U110" s="18" t="n">
        <v>33.81307702392298</v>
      </c>
      <c r="V110" s="18" t="n">
        <v>39.31329312066711</v>
      </c>
      <c r="W110" s="18" t="n">
        <v>39.31329312066711</v>
      </c>
      <c r="X110" s="18" t="n">
        <v>7.348352263243317</v>
      </c>
      <c r="Y110" s="18" t="n">
        <v>6.860900700991237</v>
      </c>
      <c r="Z110" s="18" t="n">
        <v>5.500216096744133</v>
      </c>
      <c r="AA110" s="18" t="n">
        <v>39.02</v>
      </c>
      <c r="AB110" s="18" t="n">
        <v>37.9198890409842</v>
      </c>
    </row>
    <row r="111">
      <c r="A111" s="20" t="n">
        <v>48611</v>
      </c>
      <c r="B111" s="16" t="inlineStr">
        <is>
          <t>Scenario</t>
        </is>
      </c>
      <c r="C111" s="18" t="n">
        <v>4.573570037829584</v>
      </c>
      <c r="D111" s="18" t="n">
        <v>6.051574025415699</v>
      </c>
      <c r="E111" s="18" t="n">
        <v>0.8927406060607812</v>
      </c>
      <c r="F111" s="18" t="n">
        <v>0.5911385238351993</v>
      </c>
      <c r="G111" s="18" t="n">
        <v>0.005519505257233832</v>
      </c>
      <c r="H111" s="18" t="n">
        <v>15.16644253291303</v>
      </c>
      <c r="I111" s="18" t="n">
        <v>2.546156833517707</v>
      </c>
      <c r="J111" s="18" t="n">
        <v>5.707762557077626</v>
      </c>
      <c r="K111" s="18" t="n">
        <v>0.3840869783678003</v>
      </c>
      <c r="L111" s="18" t="n">
        <v>0.1784874781826837</v>
      </c>
      <c r="M111" s="18" t="n">
        <v>12.51231086041723</v>
      </c>
      <c r="N111" s="18" t="n">
        <v>1.052473631900002</v>
      </c>
      <c r="O111" s="18" t="n">
        <v>0.6702694328379262</v>
      </c>
      <c r="P111" s="18" t="n">
        <v>27.80911451338527</v>
      </c>
      <c r="Q111" s="18" t="n">
        <v>2.80699801131856</v>
      </c>
      <c r="R111" s="18" t="n">
        <v>2.047861395250437</v>
      </c>
      <c r="S111" s="18" t="n">
        <v>30.00562954301192</v>
      </c>
      <c r="T111" s="18" t="n">
        <v>30.49741149766717</v>
      </c>
      <c r="U111" s="18" t="n">
        <v>31.87500346007968</v>
      </c>
      <c r="V111" s="18" t="n">
        <v>39.32091770972402</v>
      </c>
      <c r="W111" s="18" t="n">
        <v>39.32091770972402</v>
      </c>
      <c r="X111" s="18" t="n">
        <v>9.315288166712097</v>
      </c>
      <c r="Y111" s="18" t="n">
        <v>8.823506212056856</v>
      </c>
      <c r="Z111" s="18" t="n">
        <v>7.445914249644346</v>
      </c>
      <c r="AA111" s="18" t="n">
        <v>39.02</v>
      </c>
      <c r="AB111" s="18" t="n">
        <v>37.92736394363793</v>
      </c>
    </row>
    <row r="112">
      <c r="A112" s="20" t="n">
        <v>48639</v>
      </c>
      <c r="B112" s="16" t="inlineStr">
        <is>
          <t>Scenario</t>
        </is>
      </c>
      <c r="C112" s="18" t="n">
        <v>4.068206450284062</v>
      </c>
      <c r="D112" s="18" t="n">
        <v>6.023439923121245</v>
      </c>
      <c r="E112" s="18" t="n">
        <v>0.4094480304309765</v>
      </c>
      <c r="F112" s="18" t="n">
        <v>0.4067628918852623</v>
      </c>
      <c r="G112" s="18" t="n">
        <v>0.00549651195623965</v>
      </c>
      <c r="H112" s="18" t="n">
        <v>14.70041434656364</v>
      </c>
      <c r="I112" s="18" t="n">
        <v>2.453577547784403</v>
      </c>
      <c r="J112" s="18" t="n">
        <v>5.741337630942788</v>
      </c>
      <c r="K112" s="18" t="n">
        <v>0.3863463135346697</v>
      </c>
      <c r="L112" s="18" t="n">
        <v>0.1807468133495531</v>
      </c>
      <c r="M112" s="18" t="n">
        <v>12.59065269943594</v>
      </c>
      <c r="N112" s="18" t="n">
        <v>1.059063359470038</v>
      </c>
      <c r="O112" s="18" t="n">
        <v>0.6768591604079619</v>
      </c>
      <c r="P112" s="18" t="n">
        <v>28.04190169218372</v>
      </c>
      <c r="Q112" s="18" t="n">
        <v>2.830495097054001</v>
      </c>
      <c r="R112" s="18" t="n">
        <v>2.071358480985878</v>
      </c>
      <c r="S112" s="18" t="n">
        <v>28.24809251537538</v>
      </c>
      <c r="T112" s="18" t="n">
        <v>28.74420486243379</v>
      </c>
      <c r="U112" s="18" t="n">
        <v>30.13870418301171</v>
      </c>
      <c r="V112" s="18" t="n">
        <v>39.32854376038594</v>
      </c>
      <c r="W112" s="18" t="n">
        <v>39.32854376038594</v>
      </c>
      <c r="X112" s="18" t="n">
        <v>11.08045124501056</v>
      </c>
      <c r="Y112" s="18" t="n">
        <v>10.58433889795215</v>
      </c>
      <c r="Z112" s="18" t="n">
        <v>9.189839577374233</v>
      </c>
      <c r="AA112" s="18" t="n">
        <v>39.02</v>
      </c>
      <c r="AB112" s="18" t="n">
        <v>37.93484031977091</v>
      </c>
    </row>
    <row r="113">
      <c r="A113" s="20" t="n">
        <v>48670</v>
      </c>
      <c r="B113" s="16" t="inlineStr">
        <is>
          <t>Scenario</t>
        </is>
      </c>
      <c r="C113" s="18" t="n">
        <v>4.495762034023503</v>
      </c>
      <c r="D113" s="18" t="n">
        <v>5.956082111680184</v>
      </c>
      <c r="E113" s="18" t="n">
        <v>0.2657860503593703</v>
      </c>
      <c r="F113" s="18" t="n">
        <v>0.3699137252945505</v>
      </c>
      <c r="G113" s="18" t="n">
        <v>0.005479934597397188</v>
      </c>
      <c r="H113" s="18" t="n">
        <v>14.1992926518784</v>
      </c>
      <c r="I113" s="18" t="n">
        <v>2.641594325648691</v>
      </c>
      <c r="J113" s="18" t="n">
        <v>5.774912704807951</v>
      </c>
      <c r="K113" s="18" t="n">
        <v>0.3886056487015392</v>
      </c>
      <c r="L113" s="18" t="n">
        <v>0.1830061485164226</v>
      </c>
      <c r="M113" s="18" t="n">
        <v>12.66899453845465</v>
      </c>
      <c r="N113" s="18" t="n">
        <v>1.065653087040074</v>
      </c>
      <c r="O113" s="18" t="n">
        <v>0.6834488879779976</v>
      </c>
      <c r="P113" s="18" t="n">
        <v>28.27468887098219</v>
      </c>
      <c r="Q113" s="18" t="n">
        <v>2.853992182789443</v>
      </c>
      <c r="R113" s="18" t="n">
        <v>2.09485556672132</v>
      </c>
      <c r="S113" s="18" t="n">
        <v>28.11691698199851</v>
      </c>
      <c r="T113" s="18" t="n">
        <v>28.61735972146009</v>
      </c>
      <c r="U113" s="18" t="n">
        <v>30.02876640020341</v>
      </c>
      <c r="V113" s="18" t="n">
        <v>39.33617127293621</v>
      </c>
      <c r="W113" s="18" t="n">
        <v>39.33617127293621</v>
      </c>
      <c r="X113" s="18" t="n">
        <v>11.21925429093769</v>
      </c>
      <c r="Y113" s="18" t="n">
        <v>10.71881155147612</v>
      </c>
      <c r="Z113" s="18" t="n">
        <v>9.307404872732793</v>
      </c>
      <c r="AA113" s="18" t="n">
        <v>39.02</v>
      </c>
      <c r="AB113" s="18" t="n">
        <v>37.94231816967361</v>
      </c>
    </row>
    <row r="114">
      <c r="A114" s="20" t="n">
        <v>48700</v>
      </c>
      <c r="B114" s="16" t="inlineStr">
        <is>
          <t>Scenario</t>
        </is>
      </c>
      <c r="C114" s="18" t="n">
        <v>5.792966830004294</v>
      </c>
      <c r="D114" s="18" t="n">
        <v>5.822279006670992</v>
      </c>
      <c r="E114" s="18" t="n">
        <v>0.1840754219893456</v>
      </c>
      <c r="F114" s="18" t="n">
        <v>0.3107604261719249</v>
      </c>
      <c r="G114" s="18" t="n">
        <v>0.005468679429385741</v>
      </c>
      <c r="H114" s="18" t="n">
        <v>14.63710916827362</v>
      </c>
      <c r="I114" s="18" t="n">
        <v>2.871082058675945</v>
      </c>
      <c r="J114" s="18" t="n">
        <v>5.808487778673114</v>
      </c>
      <c r="K114" s="18" t="n">
        <v>0.3908649838684086</v>
      </c>
      <c r="L114" s="18" t="n">
        <v>0.1852654836832919</v>
      </c>
      <c r="M114" s="18" t="n">
        <v>12.74733637747336</v>
      </c>
      <c r="N114" s="18" t="n">
        <v>1.072242814610109</v>
      </c>
      <c r="O114" s="18" t="n">
        <v>0.6900386155480334</v>
      </c>
      <c r="P114" s="18" t="n">
        <v>28.50747604978065</v>
      </c>
      <c r="Q114" s="18" t="n">
        <v>2.877489268524885</v>
      </c>
      <c r="R114" s="18" t="n">
        <v>2.118352652456762</v>
      </c>
      <c r="S114" s="18" t="n">
        <v>29.8090070748988</v>
      </c>
      <c r="T114" s="18" t="n">
        <v>30.31378020676354</v>
      </c>
      <c r="U114" s="18" t="n">
        <v>31.74209424367227</v>
      </c>
      <c r="V114" s="18" t="n">
        <v>39.34380024765817</v>
      </c>
      <c r="W114" s="18" t="n">
        <v>39.34380024765817</v>
      </c>
      <c r="X114" s="18" t="n">
        <v>9.534793172759375</v>
      </c>
      <c r="Y114" s="18" t="n">
        <v>9.030020040894634</v>
      </c>
      <c r="Z114" s="18" t="n">
        <v>7.601706003985907</v>
      </c>
      <c r="AA114" s="18" t="n">
        <v>39.02</v>
      </c>
      <c r="AB114" s="18" t="n">
        <v>37.94979749363652</v>
      </c>
    </row>
    <row r="115">
      <c r="A115" s="20" t="n">
        <v>48731</v>
      </c>
      <c r="B115" s="16" t="inlineStr">
        <is>
          <t>Scenario</t>
        </is>
      </c>
      <c r="C115" s="18" t="n">
        <v>6.680486736221694</v>
      </c>
      <c r="D115" s="18" t="n">
        <v>5.886851925769554</v>
      </c>
      <c r="E115" s="18" t="n">
        <v>0.1751023241880283</v>
      </c>
      <c r="F115" s="18" t="n">
        <v>0.3130966477558717</v>
      </c>
      <c r="G115" s="18" t="n">
        <v>0.005452186012830465</v>
      </c>
      <c r="H115" s="18" t="n">
        <v>14.78827058143899</v>
      </c>
      <c r="I115" s="18" t="n">
        <v>2.815389091792223</v>
      </c>
      <c r="J115" s="18" t="n">
        <v>5.842062852538277</v>
      </c>
      <c r="K115" s="18" t="n">
        <v>0.393124319035278</v>
      </c>
      <c r="L115" s="18" t="n">
        <v>0.1875248188501614</v>
      </c>
      <c r="M115" s="18" t="n">
        <v>12.82567821649208</v>
      </c>
      <c r="N115" s="18" t="n">
        <v>1.078832542180145</v>
      </c>
      <c r="O115" s="18" t="n">
        <v>0.6966283431180691</v>
      </c>
      <c r="P115" s="18" t="n">
        <v>28.7402632285791</v>
      </c>
      <c r="Q115" s="18" t="n">
        <v>2.900986354260326</v>
      </c>
      <c r="R115" s="18" t="n">
        <v>2.141849738192203</v>
      </c>
      <c r="S115" s="18" t="n">
        <v>30.85217431202935</v>
      </c>
      <c r="T115" s="18" t="n">
        <v>31.36127783629726</v>
      </c>
      <c r="U115" s="18" t="n">
        <v>32.8064992313714</v>
      </c>
      <c r="V115" s="18" t="n">
        <v>39.35143068483531</v>
      </c>
      <c r="W115" s="18" t="n">
        <v>39.35143068483531</v>
      </c>
      <c r="X115" s="18" t="n">
        <v>8.499256372805956</v>
      </c>
      <c r="Y115" s="18" t="n">
        <v>7.990152848538049</v>
      </c>
      <c r="Z115" s="18" t="n">
        <v>6.54493145346391</v>
      </c>
      <c r="AA115" s="18" t="n">
        <v>39.02</v>
      </c>
      <c r="AB115" s="18" t="n">
        <v>37.95727829195022</v>
      </c>
    </row>
    <row r="116">
      <c r="A116" s="20" t="n">
        <v>48761</v>
      </c>
      <c r="B116" s="16" t="inlineStr">
        <is>
          <t>Scenario</t>
        </is>
      </c>
      <c r="C116" s="18" t="n">
        <v>7.270704077454631</v>
      </c>
      <c r="D116" s="18" t="n">
        <v>5.872341908267063</v>
      </c>
      <c r="E116" s="18" t="n">
        <v>0.1636647633656731</v>
      </c>
      <c r="F116" s="18" t="n">
        <v>0.2992156728226977</v>
      </c>
      <c r="G116" s="18" t="n">
        <v>0.005440987837284135</v>
      </c>
      <c r="H116" s="18" t="n">
        <v>14.38978393145688</v>
      </c>
      <c r="I116" s="18" t="n">
        <v>2.686718540347266</v>
      </c>
      <c r="J116" s="18" t="n">
        <v>5.875637926403439</v>
      </c>
      <c r="K116" s="18" t="n">
        <v>0.3953836542021474</v>
      </c>
      <c r="L116" s="18" t="n">
        <v>0.1897841540170308</v>
      </c>
      <c r="M116" s="18" t="n">
        <v>12.90402005551079</v>
      </c>
      <c r="N116" s="18" t="n">
        <v>1.085422269750181</v>
      </c>
      <c r="O116" s="18" t="n">
        <v>0.703218070688105</v>
      </c>
      <c r="P116" s="18" t="n">
        <v>28.97305040737756</v>
      </c>
      <c r="Q116" s="18" t="n">
        <v>2.924483439995769</v>
      </c>
      <c r="R116" s="18" t="n">
        <v>2.165346823927646</v>
      </c>
      <c r="S116" s="18" t="n">
        <v>30.87765403556853</v>
      </c>
      <c r="T116" s="18" t="n">
        <v>31.39108795223961</v>
      </c>
      <c r="U116" s="18" t="n">
        <v>32.85321670547914</v>
      </c>
      <c r="V116" s="18" t="n">
        <v>39.35906258475106</v>
      </c>
      <c r="W116" s="18" t="n">
        <v>39.35906258475106</v>
      </c>
      <c r="X116" s="18" t="n">
        <v>8.481408549182529</v>
      </c>
      <c r="Y116" s="18" t="n">
        <v>7.967974632511453</v>
      </c>
      <c r="Z116" s="18" t="n">
        <v>6.505845879271916</v>
      </c>
      <c r="AA116" s="18" t="n">
        <v>39.02</v>
      </c>
      <c r="AB116" s="18" t="n">
        <v>37.96476056490535</v>
      </c>
    </row>
    <row r="117">
      <c r="A117" s="20" t="n">
        <v>48792</v>
      </c>
      <c r="B117" s="16" t="inlineStr">
        <is>
          <t>Scenario</t>
        </is>
      </c>
      <c r="C117" s="18" t="n">
        <v>8.161645258862009</v>
      </c>
      <c r="D117" s="18" t="n">
        <v>5.940795088353529</v>
      </c>
      <c r="E117" s="18" t="n">
        <v>0.1437794855766911</v>
      </c>
      <c r="F117" s="18" t="n">
        <v>0.2916775391559088</v>
      </c>
      <c r="G117" s="18" t="n">
        <v>0.004240405013590019</v>
      </c>
      <c r="H117" s="18" t="n">
        <v>14.77060529854541</v>
      </c>
      <c r="I117" s="18" t="n">
        <v>2.749707206359532</v>
      </c>
      <c r="J117" s="18" t="n">
        <v>5.909213000268601</v>
      </c>
      <c r="K117" s="18" t="n">
        <v>0.3976429893690168</v>
      </c>
      <c r="L117" s="18" t="n">
        <v>0.1920434891839002</v>
      </c>
      <c r="M117" s="18" t="n">
        <v>12.9823618945295</v>
      </c>
      <c r="N117" s="18" t="n">
        <v>1.092011997320217</v>
      </c>
      <c r="O117" s="18" t="n">
        <v>0.7098077982581408</v>
      </c>
      <c r="P117" s="18" t="n">
        <v>29.20583758617602</v>
      </c>
      <c r="Q117" s="18" t="n">
        <v>2.94798052573121</v>
      </c>
      <c r="R117" s="18" t="n">
        <v>2.188843909663087</v>
      </c>
      <c r="S117" s="18" t="n">
        <v>32.25449377105057</v>
      </c>
      <c r="T117" s="18" t="n">
        <v>32.77225808012481</v>
      </c>
      <c r="U117" s="18" t="n">
        <v>34.25129419152975</v>
      </c>
      <c r="V117" s="18" t="n">
        <v>39.366695947689</v>
      </c>
      <c r="W117" s="18" t="n">
        <v>39.366695947689</v>
      </c>
      <c r="X117" s="18" t="n">
        <v>7.112202176638426</v>
      </c>
      <c r="Y117" s="18" t="n">
        <v>6.594437867564189</v>
      </c>
      <c r="Z117" s="18" t="n">
        <v>5.115401756159244</v>
      </c>
      <c r="AA117" s="18" t="n">
        <v>39.02</v>
      </c>
      <c r="AB117" s="18" t="n">
        <v>37.9722443127926</v>
      </c>
    </row>
    <row r="118">
      <c r="A118" s="20" t="n">
        <v>48823</v>
      </c>
      <c r="B118" s="16" t="inlineStr">
        <is>
          <t>Scenario</t>
        </is>
      </c>
      <c r="C118" s="18" t="n">
        <v>6.918029331066658</v>
      </c>
      <c r="D118" s="18" t="n">
        <v>5.914344119557978</v>
      </c>
      <c r="E118" s="18" t="n">
        <v>0.1414348712497884</v>
      </c>
      <c r="F118" s="18" t="n">
        <v>0.2987952783986442</v>
      </c>
      <c r="G118" s="18" t="n">
        <v>0.004222043153800069</v>
      </c>
      <c r="H118" s="18" t="n">
        <v>15.4700550280206</v>
      </c>
      <c r="I118" s="18" t="n">
        <v>2.588442554889738</v>
      </c>
      <c r="J118" s="18" t="n">
        <v>5.942788074133764</v>
      </c>
      <c r="K118" s="18" t="n">
        <v>0.3999023245358863</v>
      </c>
      <c r="L118" s="18" t="n">
        <v>0.1943028243507696</v>
      </c>
      <c r="M118" s="18" t="n">
        <v>13.06070373354821</v>
      </c>
      <c r="N118" s="18" t="n">
        <v>1.098601724890252</v>
      </c>
      <c r="O118" s="18" t="n">
        <v>0.7163975258281765</v>
      </c>
      <c r="P118" s="18" t="n">
        <v>29.43862476497448</v>
      </c>
      <c r="Q118" s="18" t="n">
        <v>2.971477611466652</v>
      </c>
      <c r="R118" s="18" t="n">
        <v>2.212340995398529</v>
      </c>
      <c r="S118" s="18" t="n">
        <v>31.52962605068798</v>
      </c>
      <c r="T118" s="18" t="n">
        <v>32.05172075216538</v>
      </c>
      <c r="U118" s="18" t="n">
        <v>33.54766422173574</v>
      </c>
      <c r="V118" s="18" t="n">
        <v>39.37433077393271</v>
      </c>
      <c r="W118" s="18" t="n">
        <v>39.37433077393271</v>
      </c>
      <c r="X118" s="18" t="n">
        <v>7.844704723244735</v>
      </c>
      <c r="Y118" s="18" t="n">
        <v>7.322610021767332</v>
      </c>
      <c r="Z118" s="18" t="n">
        <v>5.826666552196976</v>
      </c>
      <c r="AA118" s="18" t="n">
        <v>39.02</v>
      </c>
      <c r="AB118" s="18" t="n">
        <v>37.97972953590269</v>
      </c>
    </row>
    <row r="119">
      <c r="A119" s="20" t="n">
        <v>48853</v>
      </c>
      <c r="B119" s="16" t="inlineStr">
        <is>
          <t>Scenario</t>
        </is>
      </c>
      <c r="C119" s="18" t="n">
        <v>5.436307874895696</v>
      </c>
      <c r="D119" s="18" t="n">
        <v>5.758535951069964</v>
      </c>
      <c r="E119" s="18" t="n">
        <v>0.1962993121254904</v>
      </c>
      <c r="F119" s="18" t="n">
        <v>0.3271505982700789</v>
      </c>
      <c r="G119" s="18" t="n">
        <v>0.004218932998728263</v>
      </c>
      <c r="H119" s="18" t="n">
        <v>15.89548970777218</v>
      </c>
      <c r="I119" s="18" t="n">
        <v>2.469106280232568</v>
      </c>
      <c r="J119" s="18" t="n">
        <v>5.976363147998926</v>
      </c>
      <c r="K119" s="18" t="n">
        <v>0.4021616597027557</v>
      </c>
      <c r="L119" s="18" t="n">
        <v>0.1965621595176391</v>
      </c>
      <c r="M119" s="18" t="n">
        <v>13.13904557256693</v>
      </c>
      <c r="N119" s="18" t="n">
        <v>1.105191452460288</v>
      </c>
      <c r="O119" s="18" t="n">
        <v>0.7229872533982125</v>
      </c>
      <c r="P119" s="18" t="n">
        <v>29.67141194377295</v>
      </c>
      <c r="Q119" s="18" t="n">
        <v>2.994974697202094</v>
      </c>
      <c r="R119" s="18" t="n">
        <v>2.235838081133971</v>
      </c>
      <c r="S119" s="18" t="n">
        <v>30.28367081688234</v>
      </c>
      <c r="T119" s="18" t="n">
        <v>30.81009591076291</v>
      </c>
      <c r="U119" s="18" t="n">
        <v>32.32294673849867</v>
      </c>
      <c r="V119" s="18" t="n">
        <v>39.38196706376586</v>
      </c>
      <c r="W119" s="18" t="n">
        <v>39.38196706376586</v>
      </c>
      <c r="X119" s="18" t="n">
        <v>9.098296246883521</v>
      </c>
      <c r="Y119" s="18" t="n">
        <v>8.571871153002949</v>
      </c>
      <c r="Z119" s="18" t="n">
        <v>7.059020325267191</v>
      </c>
      <c r="AA119" s="18" t="n">
        <v>39.02</v>
      </c>
      <c r="AB119" s="18" t="n">
        <v>37.98721623452644</v>
      </c>
    </row>
    <row r="120">
      <c r="A120" s="20" t="n">
        <v>48884</v>
      </c>
      <c r="B120" s="16" t="inlineStr">
        <is>
          <t>Scenario</t>
        </is>
      </c>
      <c r="C120" s="18" t="n">
        <v>4.645007511031529</v>
      </c>
      <c r="D120" s="18" t="n">
        <v>6.164955740505237</v>
      </c>
      <c r="E120" s="18" t="n">
        <v>0.3776166250484803</v>
      </c>
      <c r="F120" s="18" t="n">
        <v>0.4099446430964805</v>
      </c>
      <c r="G120" s="18" t="n">
        <v>0.004200664117350762</v>
      </c>
      <c r="H120" s="18" t="n">
        <v>16.23512052546222</v>
      </c>
      <c r="I120" s="18" t="n">
        <v>2.413293735601152</v>
      </c>
      <c r="J120" s="18" t="n">
        <v>6.009938221864089</v>
      </c>
      <c r="K120" s="18" t="n">
        <v>0.4044209948696251</v>
      </c>
      <c r="L120" s="18" t="n">
        <v>0.1988214946845084</v>
      </c>
      <c r="M120" s="18" t="n">
        <v>13.21738741158564</v>
      </c>
      <c r="N120" s="18" t="n">
        <v>1.111781180030324</v>
      </c>
      <c r="O120" s="18" t="n">
        <v>0.7295769809682482</v>
      </c>
      <c r="P120" s="18" t="n">
        <v>29.9041991225714</v>
      </c>
      <c r="Q120" s="18" t="n">
        <v>3.018471782937536</v>
      </c>
      <c r="R120" s="18" t="n">
        <v>2.259335166869413</v>
      </c>
      <c r="S120" s="18" t="n">
        <v>30.44896093954696</v>
      </c>
      <c r="T120" s="18" t="n">
        <v>30.97971642583069</v>
      </c>
      <c r="U120" s="18" t="n">
        <v>32.50947461173186</v>
      </c>
      <c r="V120" s="18" t="n">
        <v>39.38960481747215</v>
      </c>
      <c r="W120" s="18" t="n">
        <v>39.38960481747215</v>
      </c>
      <c r="X120" s="18" t="n">
        <v>8.940643877925197</v>
      </c>
      <c r="Y120" s="18" t="n">
        <v>8.409888391641459</v>
      </c>
      <c r="Z120" s="18" t="n">
        <v>6.880130205740294</v>
      </c>
      <c r="AA120" s="18" t="n">
        <v>39.02</v>
      </c>
      <c r="AB120" s="18" t="n">
        <v>37.9947044089547</v>
      </c>
    </row>
    <row r="121">
      <c r="A121" s="20" t="n">
        <v>48914</v>
      </c>
      <c r="B121" s="16" t="inlineStr">
        <is>
          <t>Scenario</t>
        </is>
      </c>
      <c r="C121" s="18" t="n">
        <v>4.588742658117908</v>
      </c>
      <c r="D121" s="18" t="n">
        <v>6.374459023338558</v>
      </c>
      <c r="E121" s="18" t="n">
        <v>0.6963946536686179</v>
      </c>
      <c r="F121" s="18" t="n">
        <v>0.5225868114396419</v>
      </c>
      <c r="G121" s="18" t="n">
        <v>0.004197569711080241</v>
      </c>
      <c r="H121" s="18" t="n">
        <v>16.01719753724603</v>
      </c>
      <c r="I121" s="18" t="n">
        <v>2.303384964871343</v>
      </c>
      <c r="J121" s="18" t="n">
        <v>6.043513295729252</v>
      </c>
      <c r="K121" s="18" t="n">
        <v>0.4066803300364945</v>
      </c>
      <c r="L121" s="18" t="n">
        <v>0.2010808298513779</v>
      </c>
      <c r="M121" s="18" t="n">
        <v>13.29572925060435</v>
      </c>
      <c r="N121" s="18" t="n">
        <v>1.11837090760036</v>
      </c>
      <c r="O121" s="18" t="n">
        <v>0.7361667085382839</v>
      </c>
      <c r="P121" s="18" t="n">
        <v>30.13698630136986</v>
      </c>
      <c r="Q121" s="18" t="n">
        <v>3.041968868672978</v>
      </c>
      <c r="R121" s="18" t="n">
        <v>2.282832252604855</v>
      </c>
      <c r="S121" s="18" t="n">
        <v>30.70804404824455</v>
      </c>
      <c r="T121" s="18" t="n">
        <v>31.24312992693146</v>
      </c>
      <c r="U121" s="18" t="n">
        <v>32.78979547099803</v>
      </c>
      <c r="V121" s="18" t="n">
        <v>39.39724403533535</v>
      </c>
      <c r="W121" s="18" t="n">
        <v>39.39724403533535</v>
      </c>
      <c r="X121" s="18" t="n">
        <v>8.689199987090802</v>
      </c>
      <c r="Y121" s="18" t="n">
        <v>8.154114108403896</v>
      </c>
      <c r="Z121" s="18" t="n">
        <v>6.607448564337325</v>
      </c>
      <c r="AA121" s="18" t="n">
        <v>39.02</v>
      </c>
      <c r="AB121" s="18" t="n">
        <v>38.0021940594784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49"/>
  <sheetViews>
    <sheetView workbookViewId="0">
      <selection activeCell="A1" sqref="A1"/>
    </sheetView>
  </sheetViews>
  <sheetFormatPr baseColWidth="8" defaultRowHeight="15"/>
  <sheetData>
    <row r="1">
      <c r="B1" t="inlineStr">
        <is>
          <t>Month</t>
        </is>
      </c>
      <c r="C1" t="inlineStr">
        <is>
          <t>Permian</t>
        </is>
      </c>
      <c r="D1" t="inlineStr">
        <is>
          <t>Eagle Ford</t>
        </is>
      </c>
      <c r="E1" t="inlineStr">
        <is>
          <t>Haynesville</t>
        </is>
      </c>
    </row>
    <row r="2">
      <c r="A2" t="n">
        <v>0</v>
      </c>
      <c r="B2" s="3" t="n">
        <v>45292</v>
      </c>
      <c r="C2" t="n">
        <v>22.59695542</v>
      </c>
      <c r="D2" t="n">
        <v>6.808142264</v>
      </c>
      <c r="E2" t="n">
        <v>15.51337931</v>
      </c>
    </row>
    <row r="3">
      <c r="A3" t="n">
        <v>1</v>
      </c>
      <c r="B3" s="3" t="n">
        <v>45323</v>
      </c>
      <c r="C3" t="n">
        <v>23.68395313</v>
      </c>
      <c r="D3" t="n">
        <v>7.085724085</v>
      </c>
      <c r="E3" t="n">
        <v>15.98869871</v>
      </c>
    </row>
    <row r="4">
      <c r="A4" t="n">
        <v>2</v>
      </c>
      <c r="B4" s="3" t="n">
        <v>45352</v>
      </c>
      <c r="C4" t="n">
        <v>24.05521084</v>
      </c>
      <c r="D4" t="n">
        <v>6.991810852</v>
      </c>
      <c r="E4" t="n">
        <v>15.37431097</v>
      </c>
    </row>
    <row r="5">
      <c r="A5" t="n">
        <v>3</v>
      </c>
      <c r="B5" s="3" t="n">
        <v>45383</v>
      </c>
      <c r="C5" t="n">
        <v>24.10201897</v>
      </c>
      <c r="D5" t="n">
        <v>6.774593488</v>
      </c>
      <c r="E5" t="n">
        <v>14.5394001</v>
      </c>
    </row>
    <row r="6">
      <c r="A6" t="n">
        <v>4</v>
      </c>
      <c r="B6" s="3" t="n">
        <v>45413</v>
      </c>
      <c r="C6" t="n">
        <v>24.28678653</v>
      </c>
      <c r="D6" t="n">
        <v>7.26385623</v>
      </c>
      <c r="E6" t="n">
        <v>13.99352065</v>
      </c>
    </row>
    <row r="7">
      <c r="A7" t="n">
        <v>5</v>
      </c>
      <c r="B7" s="3" t="n">
        <v>45444</v>
      </c>
      <c r="C7" t="n">
        <v>24.9598424</v>
      </c>
      <c r="D7" t="n">
        <v>6.959433172</v>
      </c>
      <c r="E7" t="n">
        <v>13.97531401</v>
      </c>
    </row>
    <row r="8">
      <c r="A8" t="n">
        <v>6</v>
      </c>
      <c r="B8" s="3" t="n">
        <v>45474</v>
      </c>
      <c r="C8" t="n">
        <v>25.3119424</v>
      </c>
      <c r="D8" t="n">
        <v>6.960782441</v>
      </c>
      <c r="E8" t="n">
        <v>14.36439032</v>
      </c>
    </row>
    <row r="9">
      <c r="A9" t="n">
        <v>7</v>
      </c>
      <c r="B9" s="3" t="n">
        <v>45505</v>
      </c>
      <c r="C9" t="n">
        <v>25.74684842</v>
      </c>
      <c r="D9" t="n">
        <v>6.896070541</v>
      </c>
      <c r="E9" t="n">
        <v>14.31843361</v>
      </c>
    </row>
    <row r="10">
      <c r="A10" t="n">
        <v>8</v>
      </c>
      <c r="B10" s="3" t="n">
        <v>45536</v>
      </c>
      <c r="C10" t="n">
        <v>25.69825872</v>
      </c>
      <c r="D10" t="n">
        <v>6.839683392</v>
      </c>
      <c r="E10" t="n">
        <v>13.88202195</v>
      </c>
    </row>
    <row r="11">
      <c r="A11" t="n">
        <v>9</v>
      </c>
      <c r="B11" s="3" t="n">
        <v>45566</v>
      </c>
      <c r="C11" t="n">
        <v>26.28777553</v>
      </c>
      <c r="D11" t="n">
        <v>7.12729676</v>
      </c>
      <c r="E11" t="n">
        <v>13.86241774</v>
      </c>
    </row>
    <row r="12">
      <c r="A12" t="n">
        <v>10</v>
      </c>
      <c r="B12" s="3" t="n">
        <v>45597</v>
      </c>
      <c r="C12" t="n">
        <v>26.12159507</v>
      </c>
      <c r="D12" t="n">
        <v>7.041497605</v>
      </c>
      <c r="E12" t="n">
        <v>13.97030765</v>
      </c>
    </row>
    <row r="13">
      <c r="A13" t="n">
        <v>11</v>
      </c>
      <c r="B13" s="3" t="n">
        <v>45627</v>
      </c>
      <c r="C13" t="n">
        <v>26.53084596</v>
      </c>
      <c r="D13" t="n">
        <v>7.019454062</v>
      </c>
      <c r="E13" t="n">
        <v>13.9672529</v>
      </c>
    </row>
    <row r="14">
      <c r="A14" t="n">
        <v>12</v>
      </c>
      <c r="B14" s="3" t="n">
        <v>45658</v>
      </c>
      <c r="C14" t="n">
        <v>25.8656134</v>
      </c>
      <c r="D14" t="n">
        <v>6.870920635</v>
      </c>
      <c r="E14" t="n">
        <v>14.07692738</v>
      </c>
    </row>
    <row r="15">
      <c r="A15" t="n">
        <v>13</v>
      </c>
      <c r="B15" s="3" t="n">
        <v>45689</v>
      </c>
      <c r="C15" t="n">
        <v>26.25359514</v>
      </c>
      <c r="D15" t="n">
        <v>7.114271322</v>
      </c>
      <c r="E15" t="n">
        <v>14.20246245</v>
      </c>
    </row>
    <row r="16">
      <c r="A16" t="n">
        <v>14</v>
      </c>
      <c r="B16" s="3" t="n">
        <v>45717</v>
      </c>
      <c r="C16" t="n">
        <v>26.90295259</v>
      </c>
      <c r="D16" t="n">
        <v>7.121448929</v>
      </c>
      <c r="E16" t="n">
        <v>15.64264792</v>
      </c>
    </row>
    <row r="17">
      <c r="A17" t="n">
        <v>15</v>
      </c>
      <c r="B17" s="3" t="n">
        <v>45748</v>
      </c>
      <c r="C17" t="n">
        <v>26.86164757</v>
      </c>
      <c r="D17" t="n">
        <v>7.28595454</v>
      </c>
      <c r="E17" t="n">
        <v>15.25995961</v>
      </c>
    </row>
    <row r="18">
      <c r="A18" t="n">
        <v>16</v>
      </c>
      <c r="B18" s="3" t="n">
        <v>45778</v>
      </c>
      <c r="C18" t="n">
        <v>26.87649226</v>
      </c>
      <c r="D18" t="n">
        <v>7.331046398</v>
      </c>
      <c r="E18" t="n">
        <v>15.17012098</v>
      </c>
    </row>
    <row r="19">
      <c r="A19" t="n">
        <v>17</v>
      </c>
      <c r="B19" s="3" t="n">
        <v>45809</v>
      </c>
      <c r="C19" t="n">
        <v>27.44590982</v>
      </c>
      <c r="D19" t="n">
        <v>7.485957938</v>
      </c>
      <c r="E19" t="n">
        <v>14.30456019</v>
      </c>
    </row>
    <row r="20">
      <c r="A20" t="n">
        <v>18</v>
      </c>
      <c r="B20" s="3" t="n">
        <v>45839</v>
      </c>
      <c r="C20" t="n">
        <v>28.09928137</v>
      </c>
      <c r="D20" t="n">
        <v>7.512304785</v>
      </c>
      <c r="E20" t="n">
        <v>14.83679842</v>
      </c>
    </row>
    <row r="21">
      <c r="A21" t="n">
        <v>19</v>
      </c>
      <c r="B21" s="3" t="n">
        <v>45870</v>
      </c>
      <c r="C21" t="n">
        <v>28.34933697</v>
      </c>
      <c r="D21" t="n">
        <v>7.621252246</v>
      </c>
      <c r="E21" t="n">
        <v>15.22038488</v>
      </c>
    </row>
    <row r="22">
      <c r="A22" t="n">
        <v>20</v>
      </c>
      <c r="B22" s="3" t="n">
        <v>45901</v>
      </c>
      <c r="C22" t="n">
        <v>28.48629962</v>
      </c>
      <c r="D22" t="n">
        <v>7.620341427</v>
      </c>
      <c r="E22" t="n">
        <v>14.84693182</v>
      </c>
    </row>
    <row r="23">
      <c r="A23" t="n">
        <v>21</v>
      </c>
      <c r="B23" s="3" t="n">
        <v>45931</v>
      </c>
      <c r="C23" t="n">
        <v>27.75974445</v>
      </c>
      <c r="D23" t="n">
        <v>7.698884059</v>
      </c>
      <c r="E23" t="n">
        <v>14.98790843</v>
      </c>
    </row>
    <row r="24">
      <c r="A24" t="n">
        <v>22</v>
      </c>
      <c r="B24" s="3" t="n">
        <v>45962</v>
      </c>
      <c r="C24" t="n">
        <v>28.68153881</v>
      </c>
      <c r="D24" t="n">
        <v>7.751826746</v>
      </c>
      <c r="E24" t="n">
        <v>15.64517397</v>
      </c>
    </row>
    <row r="25">
      <c r="A25" t="n">
        <v>23</v>
      </c>
      <c r="B25" s="3" t="n">
        <v>45992</v>
      </c>
      <c r="C25" t="n">
        <v>28.91912698</v>
      </c>
      <c r="D25" t="n">
        <v>7.833988388</v>
      </c>
      <c r="E25" t="n">
        <v>15.76791317</v>
      </c>
    </row>
    <row r="26">
      <c r="A26" t="n">
        <v>24</v>
      </c>
      <c r="B26" s="3" t="n">
        <v>46023</v>
      </c>
      <c r="C26" t="n">
        <v>27.92296452</v>
      </c>
      <c r="D26" t="n">
        <v>7.562513448</v>
      </c>
      <c r="E26" t="n">
        <v>15.03105648</v>
      </c>
    </row>
    <row r="27">
      <c r="A27" t="n">
        <v>25</v>
      </c>
      <c r="B27" s="3" t="n">
        <v>46054</v>
      </c>
      <c r="C27" t="n">
        <v>28.93248373</v>
      </c>
      <c r="D27" t="n">
        <v>7.786687781</v>
      </c>
      <c r="E27" t="n">
        <v>15.69554903</v>
      </c>
    </row>
    <row r="28">
      <c r="A28" t="n">
        <v>26</v>
      </c>
      <c r="B28" s="3" t="n">
        <v>46082</v>
      </c>
      <c r="C28" t="n">
        <v>28.84765075</v>
      </c>
      <c r="D28" t="n">
        <v>7.824946614</v>
      </c>
      <c r="E28" t="n">
        <v>16.00503677</v>
      </c>
    </row>
    <row r="29">
      <c r="A29" t="n">
        <v>27</v>
      </c>
      <c r="B29" s="3" t="n">
        <v>46113</v>
      </c>
      <c r="C29" t="n">
        <v>28.96837335</v>
      </c>
      <c r="D29" t="n">
        <v>7.885874356</v>
      </c>
      <c r="E29" t="n">
        <v>16.30378015</v>
      </c>
    </row>
    <row r="30">
      <c r="A30" t="n">
        <v>28</v>
      </c>
      <c r="B30" s="3" t="n">
        <v>46143</v>
      </c>
      <c r="C30" t="n">
        <v>28.96428488</v>
      </c>
      <c r="D30" t="n">
        <v>7.832995993</v>
      </c>
      <c r="E30" t="n">
        <v>15.93682106</v>
      </c>
    </row>
    <row r="31">
      <c r="A31" t="n">
        <v>29</v>
      </c>
      <c r="B31" s="3" t="n">
        <v>46174</v>
      </c>
      <c r="C31" t="n">
        <v>29.45638012</v>
      </c>
      <c r="D31" t="n">
        <v>7.935449238</v>
      </c>
      <c r="E31" t="n">
        <v>16.44097261</v>
      </c>
    </row>
    <row r="32">
      <c r="A32" t="n">
        <v>30</v>
      </c>
      <c r="B32" s="3" t="n">
        <v>46204</v>
      </c>
      <c r="C32" t="n">
        <v>29.56494646</v>
      </c>
      <c r="D32" t="n">
        <v>7.916835185</v>
      </c>
      <c r="E32" t="n">
        <v>16.48854355</v>
      </c>
    </row>
    <row r="33">
      <c r="A33" t="n">
        <v>31</v>
      </c>
      <c r="B33" s="3" t="n">
        <v>46235</v>
      </c>
      <c r="C33" t="n">
        <v>29.65626961</v>
      </c>
      <c r="D33" t="n">
        <v>7.956741506</v>
      </c>
      <c r="E33" t="n">
        <v>16.64635849</v>
      </c>
    </row>
    <row r="34">
      <c r="A34" t="n">
        <v>32</v>
      </c>
      <c r="B34" s="3" t="n">
        <v>46266</v>
      </c>
      <c r="C34" t="n">
        <v>29.69343155</v>
      </c>
      <c r="D34" t="n">
        <v>7.991832775</v>
      </c>
      <c r="E34" t="n">
        <v>16.82073253</v>
      </c>
    </row>
    <row r="35">
      <c r="A35" t="n">
        <v>33</v>
      </c>
      <c r="B35" s="3" t="n">
        <v>46296</v>
      </c>
      <c r="C35" t="n">
        <v>29.70331723</v>
      </c>
      <c r="D35" t="n">
        <v>8.030175263</v>
      </c>
      <c r="E35" t="n">
        <v>16.94235434</v>
      </c>
    </row>
    <row r="36">
      <c r="A36" t="n">
        <v>34</v>
      </c>
      <c r="B36" s="3" t="n">
        <v>46327</v>
      </c>
      <c r="C36" t="n">
        <v>29.79495856</v>
      </c>
      <c r="D36" t="n">
        <v>8.07434168</v>
      </c>
      <c r="E36" t="n">
        <v>17.04229199</v>
      </c>
    </row>
    <row r="37">
      <c r="A37" t="n">
        <v>35</v>
      </c>
      <c r="B37" s="3" t="n">
        <v>46357</v>
      </c>
      <c r="C37" t="n">
        <v>29.99115633</v>
      </c>
      <c r="D37" t="n">
        <v>8.123236301</v>
      </c>
      <c r="E37" t="n">
        <v>17.13163984</v>
      </c>
    </row>
    <row r="38">
      <c r="A38" t="n">
        <v>36</v>
      </c>
      <c r="B38" s="3" t="n">
        <v>46388</v>
      </c>
      <c r="C38" t="n">
        <v>29.80984683</v>
      </c>
      <c r="D38" t="n">
        <v>8.077845387</v>
      </c>
      <c r="E38" t="n">
        <v>17.09096452</v>
      </c>
    </row>
    <row r="39">
      <c r="A39" t="n">
        <v>37</v>
      </c>
      <c r="B39" s="3" t="n">
        <v>46419</v>
      </c>
      <c r="C39" t="n">
        <v>30.22305925</v>
      </c>
      <c r="D39" t="n">
        <v>8.152787748</v>
      </c>
      <c r="E39" t="n">
        <v>17.215734</v>
      </c>
    </row>
    <row r="40">
      <c r="A40" t="n">
        <v>38</v>
      </c>
      <c r="B40" s="3" t="n">
        <v>46447</v>
      </c>
      <c r="C40" t="n">
        <v>30.7157843</v>
      </c>
      <c r="D40" t="n">
        <v>8.189526194999999</v>
      </c>
      <c r="E40" t="n">
        <v>17.40526267</v>
      </c>
    </row>
    <row r="41">
      <c r="A41" t="n">
        <v>39</v>
      </c>
      <c r="B41" s="3" t="n">
        <v>46478</v>
      </c>
      <c r="C41" t="n">
        <v>30.96319057</v>
      </c>
      <c r="D41" t="n">
        <v>8.237041095</v>
      </c>
      <c r="E41" t="n">
        <v>17.50181829</v>
      </c>
    </row>
    <row r="42">
      <c r="A42" t="n">
        <v>40</v>
      </c>
      <c r="B42" s="3" t="n">
        <v>46508</v>
      </c>
      <c r="C42" t="n">
        <v>31.21276197</v>
      </c>
      <c r="D42" t="n">
        <v>8.28440919</v>
      </c>
      <c r="E42" t="n">
        <v>17.59683348</v>
      </c>
    </row>
    <row r="43">
      <c r="A43" t="n">
        <v>41</v>
      </c>
      <c r="B43" s="3" t="n">
        <v>46539</v>
      </c>
      <c r="C43" t="n">
        <v>31.45953397</v>
      </c>
      <c r="D43" t="n">
        <v>8.331565903</v>
      </c>
      <c r="E43" t="n">
        <v>17.69041894</v>
      </c>
    </row>
    <row r="44">
      <c r="A44" t="n">
        <v>42</v>
      </c>
      <c r="B44" s="3" t="n">
        <v>46569</v>
      </c>
      <c r="C44" t="n">
        <v>31.70434641</v>
      </c>
      <c r="D44" t="n">
        <v>8.37790261</v>
      </c>
      <c r="E44" t="n">
        <v>17.78264281</v>
      </c>
    </row>
    <row r="45">
      <c r="A45" t="n">
        <v>43</v>
      </c>
      <c r="B45" s="3" t="n">
        <v>46600</v>
      </c>
      <c r="C45" t="n">
        <v>31.9460196</v>
      </c>
      <c r="D45" t="n">
        <v>8.422777041</v>
      </c>
      <c r="E45" t="n">
        <v>17.87354943</v>
      </c>
    </row>
    <row r="46">
      <c r="A46" t="n">
        <v>44</v>
      </c>
      <c r="B46" s="3" t="n">
        <v>46631</v>
      </c>
      <c r="C46" t="n">
        <v>32.18394035</v>
      </c>
      <c r="D46" t="n">
        <v>8.470268246</v>
      </c>
      <c r="E46" t="n">
        <v>17.96314661</v>
      </c>
    </row>
    <row r="47">
      <c r="A47" t="n">
        <v>45</v>
      </c>
      <c r="B47" s="3" t="n">
        <v>46661</v>
      </c>
      <c r="C47" t="n">
        <v>32.41735831</v>
      </c>
      <c r="D47" t="n">
        <v>8.520568793000001</v>
      </c>
      <c r="E47" t="n">
        <v>18.05875778</v>
      </c>
    </row>
    <row r="48">
      <c r="A48" t="n">
        <v>46</v>
      </c>
      <c r="B48" s="3" t="n">
        <v>46692</v>
      </c>
      <c r="C48" t="n">
        <v>32.64015681</v>
      </c>
      <c r="D48" t="n">
        <v>8.568265381</v>
      </c>
      <c r="E48" t="n">
        <v>18.16041794</v>
      </c>
    </row>
    <row r="49">
      <c r="A49" t="n">
        <v>47</v>
      </c>
      <c r="B49" s="3" t="n">
        <v>46722</v>
      </c>
      <c r="C49" t="n">
        <v>32.85574427</v>
      </c>
      <c r="D49" t="n">
        <v>8.613061998999999</v>
      </c>
      <c r="E49" t="n">
        <v>18.25946663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2026-10-05T12:50:16Z</dcterms:created>
  <dcterms:modified xsi:type="dcterms:W3CDTF">2026-10-05T12:50:17Z</dcterms:modified>
</cp:coreProperties>
</file>